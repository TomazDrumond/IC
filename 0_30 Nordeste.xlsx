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1bbe0ad28847adc/Área de Trabalho/"/>
    </mc:Choice>
  </mc:AlternateContent>
  <xr:revisionPtr revIDLastSave="0" documentId="8_{3583DBA4-3B8A-4C73-AEB7-2430792A8F00}" xr6:coauthVersionLast="47" xr6:coauthVersionMax="47" xr10:uidLastSave="{00000000-0000-0000-0000-000000000000}"/>
  <bookViews>
    <workbookView xWindow="-120" yWindow="-120" windowWidth="20730" windowHeight="11040" xr2:uid="{8A345C3C-0194-4F57-853D-CC85E6A4DF96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574" i="1" l="1"/>
  <c r="B5574" i="1" s="1"/>
  <c r="D5574" i="1"/>
  <c r="C5574" i="1"/>
  <c r="E5573" i="1"/>
  <c r="B5573" i="1" s="1"/>
  <c r="D5573" i="1"/>
  <c r="C5573" i="1"/>
  <c r="E5572" i="1"/>
  <c r="B5572" i="1" s="1"/>
  <c r="D5572" i="1"/>
  <c r="C5572" i="1"/>
  <c r="E5571" i="1"/>
  <c r="B5571" i="1" s="1"/>
  <c r="D5571" i="1"/>
  <c r="C5571" i="1"/>
  <c r="E5570" i="1"/>
  <c r="B5570" i="1" s="1"/>
  <c r="D5570" i="1"/>
  <c r="C5570" i="1"/>
  <c r="E5569" i="1"/>
  <c r="D5569" i="1"/>
  <c r="C5569" i="1"/>
  <c r="E5568" i="1"/>
  <c r="B5568" i="1" s="1"/>
  <c r="D5568" i="1"/>
  <c r="C5568" i="1"/>
  <c r="E5567" i="1"/>
  <c r="D5567" i="1"/>
  <c r="C5567" i="1"/>
  <c r="E5566" i="1"/>
  <c r="D5566" i="1"/>
  <c r="C5566" i="1"/>
  <c r="E5565" i="1"/>
  <c r="D5565" i="1"/>
  <c r="C5565" i="1"/>
  <c r="E5564" i="1"/>
  <c r="B5564" i="1" s="1"/>
  <c r="D5564" i="1"/>
  <c r="C5564" i="1"/>
  <c r="E5563" i="1"/>
  <c r="D5563" i="1"/>
  <c r="C5563" i="1"/>
  <c r="E5562" i="1"/>
  <c r="B5562" i="1" s="1"/>
  <c r="D5562" i="1"/>
  <c r="C5562" i="1"/>
  <c r="E5561" i="1"/>
  <c r="B5561" i="1" s="1"/>
  <c r="D5561" i="1"/>
  <c r="C5561" i="1"/>
  <c r="E5560" i="1"/>
  <c r="B5560" i="1" s="1"/>
  <c r="D5560" i="1"/>
  <c r="C5560" i="1"/>
  <c r="E5559" i="1"/>
  <c r="D5559" i="1"/>
  <c r="C5559" i="1"/>
  <c r="E5558" i="1"/>
  <c r="B5558" i="1" s="1"/>
  <c r="D5558" i="1"/>
  <c r="C5558" i="1"/>
  <c r="E5557" i="1"/>
  <c r="D5557" i="1"/>
  <c r="C5557" i="1"/>
  <c r="E5556" i="1"/>
  <c r="D5556" i="1"/>
  <c r="C5556" i="1"/>
  <c r="E5555" i="1"/>
  <c r="D5555" i="1"/>
  <c r="C5555" i="1"/>
  <c r="E5554" i="1"/>
  <c r="D5554" i="1"/>
  <c r="C5554" i="1"/>
  <c r="E5553" i="1"/>
  <c r="B5553" i="1" s="1"/>
  <c r="D5553" i="1"/>
  <c r="C5553" i="1"/>
  <c r="E5552" i="1"/>
  <c r="B5552" i="1" s="1"/>
  <c r="D5552" i="1"/>
  <c r="C5552" i="1"/>
  <c r="E5551" i="1"/>
  <c r="D5551" i="1"/>
  <c r="C5551" i="1"/>
  <c r="E5550" i="1"/>
  <c r="B5550" i="1" s="1"/>
  <c r="D5550" i="1"/>
  <c r="C5550" i="1"/>
  <c r="E5549" i="1"/>
  <c r="D5549" i="1"/>
  <c r="C5549" i="1"/>
  <c r="E5548" i="1"/>
  <c r="D5548" i="1"/>
  <c r="C5548" i="1"/>
  <c r="E5547" i="1"/>
  <c r="B5547" i="1" s="1"/>
  <c r="D5547" i="1"/>
  <c r="C5547" i="1"/>
  <c r="E5546" i="1"/>
  <c r="D5546" i="1"/>
  <c r="C5546" i="1"/>
  <c r="E5545" i="1"/>
  <c r="B5545" i="1" s="1"/>
  <c r="D5545" i="1"/>
  <c r="C5545" i="1"/>
  <c r="E5544" i="1"/>
  <c r="B5544" i="1" s="1"/>
  <c r="D5544" i="1"/>
  <c r="C5544" i="1"/>
  <c r="E5543" i="1"/>
  <c r="D5543" i="1"/>
  <c r="C5543" i="1"/>
  <c r="E5542" i="1"/>
  <c r="B5542" i="1" s="1"/>
  <c r="D5542" i="1"/>
  <c r="C5542" i="1"/>
  <c r="E5541" i="1"/>
  <c r="D5541" i="1"/>
  <c r="C5541" i="1"/>
  <c r="E5540" i="1"/>
  <c r="D5540" i="1"/>
  <c r="C5540" i="1"/>
  <c r="E5539" i="1"/>
  <c r="D5539" i="1"/>
  <c r="C5539" i="1"/>
  <c r="E5538" i="1"/>
  <c r="D5538" i="1"/>
  <c r="C5538" i="1"/>
  <c r="E5537" i="1"/>
  <c r="B5537" i="1" s="1"/>
  <c r="D5537" i="1"/>
  <c r="C5537" i="1"/>
  <c r="E5536" i="1"/>
  <c r="B5536" i="1" s="1"/>
  <c r="D5536" i="1"/>
  <c r="C5536" i="1"/>
  <c r="E5535" i="1"/>
  <c r="D5535" i="1"/>
  <c r="C5535" i="1"/>
  <c r="E5534" i="1"/>
  <c r="D5534" i="1"/>
  <c r="C5534" i="1"/>
  <c r="E5533" i="1"/>
  <c r="D5533" i="1"/>
  <c r="C5533" i="1"/>
  <c r="E5532" i="1"/>
  <c r="D5532" i="1"/>
  <c r="C5532" i="1"/>
  <c r="E5531" i="1"/>
  <c r="B5531" i="1" s="1"/>
  <c r="D5531" i="1"/>
  <c r="C5531" i="1"/>
  <c r="E5530" i="1"/>
  <c r="B5530" i="1" s="1"/>
  <c r="D5530" i="1"/>
  <c r="C5530" i="1"/>
  <c r="E5529" i="1"/>
  <c r="B5529" i="1" s="1"/>
  <c r="D5529" i="1"/>
  <c r="C5529" i="1"/>
  <c r="E5528" i="1"/>
  <c r="D5528" i="1"/>
  <c r="C5528" i="1"/>
  <c r="E5527" i="1"/>
  <c r="B5527" i="1" s="1"/>
  <c r="D5527" i="1"/>
  <c r="C5527" i="1"/>
  <c r="E5526" i="1"/>
  <c r="D5526" i="1"/>
  <c r="C5526" i="1"/>
  <c r="E5525" i="1"/>
  <c r="D5525" i="1"/>
  <c r="C5525" i="1"/>
  <c r="E5524" i="1"/>
  <c r="D5524" i="1"/>
  <c r="C5524" i="1"/>
  <c r="E5523" i="1"/>
  <c r="B5523" i="1" s="1"/>
  <c r="D5523" i="1"/>
  <c r="C5523" i="1"/>
  <c r="E5522" i="1"/>
  <c r="B5522" i="1" s="1"/>
  <c r="D5522" i="1"/>
  <c r="C5522" i="1"/>
  <c r="E5521" i="1"/>
  <c r="B5521" i="1" s="1"/>
  <c r="D5521" i="1"/>
  <c r="C5521" i="1"/>
  <c r="E5520" i="1"/>
  <c r="D5520" i="1"/>
  <c r="C5520" i="1"/>
  <c r="E5519" i="1"/>
  <c r="B5519" i="1" s="1"/>
  <c r="D5519" i="1"/>
  <c r="C5519" i="1"/>
  <c r="E5518" i="1"/>
  <c r="D5518" i="1"/>
  <c r="C5518" i="1"/>
  <c r="E5517" i="1"/>
  <c r="D5517" i="1"/>
  <c r="C5517" i="1"/>
  <c r="E5516" i="1"/>
  <c r="D5516" i="1"/>
  <c r="C5516" i="1"/>
  <c r="E5515" i="1"/>
  <c r="B5515" i="1" s="1"/>
  <c r="D5515" i="1"/>
  <c r="C5515" i="1"/>
  <c r="E5514" i="1"/>
  <c r="B5514" i="1" s="1"/>
  <c r="D5514" i="1"/>
  <c r="C5514" i="1"/>
  <c r="E5513" i="1"/>
  <c r="B5513" i="1" s="1"/>
  <c r="D5513" i="1"/>
  <c r="C5513" i="1"/>
  <c r="E5512" i="1"/>
  <c r="D5512" i="1"/>
  <c r="C5512" i="1"/>
  <c r="E5511" i="1"/>
  <c r="B5511" i="1" s="1"/>
  <c r="D5511" i="1"/>
  <c r="C5511" i="1"/>
  <c r="E5510" i="1"/>
  <c r="D5510" i="1"/>
  <c r="C5510" i="1"/>
  <c r="E5509" i="1"/>
  <c r="D5509" i="1"/>
  <c r="C5509" i="1"/>
  <c r="E5508" i="1"/>
  <c r="D5508" i="1"/>
  <c r="C5508" i="1"/>
  <c r="E5507" i="1"/>
  <c r="B5507" i="1" s="1"/>
  <c r="D5507" i="1"/>
  <c r="C5507" i="1"/>
  <c r="E5506" i="1"/>
  <c r="B5506" i="1" s="1"/>
  <c r="D5506" i="1"/>
  <c r="C5506" i="1"/>
  <c r="E5505" i="1"/>
  <c r="B5505" i="1" s="1"/>
  <c r="D5505" i="1"/>
  <c r="C5505" i="1"/>
  <c r="E5504" i="1"/>
  <c r="D5504" i="1"/>
  <c r="C5504" i="1"/>
  <c r="E5503" i="1"/>
  <c r="B5503" i="1" s="1"/>
  <c r="D5503" i="1"/>
  <c r="C5503" i="1"/>
  <c r="E5502" i="1"/>
  <c r="D5502" i="1"/>
  <c r="C5502" i="1"/>
  <c r="E5501" i="1"/>
  <c r="D5501" i="1"/>
  <c r="C5501" i="1"/>
  <c r="E5500" i="1"/>
  <c r="D5500" i="1"/>
  <c r="C5500" i="1"/>
  <c r="E5499" i="1"/>
  <c r="B5499" i="1" s="1"/>
  <c r="D5499" i="1"/>
  <c r="C5499" i="1"/>
  <c r="E5498" i="1"/>
  <c r="B5498" i="1" s="1"/>
  <c r="D5498" i="1"/>
  <c r="C5498" i="1"/>
  <c r="E5497" i="1"/>
  <c r="B5497" i="1" s="1"/>
  <c r="D5497" i="1"/>
  <c r="C5497" i="1"/>
  <c r="E5496" i="1"/>
  <c r="D5496" i="1"/>
  <c r="C5496" i="1"/>
  <c r="E5495" i="1"/>
  <c r="B5495" i="1" s="1"/>
  <c r="D5495" i="1"/>
  <c r="C5495" i="1"/>
  <c r="E5494" i="1"/>
  <c r="D5494" i="1"/>
  <c r="C5494" i="1"/>
  <c r="E5493" i="1"/>
  <c r="D5493" i="1"/>
  <c r="C5493" i="1"/>
  <c r="E5492" i="1"/>
  <c r="D5492" i="1"/>
  <c r="C5492" i="1"/>
  <c r="E5491" i="1"/>
  <c r="B5491" i="1" s="1"/>
  <c r="D5491" i="1"/>
  <c r="C5491" i="1"/>
  <c r="E5490" i="1"/>
  <c r="B5490" i="1" s="1"/>
  <c r="D5490" i="1"/>
  <c r="C5490" i="1"/>
  <c r="E5489" i="1"/>
  <c r="B5489" i="1" s="1"/>
  <c r="D5489" i="1"/>
  <c r="C5489" i="1"/>
  <c r="E5488" i="1"/>
  <c r="D5488" i="1"/>
  <c r="C5488" i="1"/>
  <c r="E5487" i="1"/>
  <c r="B5487" i="1" s="1"/>
  <c r="D5487" i="1"/>
  <c r="C5487" i="1"/>
  <c r="E5486" i="1"/>
  <c r="D5486" i="1"/>
  <c r="C5486" i="1"/>
  <c r="E5485" i="1"/>
  <c r="D5485" i="1"/>
  <c r="C5485" i="1"/>
  <c r="E5484" i="1"/>
  <c r="D5484" i="1"/>
  <c r="C5484" i="1"/>
  <c r="E5483" i="1"/>
  <c r="B5483" i="1" s="1"/>
  <c r="D5483" i="1"/>
  <c r="C5483" i="1"/>
  <c r="E5482" i="1"/>
  <c r="B5482" i="1" s="1"/>
  <c r="D5482" i="1"/>
  <c r="C5482" i="1"/>
  <c r="E5481" i="1"/>
  <c r="B5481" i="1" s="1"/>
  <c r="D5481" i="1"/>
  <c r="C5481" i="1"/>
  <c r="E5480" i="1"/>
  <c r="D5480" i="1"/>
  <c r="C5480" i="1"/>
  <c r="E5479" i="1"/>
  <c r="B5479" i="1" s="1"/>
  <c r="D5479" i="1"/>
  <c r="C5479" i="1"/>
  <c r="E5478" i="1"/>
  <c r="D5478" i="1"/>
  <c r="C5478" i="1"/>
  <c r="E5477" i="1"/>
  <c r="D5477" i="1"/>
  <c r="C5477" i="1"/>
  <c r="E5476" i="1"/>
  <c r="D5476" i="1"/>
  <c r="C5476" i="1"/>
  <c r="E5475" i="1"/>
  <c r="B5475" i="1" s="1"/>
  <c r="D5475" i="1"/>
  <c r="C5475" i="1"/>
  <c r="E5474" i="1"/>
  <c r="B5474" i="1" s="1"/>
  <c r="D5474" i="1"/>
  <c r="C5474" i="1"/>
  <c r="E5473" i="1"/>
  <c r="B5473" i="1" s="1"/>
  <c r="D5473" i="1"/>
  <c r="C5473" i="1"/>
  <c r="E5472" i="1"/>
  <c r="D5472" i="1"/>
  <c r="C5472" i="1"/>
  <c r="E5471" i="1"/>
  <c r="B5471" i="1" s="1"/>
  <c r="D5471" i="1"/>
  <c r="C5471" i="1"/>
  <c r="E5470" i="1"/>
  <c r="D5470" i="1"/>
  <c r="B5470" i="1" s="1"/>
  <c r="C5470" i="1"/>
  <c r="E5469" i="1"/>
  <c r="B5469" i="1" s="1"/>
  <c r="D5469" i="1"/>
  <c r="C5469" i="1"/>
  <c r="E5468" i="1"/>
  <c r="B5468" i="1" s="1"/>
  <c r="D5468" i="1"/>
  <c r="C5468" i="1"/>
  <c r="E5467" i="1"/>
  <c r="D5467" i="1"/>
  <c r="C5467" i="1"/>
  <c r="E5466" i="1"/>
  <c r="D5466" i="1"/>
  <c r="C5466" i="1"/>
  <c r="B5466" i="1"/>
  <c r="E5465" i="1"/>
  <c r="D5465" i="1"/>
  <c r="C5465" i="1"/>
  <c r="E5464" i="1"/>
  <c r="B5464" i="1" s="1"/>
  <c r="D5464" i="1"/>
  <c r="C5464" i="1"/>
  <c r="E5463" i="1"/>
  <c r="B5463" i="1" s="1"/>
  <c r="D5463" i="1"/>
  <c r="C5463" i="1"/>
  <c r="E5462" i="1"/>
  <c r="B5462" i="1" s="1"/>
  <c r="D5462" i="1"/>
  <c r="C5462" i="1"/>
  <c r="E5461" i="1"/>
  <c r="D5461" i="1"/>
  <c r="C5461" i="1"/>
  <c r="E5460" i="1"/>
  <c r="D5460" i="1"/>
  <c r="C5460" i="1"/>
  <c r="E5459" i="1"/>
  <c r="B5459" i="1" s="1"/>
  <c r="D5459" i="1"/>
  <c r="C5459" i="1"/>
  <c r="E5458" i="1"/>
  <c r="D5458" i="1"/>
  <c r="B5458" i="1" s="1"/>
  <c r="C5458" i="1"/>
  <c r="E5457" i="1"/>
  <c r="D5457" i="1"/>
  <c r="C5457" i="1"/>
  <c r="E5456" i="1"/>
  <c r="B5456" i="1" s="1"/>
  <c r="D5456" i="1"/>
  <c r="C5456" i="1"/>
  <c r="E5455" i="1"/>
  <c r="B5455" i="1" s="1"/>
  <c r="D5455" i="1"/>
  <c r="C5455" i="1"/>
  <c r="E5454" i="1"/>
  <c r="D5454" i="1"/>
  <c r="B5454" i="1" s="1"/>
  <c r="C5454" i="1"/>
  <c r="E5453" i="1"/>
  <c r="B5453" i="1" s="1"/>
  <c r="D5453" i="1"/>
  <c r="C5453" i="1"/>
  <c r="E5452" i="1"/>
  <c r="B5452" i="1" s="1"/>
  <c r="D5452" i="1"/>
  <c r="C5452" i="1"/>
  <c r="E5451" i="1"/>
  <c r="D5451" i="1"/>
  <c r="C5451" i="1"/>
  <c r="E5450" i="1"/>
  <c r="D5450" i="1"/>
  <c r="B5450" i="1" s="1"/>
  <c r="C5450" i="1"/>
  <c r="E5449" i="1"/>
  <c r="D5449" i="1"/>
  <c r="C5449" i="1"/>
  <c r="E5448" i="1"/>
  <c r="B5448" i="1" s="1"/>
  <c r="D5448" i="1"/>
  <c r="C5448" i="1"/>
  <c r="E5447" i="1"/>
  <c r="B5447" i="1" s="1"/>
  <c r="D5447" i="1"/>
  <c r="C5447" i="1"/>
  <c r="E5446" i="1"/>
  <c r="B5446" i="1" s="1"/>
  <c r="D5446" i="1"/>
  <c r="C5446" i="1"/>
  <c r="E5445" i="1"/>
  <c r="D5445" i="1"/>
  <c r="C5445" i="1"/>
  <c r="E5444" i="1"/>
  <c r="D5444" i="1"/>
  <c r="C5444" i="1"/>
  <c r="E5443" i="1"/>
  <c r="B5443" i="1" s="1"/>
  <c r="D5443" i="1"/>
  <c r="C5443" i="1"/>
  <c r="E5442" i="1"/>
  <c r="D5442" i="1"/>
  <c r="B5442" i="1" s="1"/>
  <c r="C5442" i="1"/>
  <c r="E5441" i="1"/>
  <c r="D5441" i="1"/>
  <c r="C5441" i="1"/>
  <c r="E5440" i="1"/>
  <c r="B5440" i="1" s="1"/>
  <c r="D5440" i="1"/>
  <c r="C5440" i="1"/>
  <c r="E5439" i="1"/>
  <c r="B5439" i="1" s="1"/>
  <c r="D5439" i="1"/>
  <c r="C5439" i="1"/>
  <c r="E5438" i="1"/>
  <c r="D5438" i="1"/>
  <c r="B5438" i="1" s="1"/>
  <c r="C5438" i="1"/>
  <c r="E5437" i="1"/>
  <c r="B5437" i="1" s="1"/>
  <c r="D5437" i="1"/>
  <c r="C5437" i="1"/>
  <c r="E5436" i="1"/>
  <c r="B5436" i="1" s="1"/>
  <c r="D5436" i="1"/>
  <c r="C5436" i="1"/>
  <c r="E5435" i="1"/>
  <c r="D5435" i="1"/>
  <c r="C5435" i="1"/>
  <c r="E5434" i="1"/>
  <c r="D5434" i="1"/>
  <c r="C5434" i="1"/>
  <c r="B5434" i="1"/>
  <c r="E5433" i="1"/>
  <c r="D5433" i="1"/>
  <c r="C5433" i="1"/>
  <c r="E5432" i="1"/>
  <c r="B5432" i="1" s="1"/>
  <c r="D5432" i="1"/>
  <c r="C5432" i="1"/>
  <c r="E5431" i="1"/>
  <c r="B5431" i="1" s="1"/>
  <c r="D5431" i="1"/>
  <c r="C5431" i="1"/>
  <c r="E5430" i="1"/>
  <c r="B5430" i="1" s="1"/>
  <c r="D5430" i="1"/>
  <c r="C5430" i="1"/>
  <c r="E5429" i="1"/>
  <c r="D5429" i="1"/>
  <c r="C5429" i="1"/>
  <c r="E5428" i="1"/>
  <c r="D5428" i="1"/>
  <c r="C5428" i="1"/>
  <c r="E5427" i="1"/>
  <c r="B5427" i="1" s="1"/>
  <c r="D5427" i="1"/>
  <c r="C5427" i="1"/>
  <c r="E5426" i="1"/>
  <c r="D5426" i="1"/>
  <c r="B5426" i="1" s="1"/>
  <c r="C5426" i="1"/>
  <c r="E5425" i="1"/>
  <c r="D5425" i="1"/>
  <c r="C5425" i="1"/>
  <c r="E5424" i="1"/>
  <c r="D5424" i="1"/>
  <c r="C5424" i="1"/>
  <c r="B5424" i="1"/>
  <c r="E5423" i="1"/>
  <c r="B5423" i="1" s="1"/>
  <c r="D5423" i="1"/>
  <c r="C5423" i="1"/>
  <c r="E5422" i="1"/>
  <c r="D5422" i="1"/>
  <c r="B5422" i="1" s="1"/>
  <c r="C5422" i="1"/>
  <c r="E5421" i="1"/>
  <c r="B5421" i="1" s="1"/>
  <c r="D5421" i="1"/>
  <c r="C5421" i="1"/>
  <c r="E5420" i="1"/>
  <c r="B5420" i="1" s="1"/>
  <c r="D5420" i="1"/>
  <c r="C5420" i="1"/>
  <c r="E5419" i="1"/>
  <c r="D5419" i="1"/>
  <c r="C5419" i="1"/>
  <c r="E5418" i="1"/>
  <c r="D5418" i="1"/>
  <c r="B5418" i="1" s="1"/>
  <c r="C5418" i="1"/>
  <c r="E5417" i="1"/>
  <c r="D5417" i="1"/>
  <c r="C5417" i="1"/>
  <c r="E5416" i="1"/>
  <c r="B5416" i="1" s="1"/>
  <c r="D5416" i="1"/>
  <c r="C5416" i="1"/>
  <c r="E5415" i="1"/>
  <c r="B5415" i="1" s="1"/>
  <c r="D5415" i="1"/>
  <c r="C5415" i="1"/>
  <c r="E5414" i="1"/>
  <c r="D5414" i="1"/>
  <c r="C5414" i="1"/>
  <c r="B5414" i="1"/>
  <c r="E5413" i="1"/>
  <c r="D5413" i="1"/>
  <c r="C5413" i="1"/>
  <c r="E5412" i="1"/>
  <c r="B5412" i="1" s="1"/>
  <c r="D5412" i="1"/>
  <c r="C5412" i="1"/>
  <c r="E5411" i="1"/>
  <c r="B5411" i="1" s="1"/>
  <c r="D5411" i="1"/>
  <c r="C5411" i="1"/>
  <c r="E5410" i="1"/>
  <c r="D5410" i="1"/>
  <c r="B5410" i="1" s="1"/>
  <c r="C5410" i="1"/>
  <c r="E5409" i="1"/>
  <c r="D5409" i="1"/>
  <c r="C5409" i="1"/>
  <c r="E5408" i="1"/>
  <c r="B5408" i="1" s="1"/>
  <c r="D5408" i="1"/>
  <c r="C5408" i="1"/>
  <c r="E5407" i="1"/>
  <c r="B5407" i="1" s="1"/>
  <c r="D5407" i="1"/>
  <c r="C5407" i="1"/>
  <c r="E5406" i="1"/>
  <c r="D5406" i="1"/>
  <c r="B5406" i="1" s="1"/>
  <c r="C5406" i="1"/>
  <c r="E5405" i="1"/>
  <c r="B5405" i="1" s="1"/>
  <c r="D5405" i="1"/>
  <c r="C5405" i="1"/>
  <c r="E5404" i="1"/>
  <c r="B5404" i="1" s="1"/>
  <c r="D5404" i="1"/>
  <c r="C5404" i="1"/>
  <c r="E5403" i="1"/>
  <c r="B5403" i="1" s="1"/>
  <c r="D5403" i="1"/>
  <c r="C5403" i="1"/>
  <c r="E5402" i="1"/>
  <c r="B5402" i="1" s="1"/>
  <c r="D5402" i="1"/>
  <c r="C5402" i="1"/>
  <c r="E5401" i="1"/>
  <c r="D5401" i="1"/>
  <c r="C5401" i="1"/>
  <c r="E5400" i="1"/>
  <c r="B5400" i="1" s="1"/>
  <c r="D5400" i="1"/>
  <c r="C5400" i="1"/>
  <c r="E5399" i="1"/>
  <c r="B5399" i="1" s="1"/>
  <c r="D5399" i="1"/>
  <c r="C5399" i="1"/>
  <c r="E5398" i="1"/>
  <c r="B5398" i="1" s="1"/>
  <c r="D5398" i="1"/>
  <c r="C5398" i="1"/>
  <c r="E5397" i="1"/>
  <c r="B5397" i="1" s="1"/>
  <c r="D5397" i="1"/>
  <c r="C5397" i="1"/>
  <c r="E5396" i="1"/>
  <c r="B5396" i="1" s="1"/>
  <c r="D5396" i="1"/>
  <c r="C5396" i="1"/>
  <c r="E5395" i="1"/>
  <c r="B5395" i="1" s="1"/>
  <c r="D5395" i="1"/>
  <c r="C5395" i="1"/>
  <c r="E5394" i="1"/>
  <c r="B5394" i="1" s="1"/>
  <c r="D5394" i="1"/>
  <c r="C5394" i="1"/>
  <c r="E5393" i="1"/>
  <c r="D5393" i="1"/>
  <c r="C5393" i="1"/>
  <c r="E5392" i="1"/>
  <c r="B5392" i="1" s="1"/>
  <c r="D5392" i="1"/>
  <c r="C5392" i="1"/>
  <c r="E5391" i="1"/>
  <c r="B5391" i="1" s="1"/>
  <c r="D5391" i="1"/>
  <c r="C5391" i="1"/>
  <c r="E5390" i="1"/>
  <c r="B5390" i="1" s="1"/>
  <c r="D5390" i="1"/>
  <c r="C5390" i="1"/>
  <c r="E5389" i="1"/>
  <c r="B5389" i="1" s="1"/>
  <c r="D5389" i="1"/>
  <c r="C5389" i="1"/>
  <c r="E5388" i="1"/>
  <c r="B5388" i="1" s="1"/>
  <c r="D5388" i="1"/>
  <c r="C5388" i="1"/>
  <c r="E5387" i="1"/>
  <c r="B5387" i="1" s="1"/>
  <c r="D5387" i="1"/>
  <c r="C5387" i="1"/>
  <c r="E5386" i="1"/>
  <c r="B5386" i="1" s="1"/>
  <c r="D5386" i="1"/>
  <c r="C5386" i="1"/>
  <c r="E5385" i="1"/>
  <c r="D5385" i="1"/>
  <c r="C5385" i="1"/>
  <c r="E5384" i="1"/>
  <c r="B5384" i="1" s="1"/>
  <c r="D5384" i="1"/>
  <c r="C5384" i="1"/>
  <c r="E5383" i="1"/>
  <c r="B5383" i="1" s="1"/>
  <c r="D5383" i="1"/>
  <c r="C5383" i="1"/>
  <c r="E5382" i="1"/>
  <c r="B5382" i="1" s="1"/>
  <c r="D5382" i="1"/>
  <c r="C5382" i="1"/>
  <c r="E5381" i="1"/>
  <c r="B5381" i="1" s="1"/>
  <c r="D5381" i="1"/>
  <c r="C5381" i="1"/>
  <c r="E5380" i="1"/>
  <c r="B5380" i="1" s="1"/>
  <c r="D5380" i="1"/>
  <c r="C5380" i="1"/>
  <c r="E5379" i="1"/>
  <c r="B5379" i="1" s="1"/>
  <c r="D5379" i="1"/>
  <c r="C5379" i="1"/>
  <c r="E5378" i="1"/>
  <c r="B5378" i="1" s="1"/>
  <c r="D5378" i="1"/>
  <c r="C5378" i="1"/>
  <c r="E5377" i="1"/>
  <c r="D5377" i="1"/>
  <c r="C5377" i="1"/>
  <c r="E5376" i="1"/>
  <c r="B5376" i="1" s="1"/>
  <c r="D5376" i="1"/>
  <c r="C5376" i="1"/>
  <c r="E5375" i="1"/>
  <c r="B5375" i="1" s="1"/>
  <c r="D5375" i="1"/>
  <c r="C5375" i="1"/>
  <c r="E5374" i="1"/>
  <c r="B5374" i="1" s="1"/>
  <c r="D5374" i="1"/>
  <c r="C5374" i="1"/>
  <c r="E5373" i="1"/>
  <c r="B5373" i="1" s="1"/>
  <c r="D5373" i="1"/>
  <c r="C5373" i="1"/>
  <c r="E5372" i="1"/>
  <c r="B5372" i="1" s="1"/>
  <c r="D5372" i="1"/>
  <c r="C5372" i="1"/>
  <c r="E5371" i="1"/>
  <c r="D5371" i="1"/>
  <c r="C5371" i="1"/>
  <c r="E5370" i="1"/>
  <c r="B5370" i="1" s="1"/>
  <c r="D5370" i="1"/>
  <c r="C5370" i="1"/>
  <c r="E5369" i="1"/>
  <c r="D5369" i="1"/>
  <c r="C5369" i="1"/>
  <c r="E5368" i="1"/>
  <c r="B5368" i="1" s="1"/>
  <c r="D5368" i="1"/>
  <c r="C5368" i="1"/>
  <c r="E5367" i="1"/>
  <c r="B5367" i="1" s="1"/>
  <c r="D5367" i="1"/>
  <c r="C5367" i="1"/>
  <c r="E5366" i="1"/>
  <c r="B5366" i="1" s="1"/>
  <c r="D5366" i="1"/>
  <c r="C5366" i="1"/>
  <c r="E5365" i="1"/>
  <c r="B5365" i="1" s="1"/>
  <c r="D5365" i="1"/>
  <c r="C5365" i="1"/>
  <c r="E5364" i="1"/>
  <c r="B5364" i="1" s="1"/>
  <c r="D5364" i="1"/>
  <c r="C5364" i="1"/>
  <c r="E5363" i="1"/>
  <c r="D5363" i="1"/>
  <c r="C5363" i="1"/>
  <c r="E5362" i="1"/>
  <c r="B5362" i="1" s="1"/>
  <c r="D5362" i="1"/>
  <c r="C5362" i="1"/>
  <c r="E5361" i="1"/>
  <c r="D5361" i="1"/>
  <c r="C5361" i="1"/>
  <c r="E5360" i="1"/>
  <c r="D5360" i="1"/>
  <c r="C5360" i="1"/>
  <c r="E5359" i="1"/>
  <c r="B5359" i="1" s="1"/>
  <c r="D5359" i="1"/>
  <c r="C5359" i="1"/>
  <c r="E5358" i="1"/>
  <c r="B5358" i="1" s="1"/>
  <c r="D5358" i="1"/>
  <c r="C5358" i="1"/>
  <c r="E5357" i="1"/>
  <c r="B5357" i="1" s="1"/>
  <c r="D5357" i="1"/>
  <c r="C5357" i="1"/>
  <c r="E5356" i="1"/>
  <c r="B5356" i="1" s="1"/>
  <c r="D5356" i="1"/>
  <c r="C5356" i="1"/>
  <c r="E5355" i="1"/>
  <c r="D5355" i="1"/>
  <c r="C5355" i="1"/>
  <c r="E5354" i="1"/>
  <c r="D5354" i="1"/>
  <c r="C5354" i="1"/>
  <c r="E5353" i="1"/>
  <c r="D5353" i="1"/>
  <c r="C5353" i="1"/>
  <c r="E5352" i="1"/>
  <c r="D5352" i="1"/>
  <c r="C5352" i="1"/>
  <c r="E5351" i="1"/>
  <c r="B5351" i="1" s="1"/>
  <c r="D5351" i="1"/>
  <c r="C5351" i="1"/>
  <c r="E5350" i="1"/>
  <c r="B5350" i="1" s="1"/>
  <c r="D5350" i="1"/>
  <c r="C5350" i="1"/>
  <c r="E5349" i="1"/>
  <c r="B5349" i="1" s="1"/>
  <c r="D5349" i="1"/>
  <c r="C5349" i="1"/>
  <c r="E5348" i="1"/>
  <c r="B5348" i="1" s="1"/>
  <c r="D5348" i="1"/>
  <c r="C5348" i="1"/>
  <c r="E5347" i="1"/>
  <c r="B5347" i="1" s="1"/>
  <c r="D5347" i="1"/>
  <c r="C5347" i="1"/>
  <c r="E5346" i="1"/>
  <c r="D5346" i="1"/>
  <c r="C5346" i="1"/>
  <c r="E5345" i="1"/>
  <c r="D5345" i="1"/>
  <c r="C5345" i="1"/>
  <c r="E5344" i="1"/>
  <c r="D5344" i="1"/>
  <c r="C5344" i="1"/>
  <c r="E5343" i="1"/>
  <c r="B5343" i="1" s="1"/>
  <c r="D5343" i="1"/>
  <c r="C5343" i="1"/>
  <c r="E5342" i="1"/>
  <c r="B5342" i="1" s="1"/>
  <c r="D5342" i="1"/>
  <c r="C5342" i="1"/>
  <c r="E5341" i="1"/>
  <c r="B5341" i="1" s="1"/>
  <c r="D5341" i="1"/>
  <c r="C5341" i="1"/>
  <c r="E5340" i="1"/>
  <c r="B5340" i="1" s="1"/>
  <c r="D5340" i="1"/>
  <c r="C5340" i="1"/>
  <c r="E5339" i="1"/>
  <c r="D5339" i="1"/>
  <c r="C5339" i="1"/>
  <c r="E5338" i="1"/>
  <c r="D5338" i="1"/>
  <c r="C5338" i="1"/>
  <c r="E5337" i="1"/>
  <c r="D5337" i="1"/>
  <c r="C5337" i="1"/>
  <c r="E5336" i="1"/>
  <c r="D5336" i="1"/>
  <c r="C5336" i="1"/>
  <c r="E5335" i="1"/>
  <c r="B5335" i="1" s="1"/>
  <c r="D5335" i="1"/>
  <c r="C5335" i="1"/>
  <c r="E5334" i="1"/>
  <c r="B5334" i="1" s="1"/>
  <c r="D5334" i="1"/>
  <c r="C5334" i="1"/>
  <c r="E5333" i="1"/>
  <c r="B5333" i="1" s="1"/>
  <c r="D5333" i="1"/>
  <c r="C5333" i="1"/>
  <c r="E5332" i="1"/>
  <c r="B5332" i="1" s="1"/>
  <c r="D5332" i="1"/>
  <c r="C5332" i="1"/>
  <c r="E5331" i="1"/>
  <c r="D5331" i="1"/>
  <c r="C5331" i="1"/>
  <c r="E5330" i="1"/>
  <c r="D5330" i="1"/>
  <c r="C5330" i="1"/>
  <c r="E5329" i="1"/>
  <c r="D5329" i="1"/>
  <c r="C5329" i="1"/>
  <c r="E5328" i="1"/>
  <c r="D5328" i="1"/>
  <c r="C5328" i="1"/>
  <c r="E5327" i="1"/>
  <c r="B5327" i="1" s="1"/>
  <c r="D5327" i="1"/>
  <c r="C5327" i="1"/>
  <c r="E5326" i="1"/>
  <c r="B5326" i="1" s="1"/>
  <c r="D5326" i="1"/>
  <c r="C5326" i="1"/>
  <c r="E5325" i="1"/>
  <c r="B5325" i="1" s="1"/>
  <c r="D5325" i="1"/>
  <c r="C5325" i="1"/>
  <c r="E5324" i="1"/>
  <c r="B5324" i="1" s="1"/>
  <c r="D5324" i="1"/>
  <c r="C5324" i="1"/>
  <c r="E5323" i="1"/>
  <c r="D5323" i="1"/>
  <c r="C5323" i="1"/>
  <c r="E5322" i="1"/>
  <c r="D5322" i="1"/>
  <c r="C5322" i="1"/>
  <c r="E5321" i="1"/>
  <c r="D5321" i="1"/>
  <c r="C5321" i="1"/>
  <c r="E5320" i="1"/>
  <c r="D5320" i="1"/>
  <c r="C5320" i="1"/>
  <c r="E5319" i="1"/>
  <c r="B5319" i="1" s="1"/>
  <c r="D5319" i="1"/>
  <c r="C5319" i="1"/>
  <c r="E5318" i="1"/>
  <c r="B5318" i="1" s="1"/>
  <c r="D5318" i="1"/>
  <c r="C5318" i="1"/>
  <c r="E5317" i="1"/>
  <c r="B5317" i="1" s="1"/>
  <c r="D5317" i="1"/>
  <c r="C5317" i="1"/>
  <c r="E5316" i="1"/>
  <c r="B5316" i="1" s="1"/>
  <c r="D5316" i="1"/>
  <c r="C5316" i="1"/>
  <c r="E5315" i="1"/>
  <c r="D5315" i="1"/>
  <c r="C5315" i="1"/>
  <c r="E5314" i="1"/>
  <c r="D5314" i="1"/>
  <c r="C5314" i="1"/>
  <c r="E5313" i="1"/>
  <c r="D5313" i="1"/>
  <c r="C5313" i="1"/>
  <c r="E5312" i="1"/>
  <c r="D5312" i="1"/>
  <c r="C5312" i="1"/>
  <c r="E5311" i="1"/>
  <c r="B5311" i="1" s="1"/>
  <c r="D5311" i="1"/>
  <c r="C5311" i="1"/>
  <c r="E5310" i="1"/>
  <c r="B5310" i="1" s="1"/>
  <c r="D5310" i="1"/>
  <c r="C5310" i="1"/>
  <c r="E5309" i="1"/>
  <c r="B5309" i="1" s="1"/>
  <c r="D5309" i="1"/>
  <c r="C5309" i="1"/>
  <c r="E5308" i="1"/>
  <c r="B5308" i="1" s="1"/>
  <c r="D5308" i="1"/>
  <c r="C5308" i="1"/>
  <c r="E5307" i="1"/>
  <c r="D5307" i="1"/>
  <c r="C5307" i="1"/>
  <c r="E5306" i="1"/>
  <c r="D5306" i="1"/>
  <c r="C5306" i="1"/>
  <c r="E5305" i="1"/>
  <c r="D5305" i="1"/>
  <c r="C5305" i="1"/>
  <c r="E5304" i="1"/>
  <c r="D5304" i="1"/>
  <c r="C5304" i="1"/>
  <c r="E5303" i="1"/>
  <c r="B5303" i="1" s="1"/>
  <c r="D5303" i="1"/>
  <c r="C5303" i="1"/>
  <c r="E5302" i="1"/>
  <c r="B5302" i="1" s="1"/>
  <c r="D5302" i="1"/>
  <c r="C5302" i="1"/>
  <c r="E5301" i="1"/>
  <c r="B5301" i="1" s="1"/>
  <c r="D5301" i="1"/>
  <c r="C5301" i="1"/>
  <c r="E5300" i="1"/>
  <c r="B5300" i="1" s="1"/>
  <c r="D5300" i="1"/>
  <c r="C5300" i="1"/>
  <c r="E5299" i="1"/>
  <c r="D5299" i="1"/>
  <c r="C5299" i="1"/>
  <c r="E5298" i="1"/>
  <c r="D5298" i="1"/>
  <c r="C5298" i="1"/>
  <c r="E5297" i="1"/>
  <c r="D5297" i="1"/>
  <c r="C5297" i="1"/>
  <c r="E5296" i="1"/>
  <c r="D5296" i="1"/>
  <c r="C5296" i="1"/>
  <c r="E5295" i="1"/>
  <c r="B5295" i="1" s="1"/>
  <c r="D5295" i="1"/>
  <c r="C5295" i="1"/>
  <c r="E5294" i="1"/>
  <c r="B5294" i="1" s="1"/>
  <c r="D5294" i="1"/>
  <c r="C5294" i="1"/>
  <c r="E5293" i="1"/>
  <c r="B5293" i="1" s="1"/>
  <c r="D5293" i="1"/>
  <c r="C5293" i="1"/>
  <c r="E5292" i="1"/>
  <c r="B5292" i="1" s="1"/>
  <c r="D5292" i="1"/>
  <c r="C5292" i="1"/>
  <c r="E5291" i="1"/>
  <c r="D5291" i="1"/>
  <c r="C5291" i="1"/>
  <c r="E5290" i="1"/>
  <c r="D5290" i="1"/>
  <c r="C5290" i="1"/>
  <c r="E5289" i="1"/>
  <c r="D5289" i="1"/>
  <c r="C5289" i="1"/>
  <c r="E5288" i="1"/>
  <c r="D5288" i="1"/>
  <c r="C5288" i="1"/>
  <c r="E5287" i="1"/>
  <c r="B5287" i="1" s="1"/>
  <c r="D5287" i="1"/>
  <c r="C5287" i="1"/>
  <c r="E5286" i="1"/>
  <c r="B5286" i="1" s="1"/>
  <c r="D5286" i="1"/>
  <c r="C5286" i="1"/>
  <c r="E5285" i="1"/>
  <c r="B5285" i="1" s="1"/>
  <c r="D5285" i="1"/>
  <c r="C5285" i="1"/>
  <c r="E5284" i="1"/>
  <c r="B5284" i="1" s="1"/>
  <c r="D5284" i="1"/>
  <c r="C5284" i="1"/>
  <c r="E5283" i="1"/>
  <c r="D5283" i="1"/>
  <c r="C5283" i="1"/>
  <c r="E5282" i="1"/>
  <c r="D5282" i="1"/>
  <c r="C5282" i="1"/>
  <c r="E5281" i="1"/>
  <c r="D5281" i="1"/>
  <c r="C5281" i="1"/>
  <c r="E5280" i="1"/>
  <c r="D5280" i="1"/>
  <c r="C5280" i="1"/>
  <c r="E5279" i="1"/>
  <c r="B5279" i="1" s="1"/>
  <c r="D5279" i="1"/>
  <c r="C5279" i="1"/>
  <c r="E5278" i="1"/>
  <c r="B5278" i="1" s="1"/>
  <c r="D5278" i="1"/>
  <c r="C5278" i="1"/>
  <c r="E5277" i="1"/>
  <c r="B5277" i="1" s="1"/>
  <c r="D5277" i="1"/>
  <c r="C5277" i="1"/>
  <c r="E5276" i="1"/>
  <c r="B5276" i="1" s="1"/>
  <c r="D5276" i="1"/>
  <c r="C5276" i="1"/>
  <c r="E5275" i="1"/>
  <c r="D5275" i="1"/>
  <c r="C5275" i="1"/>
  <c r="E5274" i="1"/>
  <c r="D5274" i="1"/>
  <c r="C5274" i="1"/>
  <c r="E5273" i="1"/>
  <c r="D5273" i="1"/>
  <c r="C5273" i="1"/>
  <c r="E5272" i="1"/>
  <c r="D5272" i="1"/>
  <c r="C5272" i="1"/>
  <c r="E5271" i="1"/>
  <c r="D5271" i="1"/>
  <c r="C5271" i="1"/>
  <c r="B5271" i="1"/>
  <c r="E5270" i="1"/>
  <c r="D5270" i="1"/>
  <c r="C5270" i="1"/>
  <c r="E5269" i="1"/>
  <c r="D5269" i="1"/>
  <c r="C5269" i="1"/>
  <c r="E5268" i="1"/>
  <c r="B5268" i="1" s="1"/>
  <c r="D5268" i="1"/>
  <c r="C5268" i="1"/>
  <c r="E5267" i="1"/>
  <c r="D5267" i="1"/>
  <c r="C5267" i="1"/>
  <c r="E5266" i="1"/>
  <c r="D5266" i="1"/>
  <c r="C5266" i="1"/>
  <c r="B5266" i="1"/>
  <c r="E5265" i="1"/>
  <c r="D5265" i="1"/>
  <c r="C5265" i="1"/>
  <c r="E5264" i="1"/>
  <c r="D5264" i="1"/>
  <c r="C5264" i="1"/>
  <c r="B5264" i="1"/>
  <c r="E5263" i="1"/>
  <c r="B5263" i="1" s="1"/>
  <c r="D5263" i="1"/>
  <c r="C5263" i="1"/>
  <c r="E5262" i="1"/>
  <c r="B5262" i="1" s="1"/>
  <c r="D5262" i="1"/>
  <c r="C5262" i="1"/>
  <c r="E5261" i="1"/>
  <c r="B5261" i="1" s="1"/>
  <c r="D5261" i="1"/>
  <c r="C5261" i="1"/>
  <c r="E5260" i="1"/>
  <c r="B5260" i="1" s="1"/>
  <c r="D5260" i="1"/>
  <c r="C5260" i="1"/>
  <c r="E5259" i="1"/>
  <c r="D5259" i="1"/>
  <c r="C5259" i="1"/>
  <c r="E5258" i="1"/>
  <c r="D5258" i="1"/>
  <c r="C5258" i="1"/>
  <c r="B5258" i="1"/>
  <c r="E5257" i="1"/>
  <c r="D5257" i="1"/>
  <c r="C5257" i="1"/>
  <c r="E5256" i="1"/>
  <c r="D5256" i="1"/>
  <c r="C5256" i="1"/>
  <c r="B5256" i="1"/>
  <c r="E5255" i="1"/>
  <c r="B5255" i="1" s="1"/>
  <c r="D5255" i="1"/>
  <c r="C5255" i="1"/>
  <c r="E5254" i="1"/>
  <c r="B5254" i="1" s="1"/>
  <c r="D5254" i="1"/>
  <c r="C5254" i="1"/>
  <c r="E5253" i="1"/>
  <c r="D5253" i="1"/>
  <c r="C5253" i="1"/>
  <c r="E5252" i="1"/>
  <c r="B5252" i="1" s="1"/>
  <c r="D5252" i="1"/>
  <c r="C5252" i="1"/>
  <c r="E5251" i="1"/>
  <c r="D5251" i="1"/>
  <c r="C5251" i="1"/>
  <c r="E5250" i="1"/>
  <c r="D5250" i="1"/>
  <c r="C5250" i="1"/>
  <c r="B5250" i="1"/>
  <c r="E5249" i="1"/>
  <c r="D5249" i="1"/>
  <c r="C5249" i="1"/>
  <c r="E5248" i="1"/>
  <c r="D5248" i="1"/>
  <c r="C5248" i="1"/>
  <c r="B5248" i="1"/>
  <c r="E5247" i="1"/>
  <c r="B5247" i="1" s="1"/>
  <c r="D5247" i="1"/>
  <c r="C5247" i="1"/>
  <c r="E5246" i="1"/>
  <c r="B5246" i="1" s="1"/>
  <c r="D5246" i="1"/>
  <c r="C5246" i="1"/>
  <c r="E5245" i="1"/>
  <c r="B5245" i="1" s="1"/>
  <c r="D5245" i="1"/>
  <c r="C5245" i="1"/>
  <c r="E5244" i="1"/>
  <c r="B5244" i="1" s="1"/>
  <c r="D5244" i="1"/>
  <c r="C5244" i="1"/>
  <c r="E5243" i="1"/>
  <c r="D5243" i="1"/>
  <c r="C5243" i="1"/>
  <c r="E5242" i="1"/>
  <c r="D5242" i="1"/>
  <c r="C5242" i="1"/>
  <c r="B5242" i="1"/>
  <c r="E5241" i="1"/>
  <c r="D5241" i="1"/>
  <c r="C5241" i="1"/>
  <c r="E5240" i="1"/>
  <c r="D5240" i="1"/>
  <c r="C5240" i="1"/>
  <c r="B5240" i="1"/>
  <c r="E5239" i="1"/>
  <c r="B5239" i="1" s="1"/>
  <c r="D5239" i="1"/>
  <c r="C5239" i="1"/>
  <c r="E5238" i="1"/>
  <c r="B5238" i="1" s="1"/>
  <c r="D5238" i="1"/>
  <c r="C5238" i="1"/>
  <c r="E5237" i="1"/>
  <c r="D5237" i="1"/>
  <c r="C5237" i="1"/>
  <c r="E5236" i="1"/>
  <c r="B5236" i="1" s="1"/>
  <c r="D5236" i="1"/>
  <c r="C5236" i="1"/>
  <c r="E5235" i="1"/>
  <c r="D5235" i="1"/>
  <c r="C5235" i="1"/>
  <c r="E5234" i="1"/>
  <c r="D5234" i="1"/>
  <c r="C5234" i="1"/>
  <c r="B5234" i="1"/>
  <c r="E5233" i="1"/>
  <c r="D5233" i="1"/>
  <c r="C5233" i="1"/>
  <c r="E5232" i="1"/>
  <c r="D5232" i="1"/>
  <c r="C5232" i="1"/>
  <c r="B5232" i="1"/>
  <c r="E5231" i="1"/>
  <c r="B5231" i="1" s="1"/>
  <c r="D5231" i="1"/>
  <c r="C5231" i="1"/>
  <c r="E5230" i="1"/>
  <c r="B5230" i="1" s="1"/>
  <c r="D5230" i="1"/>
  <c r="C5230" i="1"/>
  <c r="E5229" i="1"/>
  <c r="B5229" i="1" s="1"/>
  <c r="D5229" i="1"/>
  <c r="C5229" i="1"/>
  <c r="E5228" i="1"/>
  <c r="B5228" i="1" s="1"/>
  <c r="D5228" i="1"/>
  <c r="C5228" i="1"/>
  <c r="E5227" i="1"/>
  <c r="D5227" i="1"/>
  <c r="C5227" i="1"/>
  <c r="E5226" i="1"/>
  <c r="D5226" i="1"/>
  <c r="C5226" i="1"/>
  <c r="B5226" i="1"/>
  <c r="E5225" i="1"/>
  <c r="D5225" i="1"/>
  <c r="C5225" i="1"/>
  <c r="E5224" i="1"/>
  <c r="D5224" i="1"/>
  <c r="C5224" i="1"/>
  <c r="B5224" i="1"/>
  <c r="E5223" i="1"/>
  <c r="B5223" i="1" s="1"/>
  <c r="D5223" i="1"/>
  <c r="C5223" i="1"/>
  <c r="E5222" i="1"/>
  <c r="B5222" i="1" s="1"/>
  <c r="D5222" i="1"/>
  <c r="C5222" i="1"/>
  <c r="E5221" i="1"/>
  <c r="D5221" i="1"/>
  <c r="C5221" i="1"/>
  <c r="E5220" i="1"/>
  <c r="B5220" i="1" s="1"/>
  <c r="D5220" i="1"/>
  <c r="C5220" i="1"/>
  <c r="E5219" i="1"/>
  <c r="D5219" i="1"/>
  <c r="C5219" i="1"/>
  <c r="E5218" i="1"/>
  <c r="D5218" i="1"/>
  <c r="C5218" i="1"/>
  <c r="B5218" i="1"/>
  <c r="E5217" i="1"/>
  <c r="D5217" i="1"/>
  <c r="C5217" i="1"/>
  <c r="E5216" i="1"/>
  <c r="D5216" i="1"/>
  <c r="C5216" i="1"/>
  <c r="B5216" i="1"/>
  <c r="E5215" i="1"/>
  <c r="B5215" i="1" s="1"/>
  <c r="D5215" i="1"/>
  <c r="C5215" i="1"/>
  <c r="E5214" i="1"/>
  <c r="B5214" i="1" s="1"/>
  <c r="D5214" i="1"/>
  <c r="C5214" i="1"/>
  <c r="E5213" i="1"/>
  <c r="B5213" i="1" s="1"/>
  <c r="D5213" i="1"/>
  <c r="C5213" i="1"/>
  <c r="E5212" i="1"/>
  <c r="B5212" i="1" s="1"/>
  <c r="D5212" i="1"/>
  <c r="C5212" i="1"/>
  <c r="E5211" i="1"/>
  <c r="D5211" i="1"/>
  <c r="C5211" i="1"/>
  <c r="E5210" i="1"/>
  <c r="D5210" i="1"/>
  <c r="C5210" i="1"/>
  <c r="B5210" i="1"/>
  <c r="E5209" i="1"/>
  <c r="D5209" i="1"/>
  <c r="C5209" i="1"/>
  <c r="E5208" i="1"/>
  <c r="D5208" i="1"/>
  <c r="C5208" i="1"/>
  <c r="B5208" i="1"/>
  <c r="E5207" i="1"/>
  <c r="B5207" i="1" s="1"/>
  <c r="D5207" i="1"/>
  <c r="C5207" i="1"/>
  <c r="E5206" i="1"/>
  <c r="B5206" i="1" s="1"/>
  <c r="D5206" i="1"/>
  <c r="C5206" i="1"/>
  <c r="E5205" i="1"/>
  <c r="D5205" i="1"/>
  <c r="C5205" i="1"/>
  <c r="E5204" i="1"/>
  <c r="B5204" i="1" s="1"/>
  <c r="D5204" i="1"/>
  <c r="C5204" i="1"/>
  <c r="E5203" i="1"/>
  <c r="D5203" i="1"/>
  <c r="C5203" i="1"/>
  <c r="E5202" i="1"/>
  <c r="D5202" i="1"/>
  <c r="C5202" i="1"/>
  <c r="B5202" i="1"/>
  <c r="E5201" i="1"/>
  <c r="D5201" i="1"/>
  <c r="C5201" i="1"/>
  <c r="E5200" i="1"/>
  <c r="D5200" i="1"/>
  <c r="C5200" i="1"/>
  <c r="B5200" i="1"/>
  <c r="E5199" i="1"/>
  <c r="B5199" i="1" s="1"/>
  <c r="D5199" i="1"/>
  <c r="C5199" i="1"/>
  <c r="E5198" i="1"/>
  <c r="B5198" i="1" s="1"/>
  <c r="D5198" i="1"/>
  <c r="C5198" i="1"/>
  <c r="E5197" i="1"/>
  <c r="B5197" i="1" s="1"/>
  <c r="D5197" i="1"/>
  <c r="C5197" i="1"/>
  <c r="E5196" i="1"/>
  <c r="B5196" i="1" s="1"/>
  <c r="D5196" i="1"/>
  <c r="C5196" i="1"/>
  <c r="E5195" i="1"/>
  <c r="D5195" i="1"/>
  <c r="C5195" i="1"/>
  <c r="E5194" i="1"/>
  <c r="D5194" i="1"/>
  <c r="C5194" i="1"/>
  <c r="B5194" i="1"/>
  <c r="E5193" i="1"/>
  <c r="D5193" i="1"/>
  <c r="C5193" i="1"/>
  <c r="E5192" i="1"/>
  <c r="B5192" i="1" s="1"/>
  <c r="D5192" i="1"/>
  <c r="C5192" i="1"/>
  <c r="E5191" i="1"/>
  <c r="B5191" i="1" s="1"/>
  <c r="D5191" i="1"/>
  <c r="C5191" i="1"/>
  <c r="E5190" i="1"/>
  <c r="B5190" i="1" s="1"/>
  <c r="D5190" i="1"/>
  <c r="C5190" i="1"/>
  <c r="E5189" i="1"/>
  <c r="D5189" i="1"/>
  <c r="C5189" i="1"/>
  <c r="E5188" i="1"/>
  <c r="B5188" i="1" s="1"/>
  <c r="D5188" i="1"/>
  <c r="C5188" i="1"/>
  <c r="E5187" i="1"/>
  <c r="D5187" i="1"/>
  <c r="C5187" i="1"/>
  <c r="E5186" i="1"/>
  <c r="D5186" i="1"/>
  <c r="C5186" i="1"/>
  <c r="B5186" i="1"/>
  <c r="E5185" i="1"/>
  <c r="D5185" i="1"/>
  <c r="C5185" i="1"/>
  <c r="E5184" i="1"/>
  <c r="D5184" i="1"/>
  <c r="C5184" i="1"/>
  <c r="B5184" i="1"/>
  <c r="E5183" i="1"/>
  <c r="B5183" i="1" s="1"/>
  <c r="D5183" i="1"/>
  <c r="C5183" i="1"/>
  <c r="E5182" i="1"/>
  <c r="B5182" i="1" s="1"/>
  <c r="D5182" i="1"/>
  <c r="C5182" i="1"/>
  <c r="E5181" i="1"/>
  <c r="B5181" i="1" s="1"/>
  <c r="D5181" i="1"/>
  <c r="C5181" i="1"/>
  <c r="E5180" i="1"/>
  <c r="B5180" i="1" s="1"/>
  <c r="D5180" i="1"/>
  <c r="C5180" i="1"/>
  <c r="E5179" i="1"/>
  <c r="D5179" i="1"/>
  <c r="C5179" i="1"/>
  <c r="E5178" i="1"/>
  <c r="D5178" i="1"/>
  <c r="C5178" i="1"/>
  <c r="B5178" i="1"/>
  <c r="E5177" i="1"/>
  <c r="D5177" i="1"/>
  <c r="C5177" i="1"/>
  <c r="E5176" i="1"/>
  <c r="B5176" i="1" s="1"/>
  <c r="D5176" i="1"/>
  <c r="C5176" i="1"/>
  <c r="E5175" i="1"/>
  <c r="B5175" i="1" s="1"/>
  <c r="D5175" i="1"/>
  <c r="C5175" i="1"/>
  <c r="E5174" i="1"/>
  <c r="B5174" i="1" s="1"/>
  <c r="D5174" i="1"/>
  <c r="C5174" i="1"/>
  <c r="E5173" i="1"/>
  <c r="D5173" i="1"/>
  <c r="C5173" i="1"/>
  <c r="E5172" i="1"/>
  <c r="B5172" i="1" s="1"/>
  <c r="D5172" i="1"/>
  <c r="C5172" i="1"/>
  <c r="E5171" i="1"/>
  <c r="D5171" i="1"/>
  <c r="C5171" i="1"/>
  <c r="E5170" i="1"/>
  <c r="D5170" i="1"/>
  <c r="C5170" i="1"/>
  <c r="B5170" i="1"/>
  <c r="E5169" i="1"/>
  <c r="D5169" i="1"/>
  <c r="C5169" i="1"/>
  <c r="E5168" i="1"/>
  <c r="D5168" i="1"/>
  <c r="C5168" i="1"/>
  <c r="B5168" i="1"/>
  <c r="E5167" i="1"/>
  <c r="B5167" i="1" s="1"/>
  <c r="D5167" i="1"/>
  <c r="C5167" i="1"/>
  <c r="E5166" i="1"/>
  <c r="B5166" i="1" s="1"/>
  <c r="D5166" i="1"/>
  <c r="C5166" i="1"/>
  <c r="E5165" i="1"/>
  <c r="B5165" i="1" s="1"/>
  <c r="D5165" i="1"/>
  <c r="C5165" i="1"/>
  <c r="E5164" i="1"/>
  <c r="B5164" i="1" s="1"/>
  <c r="D5164" i="1"/>
  <c r="C5164" i="1"/>
  <c r="E5163" i="1"/>
  <c r="D5163" i="1"/>
  <c r="C5163" i="1"/>
  <c r="E5162" i="1"/>
  <c r="D5162" i="1"/>
  <c r="C5162" i="1"/>
  <c r="B5162" i="1"/>
  <c r="E5161" i="1"/>
  <c r="D5161" i="1"/>
  <c r="C5161" i="1"/>
  <c r="E5160" i="1"/>
  <c r="B5160" i="1" s="1"/>
  <c r="D5160" i="1"/>
  <c r="C5160" i="1"/>
  <c r="E5159" i="1"/>
  <c r="B5159" i="1" s="1"/>
  <c r="D5159" i="1"/>
  <c r="C5159" i="1"/>
  <c r="E5158" i="1"/>
  <c r="B5158" i="1" s="1"/>
  <c r="D5158" i="1"/>
  <c r="C5158" i="1"/>
  <c r="E5157" i="1"/>
  <c r="D5157" i="1"/>
  <c r="C5157" i="1"/>
  <c r="E5156" i="1"/>
  <c r="D5156" i="1"/>
  <c r="C5156" i="1"/>
  <c r="E5155" i="1"/>
  <c r="D5155" i="1"/>
  <c r="C5155" i="1"/>
  <c r="E5154" i="1"/>
  <c r="D5154" i="1"/>
  <c r="C5154" i="1"/>
  <c r="B5154" i="1"/>
  <c r="E5153" i="1"/>
  <c r="D5153" i="1"/>
  <c r="C5153" i="1"/>
  <c r="E5152" i="1"/>
  <c r="D5152" i="1"/>
  <c r="C5152" i="1"/>
  <c r="B5152" i="1"/>
  <c r="E5151" i="1"/>
  <c r="B5151" i="1" s="1"/>
  <c r="D5151" i="1"/>
  <c r="C5151" i="1"/>
  <c r="E5150" i="1"/>
  <c r="B5150" i="1" s="1"/>
  <c r="D5150" i="1"/>
  <c r="C5150" i="1"/>
  <c r="E5149" i="1"/>
  <c r="B5149" i="1" s="1"/>
  <c r="D5149" i="1"/>
  <c r="C5149" i="1"/>
  <c r="E5148" i="1"/>
  <c r="B5148" i="1" s="1"/>
  <c r="D5148" i="1"/>
  <c r="C5148" i="1"/>
  <c r="E5147" i="1"/>
  <c r="D5147" i="1"/>
  <c r="C5147" i="1"/>
  <c r="E5146" i="1"/>
  <c r="D5146" i="1"/>
  <c r="C5146" i="1"/>
  <c r="B5146" i="1"/>
  <c r="E5145" i="1"/>
  <c r="D5145" i="1"/>
  <c r="C5145" i="1"/>
  <c r="E5144" i="1"/>
  <c r="B5144" i="1" s="1"/>
  <c r="D5144" i="1"/>
  <c r="C5144" i="1"/>
  <c r="E5143" i="1"/>
  <c r="B5143" i="1" s="1"/>
  <c r="D5143" i="1"/>
  <c r="C5143" i="1"/>
  <c r="E5142" i="1"/>
  <c r="B5142" i="1" s="1"/>
  <c r="D5142" i="1"/>
  <c r="C5142" i="1"/>
  <c r="E5141" i="1"/>
  <c r="D5141" i="1"/>
  <c r="C5141" i="1"/>
  <c r="E5140" i="1"/>
  <c r="D5140" i="1"/>
  <c r="C5140" i="1"/>
  <c r="E5139" i="1"/>
  <c r="D5139" i="1"/>
  <c r="C5139" i="1"/>
  <c r="E5138" i="1"/>
  <c r="D5138" i="1"/>
  <c r="C5138" i="1"/>
  <c r="B5138" i="1"/>
  <c r="E5137" i="1"/>
  <c r="D5137" i="1"/>
  <c r="C5137" i="1"/>
  <c r="E5136" i="1"/>
  <c r="D5136" i="1"/>
  <c r="C5136" i="1"/>
  <c r="B5136" i="1"/>
  <c r="E5135" i="1"/>
  <c r="B5135" i="1" s="1"/>
  <c r="D5135" i="1"/>
  <c r="C5135" i="1"/>
  <c r="E5134" i="1"/>
  <c r="D5134" i="1"/>
  <c r="C5134" i="1"/>
  <c r="B5134" i="1"/>
  <c r="E5133" i="1"/>
  <c r="B5133" i="1" s="1"/>
  <c r="D5133" i="1"/>
  <c r="C5133" i="1"/>
  <c r="E5132" i="1"/>
  <c r="D5132" i="1"/>
  <c r="C5132" i="1"/>
  <c r="B5132" i="1"/>
  <c r="E5131" i="1"/>
  <c r="B5131" i="1" s="1"/>
  <c r="D5131" i="1"/>
  <c r="C5131" i="1"/>
  <c r="E5130" i="1"/>
  <c r="D5130" i="1"/>
  <c r="C5130" i="1"/>
  <c r="B5130" i="1"/>
  <c r="E5129" i="1"/>
  <c r="B5129" i="1" s="1"/>
  <c r="D5129" i="1"/>
  <c r="C5129" i="1"/>
  <c r="E5128" i="1"/>
  <c r="D5128" i="1"/>
  <c r="C5128" i="1"/>
  <c r="B5128" i="1"/>
  <c r="E5127" i="1"/>
  <c r="B5127" i="1" s="1"/>
  <c r="D5127" i="1"/>
  <c r="C5127" i="1"/>
  <c r="E5126" i="1"/>
  <c r="B5126" i="1" s="1"/>
  <c r="D5126" i="1"/>
  <c r="C5126" i="1"/>
  <c r="E5125" i="1"/>
  <c r="B5125" i="1" s="1"/>
  <c r="D5125" i="1"/>
  <c r="C5125" i="1"/>
  <c r="E5124" i="1"/>
  <c r="B5124" i="1" s="1"/>
  <c r="D5124" i="1"/>
  <c r="C5124" i="1"/>
  <c r="E5123" i="1"/>
  <c r="B5123" i="1" s="1"/>
  <c r="D5123" i="1"/>
  <c r="C5123" i="1"/>
  <c r="E5122" i="1"/>
  <c r="D5122" i="1"/>
  <c r="C5122" i="1"/>
  <c r="B5122" i="1"/>
  <c r="E5121" i="1"/>
  <c r="B5121" i="1" s="1"/>
  <c r="D5121" i="1"/>
  <c r="C5121" i="1"/>
  <c r="E5120" i="1"/>
  <c r="D5120" i="1"/>
  <c r="C5120" i="1"/>
  <c r="B5120" i="1"/>
  <c r="E5119" i="1"/>
  <c r="B5119" i="1" s="1"/>
  <c r="D5119" i="1"/>
  <c r="C5119" i="1"/>
  <c r="E5118" i="1"/>
  <c r="B5118" i="1" s="1"/>
  <c r="D5118" i="1"/>
  <c r="C5118" i="1"/>
  <c r="E5117" i="1"/>
  <c r="B5117" i="1" s="1"/>
  <c r="D5117" i="1"/>
  <c r="C5117" i="1"/>
  <c r="E5116" i="1"/>
  <c r="D5116" i="1"/>
  <c r="C5116" i="1"/>
  <c r="B5116" i="1"/>
  <c r="E5115" i="1"/>
  <c r="B5115" i="1" s="1"/>
  <c r="D5115" i="1"/>
  <c r="C5115" i="1"/>
  <c r="E5114" i="1"/>
  <c r="D5114" i="1"/>
  <c r="C5114" i="1"/>
  <c r="B5114" i="1"/>
  <c r="E5113" i="1"/>
  <c r="B5113" i="1" s="1"/>
  <c r="D5113" i="1"/>
  <c r="C5113" i="1"/>
  <c r="E5112" i="1"/>
  <c r="B5112" i="1" s="1"/>
  <c r="D5112" i="1"/>
  <c r="C5112" i="1"/>
  <c r="E5111" i="1"/>
  <c r="B5111" i="1" s="1"/>
  <c r="D5111" i="1"/>
  <c r="C5111" i="1"/>
  <c r="E5110" i="1"/>
  <c r="B5110" i="1" s="1"/>
  <c r="D5110" i="1"/>
  <c r="C5110" i="1"/>
  <c r="E5109" i="1"/>
  <c r="B5109" i="1" s="1"/>
  <c r="D5109" i="1"/>
  <c r="C5109" i="1"/>
  <c r="E5108" i="1"/>
  <c r="B5108" i="1" s="1"/>
  <c r="D5108" i="1"/>
  <c r="C5108" i="1"/>
  <c r="E5107" i="1"/>
  <c r="B5107" i="1" s="1"/>
  <c r="D5107" i="1"/>
  <c r="C5107" i="1"/>
  <c r="E5106" i="1"/>
  <c r="D5106" i="1"/>
  <c r="C5106" i="1"/>
  <c r="B5106" i="1"/>
  <c r="E5105" i="1"/>
  <c r="B5105" i="1" s="1"/>
  <c r="D5105" i="1"/>
  <c r="C5105" i="1"/>
  <c r="E5104" i="1"/>
  <c r="D5104" i="1"/>
  <c r="C5104" i="1"/>
  <c r="B5104" i="1"/>
  <c r="E5103" i="1"/>
  <c r="B5103" i="1" s="1"/>
  <c r="D5103" i="1"/>
  <c r="C5103" i="1"/>
  <c r="E5102" i="1"/>
  <c r="B5102" i="1" s="1"/>
  <c r="D5102" i="1"/>
  <c r="C5102" i="1"/>
  <c r="E5101" i="1"/>
  <c r="B5101" i="1" s="1"/>
  <c r="D5101" i="1"/>
  <c r="C5101" i="1"/>
  <c r="E5100" i="1"/>
  <c r="D5100" i="1"/>
  <c r="C5100" i="1"/>
  <c r="B5100" i="1"/>
  <c r="E5099" i="1"/>
  <c r="B5099" i="1" s="1"/>
  <c r="D5099" i="1"/>
  <c r="C5099" i="1"/>
  <c r="E5098" i="1"/>
  <c r="D5098" i="1"/>
  <c r="C5098" i="1"/>
  <c r="B5098" i="1"/>
  <c r="E5097" i="1"/>
  <c r="B5097" i="1" s="1"/>
  <c r="D5097" i="1"/>
  <c r="C5097" i="1"/>
  <c r="E5096" i="1"/>
  <c r="D5096" i="1"/>
  <c r="C5096" i="1"/>
  <c r="B5096" i="1"/>
  <c r="E5095" i="1"/>
  <c r="B5095" i="1" s="1"/>
  <c r="D5095" i="1"/>
  <c r="C5095" i="1"/>
  <c r="E5094" i="1"/>
  <c r="B5094" i="1" s="1"/>
  <c r="D5094" i="1"/>
  <c r="C5094" i="1"/>
  <c r="E5093" i="1"/>
  <c r="B5093" i="1" s="1"/>
  <c r="D5093" i="1"/>
  <c r="C5093" i="1"/>
  <c r="E5092" i="1"/>
  <c r="B5092" i="1" s="1"/>
  <c r="D5092" i="1"/>
  <c r="C5092" i="1"/>
  <c r="E5091" i="1"/>
  <c r="B5091" i="1" s="1"/>
  <c r="D5091" i="1"/>
  <c r="C5091" i="1"/>
  <c r="E5090" i="1"/>
  <c r="D5090" i="1"/>
  <c r="C5090" i="1"/>
  <c r="B5090" i="1"/>
  <c r="E5089" i="1"/>
  <c r="D5089" i="1"/>
  <c r="C5089" i="1"/>
  <c r="E5088" i="1"/>
  <c r="D5088" i="1"/>
  <c r="C5088" i="1"/>
  <c r="B5088" i="1"/>
  <c r="E5087" i="1"/>
  <c r="B5087" i="1" s="1"/>
  <c r="D5087" i="1"/>
  <c r="C5087" i="1"/>
  <c r="E5086" i="1"/>
  <c r="B5086" i="1" s="1"/>
  <c r="D5086" i="1"/>
  <c r="C5086" i="1"/>
  <c r="E5085" i="1"/>
  <c r="D5085" i="1"/>
  <c r="C5085" i="1"/>
  <c r="E5084" i="1"/>
  <c r="D5084" i="1"/>
  <c r="B5084" i="1" s="1"/>
  <c r="C5084" i="1"/>
  <c r="E5083" i="1"/>
  <c r="D5083" i="1"/>
  <c r="C5083" i="1"/>
  <c r="E5082" i="1"/>
  <c r="D5082" i="1"/>
  <c r="B5082" i="1" s="1"/>
  <c r="C5082" i="1"/>
  <c r="E5081" i="1"/>
  <c r="B5081" i="1" s="1"/>
  <c r="D5081" i="1"/>
  <c r="C5081" i="1"/>
  <c r="E5080" i="1"/>
  <c r="D5080" i="1"/>
  <c r="C5080" i="1"/>
  <c r="B5080" i="1"/>
  <c r="E5079" i="1"/>
  <c r="D5079" i="1"/>
  <c r="C5079" i="1"/>
  <c r="E5078" i="1"/>
  <c r="B5078" i="1" s="1"/>
  <c r="D5078" i="1"/>
  <c r="C5078" i="1"/>
  <c r="E5077" i="1"/>
  <c r="B5077" i="1" s="1"/>
  <c r="D5077" i="1"/>
  <c r="C5077" i="1"/>
  <c r="E5076" i="1"/>
  <c r="B5076" i="1" s="1"/>
  <c r="D5076" i="1"/>
  <c r="C5076" i="1"/>
  <c r="E5075" i="1"/>
  <c r="D5075" i="1"/>
  <c r="C5075" i="1"/>
  <c r="E5074" i="1"/>
  <c r="D5074" i="1"/>
  <c r="C5074" i="1"/>
  <c r="B5074" i="1"/>
  <c r="E5073" i="1"/>
  <c r="D5073" i="1"/>
  <c r="C5073" i="1"/>
  <c r="E5072" i="1"/>
  <c r="D5072" i="1"/>
  <c r="C5072" i="1"/>
  <c r="B5072" i="1"/>
  <c r="E5071" i="1"/>
  <c r="B5071" i="1" s="1"/>
  <c r="D5071" i="1"/>
  <c r="C5071" i="1"/>
  <c r="E5070" i="1"/>
  <c r="B5070" i="1" s="1"/>
  <c r="D5070" i="1"/>
  <c r="C5070" i="1"/>
  <c r="E5069" i="1"/>
  <c r="D5069" i="1"/>
  <c r="C5069" i="1"/>
  <c r="E5068" i="1"/>
  <c r="D5068" i="1"/>
  <c r="B5068" i="1" s="1"/>
  <c r="C5068" i="1"/>
  <c r="E5067" i="1"/>
  <c r="D5067" i="1"/>
  <c r="C5067" i="1"/>
  <c r="E5066" i="1"/>
  <c r="D5066" i="1"/>
  <c r="B5066" i="1" s="1"/>
  <c r="C5066" i="1"/>
  <c r="E5065" i="1"/>
  <c r="B5065" i="1" s="1"/>
  <c r="D5065" i="1"/>
  <c r="C5065" i="1"/>
  <c r="E5064" i="1"/>
  <c r="D5064" i="1"/>
  <c r="C5064" i="1"/>
  <c r="B5064" i="1"/>
  <c r="E5063" i="1"/>
  <c r="D5063" i="1"/>
  <c r="C5063" i="1"/>
  <c r="E5062" i="1"/>
  <c r="B5062" i="1" s="1"/>
  <c r="D5062" i="1"/>
  <c r="C5062" i="1"/>
  <c r="E5061" i="1"/>
  <c r="B5061" i="1" s="1"/>
  <c r="D5061" i="1"/>
  <c r="C5061" i="1"/>
  <c r="E5060" i="1"/>
  <c r="B5060" i="1" s="1"/>
  <c r="D5060" i="1"/>
  <c r="C5060" i="1"/>
  <c r="E5059" i="1"/>
  <c r="D5059" i="1"/>
  <c r="C5059" i="1"/>
  <c r="E5058" i="1"/>
  <c r="D5058" i="1"/>
  <c r="C5058" i="1"/>
  <c r="B5058" i="1"/>
  <c r="E5057" i="1"/>
  <c r="D5057" i="1"/>
  <c r="C5057" i="1"/>
  <c r="E5056" i="1"/>
  <c r="D5056" i="1"/>
  <c r="B5056" i="1" s="1"/>
  <c r="C5056" i="1"/>
  <c r="E5055" i="1"/>
  <c r="B5055" i="1" s="1"/>
  <c r="D5055" i="1"/>
  <c r="C5055" i="1"/>
  <c r="E5054" i="1"/>
  <c r="B5054" i="1" s="1"/>
  <c r="D5054" i="1"/>
  <c r="C5054" i="1"/>
  <c r="E5053" i="1"/>
  <c r="D5053" i="1"/>
  <c r="C5053" i="1"/>
  <c r="E5052" i="1"/>
  <c r="D5052" i="1"/>
  <c r="B5052" i="1" s="1"/>
  <c r="C5052" i="1"/>
  <c r="E5051" i="1"/>
  <c r="D5051" i="1"/>
  <c r="C5051" i="1"/>
  <c r="E5050" i="1"/>
  <c r="D5050" i="1"/>
  <c r="B5050" i="1" s="1"/>
  <c r="C5050" i="1"/>
  <c r="E5049" i="1"/>
  <c r="B5049" i="1" s="1"/>
  <c r="D5049" i="1"/>
  <c r="C5049" i="1"/>
  <c r="E5048" i="1"/>
  <c r="D5048" i="1"/>
  <c r="C5048" i="1"/>
  <c r="B5048" i="1"/>
  <c r="E5047" i="1"/>
  <c r="D5047" i="1"/>
  <c r="C5047" i="1"/>
  <c r="E5046" i="1"/>
  <c r="B5046" i="1" s="1"/>
  <c r="D5046" i="1"/>
  <c r="C5046" i="1"/>
  <c r="E5045" i="1"/>
  <c r="B5045" i="1" s="1"/>
  <c r="D5045" i="1"/>
  <c r="C5045" i="1"/>
  <c r="E5044" i="1"/>
  <c r="B5044" i="1" s="1"/>
  <c r="D5044" i="1"/>
  <c r="C5044" i="1"/>
  <c r="E5043" i="1"/>
  <c r="D5043" i="1"/>
  <c r="C5043" i="1"/>
  <c r="E5042" i="1"/>
  <c r="D5042" i="1"/>
  <c r="C5042" i="1"/>
  <c r="B5042" i="1"/>
  <c r="E5041" i="1"/>
  <c r="D5041" i="1"/>
  <c r="C5041" i="1"/>
  <c r="E5040" i="1"/>
  <c r="D5040" i="1"/>
  <c r="C5040" i="1"/>
  <c r="B5040" i="1"/>
  <c r="E5039" i="1"/>
  <c r="B5039" i="1" s="1"/>
  <c r="D5039" i="1"/>
  <c r="C5039" i="1"/>
  <c r="E5038" i="1"/>
  <c r="B5038" i="1" s="1"/>
  <c r="D5038" i="1"/>
  <c r="C5038" i="1"/>
  <c r="E5037" i="1"/>
  <c r="D5037" i="1"/>
  <c r="C5037" i="1"/>
  <c r="E5036" i="1"/>
  <c r="B5036" i="1" s="1"/>
  <c r="D5036" i="1"/>
  <c r="C5036" i="1"/>
  <c r="E5035" i="1"/>
  <c r="D5035" i="1"/>
  <c r="C5035" i="1"/>
  <c r="E5034" i="1"/>
  <c r="B5034" i="1" s="1"/>
  <c r="D5034" i="1"/>
  <c r="C5034" i="1"/>
  <c r="E5033" i="1"/>
  <c r="B5033" i="1" s="1"/>
  <c r="D5033" i="1"/>
  <c r="C5033" i="1"/>
  <c r="E5032" i="1"/>
  <c r="D5032" i="1"/>
  <c r="C5032" i="1"/>
  <c r="B5032" i="1"/>
  <c r="E5031" i="1"/>
  <c r="D5031" i="1"/>
  <c r="C5031" i="1"/>
  <c r="E5030" i="1"/>
  <c r="B5030" i="1" s="1"/>
  <c r="D5030" i="1"/>
  <c r="C5030" i="1"/>
  <c r="E5029" i="1"/>
  <c r="B5029" i="1" s="1"/>
  <c r="D5029" i="1"/>
  <c r="C5029" i="1"/>
  <c r="E5028" i="1"/>
  <c r="B5028" i="1" s="1"/>
  <c r="D5028" i="1"/>
  <c r="C5028" i="1"/>
  <c r="E5027" i="1"/>
  <c r="D5027" i="1"/>
  <c r="C5027" i="1"/>
  <c r="E5026" i="1"/>
  <c r="D5026" i="1"/>
  <c r="C5026" i="1"/>
  <c r="B5026" i="1"/>
  <c r="E5025" i="1"/>
  <c r="D5025" i="1"/>
  <c r="C5025" i="1"/>
  <c r="E5024" i="1"/>
  <c r="D5024" i="1"/>
  <c r="C5024" i="1"/>
  <c r="B5024" i="1"/>
  <c r="E5023" i="1"/>
  <c r="B5023" i="1" s="1"/>
  <c r="D5023" i="1"/>
  <c r="C5023" i="1"/>
  <c r="E5022" i="1"/>
  <c r="B5022" i="1" s="1"/>
  <c r="D5022" i="1"/>
  <c r="C5022" i="1"/>
  <c r="E5021" i="1"/>
  <c r="D5021" i="1"/>
  <c r="C5021" i="1"/>
  <c r="E5020" i="1"/>
  <c r="B5020" i="1" s="1"/>
  <c r="D5020" i="1"/>
  <c r="C5020" i="1"/>
  <c r="E5019" i="1"/>
  <c r="D5019" i="1"/>
  <c r="C5019" i="1"/>
  <c r="E5018" i="1"/>
  <c r="D5018" i="1"/>
  <c r="B5018" i="1" s="1"/>
  <c r="C5018" i="1"/>
  <c r="E5017" i="1"/>
  <c r="B5017" i="1" s="1"/>
  <c r="D5017" i="1"/>
  <c r="C5017" i="1"/>
  <c r="E5016" i="1"/>
  <c r="D5016" i="1"/>
  <c r="C5016" i="1"/>
  <c r="B5016" i="1"/>
  <c r="E5015" i="1"/>
  <c r="D5015" i="1"/>
  <c r="C5015" i="1"/>
  <c r="E5014" i="1"/>
  <c r="B5014" i="1" s="1"/>
  <c r="D5014" i="1"/>
  <c r="C5014" i="1"/>
  <c r="E5013" i="1"/>
  <c r="B5013" i="1" s="1"/>
  <c r="D5013" i="1"/>
  <c r="C5013" i="1"/>
  <c r="E5012" i="1"/>
  <c r="B5012" i="1" s="1"/>
  <c r="D5012" i="1"/>
  <c r="C5012" i="1"/>
  <c r="E5011" i="1"/>
  <c r="D5011" i="1"/>
  <c r="C5011" i="1"/>
  <c r="E5010" i="1"/>
  <c r="D5010" i="1"/>
  <c r="C5010" i="1"/>
  <c r="B5010" i="1"/>
  <c r="E5009" i="1"/>
  <c r="D5009" i="1"/>
  <c r="C5009" i="1"/>
  <c r="E5008" i="1"/>
  <c r="D5008" i="1"/>
  <c r="B5008" i="1" s="1"/>
  <c r="C5008" i="1"/>
  <c r="E5007" i="1"/>
  <c r="B5007" i="1" s="1"/>
  <c r="D5007" i="1"/>
  <c r="C5007" i="1"/>
  <c r="E5006" i="1"/>
  <c r="B5006" i="1" s="1"/>
  <c r="D5006" i="1"/>
  <c r="C5006" i="1"/>
  <c r="E5005" i="1"/>
  <c r="D5005" i="1"/>
  <c r="C5005" i="1"/>
  <c r="E5004" i="1"/>
  <c r="B5004" i="1" s="1"/>
  <c r="D5004" i="1"/>
  <c r="C5004" i="1"/>
  <c r="E5003" i="1"/>
  <c r="B5003" i="1" s="1"/>
  <c r="D5003" i="1"/>
  <c r="C5003" i="1"/>
  <c r="E5002" i="1"/>
  <c r="D5002" i="1"/>
  <c r="B5002" i="1" s="1"/>
  <c r="C5002" i="1"/>
  <c r="E5001" i="1"/>
  <c r="D5001" i="1"/>
  <c r="C5001" i="1"/>
  <c r="E5000" i="1"/>
  <c r="D5000" i="1"/>
  <c r="C5000" i="1"/>
  <c r="B5000" i="1"/>
  <c r="E4999" i="1"/>
  <c r="D4999" i="1"/>
  <c r="C4999" i="1"/>
  <c r="E4998" i="1"/>
  <c r="B4998" i="1" s="1"/>
  <c r="D4998" i="1"/>
  <c r="C4998" i="1"/>
  <c r="E4997" i="1"/>
  <c r="B4997" i="1" s="1"/>
  <c r="D4997" i="1"/>
  <c r="C4997" i="1"/>
  <c r="E4996" i="1"/>
  <c r="B4996" i="1" s="1"/>
  <c r="D4996" i="1"/>
  <c r="C4996" i="1"/>
  <c r="E4995" i="1"/>
  <c r="D4995" i="1"/>
  <c r="C4995" i="1"/>
  <c r="E4994" i="1"/>
  <c r="D4994" i="1"/>
  <c r="C4994" i="1"/>
  <c r="B4994" i="1"/>
  <c r="E4993" i="1"/>
  <c r="D4993" i="1"/>
  <c r="C4993" i="1"/>
  <c r="E4992" i="1"/>
  <c r="D4992" i="1"/>
  <c r="C4992" i="1"/>
  <c r="B4992" i="1"/>
  <c r="E4991" i="1"/>
  <c r="B4991" i="1" s="1"/>
  <c r="D4991" i="1"/>
  <c r="C4991" i="1"/>
  <c r="E4990" i="1"/>
  <c r="D4990" i="1"/>
  <c r="C4990" i="1"/>
  <c r="B4990" i="1"/>
  <c r="E4989" i="1"/>
  <c r="B4989" i="1" s="1"/>
  <c r="D4989" i="1"/>
  <c r="C4989" i="1"/>
  <c r="E4988" i="1"/>
  <c r="D4988" i="1"/>
  <c r="B4988" i="1" s="1"/>
  <c r="C4988" i="1"/>
  <c r="E4987" i="1"/>
  <c r="B4987" i="1" s="1"/>
  <c r="D4987" i="1"/>
  <c r="C4987" i="1"/>
  <c r="E4986" i="1"/>
  <c r="B4986" i="1" s="1"/>
  <c r="D4986" i="1"/>
  <c r="C4986" i="1"/>
  <c r="E4985" i="1"/>
  <c r="B4985" i="1" s="1"/>
  <c r="D4985" i="1"/>
  <c r="C4985" i="1"/>
  <c r="E4984" i="1"/>
  <c r="B4984" i="1" s="1"/>
  <c r="D4984" i="1"/>
  <c r="C4984" i="1"/>
  <c r="E4983" i="1"/>
  <c r="B4983" i="1" s="1"/>
  <c r="D4983" i="1"/>
  <c r="C4983" i="1"/>
  <c r="E4982" i="1"/>
  <c r="B4982" i="1" s="1"/>
  <c r="D4982" i="1"/>
  <c r="C4982" i="1"/>
  <c r="E4981" i="1"/>
  <c r="B4981" i="1" s="1"/>
  <c r="D4981" i="1"/>
  <c r="C4981" i="1"/>
  <c r="E4980" i="1"/>
  <c r="B4980" i="1" s="1"/>
  <c r="D4980" i="1"/>
  <c r="C4980" i="1"/>
  <c r="E4979" i="1"/>
  <c r="B4979" i="1" s="1"/>
  <c r="D4979" i="1"/>
  <c r="C4979" i="1"/>
  <c r="E4978" i="1"/>
  <c r="B4978" i="1" s="1"/>
  <c r="D4978" i="1"/>
  <c r="C4978" i="1"/>
  <c r="E4977" i="1"/>
  <c r="B4977" i="1" s="1"/>
  <c r="D4977" i="1"/>
  <c r="C4977" i="1"/>
  <c r="E4976" i="1"/>
  <c r="B4976" i="1" s="1"/>
  <c r="D4976" i="1"/>
  <c r="C4976" i="1"/>
  <c r="E4975" i="1"/>
  <c r="B4975" i="1" s="1"/>
  <c r="D4975" i="1"/>
  <c r="C4975" i="1"/>
  <c r="E4974" i="1"/>
  <c r="B4974" i="1" s="1"/>
  <c r="D4974" i="1"/>
  <c r="C4974" i="1"/>
  <c r="E4973" i="1"/>
  <c r="B4973" i="1" s="1"/>
  <c r="D4973" i="1"/>
  <c r="C4973" i="1"/>
  <c r="E4972" i="1"/>
  <c r="B4972" i="1" s="1"/>
  <c r="D4972" i="1"/>
  <c r="C4972" i="1"/>
  <c r="E4971" i="1"/>
  <c r="B4971" i="1" s="1"/>
  <c r="D4971" i="1"/>
  <c r="C4971" i="1"/>
  <c r="E4970" i="1"/>
  <c r="B4970" i="1" s="1"/>
  <c r="D4970" i="1"/>
  <c r="C4970" i="1"/>
  <c r="E4969" i="1"/>
  <c r="B4969" i="1" s="1"/>
  <c r="D4969" i="1"/>
  <c r="C4969" i="1"/>
  <c r="E4968" i="1"/>
  <c r="B4968" i="1" s="1"/>
  <c r="D4968" i="1"/>
  <c r="C4968" i="1"/>
  <c r="E4967" i="1"/>
  <c r="B4967" i="1" s="1"/>
  <c r="D4967" i="1"/>
  <c r="C4967" i="1"/>
  <c r="E4966" i="1"/>
  <c r="B4966" i="1" s="1"/>
  <c r="D4966" i="1"/>
  <c r="C4966" i="1"/>
  <c r="E4965" i="1"/>
  <c r="B4965" i="1" s="1"/>
  <c r="D4965" i="1"/>
  <c r="C4965" i="1"/>
  <c r="E4964" i="1"/>
  <c r="B4964" i="1" s="1"/>
  <c r="D4964" i="1"/>
  <c r="C4964" i="1"/>
  <c r="E4963" i="1"/>
  <c r="B4963" i="1" s="1"/>
  <c r="D4963" i="1"/>
  <c r="C4963" i="1"/>
  <c r="E4962" i="1"/>
  <c r="B4962" i="1" s="1"/>
  <c r="D4962" i="1"/>
  <c r="C4962" i="1"/>
  <c r="E4961" i="1"/>
  <c r="B4961" i="1" s="1"/>
  <c r="D4961" i="1"/>
  <c r="C4961" i="1"/>
  <c r="E4960" i="1"/>
  <c r="B4960" i="1" s="1"/>
  <c r="D4960" i="1"/>
  <c r="C4960" i="1"/>
  <c r="E4959" i="1"/>
  <c r="B4959" i="1" s="1"/>
  <c r="D4959" i="1"/>
  <c r="C4959" i="1"/>
  <c r="E4958" i="1"/>
  <c r="B4958" i="1" s="1"/>
  <c r="D4958" i="1"/>
  <c r="C4958" i="1"/>
  <c r="E4957" i="1"/>
  <c r="B4957" i="1" s="1"/>
  <c r="D4957" i="1"/>
  <c r="C4957" i="1"/>
  <c r="E4956" i="1"/>
  <c r="B4956" i="1" s="1"/>
  <c r="D4956" i="1"/>
  <c r="C4956" i="1"/>
  <c r="E4955" i="1"/>
  <c r="B4955" i="1" s="1"/>
  <c r="D4955" i="1"/>
  <c r="C4955" i="1"/>
  <c r="E4954" i="1"/>
  <c r="B4954" i="1" s="1"/>
  <c r="D4954" i="1"/>
  <c r="C4954" i="1"/>
  <c r="E4953" i="1"/>
  <c r="B4953" i="1" s="1"/>
  <c r="D4953" i="1"/>
  <c r="C4953" i="1"/>
  <c r="E4952" i="1"/>
  <c r="B4952" i="1" s="1"/>
  <c r="D4952" i="1"/>
  <c r="C4952" i="1"/>
  <c r="E4951" i="1"/>
  <c r="B4951" i="1" s="1"/>
  <c r="D4951" i="1"/>
  <c r="C4951" i="1"/>
  <c r="E4950" i="1"/>
  <c r="B4950" i="1" s="1"/>
  <c r="D4950" i="1"/>
  <c r="C4950" i="1"/>
  <c r="E4949" i="1"/>
  <c r="B4949" i="1" s="1"/>
  <c r="D4949" i="1"/>
  <c r="C4949" i="1"/>
  <c r="E4948" i="1"/>
  <c r="B4948" i="1" s="1"/>
  <c r="D4948" i="1"/>
  <c r="C4948" i="1"/>
  <c r="E4947" i="1"/>
  <c r="B4947" i="1" s="1"/>
  <c r="D4947" i="1"/>
  <c r="C4947" i="1"/>
  <c r="E4946" i="1"/>
  <c r="B4946" i="1" s="1"/>
  <c r="D4946" i="1"/>
  <c r="C4946" i="1"/>
  <c r="E4945" i="1"/>
  <c r="B4945" i="1" s="1"/>
  <c r="D4945" i="1"/>
  <c r="C4945" i="1"/>
  <c r="E4944" i="1"/>
  <c r="B4944" i="1" s="1"/>
  <c r="D4944" i="1"/>
  <c r="C4944" i="1"/>
  <c r="E4943" i="1"/>
  <c r="B4943" i="1" s="1"/>
  <c r="D4943" i="1"/>
  <c r="C4943" i="1"/>
  <c r="E4942" i="1"/>
  <c r="B4942" i="1" s="1"/>
  <c r="D4942" i="1"/>
  <c r="C4942" i="1"/>
  <c r="E4941" i="1"/>
  <c r="B4941" i="1" s="1"/>
  <c r="D4941" i="1"/>
  <c r="C4941" i="1"/>
  <c r="E4940" i="1"/>
  <c r="B4940" i="1" s="1"/>
  <c r="D4940" i="1"/>
  <c r="C4940" i="1"/>
  <c r="E4939" i="1"/>
  <c r="B4939" i="1" s="1"/>
  <c r="D4939" i="1"/>
  <c r="C4939" i="1"/>
  <c r="E4938" i="1"/>
  <c r="B4938" i="1" s="1"/>
  <c r="D4938" i="1"/>
  <c r="C4938" i="1"/>
  <c r="E4937" i="1"/>
  <c r="B4937" i="1" s="1"/>
  <c r="D4937" i="1"/>
  <c r="C4937" i="1"/>
  <c r="E4936" i="1"/>
  <c r="B4936" i="1" s="1"/>
  <c r="D4936" i="1"/>
  <c r="C4936" i="1"/>
  <c r="E4935" i="1"/>
  <c r="B4935" i="1" s="1"/>
  <c r="D4935" i="1"/>
  <c r="C4935" i="1"/>
  <c r="E4934" i="1"/>
  <c r="B4934" i="1" s="1"/>
  <c r="D4934" i="1"/>
  <c r="C4934" i="1"/>
  <c r="E4933" i="1"/>
  <c r="B4933" i="1" s="1"/>
  <c r="D4933" i="1"/>
  <c r="C4933" i="1"/>
  <c r="E4932" i="1"/>
  <c r="B4932" i="1" s="1"/>
  <c r="D4932" i="1"/>
  <c r="C4932" i="1"/>
  <c r="E4931" i="1"/>
  <c r="B4931" i="1" s="1"/>
  <c r="D4931" i="1"/>
  <c r="C4931" i="1"/>
  <c r="E4930" i="1"/>
  <c r="B4930" i="1" s="1"/>
  <c r="D4930" i="1"/>
  <c r="C4930" i="1"/>
  <c r="E4929" i="1"/>
  <c r="B4929" i="1" s="1"/>
  <c r="D4929" i="1"/>
  <c r="C4929" i="1"/>
  <c r="E4928" i="1"/>
  <c r="B4928" i="1" s="1"/>
  <c r="D4928" i="1"/>
  <c r="C4928" i="1"/>
  <c r="E4927" i="1"/>
  <c r="B4927" i="1" s="1"/>
  <c r="D4927" i="1"/>
  <c r="C4927" i="1"/>
  <c r="E4926" i="1"/>
  <c r="B4926" i="1" s="1"/>
  <c r="D4926" i="1"/>
  <c r="C4926" i="1"/>
  <c r="E4925" i="1"/>
  <c r="B4925" i="1" s="1"/>
  <c r="D4925" i="1"/>
  <c r="C4925" i="1"/>
  <c r="E4924" i="1"/>
  <c r="B4924" i="1" s="1"/>
  <c r="D4924" i="1"/>
  <c r="C4924" i="1"/>
  <c r="E4923" i="1"/>
  <c r="B4923" i="1" s="1"/>
  <c r="D4923" i="1"/>
  <c r="C4923" i="1"/>
  <c r="E4922" i="1"/>
  <c r="B4922" i="1" s="1"/>
  <c r="D4922" i="1"/>
  <c r="C4922" i="1"/>
  <c r="E4921" i="1"/>
  <c r="B4921" i="1" s="1"/>
  <c r="D4921" i="1"/>
  <c r="C4921" i="1"/>
  <c r="E4920" i="1"/>
  <c r="B4920" i="1" s="1"/>
  <c r="D4920" i="1"/>
  <c r="C4920" i="1"/>
  <c r="E4919" i="1"/>
  <c r="B4919" i="1" s="1"/>
  <c r="D4919" i="1"/>
  <c r="C4919" i="1"/>
  <c r="E4918" i="1"/>
  <c r="B4918" i="1" s="1"/>
  <c r="D4918" i="1"/>
  <c r="C4918" i="1"/>
  <c r="E4917" i="1"/>
  <c r="B4917" i="1" s="1"/>
  <c r="D4917" i="1"/>
  <c r="C4917" i="1"/>
  <c r="E4916" i="1"/>
  <c r="B4916" i="1" s="1"/>
  <c r="D4916" i="1"/>
  <c r="C4916" i="1"/>
  <c r="E4915" i="1"/>
  <c r="B4915" i="1" s="1"/>
  <c r="D4915" i="1"/>
  <c r="C4915" i="1"/>
  <c r="E4914" i="1"/>
  <c r="D4914" i="1"/>
  <c r="C4914" i="1"/>
  <c r="E4913" i="1"/>
  <c r="D4913" i="1"/>
  <c r="C4913" i="1"/>
  <c r="E4912" i="1"/>
  <c r="D4912" i="1"/>
  <c r="C4912" i="1"/>
  <c r="E4911" i="1"/>
  <c r="B4911" i="1" s="1"/>
  <c r="D4911" i="1"/>
  <c r="C4911" i="1"/>
  <c r="E4910" i="1"/>
  <c r="D4910" i="1"/>
  <c r="C4910" i="1"/>
  <c r="E4909" i="1"/>
  <c r="B4909" i="1" s="1"/>
  <c r="D4909" i="1"/>
  <c r="C4909" i="1"/>
  <c r="E4908" i="1"/>
  <c r="B4908" i="1" s="1"/>
  <c r="D4908" i="1"/>
  <c r="C4908" i="1"/>
  <c r="E4907" i="1"/>
  <c r="B4907" i="1" s="1"/>
  <c r="D4907" i="1"/>
  <c r="C4907" i="1"/>
  <c r="E4906" i="1"/>
  <c r="D4906" i="1"/>
  <c r="C4906" i="1"/>
  <c r="E4905" i="1"/>
  <c r="D4905" i="1"/>
  <c r="C4905" i="1"/>
  <c r="E4904" i="1"/>
  <c r="D4904" i="1"/>
  <c r="C4904" i="1"/>
  <c r="E4903" i="1"/>
  <c r="B4903" i="1" s="1"/>
  <c r="D4903" i="1"/>
  <c r="C4903" i="1"/>
  <c r="E4902" i="1"/>
  <c r="B4902" i="1" s="1"/>
  <c r="D4902" i="1"/>
  <c r="C4902" i="1"/>
  <c r="E4901" i="1"/>
  <c r="B4901" i="1" s="1"/>
  <c r="D4901" i="1"/>
  <c r="C4901" i="1"/>
  <c r="E4900" i="1"/>
  <c r="B4900" i="1" s="1"/>
  <c r="D4900" i="1"/>
  <c r="C4900" i="1"/>
  <c r="E4899" i="1"/>
  <c r="B4899" i="1" s="1"/>
  <c r="D4899" i="1"/>
  <c r="C4899" i="1"/>
  <c r="E4898" i="1"/>
  <c r="D4898" i="1"/>
  <c r="C4898" i="1"/>
  <c r="E4897" i="1"/>
  <c r="D4897" i="1"/>
  <c r="C4897" i="1"/>
  <c r="E4896" i="1"/>
  <c r="D4896" i="1"/>
  <c r="C4896" i="1"/>
  <c r="E4895" i="1"/>
  <c r="B4895" i="1" s="1"/>
  <c r="D4895" i="1"/>
  <c r="C4895" i="1"/>
  <c r="E4894" i="1"/>
  <c r="B4894" i="1" s="1"/>
  <c r="D4894" i="1"/>
  <c r="C4894" i="1"/>
  <c r="E4893" i="1"/>
  <c r="B4893" i="1" s="1"/>
  <c r="D4893" i="1"/>
  <c r="C4893" i="1"/>
  <c r="E4892" i="1"/>
  <c r="B4892" i="1" s="1"/>
  <c r="D4892" i="1"/>
  <c r="C4892" i="1"/>
  <c r="E4891" i="1"/>
  <c r="B4891" i="1" s="1"/>
  <c r="D4891" i="1"/>
  <c r="C4891" i="1"/>
  <c r="E4890" i="1"/>
  <c r="D4890" i="1"/>
  <c r="C4890" i="1"/>
  <c r="E4889" i="1"/>
  <c r="D4889" i="1"/>
  <c r="C4889" i="1"/>
  <c r="E4888" i="1"/>
  <c r="D4888" i="1"/>
  <c r="C4888" i="1"/>
  <c r="E4887" i="1"/>
  <c r="B4887" i="1" s="1"/>
  <c r="D4887" i="1"/>
  <c r="C4887" i="1"/>
  <c r="E4886" i="1"/>
  <c r="B4886" i="1" s="1"/>
  <c r="D4886" i="1"/>
  <c r="C4886" i="1"/>
  <c r="E4885" i="1"/>
  <c r="B4885" i="1" s="1"/>
  <c r="D4885" i="1"/>
  <c r="C4885" i="1"/>
  <c r="E4884" i="1"/>
  <c r="B4884" i="1" s="1"/>
  <c r="D4884" i="1"/>
  <c r="C4884" i="1"/>
  <c r="E4883" i="1"/>
  <c r="B4883" i="1" s="1"/>
  <c r="D4883" i="1"/>
  <c r="C4883" i="1"/>
  <c r="E4882" i="1"/>
  <c r="D4882" i="1"/>
  <c r="C4882" i="1"/>
  <c r="E4881" i="1"/>
  <c r="D4881" i="1"/>
  <c r="C4881" i="1"/>
  <c r="E4880" i="1"/>
  <c r="D4880" i="1"/>
  <c r="C4880" i="1"/>
  <c r="E4879" i="1"/>
  <c r="B4879" i="1" s="1"/>
  <c r="D4879" i="1"/>
  <c r="C4879" i="1"/>
  <c r="E4878" i="1"/>
  <c r="B4878" i="1" s="1"/>
  <c r="D4878" i="1"/>
  <c r="C4878" i="1"/>
  <c r="E4877" i="1"/>
  <c r="B4877" i="1" s="1"/>
  <c r="D4877" i="1"/>
  <c r="C4877" i="1"/>
  <c r="E4876" i="1"/>
  <c r="B4876" i="1" s="1"/>
  <c r="D4876" i="1"/>
  <c r="C4876" i="1"/>
  <c r="E4875" i="1"/>
  <c r="B4875" i="1" s="1"/>
  <c r="D4875" i="1"/>
  <c r="C4875" i="1"/>
  <c r="E4874" i="1"/>
  <c r="D4874" i="1"/>
  <c r="C4874" i="1"/>
  <c r="E4873" i="1"/>
  <c r="D4873" i="1"/>
  <c r="C4873" i="1"/>
  <c r="E4872" i="1"/>
  <c r="D4872" i="1"/>
  <c r="C4872" i="1"/>
  <c r="E4871" i="1"/>
  <c r="B4871" i="1" s="1"/>
  <c r="D4871" i="1"/>
  <c r="C4871" i="1"/>
  <c r="E4870" i="1"/>
  <c r="B4870" i="1" s="1"/>
  <c r="D4870" i="1"/>
  <c r="C4870" i="1"/>
  <c r="E4869" i="1"/>
  <c r="B4869" i="1" s="1"/>
  <c r="D4869" i="1"/>
  <c r="C4869" i="1"/>
  <c r="E4868" i="1"/>
  <c r="B4868" i="1" s="1"/>
  <c r="D4868" i="1"/>
  <c r="C4868" i="1"/>
  <c r="E4867" i="1"/>
  <c r="B4867" i="1" s="1"/>
  <c r="D4867" i="1"/>
  <c r="C4867" i="1"/>
  <c r="E4866" i="1"/>
  <c r="D4866" i="1"/>
  <c r="C4866" i="1"/>
  <c r="E4865" i="1"/>
  <c r="D4865" i="1"/>
  <c r="C4865" i="1"/>
  <c r="E4864" i="1"/>
  <c r="D4864" i="1"/>
  <c r="C4864" i="1"/>
  <c r="E4863" i="1"/>
  <c r="B4863" i="1" s="1"/>
  <c r="D4863" i="1"/>
  <c r="C4863" i="1"/>
  <c r="E4862" i="1"/>
  <c r="B4862" i="1" s="1"/>
  <c r="D4862" i="1"/>
  <c r="C4862" i="1"/>
  <c r="E4861" i="1"/>
  <c r="B4861" i="1" s="1"/>
  <c r="D4861" i="1"/>
  <c r="C4861" i="1"/>
  <c r="E4860" i="1"/>
  <c r="B4860" i="1" s="1"/>
  <c r="D4860" i="1"/>
  <c r="C4860" i="1"/>
  <c r="E4859" i="1"/>
  <c r="B4859" i="1" s="1"/>
  <c r="D4859" i="1"/>
  <c r="C4859" i="1"/>
  <c r="E4858" i="1"/>
  <c r="D4858" i="1"/>
  <c r="C4858" i="1"/>
  <c r="E4857" i="1"/>
  <c r="D4857" i="1"/>
  <c r="C4857" i="1"/>
  <c r="E4856" i="1"/>
  <c r="D4856" i="1"/>
  <c r="C4856" i="1"/>
  <c r="E4855" i="1"/>
  <c r="B4855" i="1" s="1"/>
  <c r="D4855" i="1"/>
  <c r="C4855" i="1"/>
  <c r="E4854" i="1"/>
  <c r="B4854" i="1" s="1"/>
  <c r="D4854" i="1"/>
  <c r="C4854" i="1"/>
  <c r="E4853" i="1"/>
  <c r="B4853" i="1" s="1"/>
  <c r="D4853" i="1"/>
  <c r="C4853" i="1"/>
  <c r="E4852" i="1"/>
  <c r="B4852" i="1" s="1"/>
  <c r="D4852" i="1"/>
  <c r="C4852" i="1"/>
  <c r="E4851" i="1"/>
  <c r="B4851" i="1" s="1"/>
  <c r="D4851" i="1"/>
  <c r="C4851" i="1"/>
  <c r="E4850" i="1"/>
  <c r="D4850" i="1"/>
  <c r="C4850" i="1"/>
  <c r="E4849" i="1"/>
  <c r="D4849" i="1"/>
  <c r="C4849" i="1"/>
  <c r="E4848" i="1"/>
  <c r="D4848" i="1"/>
  <c r="C4848" i="1"/>
  <c r="E4847" i="1"/>
  <c r="B4847" i="1" s="1"/>
  <c r="D4847" i="1"/>
  <c r="C4847" i="1"/>
  <c r="E4846" i="1"/>
  <c r="B4846" i="1" s="1"/>
  <c r="D4846" i="1"/>
  <c r="C4846" i="1"/>
  <c r="E4845" i="1"/>
  <c r="B4845" i="1" s="1"/>
  <c r="D4845" i="1"/>
  <c r="C4845" i="1"/>
  <c r="E4844" i="1"/>
  <c r="B4844" i="1" s="1"/>
  <c r="D4844" i="1"/>
  <c r="C4844" i="1"/>
  <c r="E4843" i="1"/>
  <c r="B4843" i="1" s="1"/>
  <c r="D4843" i="1"/>
  <c r="C4843" i="1"/>
  <c r="E4842" i="1"/>
  <c r="D4842" i="1"/>
  <c r="C4842" i="1"/>
  <c r="E4841" i="1"/>
  <c r="D4841" i="1"/>
  <c r="C4841" i="1"/>
  <c r="E4840" i="1"/>
  <c r="D4840" i="1"/>
  <c r="C4840" i="1"/>
  <c r="E4839" i="1"/>
  <c r="B4839" i="1" s="1"/>
  <c r="D4839" i="1"/>
  <c r="C4839" i="1"/>
  <c r="E4838" i="1"/>
  <c r="B4838" i="1" s="1"/>
  <c r="D4838" i="1"/>
  <c r="C4838" i="1"/>
  <c r="E4837" i="1"/>
  <c r="B4837" i="1" s="1"/>
  <c r="D4837" i="1"/>
  <c r="C4837" i="1"/>
  <c r="E4836" i="1"/>
  <c r="B4836" i="1" s="1"/>
  <c r="D4836" i="1"/>
  <c r="C4836" i="1"/>
  <c r="E4835" i="1"/>
  <c r="B4835" i="1" s="1"/>
  <c r="D4835" i="1"/>
  <c r="C4835" i="1"/>
  <c r="E4834" i="1"/>
  <c r="D4834" i="1"/>
  <c r="C4834" i="1"/>
  <c r="E4833" i="1"/>
  <c r="D4833" i="1"/>
  <c r="C4833" i="1"/>
  <c r="E4832" i="1"/>
  <c r="D4832" i="1"/>
  <c r="C4832" i="1"/>
  <c r="E4831" i="1"/>
  <c r="B4831" i="1" s="1"/>
  <c r="D4831" i="1"/>
  <c r="C4831" i="1"/>
  <c r="E4830" i="1"/>
  <c r="B4830" i="1" s="1"/>
  <c r="D4830" i="1"/>
  <c r="C4830" i="1"/>
  <c r="E4829" i="1"/>
  <c r="B4829" i="1" s="1"/>
  <c r="D4829" i="1"/>
  <c r="C4829" i="1"/>
  <c r="E4828" i="1"/>
  <c r="B4828" i="1" s="1"/>
  <c r="D4828" i="1"/>
  <c r="C4828" i="1"/>
  <c r="E4827" i="1"/>
  <c r="B4827" i="1" s="1"/>
  <c r="D4827" i="1"/>
  <c r="C4827" i="1"/>
  <c r="E4826" i="1"/>
  <c r="D4826" i="1"/>
  <c r="C4826" i="1"/>
  <c r="E4825" i="1"/>
  <c r="D4825" i="1"/>
  <c r="C4825" i="1"/>
  <c r="E4824" i="1"/>
  <c r="D4824" i="1"/>
  <c r="C4824" i="1"/>
  <c r="E4823" i="1"/>
  <c r="B4823" i="1" s="1"/>
  <c r="D4823" i="1"/>
  <c r="C4823" i="1"/>
  <c r="E4822" i="1"/>
  <c r="B4822" i="1" s="1"/>
  <c r="D4822" i="1"/>
  <c r="C4822" i="1"/>
  <c r="E4821" i="1"/>
  <c r="B4821" i="1" s="1"/>
  <c r="D4821" i="1"/>
  <c r="C4821" i="1"/>
  <c r="E4820" i="1"/>
  <c r="B4820" i="1" s="1"/>
  <c r="D4820" i="1"/>
  <c r="C4820" i="1"/>
  <c r="E4819" i="1"/>
  <c r="B4819" i="1" s="1"/>
  <c r="D4819" i="1"/>
  <c r="C4819" i="1"/>
  <c r="E4818" i="1"/>
  <c r="D4818" i="1"/>
  <c r="C4818" i="1"/>
  <c r="E4817" i="1"/>
  <c r="D4817" i="1"/>
  <c r="C4817" i="1"/>
  <c r="E4816" i="1"/>
  <c r="D4816" i="1"/>
  <c r="C4816" i="1"/>
  <c r="E4815" i="1"/>
  <c r="B4815" i="1" s="1"/>
  <c r="D4815" i="1"/>
  <c r="C4815" i="1"/>
  <c r="E4814" i="1"/>
  <c r="B4814" i="1" s="1"/>
  <c r="D4814" i="1"/>
  <c r="C4814" i="1"/>
  <c r="E4813" i="1"/>
  <c r="B4813" i="1" s="1"/>
  <c r="D4813" i="1"/>
  <c r="C4813" i="1"/>
  <c r="E4812" i="1"/>
  <c r="B4812" i="1" s="1"/>
  <c r="D4812" i="1"/>
  <c r="C4812" i="1"/>
  <c r="E4811" i="1"/>
  <c r="B4811" i="1" s="1"/>
  <c r="D4811" i="1"/>
  <c r="C4811" i="1"/>
  <c r="E4810" i="1"/>
  <c r="D4810" i="1"/>
  <c r="C4810" i="1"/>
  <c r="E4809" i="1"/>
  <c r="D4809" i="1"/>
  <c r="C4809" i="1"/>
  <c r="E4808" i="1"/>
  <c r="D4808" i="1"/>
  <c r="C4808" i="1"/>
  <c r="E4807" i="1"/>
  <c r="B4807" i="1" s="1"/>
  <c r="D4807" i="1"/>
  <c r="C4807" i="1"/>
  <c r="E4806" i="1"/>
  <c r="B4806" i="1" s="1"/>
  <c r="D4806" i="1"/>
  <c r="C4806" i="1"/>
  <c r="E4805" i="1"/>
  <c r="B4805" i="1" s="1"/>
  <c r="D4805" i="1"/>
  <c r="C4805" i="1"/>
  <c r="E4804" i="1"/>
  <c r="B4804" i="1" s="1"/>
  <c r="D4804" i="1"/>
  <c r="C4804" i="1"/>
  <c r="E4803" i="1"/>
  <c r="B4803" i="1" s="1"/>
  <c r="D4803" i="1"/>
  <c r="C4803" i="1"/>
  <c r="E4802" i="1"/>
  <c r="D4802" i="1"/>
  <c r="C4802" i="1"/>
  <c r="E4801" i="1"/>
  <c r="D4801" i="1"/>
  <c r="C4801" i="1"/>
  <c r="E4800" i="1"/>
  <c r="D4800" i="1"/>
  <c r="C4800" i="1"/>
  <c r="E4799" i="1"/>
  <c r="B4799" i="1" s="1"/>
  <c r="D4799" i="1"/>
  <c r="C4799" i="1"/>
  <c r="E4798" i="1"/>
  <c r="B4798" i="1" s="1"/>
  <c r="D4798" i="1"/>
  <c r="C4798" i="1"/>
  <c r="E4797" i="1"/>
  <c r="D4797" i="1"/>
  <c r="C4797" i="1"/>
  <c r="E4796" i="1"/>
  <c r="B4796" i="1" s="1"/>
  <c r="D4796" i="1"/>
  <c r="C4796" i="1"/>
  <c r="E4795" i="1"/>
  <c r="B4795" i="1" s="1"/>
  <c r="D4795" i="1"/>
  <c r="C4795" i="1"/>
  <c r="E4794" i="1"/>
  <c r="D4794" i="1"/>
  <c r="C4794" i="1"/>
  <c r="E4793" i="1"/>
  <c r="D4793" i="1"/>
  <c r="C4793" i="1"/>
  <c r="E4792" i="1"/>
  <c r="D4792" i="1"/>
  <c r="C4792" i="1"/>
  <c r="E4791" i="1"/>
  <c r="B4791" i="1" s="1"/>
  <c r="D4791" i="1"/>
  <c r="C4791" i="1"/>
  <c r="E4790" i="1"/>
  <c r="B4790" i="1" s="1"/>
  <c r="D4790" i="1"/>
  <c r="C4790" i="1"/>
  <c r="E4789" i="1"/>
  <c r="D4789" i="1"/>
  <c r="C4789" i="1"/>
  <c r="E4788" i="1"/>
  <c r="B4788" i="1" s="1"/>
  <c r="D4788" i="1"/>
  <c r="C4788" i="1"/>
  <c r="E4787" i="1"/>
  <c r="B4787" i="1" s="1"/>
  <c r="D4787" i="1"/>
  <c r="C4787" i="1"/>
  <c r="E4786" i="1"/>
  <c r="B4786" i="1" s="1"/>
  <c r="D4786" i="1"/>
  <c r="C4786" i="1"/>
  <c r="E4785" i="1"/>
  <c r="B4785" i="1" s="1"/>
  <c r="D4785" i="1"/>
  <c r="C4785" i="1"/>
  <c r="E4784" i="1"/>
  <c r="D4784" i="1"/>
  <c r="C4784" i="1"/>
  <c r="E4783" i="1"/>
  <c r="B4783" i="1" s="1"/>
  <c r="D4783" i="1"/>
  <c r="C4783" i="1"/>
  <c r="E4782" i="1"/>
  <c r="D4782" i="1"/>
  <c r="C4782" i="1"/>
  <c r="E4781" i="1"/>
  <c r="B4781" i="1" s="1"/>
  <c r="D4781" i="1"/>
  <c r="C4781" i="1"/>
  <c r="E4780" i="1"/>
  <c r="D4780" i="1"/>
  <c r="C4780" i="1"/>
  <c r="E4779" i="1"/>
  <c r="B4779" i="1" s="1"/>
  <c r="D4779" i="1"/>
  <c r="C4779" i="1"/>
  <c r="E4778" i="1"/>
  <c r="B4778" i="1" s="1"/>
  <c r="D4778" i="1"/>
  <c r="C4778" i="1"/>
  <c r="E4777" i="1"/>
  <c r="B4777" i="1" s="1"/>
  <c r="D4777" i="1"/>
  <c r="C4777" i="1"/>
  <c r="E4776" i="1"/>
  <c r="B4776" i="1" s="1"/>
  <c r="D4776" i="1"/>
  <c r="C4776" i="1"/>
  <c r="E4775" i="1"/>
  <c r="D4775" i="1"/>
  <c r="C4775" i="1"/>
  <c r="B4775" i="1"/>
  <c r="E4774" i="1"/>
  <c r="D4774" i="1"/>
  <c r="C4774" i="1"/>
  <c r="E4773" i="1"/>
  <c r="D4773" i="1"/>
  <c r="C4773" i="1"/>
  <c r="B4773" i="1"/>
  <c r="E4772" i="1"/>
  <c r="B4772" i="1" s="1"/>
  <c r="D4772" i="1"/>
  <c r="C4772" i="1"/>
  <c r="E4771" i="1"/>
  <c r="B4771" i="1" s="1"/>
  <c r="D4771" i="1"/>
  <c r="C4771" i="1"/>
  <c r="E4770" i="1"/>
  <c r="B4770" i="1" s="1"/>
  <c r="D4770" i="1"/>
  <c r="C4770" i="1"/>
  <c r="E4769" i="1"/>
  <c r="B4769" i="1" s="1"/>
  <c r="D4769" i="1"/>
  <c r="C4769" i="1"/>
  <c r="E4768" i="1"/>
  <c r="D4768" i="1"/>
  <c r="C4768" i="1"/>
  <c r="E4767" i="1"/>
  <c r="B4767" i="1" s="1"/>
  <c r="D4767" i="1"/>
  <c r="C4767" i="1"/>
  <c r="E4766" i="1"/>
  <c r="B4766" i="1" s="1"/>
  <c r="D4766" i="1"/>
  <c r="C4766" i="1"/>
  <c r="E4765" i="1"/>
  <c r="B4765" i="1" s="1"/>
  <c r="D4765" i="1"/>
  <c r="C4765" i="1"/>
  <c r="E4764" i="1"/>
  <c r="D4764" i="1"/>
  <c r="C4764" i="1"/>
  <c r="E4763" i="1"/>
  <c r="B4763" i="1" s="1"/>
  <c r="D4763" i="1"/>
  <c r="C4763" i="1"/>
  <c r="E4762" i="1"/>
  <c r="B4762" i="1" s="1"/>
  <c r="D4762" i="1"/>
  <c r="C4762" i="1"/>
  <c r="E4761" i="1"/>
  <c r="B4761" i="1" s="1"/>
  <c r="D4761" i="1"/>
  <c r="C4761" i="1"/>
  <c r="E4760" i="1"/>
  <c r="B4760" i="1" s="1"/>
  <c r="D4760" i="1"/>
  <c r="C4760" i="1"/>
  <c r="E4759" i="1"/>
  <c r="D4759" i="1"/>
  <c r="C4759" i="1"/>
  <c r="B4759" i="1"/>
  <c r="E4758" i="1"/>
  <c r="D4758" i="1"/>
  <c r="C4758" i="1"/>
  <c r="E4757" i="1"/>
  <c r="D4757" i="1"/>
  <c r="C4757" i="1"/>
  <c r="B4757" i="1"/>
  <c r="E4756" i="1"/>
  <c r="B4756" i="1" s="1"/>
  <c r="D4756" i="1"/>
  <c r="C4756" i="1"/>
  <c r="E4755" i="1"/>
  <c r="B4755" i="1" s="1"/>
  <c r="D4755" i="1"/>
  <c r="C4755" i="1"/>
  <c r="E4754" i="1"/>
  <c r="B4754" i="1" s="1"/>
  <c r="D4754" i="1"/>
  <c r="C4754" i="1"/>
  <c r="E4753" i="1"/>
  <c r="B4753" i="1" s="1"/>
  <c r="D4753" i="1"/>
  <c r="C4753" i="1"/>
  <c r="E4752" i="1"/>
  <c r="D4752" i="1"/>
  <c r="C4752" i="1"/>
  <c r="E4751" i="1"/>
  <c r="B4751" i="1" s="1"/>
  <c r="D4751" i="1"/>
  <c r="C4751" i="1"/>
  <c r="E4750" i="1"/>
  <c r="D4750" i="1"/>
  <c r="C4750" i="1"/>
  <c r="E4749" i="1"/>
  <c r="B4749" i="1" s="1"/>
  <c r="D4749" i="1"/>
  <c r="C4749" i="1"/>
  <c r="E4748" i="1"/>
  <c r="D4748" i="1"/>
  <c r="C4748" i="1"/>
  <c r="E4747" i="1"/>
  <c r="B4747" i="1" s="1"/>
  <c r="D4747" i="1"/>
  <c r="C4747" i="1"/>
  <c r="E4746" i="1"/>
  <c r="B4746" i="1" s="1"/>
  <c r="D4746" i="1"/>
  <c r="C4746" i="1"/>
  <c r="E4745" i="1"/>
  <c r="B4745" i="1" s="1"/>
  <c r="D4745" i="1"/>
  <c r="C4745" i="1"/>
  <c r="E4744" i="1"/>
  <c r="B4744" i="1" s="1"/>
  <c r="D4744" i="1"/>
  <c r="C4744" i="1"/>
  <c r="E4743" i="1"/>
  <c r="D4743" i="1"/>
  <c r="C4743" i="1"/>
  <c r="B4743" i="1"/>
  <c r="E4742" i="1"/>
  <c r="D4742" i="1"/>
  <c r="C4742" i="1"/>
  <c r="E4741" i="1"/>
  <c r="D4741" i="1"/>
  <c r="C4741" i="1"/>
  <c r="B4741" i="1"/>
  <c r="E4740" i="1"/>
  <c r="B4740" i="1" s="1"/>
  <c r="D4740" i="1"/>
  <c r="C4740" i="1"/>
  <c r="E4739" i="1"/>
  <c r="D4739" i="1"/>
  <c r="C4739" i="1"/>
  <c r="B4739" i="1"/>
  <c r="E4738" i="1"/>
  <c r="B4738" i="1" s="1"/>
  <c r="D4738" i="1"/>
  <c r="C4738" i="1"/>
  <c r="E4737" i="1"/>
  <c r="B4737" i="1" s="1"/>
  <c r="D4737" i="1"/>
  <c r="C4737" i="1"/>
  <c r="E4736" i="1"/>
  <c r="D4736" i="1"/>
  <c r="C4736" i="1"/>
  <c r="E4735" i="1"/>
  <c r="B4735" i="1" s="1"/>
  <c r="D4735" i="1"/>
  <c r="C4735" i="1"/>
  <c r="E4734" i="1"/>
  <c r="D4734" i="1"/>
  <c r="C4734" i="1"/>
  <c r="E4733" i="1"/>
  <c r="B4733" i="1" s="1"/>
  <c r="D4733" i="1"/>
  <c r="C4733" i="1"/>
  <c r="E4732" i="1"/>
  <c r="D4732" i="1"/>
  <c r="C4732" i="1"/>
  <c r="E4731" i="1"/>
  <c r="B4731" i="1" s="1"/>
  <c r="D4731" i="1"/>
  <c r="C4731" i="1"/>
  <c r="E4730" i="1"/>
  <c r="B4730" i="1" s="1"/>
  <c r="D4730" i="1"/>
  <c r="C4730" i="1"/>
  <c r="E4729" i="1"/>
  <c r="B4729" i="1" s="1"/>
  <c r="D4729" i="1"/>
  <c r="C4729" i="1"/>
  <c r="E4728" i="1"/>
  <c r="B4728" i="1" s="1"/>
  <c r="D4728" i="1"/>
  <c r="C4728" i="1"/>
  <c r="E4727" i="1"/>
  <c r="D4727" i="1"/>
  <c r="C4727" i="1"/>
  <c r="B4727" i="1"/>
  <c r="E4726" i="1"/>
  <c r="D4726" i="1"/>
  <c r="C4726" i="1"/>
  <c r="E4725" i="1"/>
  <c r="D4725" i="1"/>
  <c r="C4725" i="1"/>
  <c r="B4725" i="1"/>
  <c r="E4724" i="1"/>
  <c r="B4724" i="1" s="1"/>
  <c r="D4724" i="1"/>
  <c r="C4724" i="1"/>
  <c r="E4723" i="1"/>
  <c r="B4723" i="1" s="1"/>
  <c r="D4723" i="1"/>
  <c r="C4723" i="1"/>
  <c r="E4722" i="1"/>
  <c r="B4722" i="1" s="1"/>
  <c r="D4722" i="1"/>
  <c r="C4722" i="1"/>
  <c r="E4721" i="1"/>
  <c r="B4721" i="1" s="1"/>
  <c r="D4721" i="1"/>
  <c r="C4721" i="1"/>
  <c r="E4720" i="1"/>
  <c r="D4720" i="1"/>
  <c r="C4720" i="1"/>
  <c r="E4719" i="1"/>
  <c r="B4719" i="1" s="1"/>
  <c r="D4719" i="1"/>
  <c r="C4719" i="1"/>
  <c r="E4718" i="1"/>
  <c r="D4718" i="1"/>
  <c r="C4718" i="1"/>
  <c r="E4717" i="1"/>
  <c r="B4717" i="1" s="1"/>
  <c r="D4717" i="1"/>
  <c r="C4717" i="1"/>
  <c r="E4716" i="1"/>
  <c r="D4716" i="1"/>
  <c r="C4716" i="1"/>
  <c r="E4715" i="1"/>
  <c r="B4715" i="1" s="1"/>
  <c r="D4715" i="1"/>
  <c r="C4715" i="1"/>
  <c r="E4714" i="1"/>
  <c r="B4714" i="1" s="1"/>
  <c r="D4714" i="1"/>
  <c r="C4714" i="1"/>
  <c r="E4713" i="1"/>
  <c r="B4713" i="1" s="1"/>
  <c r="D4713" i="1"/>
  <c r="C4713" i="1"/>
  <c r="E4712" i="1"/>
  <c r="B4712" i="1" s="1"/>
  <c r="D4712" i="1"/>
  <c r="C4712" i="1"/>
  <c r="E4711" i="1"/>
  <c r="D4711" i="1"/>
  <c r="C4711" i="1"/>
  <c r="B4711" i="1"/>
  <c r="E4710" i="1"/>
  <c r="D4710" i="1"/>
  <c r="C4710" i="1"/>
  <c r="E4709" i="1"/>
  <c r="D4709" i="1"/>
  <c r="C4709" i="1"/>
  <c r="B4709" i="1"/>
  <c r="E4708" i="1"/>
  <c r="B4708" i="1" s="1"/>
  <c r="D4708" i="1"/>
  <c r="C4708" i="1"/>
  <c r="E4707" i="1"/>
  <c r="B4707" i="1" s="1"/>
  <c r="D4707" i="1"/>
  <c r="C4707" i="1"/>
  <c r="E4706" i="1"/>
  <c r="B4706" i="1" s="1"/>
  <c r="D4706" i="1"/>
  <c r="C4706" i="1"/>
  <c r="E4705" i="1"/>
  <c r="B4705" i="1" s="1"/>
  <c r="D4705" i="1"/>
  <c r="C4705" i="1"/>
  <c r="E4704" i="1"/>
  <c r="D4704" i="1"/>
  <c r="C4704" i="1"/>
  <c r="E4703" i="1"/>
  <c r="B4703" i="1" s="1"/>
  <c r="D4703" i="1"/>
  <c r="C4703" i="1"/>
  <c r="E4702" i="1"/>
  <c r="D4702" i="1"/>
  <c r="C4702" i="1"/>
  <c r="E4701" i="1"/>
  <c r="B4701" i="1" s="1"/>
  <c r="D4701" i="1"/>
  <c r="C4701" i="1"/>
  <c r="E4700" i="1"/>
  <c r="D4700" i="1"/>
  <c r="C4700" i="1"/>
  <c r="E4699" i="1"/>
  <c r="B4699" i="1" s="1"/>
  <c r="D4699" i="1"/>
  <c r="C4699" i="1"/>
  <c r="E4698" i="1"/>
  <c r="B4698" i="1" s="1"/>
  <c r="D4698" i="1"/>
  <c r="C4698" i="1"/>
  <c r="E4697" i="1"/>
  <c r="B4697" i="1" s="1"/>
  <c r="D4697" i="1"/>
  <c r="C4697" i="1"/>
  <c r="E4696" i="1"/>
  <c r="B4696" i="1" s="1"/>
  <c r="D4696" i="1"/>
  <c r="C4696" i="1"/>
  <c r="E4695" i="1"/>
  <c r="D4695" i="1"/>
  <c r="C4695" i="1"/>
  <c r="B4695" i="1"/>
  <c r="E4694" i="1"/>
  <c r="D4694" i="1"/>
  <c r="C4694" i="1"/>
  <c r="E4693" i="1"/>
  <c r="D4693" i="1"/>
  <c r="C4693" i="1"/>
  <c r="B4693" i="1"/>
  <c r="E4692" i="1"/>
  <c r="B4692" i="1" s="1"/>
  <c r="D4692" i="1"/>
  <c r="C4692" i="1"/>
  <c r="E4691" i="1"/>
  <c r="B4691" i="1" s="1"/>
  <c r="D4691" i="1"/>
  <c r="C4691" i="1"/>
  <c r="E4690" i="1"/>
  <c r="B4690" i="1" s="1"/>
  <c r="D4690" i="1"/>
  <c r="C4690" i="1"/>
  <c r="E4689" i="1"/>
  <c r="B4689" i="1" s="1"/>
  <c r="D4689" i="1"/>
  <c r="C4689" i="1"/>
  <c r="E4688" i="1"/>
  <c r="D4688" i="1"/>
  <c r="C4688" i="1"/>
  <c r="E4687" i="1"/>
  <c r="B4687" i="1" s="1"/>
  <c r="D4687" i="1"/>
  <c r="C4687" i="1"/>
  <c r="E4686" i="1"/>
  <c r="D4686" i="1"/>
  <c r="C4686" i="1"/>
  <c r="E4685" i="1"/>
  <c r="B4685" i="1" s="1"/>
  <c r="D4685" i="1"/>
  <c r="C4685" i="1"/>
  <c r="E4684" i="1"/>
  <c r="D4684" i="1"/>
  <c r="C4684" i="1"/>
  <c r="E4683" i="1"/>
  <c r="B4683" i="1" s="1"/>
  <c r="D4683" i="1"/>
  <c r="C4683" i="1"/>
  <c r="E4682" i="1"/>
  <c r="B4682" i="1" s="1"/>
  <c r="D4682" i="1"/>
  <c r="C4682" i="1"/>
  <c r="E4681" i="1"/>
  <c r="B4681" i="1" s="1"/>
  <c r="D4681" i="1"/>
  <c r="C4681" i="1"/>
  <c r="E4680" i="1"/>
  <c r="B4680" i="1" s="1"/>
  <c r="D4680" i="1"/>
  <c r="C4680" i="1"/>
  <c r="E4679" i="1"/>
  <c r="D4679" i="1"/>
  <c r="C4679" i="1"/>
  <c r="B4679" i="1"/>
  <c r="E4678" i="1"/>
  <c r="D4678" i="1"/>
  <c r="C4678" i="1"/>
  <c r="E4677" i="1"/>
  <c r="D4677" i="1"/>
  <c r="C4677" i="1"/>
  <c r="B4677" i="1"/>
  <c r="E4676" i="1"/>
  <c r="B4676" i="1" s="1"/>
  <c r="D4676" i="1"/>
  <c r="C4676" i="1"/>
  <c r="E4675" i="1"/>
  <c r="B4675" i="1" s="1"/>
  <c r="D4675" i="1"/>
  <c r="C4675" i="1"/>
  <c r="E4674" i="1"/>
  <c r="B4674" i="1" s="1"/>
  <c r="D4674" i="1"/>
  <c r="C4674" i="1"/>
  <c r="E4673" i="1"/>
  <c r="B4673" i="1" s="1"/>
  <c r="D4673" i="1"/>
  <c r="C4673" i="1"/>
  <c r="E4672" i="1"/>
  <c r="D4672" i="1"/>
  <c r="C4672" i="1"/>
  <c r="E4671" i="1"/>
  <c r="B4671" i="1" s="1"/>
  <c r="D4671" i="1"/>
  <c r="C4671" i="1"/>
  <c r="E4670" i="1"/>
  <c r="B4670" i="1" s="1"/>
  <c r="D4670" i="1"/>
  <c r="C4670" i="1"/>
  <c r="E4669" i="1"/>
  <c r="B4669" i="1" s="1"/>
  <c r="D4669" i="1"/>
  <c r="C4669" i="1"/>
  <c r="E4668" i="1"/>
  <c r="D4668" i="1"/>
  <c r="C4668" i="1"/>
  <c r="E4667" i="1"/>
  <c r="B4667" i="1" s="1"/>
  <c r="D4667" i="1"/>
  <c r="C4667" i="1"/>
  <c r="E4666" i="1"/>
  <c r="B4666" i="1" s="1"/>
  <c r="D4666" i="1"/>
  <c r="C4666" i="1"/>
  <c r="E4665" i="1"/>
  <c r="B4665" i="1" s="1"/>
  <c r="D4665" i="1"/>
  <c r="C4665" i="1"/>
  <c r="E4664" i="1"/>
  <c r="B4664" i="1" s="1"/>
  <c r="D4664" i="1"/>
  <c r="C4664" i="1"/>
  <c r="E4663" i="1"/>
  <c r="B4663" i="1" s="1"/>
  <c r="D4663" i="1"/>
  <c r="C4663" i="1"/>
  <c r="E4662" i="1"/>
  <c r="B4662" i="1" s="1"/>
  <c r="D4662" i="1"/>
  <c r="C4662" i="1"/>
  <c r="E4661" i="1"/>
  <c r="B4661" i="1" s="1"/>
  <c r="D4661" i="1"/>
  <c r="C4661" i="1"/>
  <c r="E4660" i="1"/>
  <c r="B4660" i="1" s="1"/>
  <c r="D4660" i="1"/>
  <c r="C4660" i="1"/>
  <c r="E4659" i="1"/>
  <c r="B4659" i="1" s="1"/>
  <c r="D4659" i="1"/>
  <c r="C4659" i="1"/>
  <c r="E4658" i="1"/>
  <c r="B4658" i="1" s="1"/>
  <c r="D4658" i="1"/>
  <c r="C4658" i="1"/>
  <c r="E4657" i="1"/>
  <c r="B4657" i="1" s="1"/>
  <c r="D4657" i="1"/>
  <c r="C4657" i="1"/>
  <c r="E4656" i="1"/>
  <c r="B4656" i="1" s="1"/>
  <c r="D4656" i="1"/>
  <c r="C4656" i="1"/>
  <c r="E4655" i="1"/>
  <c r="B4655" i="1" s="1"/>
  <c r="D4655" i="1"/>
  <c r="C4655" i="1"/>
  <c r="E4654" i="1"/>
  <c r="B4654" i="1" s="1"/>
  <c r="D4654" i="1"/>
  <c r="C4654" i="1"/>
  <c r="E4653" i="1"/>
  <c r="B4653" i="1" s="1"/>
  <c r="D4653" i="1"/>
  <c r="C4653" i="1"/>
  <c r="E4652" i="1"/>
  <c r="B4652" i="1" s="1"/>
  <c r="D4652" i="1"/>
  <c r="C4652" i="1"/>
  <c r="E4651" i="1"/>
  <c r="B4651" i="1" s="1"/>
  <c r="D4651" i="1"/>
  <c r="C4651" i="1"/>
  <c r="E4650" i="1"/>
  <c r="B4650" i="1" s="1"/>
  <c r="D4650" i="1"/>
  <c r="C4650" i="1"/>
  <c r="E4649" i="1"/>
  <c r="B4649" i="1" s="1"/>
  <c r="D4649" i="1"/>
  <c r="C4649" i="1"/>
  <c r="E4648" i="1"/>
  <c r="B4648" i="1" s="1"/>
  <c r="D4648" i="1"/>
  <c r="C4648" i="1"/>
  <c r="E4647" i="1"/>
  <c r="B4647" i="1" s="1"/>
  <c r="D4647" i="1"/>
  <c r="C4647" i="1"/>
  <c r="E4646" i="1"/>
  <c r="B4646" i="1" s="1"/>
  <c r="D4646" i="1"/>
  <c r="C4646" i="1"/>
  <c r="E4645" i="1"/>
  <c r="B4645" i="1" s="1"/>
  <c r="D4645" i="1"/>
  <c r="C4645" i="1"/>
  <c r="E4644" i="1"/>
  <c r="B4644" i="1" s="1"/>
  <c r="D4644" i="1"/>
  <c r="C4644" i="1"/>
  <c r="E4643" i="1"/>
  <c r="B4643" i="1" s="1"/>
  <c r="D4643" i="1"/>
  <c r="C4643" i="1"/>
  <c r="E4642" i="1"/>
  <c r="B4642" i="1" s="1"/>
  <c r="D4642" i="1"/>
  <c r="C4642" i="1"/>
  <c r="E4641" i="1"/>
  <c r="B4641" i="1" s="1"/>
  <c r="D4641" i="1"/>
  <c r="C4641" i="1"/>
  <c r="E4640" i="1"/>
  <c r="B4640" i="1" s="1"/>
  <c r="D4640" i="1"/>
  <c r="C4640" i="1"/>
  <c r="E4639" i="1"/>
  <c r="B4639" i="1" s="1"/>
  <c r="D4639" i="1"/>
  <c r="C4639" i="1"/>
  <c r="E4638" i="1"/>
  <c r="B4638" i="1" s="1"/>
  <c r="D4638" i="1"/>
  <c r="C4638" i="1"/>
  <c r="E4637" i="1"/>
  <c r="B4637" i="1" s="1"/>
  <c r="D4637" i="1"/>
  <c r="C4637" i="1"/>
  <c r="E4636" i="1"/>
  <c r="B4636" i="1" s="1"/>
  <c r="D4636" i="1"/>
  <c r="C4636" i="1"/>
  <c r="E4635" i="1"/>
  <c r="B4635" i="1" s="1"/>
  <c r="D4635" i="1"/>
  <c r="C4635" i="1"/>
  <c r="E4634" i="1"/>
  <c r="B4634" i="1" s="1"/>
  <c r="D4634" i="1"/>
  <c r="C4634" i="1"/>
  <c r="E4633" i="1"/>
  <c r="B4633" i="1" s="1"/>
  <c r="D4633" i="1"/>
  <c r="C4633" i="1"/>
  <c r="E4632" i="1"/>
  <c r="B4632" i="1" s="1"/>
  <c r="D4632" i="1"/>
  <c r="C4632" i="1"/>
  <c r="E4631" i="1"/>
  <c r="B4631" i="1" s="1"/>
  <c r="D4631" i="1"/>
  <c r="C4631" i="1"/>
  <c r="E4630" i="1"/>
  <c r="B4630" i="1" s="1"/>
  <c r="D4630" i="1"/>
  <c r="C4630" i="1"/>
  <c r="E4629" i="1"/>
  <c r="B4629" i="1" s="1"/>
  <c r="D4629" i="1"/>
  <c r="C4629" i="1"/>
  <c r="E4628" i="1"/>
  <c r="B4628" i="1" s="1"/>
  <c r="D4628" i="1"/>
  <c r="C4628" i="1"/>
  <c r="E4627" i="1"/>
  <c r="B4627" i="1" s="1"/>
  <c r="D4627" i="1"/>
  <c r="C4627" i="1"/>
  <c r="E4626" i="1"/>
  <c r="B4626" i="1" s="1"/>
  <c r="D4626" i="1"/>
  <c r="C4626" i="1"/>
  <c r="E4625" i="1"/>
  <c r="B4625" i="1" s="1"/>
  <c r="D4625" i="1"/>
  <c r="C4625" i="1"/>
  <c r="E4624" i="1"/>
  <c r="B4624" i="1" s="1"/>
  <c r="D4624" i="1"/>
  <c r="C4624" i="1"/>
  <c r="E4623" i="1"/>
  <c r="B4623" i="1" s="1"/>
  <c r="D4623" i="1"/>
  <c r="C4623" i="1"/>
  <c r="E4622" i="1"/>
  <c r="B4622" i="1" s="1"/>
  <c r="D4622" i="1"/>
  <c r="C4622" i="1"/>
  <c r="E4621" i="1"/>
  <c r="B4621" i="1" s="1"/>
  <c r="D4621" i="1"/>
  <c r="C4621" i="1"/>
  <c r="E4620" i="1"/>
  <c r="B4620" i="1" s="1"/>
  <c r="D4620" i="1"/>
  <c r="C4620" i="1"/>
  <c r="E4619" i="1"/>
  <c r="B4619" i="1" s="1"/>
  <c r="D4619" i="1"/>
  <c r="C4619" i="1"/>
  <c r="E4618" i="1"/>
  <c r="B4618" i="1" s="1"/>
  <c r="D4618" i="1"/>
  <c r="C4618" i="1"/>
  <c r="E4617" i="1"/>
  <c r="B4617" i="1" s="1"/>
  <c r="D4617" i="1"/>
  <c r="C4617" i="1"/>
  <c r="E4616" i="1"/>
  <c r="B4616" i="1" s="1"/>
  <c r="D4616" i="1"/>
  <c r="C4616" i="1"/>
  <c r="E4615" i="1"/>
  <c r="B4615" i="1" s="1"/>
  <c r="D4615" i="1"/>
  <c r="C4615" i="1"/>
  <c r="E4614" i="1"/>
  <c r="B4614" i="1" s="1"/>
  <c r="D4614" i="1"/>
  <c r="C4614" i="1"/>
  <c r="E4613" i="1"/>
  <c r="B4613" i="1" s="1"/>
  <c r="D4613" i="1"/>
  <c r="C4613" i="1"/>
  <c r="E4612" i="1"/>
  <c r="B4612" i="1" s="1"/>
  <c r="D4612" i="1"/>
  <c r="C4612" i="1"/>
  <c r="E4611" i="1"/>
  <c r="B4611" i="1" s="1"/>
  <c r="D4611" i="1"/>
  <c r="C4611" i="1"/>
  <c r="E4610" i="1"/>
  <c r="B4610" i="1" s="1"/>
  <c r="D4610" i="1"/>
  <c r="C4610" i="1"/>
  <c r="E4609" i="1"/>
  <c r="B4609" i="1" s="1"/>
  <c r="D4609" i="1"/>
  <c r="C4609" i="1"/>
  <c r="E4608" i="1"/>
  <c r="B4608" i="1" s="1"/>
  <c r="D4608" i="1"/>
  <c r="C4608" i="1"/>
  <c r="E4607" i="1"/>
  <c r="B4607" i="1" s="1"/>
  <c r="D4607" i="1"/>
  <c r="C4607" i="1"/>
  <c r="E4606" i="1"/>
  <c r="B4606" i="1" s="1"/>
  <c r="D4606" i="1"/>
  <c r="C4606" i="1"/>
  <c r="E4605" i="1"/>
  <c r="B4605" i="1" s="1"/>
  <c r="D4605" i="1"/>
  <c r="C4605" i="1"/>
  <c r="E4604" i="1"/>
  <c r="B4604" i="1" s="1"/>
  <c r="D4604" i="1"/>
  <c r="C4604" i="1"/>
  <c r="E4603" i="1"/>
  <c r="B4603" i="1" s="1"/>
  <c r="D4603" i="1"/>
  <c r="C4603" i="1"/>
  <c r="E4602" i="1"/>
  <c r="B4602" i="1" s="1"/>
  <c r="D4602" i="1"/>
  <c r="C4602" i="1"/>
  <c r="E4601" i="1"/>
  <c r="B4601" i="1" s="1"/>
  <c r="D4601" i="1"/>
  <c r="C4601" i="1"/>
  <c r="E4600" i="1"/>
  <c r="B4600" i="1" s="1"/>
  <c r="D4600" i="1"/>
  <c r="C4600" i="1"/>
  <c r="E4599" i="1"/>
  <c r="B4599" i="1" s="1"/>
  <c r="D4599" i="1"/>
  <c r="C4599" i="1"/>
  <c r="E4598" i="1"/>
  <c r="B4598" i="1" s="1"/>
  <c r="D4598" i="1"/>
  <c r="C4598" i="1"/>
  <c r="E4597" i="1"/>
  <c r="B4597" i="1" s="1"/>
  <c r="D4597" i="1"/>
  <c r="C4597" i="1"/>
  <c r="E4596" i="1"/>
  <c r="B4596" i="1" s="1"/>
  <c r="D4596" i="1"/>
  <c r="C4596" i="1"/>
  <c r="E4595" i="1"/>
  <c r="B4595" i="1" s="1"/>
  <c r="D4595" i="1"/>
  <c r="C4595" i="1"/>
  <c r="E4594" i="1"/>
  <c r="B4594" i="1" s="1"/>
  <c r="D4594" i="1"/>
  <c r="C4594" i="1"/>
  <c r="E4593" i="1"/>
  <c r="B4593" i="1" s="1"/>
  <c r="D4593" i="1"/>
  <c r="C4593" i="1"/>
  <c r="E4592" i="1"/>
  <c r="B4592" i="1" s="1"/>
  <c r="D4592" i="1"/>
  <c r="C4592" i="1"/>
  <c r="E4591" i="1"/>
  <c r="B4591" i="1" s="1"/>
  <c r="D4591" i="1"/>
  <c r="C4591" i="1"/>
  <c r="E4590" i="1"/>
  <c r="B4590" i="1" s="1"/>
  <c r="D4590" i="1"/>
  <c r="C4590" i="1"/>
  <c r="E4589" i="1"/>
  <c r="B4589" i="1" s="1"/>
  <c r="D4589" i="1"/>
  <c r="C4589" i="1"/>
  <c r="E4588" i="1"/>
  <c r="B4588" i="1" s="1"/>
  <c r="D4588" i="1"/>
  <c r="C4588" i="1"/>
  <c r="E4587" i="1"/>
  <c r="D4587" i="1"/>
  <c r="C4587" i="1"/>
  <c r="E4586" i="1"/>
  <c r="B4586" i="1" s="1"/>
  <c r="D4586" i="1"/>
  <c r="C4586" i="1"/>
  <c r="E4585" i="1"/>
  <c r="B4585" i="1" s="1"/>
  <c r="D4585" i="1"/>
  <c r="C4585" i="1"/>
  <c r="E4584" i="1"/>
  <c r="B4584" i="1" s="1"/>
  <c r="D4584" i="1"/>
  <c r="C4584" i="1"/>
  <c r="E4583" i="1"/>
  <c r="D4583" i="1"/>
  <c r="C4583" i="1"/>
  <c r="E4582" i="1"/>
  <c r="B4582" i="1" s="1"/>
  <c r="D4582" i="1"/>
  <c r="C4582" i="1"/>
  <c r="E4581" i="1"/>
  <c r="B4581" i="1" s="1"/>
  <c r="D4581" i="1"/>
  <c r="C4581" i="1"/>
  <c r="E4580" i="1"/>
  <c r="B4580" i="1" s="1"/>
  <c r="D4580" i="1"/>
  <c r="C4580" i="1"/>
  <c r="E4579" i="1"/>
  <c r="D4579" i="1"/>
  <c r="C4579" i="1"/>
  <c r="E4578" i="1"/>
  <c r="B4578" i="1" s="1"/>
  <c r="D4578" i="1"/>
  <c r="C4578" i="1"/>
  <c r="E4577" i="1"/>
  <c r="B4577" i="1" s="1"/>
  <c r="D4577" i="1"/>
  <c r="C4577" i="1"/>
  <c r="E4576" i="1"/>
  <c r="B4576" i="1" s="1"/>
  <c r="D4576" i="1"/>
  <c r="C4576" i="1"/>
  <c r="E4575" i="1"/>
  <c r="D4575" i="1"/>
  <c r="C4575" i="1"/>
  <c r="E4574" i="1"/>
  <c r="B4574" i="1" s="1"/>
  <c r="D4574" i="1"/>
  <c r="C4574" i="1"/>
  <c r="E4573" i="1"/>
  <c r="B4573" i="1" s="1"/>
  <c r="D4573" i="1"/>
  <c r="C4573" i="1"/>
  <c r="E4572" i="1"/>
  <c r="B4572" i="1" s="1"/>
  <c r="D4572" i="1"/>
  <c r="C4572" i="1"/>
  <c r="E4571" i="1"/>
  <c r="D4571" i="1"/>
  <c r="C4571" i="1"/>
  <c r="E4570" i="1"/>
  <c r="B4570" i="1" s="1"/>
  <c r="D4570" i="1"/>
  <c r="C4570" i="1"/>
  <c r="E4569" i="1"/>
  <c r="B4569" i="1" s="1"/>
  <c r="D4569" i="1"/>
  <c r="C4569" i="1"/>
  <c r="E4568" i="1"/>
  <c r="B4568" i="1" s="1"/>
  <c r="D4568" i="1"/>
  <c r="C4568" i="1"/>
  <c r="E4567" i="1"/>
  <c r="D4567" i="1"/>
  <c r="C4567" i="1"/>
  <c r="E4566" i="1"/>
  <c r="B4566" i="1" s="1"/>
  <c r="D4566" i="1"/>
  <c r="C4566" i="1"/>
  <c r="E4565" i="1"/>
  <c r="B4565" i="1" s="1"/>
  <c r="D4565" i="1"/>
  <c r="C4565" i="1"/>
  <c r="E4564" i="1"/>
  <c r="B4564" i="1" s="1"/>
  <c r="D4564" i="1"/>
  <c r="C4564" i="1"/>
  <c r="E4563" i="1"/>
  <c r="D4563" i="1"/>
  <c r="C4563" i="1"/>
  <c r="E4562" i="1"/>
  <c r="B4562" i="1" s="1"/>
  <c r="D4562" i="1"/>
  <c r="C4562" i="1"/>
  <c r="E4561" i="1"/>
  <c r="B4561" i="1" s="1"/>
  <c r="D4561" i="1"/>
  <c r="C4561" i="1"/>
  <c r="E4560" i="1"/>
  <c r="B4560" i="1" s="1"/>
  <c r="D4560" i="1"/>
  <c r="C4560" i="1"/>
  <c r="E4559" i="1"/>
  <c r="D4559" i="1"/>
  <c r="C4559" i="1"/>
  <c r="E4558" i="1"/>
  <c r="D4558" i="1"/>
  <c r="C4558" i="1"/>
  <c r="E4557" i="1"/>
  <c r="B4557" i="1" s="1"/>
  <c r="D4557" i="1"/>
  <c r="C4557" i="1"/>
  <c r="E4556" i="1"/>
  <c r="B4556" i="1" s="1"/>
  <c r="D4556" i="1"/>
  <c r="C4556" i="1"/>
  <c r="E4555" i="1"/>
  <c r="D4555" i="1"/>
  <c r="C4555" i="1"/>
  <c r="E4554" i="1"/>
  <c r="D4554" i="1"/>
  <c r="C4554" i="1"/>
  <c r="E4553" i="1"/>
  <c r="D4553" i="1"/>
  <c r="C4553" i="1"/>
  <c r="E4552" i="1"/>
  <c r="B4552" i="1" s="1"/>
  <c r="D4552" i="1"/>
  <c r="C4552" i="1"/>
  <c r="E4551" i="1"/>
  <c r="D4551" i="1"/>
  <c r="C4551" i="1"/>
  <c r="E4550" i="1"/>
  <c r="D4550" i="1"/>
  <c r="C4550" i="1"/>
  <c r="E4549" i="1"/>
  <c r="B4549" i="1" s="1"/>
  <c r="D4549" i="1"/>
  <c r="C4549" i="1"/>
  <c r="E4548" i="1"/>
  <c r="B4548" i="1" s="1"/>
  <c r="D4548" i="1"/>
  <c r="C4548" i="1"/>
  <c r="E4547" i="1"/>
  <c r="D4547" i="1"/>
  <c r="C4547" i="1"/>
  <c r="E4546" i="1"/>
  <c r="D4546" i="1"/>
  <c r="C4546" i="1"/>
  <c r="E4545" i="1"/>
  <c r="B4545" i="1" s="1"/>
  <c r="D4545" i="1"/>
  <c r="C4545" i="1"/>
  <c r="E4544" i="1"/>
  <c r="B4544" i="1" s="1"/>
  <c r="D4544" i="1"/>
  <c r="C4544" i="1"/>
  <c r="E4543" i="1"/>
  <c r="D4543" i="1"/>
  <c r="C4543" i="1"/>
  <c r="E4542" i="1"/>
  <c r="D4542" i="1"/>
  <c r="C4542" i="1"/>
  <c r="E4541" i="1"/>
  <c r="B4541" i="1" s="1"/>
  <c r="D4541" i="1"/>
  <c r="C4541" i="1"/>
  <c r="E4540" i="1"/>
  <c r="B4540" i="1" s="1"/>
  <c r="D4540" i="1"/>
  <c r="C4540" i="1"/>
  <c r="E4539" i="1"/>
  <c r="D4539" i="1"/>
  <c r="C4539" i="1"/>
  <c r="E4538" i="1"/>
  <c r="D4538" i="1"/>
  <c r="C4538" i="1"/>
  <c r="E4537" i="1"/>
  <c r="B4537" i="1" s="1"/>
  <c r="D4537" i="1"/>
  <c r="C4537" i="1"/>
  <c r="E4536" i="1"/>
  <c r="B4536" i="1" s="1"/>
  <c r="D4536" i="1"/>
  <c r="C4536" i="1"/>
  <c r="E4535" i="1"/>
  <c r="D4535" i="1"/>
  <c r="C4535" i="1"/>
  <c r="E4534" i="1"/>
  <c r="D4534" i="1"/>
  <c r="C4534" i="1"/>
  <c r="E4533" i="1"/>
  <c r="B4533" i="1" s="1"/>
  <c r="D4533" i="1"/>
  <c r="C4533" i="1"/>
  <c r="E4532" i="1"/>
  <c r="B4532" i="1" s="1"/>
  <c r="D4532" i="1"/>
  <c r="C4532" i="1"/>
  <c r="E4531" i="1"/>
  <c r="D4531" i="1"/>
  <c r="C4531" i="1"/>
  <c r="E4530" i="1"/>
  <c r="D4530" i="1"/>
  <c r="C4530" i="1"/>
  <c r="E4529" i="1"/>
  <c r="D4529" i="1"/>
  <c r="C4529" i="1"/>
  <c r="E4528" i="1"/>
  <c r="B4528" i="1" s="1"/>
  <c r="D4528" i="1"/>
  <c r="C4528" i="1"/>
  <c r="E4527" i="1"/>
  <c r="D4527" i="1"/>
  <c r="C4527" i="1"/>
  <c r="E4526" i="1"/>
  <c r="D4526" i="1"/>
  <c r="C4526" i="1"/>
  <c r="E4525" i="1"/>
  <c r="B4525" i="1" s="1"/>
  <c r="D4525" i="1"/>
  <c r="C4525" i="1"/>
  <c r="E4524" i="1"/>
  <c r="B4524" i="1" s="1"/>
  <c r="D4524" i="1"/>
  <c r="C4524" i="1"/>
  <c r="E4523" i="1"/>
  <c r="D4523" i="1"/>
  <c r="C4523" i="1"/>
  <c r="E4522" i="1"/>
  <c r="D4522" i="1"/>
  <c r="C4522" i="1"/>
  <c r="E4521" i="1"/>
  <c r="D4521" i="1"/>
  <c r="C4521" i="1"/>
  <c r="E4520" i="1"/>
  <c r="B4520" i="1" s="1"/>
  <c r="D4520" i="1"/>
  <c r="C4520" i="1"/>
  <c r="E4519" i="1"/>
  <c r="D4519" i="1"/>
  <c r="C4519" i="1"/>
  <c r="E4518" i="1"/>
  <c r="D4518" i="1"/>
  <c r="C4518" i="1"/>
  <c r="E4517" i="1"/>
  <c r="D4517" i="1"/>
  <c r="C4517" i="1"/>
  <c r="E4516" i="1"/>
  <c r="B4516" i="1" s="1"/>
  <c r="D4516" i="1"/>
  <c r="C4516" i="1"/>
  <c r="E4515" i="1"/>
  <c r="D4515" i="1"/>
  <c r="C4515" i="1"/>
  <c r="E4514" i="1"/>
  <c r="D4514" i="1"/>
  <c r="C4514" i="1"/>
  <c r="E4513" i="1"/>
  <c r="D4513" i="1"/>
  <c r="C4513" i="1"/>
  <c r="E4512" i="1"/>
  <c r="B4512" i="1" s="1"/>
  <c r="D4512" i="1"/>
  <c r="C4512" i="1"/>
  <c r="E4511" i="1"/>
  <c r="D4511" i="1"/>
  <c r="C4511" i="1"/>
  <c r="E4510" i="1"/>
  <c r="D4510" i="1"/>
  <c r="C4510" i="1"/>
  <c r="E4509" i="1"/>
  <c r="B4509" i="1" s="1"/>
  <c r="D4509" i="1"/>
  <c r="C4509" i="1"/>
  <c r="E4508" i="1"/>
  <c r="B4508" i="1" s="1"/>
  <c r="D4508" i="1"/>
  <c r="C4508" i="1"/>
  <c r="E4507" i="1"/>
  <c r="D4507" i="1"/>
  <c r="C4507" i="1"/>
  <c r="E4506" i="1"/>
  <c r="D4506" i="1"/>
  <c r="C4506" i="1"/>
  <c r="E4505" i="1"/>
  <c r="D4505" i="1"/>
  <c r="C4505" i="1"/>
  <c r="E4504" i="1"/>
  <c r="B4504" i="1" s="1"/>
  <c r="D4504" i="1"/>
  <c r="C4504" i="1"/>
  <c r="E4503" i="1"/>
  <c r="D4503" i="1"/>
  <c r="C4503" i="1"/>
  <c r="E4502" i="1"/>
  <c r="D4502" i="1"/>
  <c r="C4502" i="1"/>
  <c r="E4501" i="1"/>
  <c r="B4501" i="1" s="1"/>
  <c r="D4501" i="1"/>
  <c r="C4501" i="1"/>
  <c r="E4500" i="1"/>
  <c r="B4500" i="1" s="1"/>
  <c r="D4500" i="1"/>
  <c r="C4500" i="1"/>
  <c r="E4499" i="1"/>
  <c r="D4499" i="1"/>
  <c r="C4499" i="1"/>
  <c r="E4498" i="1"/>
  <c r="D4498" i="1"/>
  <c r="C4498" i="1"/>
  <c r="E4497" i="1"/>
  <c r="B4497" i="1" s="1"/>
  <c r="D4497" i="1"/>
  <c r="C4497" i="1"/>
  <c r="E4496" i="1"/>
  <c r="B4496" i="1" s="1"/>
  <c r="D4496" i="1"/>
  <c r="C4496" i="1"/>
  <c r="E4495" i="1"/>
  <c r="D4495" i="1"/>
  <c r="C4495" i="1"/>
  <c r="E4494" i="1"/>
  <c r="D4494" i="1"/>
  <c r="C4494" i="1"/>
  <c r="E4493" i="1"/>
  <c r="B4493" i="1" s="1"/>
  <c r="D4493" i="1"/>
  <c r="C4493" i="1"/>
  <c r="E4492" i="1"/>
  <c r="B4492" i="1" s="1"/>
  <c r="D4492" i="1"/>
  <c r="C4492" i="1"/>
  <c r="E4491" i="1"/>
  <c r="D4491" i="1"/>
  <c r="C4491" i="1"/>
  <c r="E4490" i="1"/>
  <c r="D4490" i="1"/>
  <c r="C4490" i="1"/>
  <c r="E4489" i="1"/>
  <c r="B4489" i="1" s="1"/>
  <c r="D4489" i="1"/>
  <c r="C4489" i="1"/>
  <c r="E4488" i="1"/>
  <c r="B4488" i="1" s="1"/>
  <c r="D4488" i="1"/>
  <c r="C4488" i="1"/>
  <c r="E4487" i="1"/>
  <c r="D4487" i="1"/>
  <c r="C4487" i="1"/>
  <c r="E4486" i="1"/>
  <c r="D4486" i="1"/>
  <c r="C4486" i="1"/>
  <c r="E4485" i="1"/>
  <c r="B4485" i="1" s="1"/>
  <c r="D4485" i="1"/>
  <c r="C4485" i="1"/>
  <c r="E4484" i="1"/>
  <c r="B4484" i="1" s="1"/>
  <c r="D4484" i="1"/>
  <c r="C4484" i="1"/>
  <c r="E4483" i="1"/>
  <c r="D4483" i="1"/>
  <c r="C4483" i="1"/>
  <c r="E4482" i="1"/>
  <c r="D4482" i="1"/>
  <c r="C4482" i="1"/>
  <c r="E4481" i="1"/>
  <c r="B4481" i="1" s="1"/>
  <c r="D4481" i="1"/>
  <c r="C4481" i="1"/>
  <c r="E4480" i="1"/>
  <c r="B4480" i="1" s="1"/>
  <c r="D4480" i="1"/>
  <c r="C4480" i="1"/>
  <c r="E4479" i="1"/>
  <c r="D4479" i="1"/>
  <c r="C4479" i="1"/>
  <c r="E4478" i="1"/>
  <c r="D4478" i="1"/>
  <c r="C4478" i="1"/>
  <c r="E4477" i="1"/>
  <c r="B4477" i="1" s="1"/>
  <c r="D4477" i="1"/>
  <c r="C4477" i="1"/>
  <c r="E4476" i="1"/>
  <c r="B4476" i="1" s="1"/>
  <c r="D4476" i="1"/>
  <c r="C4476" i="1"/>
  <c r="E4475" i="1"/>
  <c r="D4475" i="1"/>
  <c r="C4475" i="1"/>
  <c r="E4474" i="1"/>
  <c r="D4474" i="1"/>
  <c r="C4474" i="1"/>
  <c r="E4473" i="1"/>
  <c r="B4473" i="1" s="1"/>
  <c r="D4473" i="1"/>
  <c r="C4473" i="1"/>
  <c r="E4472" i="1"/>
  <c r="B4472" i="1" s="1"/>
  <c r="D4472" i="1"/>
  <c r="C4472" i="1"/>
  <c r="E4471" i="1"/>
  <c r="D4471" i="1"/>
  <c r="C4471" i="1"/>
  <c r="E4470" i="1"/>
  <c r="D4470" i="1"/>
  <c r="C4470" i="1"/>
  <c r="E4469" i="1"/>
  <c r="B4469" i="1" s="1"/>
  <c r="D4469" i="1"/>
  <c r="C4469" i="1"/>
  <c r="E4468" i="1"/>
  <c r="B4468" i="1" s="1"/>
  <c r="D4468" i="1"/>
  <c r="C4468" i="1"/>
  <c r="E4467" i="1"/>
  <c r="D4467" i="1"/>
  <c r="C4467" i="1"/>
  <c r="E4466" i="1"/>
  <c r="D4466" i="1"/>
  <c r="C4466" i="1"/>
  <c r="E4465" i="1"/>
  <c r="B4465" i="1" s="1"/>
  <c r="D4465" i="1"/>
  <c r="C4465" i="1"/>
  <c r="E4464" i="1"/>
  <c r="B4464" i="1" s="1"/>
  <c r="D4464" i="1"/>
  <c r="C4464" i="1"/>
  <c r="E4463" i="1"/>
  <c r="D4463" i="1"/>
  <c r="C4463" i="1"/>
  <c r="E4462" i="1"/>
  <c r="D4462" i="1"/>
  <c r="C4462" i="1"/>
  <c r="E4461" i="1"/>
  <c r="B4461" i="1" s="1"/>
  <c r="D4461" i="1"/>
  <c r="C4461" i="1"/>
  <c r="E4460" i="1"/>
  <c r="B4460" i="1" s="1"/>
  <c r="D4460" i="1"/>
  <c r="C4460" i="1"/>
  <c r="E4459" i="1"/>
  <c r="D4459" i="1"/>
  <c r="C4459" i="1"/>
  <c r="E4458" i="1"/>
  <c r="D4458" i="1"/>
  <c r="C4458" i="1"/>
  <c r="E4457" i="1"/>
  <c r="B4457" i="1" s="1"/>
  <c r="D4457" i="1"/>
  <c r="C4457" i="1"/>
  <c r="E4456" i="1"/>
  <c r="B4456" i="1" s="1"/>
  <c r="D4456" i="1"/>
  <c r="C4456" i="1"/>
  <c r="E4455" i="1"/>
  <c r="D4455" i="1"/>
  <c r="C4455" i="1"/>
  <c r="E4454" i="1"/>
  <c r="D4454" i="1"/>
  <c r="C4454" i="1"/>
  <c r="E4453" i="1"/>
  <c r="B4453" i="1" s="1"/>
  <c r="D4453" i="1"/>
  <c r="C4453" i="1"/>
  <c r="E4452" i="1"/>
  <c r="B4452" i="1" s="1"/>
  <c r="D4452" i="1"/>
  <c r="C4452" i="1"/>
  <c r="E4451" i="1"/>
  <c r="D4451" i="1"/>
  <c r="C4451" i="1"/>
  <c r="E4450" i="1"/>
  <c r="D4450" i="1"/>
  <c r="C4450" i="1"/>
  <c r="E4449" i="1"/>
  <c r="B4449" i="1" s="1"/>
  <c r="D4449" i="1"/>
  <c r="C4449" i="1"/>
  <c r="E4448" i="1"/>
  <c r="B4448" i="1" s="1"/>
  <c r="D4448" i="1"/>
  <c r="C4448" i="1"/>
  <c r="E4447" i="1"/>
  <c r="D4447" i="1"/>
  <c r="C4447" i="1"/>
  <c r="E4446" i="1"/>
  <c r="D4446" i="1"/>
  <c r="C4446" i="1"/>
  <c r="E4445" i="1"/>
  <c r="B4445" i="1" s="1"/>
  <c r="D4445" i="1"/>
  <c r="C4445" i="1"/>
  <c r="E4444" i="1"/>
  <c r="B4444" i="1" s="1"/>
  <c r="D4444" i="1"/>
  <c r="C4444" i="1"/>
  <c r="E4443" i="1"/>
  <c r="D4443" i="1"/>
  <c r="C4443" i="1"/>
  <c r="E4442" i="1"/>
  <c r="D4442" i="1"/>
  <c r="C4442" i="1"/>
  <c r="E4441" i="1"/>
  <c r="B4441" i="1" s="1"/>
  <c r="D4441" i="1"/>
  <c r="C4441" i="1"/>
  <c r="E4440" i="1"/>
  <c r="B4440" i="1" s="1"/>
  <c r="D4440" i="1"/>
  <c r="C4440" i="1"/>
  <c r="E4439" i="1"/>
  <c r="D4439" i="1"/>
  <c r="C4439" i="1"/>
  <c r="E4438" i="1"/>
  <c r="D4438" i="1"/>
  <c r="C4438" i="1"/>
  <c r="E4437" i="1"/>
  <c r="B4437" i="1" s="1"/>
  <c r="D4437" i="1"/>
  <c r="C4437" i="1"/>
  <c r="E4436" i="1"/>
  <c r="B4436" i="1" s="1"/>
  <c r="D4436" i="1"/>
  <c r="C4436" i="1"/>
  <c r="E4435" i="1"/>
  <c r="D4435" i="1"/>
  <c r="C4435" i="1"/>
  <c r="E4434" i="1"/>
  <c r="D4434" i="1"/>
  <c r="C4434" i="1"/>
  <c r="E4433" i="1"/>
  <c r="D4433" i="1"/>
  <c r="C4433" i="1"/>
  <c r="E4432" i="1"/>
  <c r="B4432" i="1" s="1"/>
  <c r="D4432" i="1"/>
  <c r="C4432" i="1"/>
  <c r="E4431" i="1"/>
  <c r="D4431" i="1"/>
  <c r="C4431" i="1"/>
  <c r="E4430" i="1"/>
  <c r="D4430" i="1"/>
  <c r="C4430" i="1"/>
  <c r="E4429" i="1"/>
  <c r="B4429" i="1" s="1"/>
  <c r="D4429" i="1"/>
  <c r="C4429" i="1"/>
  <c r="E4428" i="1"/>
  <c r="B4428" i="1" s="1"/>
  <c r="D4428" i="1"/>
  <c r="C4428" i="1"/>
  <c r="E4427" i="1"/>
  <c r="D4427" i="1"/>
  <c r="C4427" i="1"/>
  <c r="E4426" i="1"/>
  <c r="D4426" i="1"/>
  <c r="C4426" i="1"/>
  <c r="E4425" i="1"/>
  <c r="B4425" i="1" s="1"/>
  <c r="D4425" i="1"/>
  <c r="C4425" i="1"/>
  <c r="E4424" i="1"/>
  <c r="B4424" i="1" s="1"/>
  <c r="D4424" i="1"/>
  <c r="C4424" i="1"/>
  <c r="E4423" i="1"/>
  <c r="D4423" i="1"/>
  <c r="C4423" i="1"/>
  <c r="E4422" i="1"/>
  <c r="D4422" i="1"/>
  <c r="C4422" i="1"/>
  <c r="E4421" i="1"/>
  <c r="B4421" i="1" s="1"/>
  <c r="D4421" i="1"/>
  <c r="C4421" i="1"/>
  <c r="E4420" i="1"/>
  <c r="B4420" i="1" s="1"/>
  <c r="D4420" i="1"/>
  <c r="C4420" i="1"/>
  <c r="E4419" i="1"/>
  <c r="D4419" i="1"/>
  <c r="C4419" i="1"/>
  <c r="E4418" i="1"/>
  <c r="D4418" i="1"/>
  <c r="C4418" i="1"/>
  <c r="E4417" i="1"/>
  <c r="B4417" i="1" s="1"/>
  <c r="D4417" i="1"/>
  <c r="C4417" i="1"/>
  <c r="E4416" i="1"/>
  <c r="B4416" i="1" s="1"/>
  <c r="D4416" i="1"/>
  <c r="C4416" i="1"/>
  <c r="E4415" i="1"/>
  <c r="D4415" i="1"/>
  <c r="C4415" i="1"/>
  <c r="E4414" i="1"/>
  <c r="D4414" i="1"/>
  <c r="C4414" i="1"/>
  <c r="E4413" i="1"/>
  <c r="B4413" i="1" s="1"/>
  <c r="D4413" i="1"/>
  <c r="C4413" i="1"/>
  <c r="E4412" i="1"/>
  <c r="B4412" i="1" s="1"/>
  <c r="D4412" i="1"/>
  <c r="C4412" i="1"/>
  <c r="E4411" i="1"/>
  <c r="D4411" i="1"/>
  <c r="C4411" i="1"/>
  <c r="E4410" i="1"/>
  <c r="D4410" i="1"/>
  <c r="C4410" i="1"/>
  <c r="E4409" i="1"/>
  <c r="B4409" i="1" s="1"/>
  <c r="D4409" i="1"/>
  <c r="C4409" i="1"/>
  <c r="E4408" i="1"/>
  <c r="B4408" i="1" s="1"/>
  <c r="D4408" i="1"/>
  <c r="C4408" i="1"/>
  <c r="E4407" i="1"/>
  <c r="D4407" i="1"/>
  <c r="C4407" i="1"/>
  <c r="E4406" i="1"/>
  <c r="D4406" i="1"/>
  <c r="C4406" i="1"/>
  <c r="E4405" i="1"/>
  <c r="B4405" i="1" s="1"/>
  <c r="D4405" i="1"/>
  <c r="C4405" i="1"/>
  <c r="E4404" i="1"/>
  <c r="B4404" i="1" s="1"/>
  <c r="D4404" i="1"/>
  <c r="C4404" i="1"/>
  <c r="E4403" i="1"/>
  <c r="D4403" i="1"/>
  <c r="C4403" i="1"/>
  <c r="E4402" i="1"/>
  <c r="D4402" i="1"/>
  <c r="C4402" i="1"/>
  <c r="E4401" i="1"/>
  <c r="B4401" i="1" s="1"/>
  <c r="D4401" i="1"/>
  <c r="C4401" i="1"/>
  <c r="E4400" i="1"/>
  <c r="B4400" i="1" s="1"/>
  <c r="D4400" i="1"/>
  <c r="C4400" i="1"/>
  <c r="E4399" i="1"/>
  <c r="D4399" i="1"/>
  <c r="C4399" i="1"/>
  <c r="E4398" i="1"/>
  <c r="D4398" i="1"/>
  <c r="C4398" i="1"/>
  <c r="E4397" i="1"/>
  <c r="B4397" i="1" s="1"/>
  <c r="D4397" i="1"/>
  <c r="C4397" i="1"/>
  <c r="E4396" i="1"/>
  <c r="B4396" i="1" s="1"/>
  <c r="D4396" i="1"/>
  <c r="C4396" i="1"/>
  <c r="E4395" i="1"/>
  <c r="D4395" i="1"/>
  <c r="C4395" i="1"/>
  <c r="E4394" i="1"/>
  <c r="D4394" i="1"/>
  <c r="C4394" i="1"/>
  <c r="E4393" i="1"/>
  <c r="B4393" i="1" s="1"/>
  <c r="D4393" i="1"/>
  <c r="C4393" i="1"/>
  <c r="E4392" i="1"/>
  <c r="B4392" i="1" s="1"/>
  <c r="D4392" i="1"/>
  <c r="C4392" i="1"/>
  <c r="E4391" i="1"/>
  <c r="D4391" i="1"/>
  <c r="C4391" i="1"/>
  <c r="E4390" i="1"/>
  <c r="D4390" i="1"/>
  <c r="C4390" i="1"/>
  <c r="E4389" i="1"/>
  <c r="B4389" i="1" s="1"/>
  <c r="D4389" i="1"/>
  <c r="C4389" i="1"/>
  <c r="E4388" i="1"/>
  <c r="B4388" i="1" s="1"/>
  <c r="D4388" i="1"/>
  <c r="C4388" i="1"/>
  <c r="E4387" i="1"/>
  <c r="D4387" i="1"/>
  <c r="C4387" i="1"/>
  <c r="E4386" i="1"/>
  <c r="D4386" i="1"/>
  <c r="C4386" i="1"/>
  <c r="E4385" i="1"/>
  <c r="B4385" i="1" s="1"/>
  <c r="D4385" i="1"/>
  <c r="C4385" i="1"/>
  <c r="E4384" i="1"/>
  <c r="B4384" i="1" s="1"/>
  <c r="D4384" i="1"/>
  <c r="C4384" i="1"/>
  <c r="E4383" i="1"/>
  <c r="D4383" i="1"/>
  <c r="C4383" i="1"/>
  <c r="E4382" i="1"/>
  <c r="D4382" i="1"/>
  <c r="C4382" i="1"/>
  <c r="E4381" i="1"/>
  <c r="B4381" i="1" s="1"/>
  <c r="D4381" i="1"/>
  <c r="C4381" i="1"/>
  <c r="E4380" i="1"/>
  <c r="B4380" i="1" s="1"/>
  <c r="D4380" i="1"/>
  <c r="C4380" i="1"/>
  <c r="E4379" i="1"/>
  <c r="D4379" i="1"/>
  <c r="C4379" i="1"/>
  <c r="E4378" i="1"/>
  <c r="D4378" i="1"/>
  <c r="C4378" i="1"/>
  <c r="E4377" i="1"/>
  <c r="B4377" i="1" s="1"/>
  <c r="D4377" i="1"/>
  <c r="C4377" i="1"/>
  <c r="E4376" i="1"/>
  <c r="B4376" i="1" s="1"/>
  <c r="D4376" i="1"/>
  <c r="C4376" i="1"/>
  <c r="E4375" i="1"/>
  <c r="D4375" i="1"/>
  <c r="C4375" i="1"/>
  <c r="E4374" i="1"/>
  <c r="D4374" i="1"/>
  <c r="C4374" i="1"/>
  <c r="E4373" i="1"/>
  <c r="B4373" i="1" s="1"/>
  <c r="D4373" i="1"/>
  <c r="C4373" i="1"/>
  <c r="E4372" i="1"/>
  <c r="B4372" i="1" s="1"/>
  <c r="D4372" i="1"/>
  <c r="C4372" i="1"/>
  <c r="E4371" i="1"/>
  <c r="D4371" i="1"/>
  <c r="C4371" i="1"/>
  <c r="E4370" i="1"/>
  <c r="D4370" i="1"/>
  <c r="C4370" i="1"/>
  <c r="E4369" i="1"/>
  <c r="B4369" i="1" s="1"/>
  <c r="D4369" i="1"/>
  <c r="C4369" i="1"/>
  <c r="E4368" i="1"/>
  <c r="B4368" i="1" s="1"/>
  <c r="D4368" i="1"/>
  <c r="C4368" i="1"/>
  <c r="E4367" i="1"/>
  <c r="D4367" i="1"/>
  <c r="C4367" i="1"/>
  <c r="E4366" i="1"/>
  <c r="D4366" i="1"/>
  <c r="C4366" i="1"/>
  <c r="E4365" i="1"/>
  <c r="B4365" i="1" s="1"/>
  <c r="D4365" i="1"/>
  <c r="C4365" i="1"/>
  <c r="E4364" i="1"/>
  <c r="B4364" i="1" s="1"/>
  <c r="D4364" i="1"/>
  <c r="C4364" i="1"/>
  <c r="E4363" i="1"/>
  <c r="D4363" i="1"/>
  <c r="C4363" i="1"/>
  <c r="E4362" i="1"/>
  <c r="D4362" i="1"/>
  <c r="C4362" i="1"/>
  <c r="E4361" i="1"/>
  <c r="B4361" i="1" s="1"/>
  <c r="D4361" i="1"/>
  <c r="C4361" i="1"/>
  <c r="E4360" i="1"/>
  <c r="B4360" i="1" s="1"/>
  <c r="D4360" i="1"/>
  <c r="C4360" i="1"/>
  <c r="E4359" i="1"/>
  <c r="D4359" i="1"/>
  <c r="C4359" i="1"/>
  <c r="E4358" i="1"/>
  <c r="D4358" i="1"/>
  <c r="C4358" i="1"/>
  <c r="E4357" i="1"/>
  <c r="B4357" i="1" s="1"/>
  <c r="D4357" i="1"/>
  <c r="C4357" i="1"/>
  <c r="E4356" i="1"/>
  <c r="B4356" i="1" s="1"/>
  <c r="D4356" i="1"/>
  <c r="C4356" i="1"/>
  <c r="E4355" i="1"/>
  <c r="D4355" i="1"/>
  <c r="C4355" i="1"/>
  <c r="E4354" i="1"/>
  <c r="D4354" i="1"/>
  <c r="C4354" i="1"/>
  <c r="E4353" i="1"/>
  <c r="B4353" i="1" s="1"/>
  <c r="D4353" i="1"/>
  <c r="C4353" i="1"/>
  <c r="E4352" i="1"/>
  <c r="B4352" i="1" s="1"/>
  <c r="D4352" i="1"/>
  <c r="C4352" i="1"/>
  <c r="E4351" i="1"/>
  <c r="D4351" i="1"/>
  <c r="C4351" i="1"/>
  <c r="E4350" i="1"/>
  <c r="D4350" i="1"/>
  <c r="C4350" i="1"/>
  <c r="E4349" i="1"/>
  <c r="B4349" i="1" s="1"/>
  <c r="D4349" i="1"/>
  <c r="C4349" i="1"/>
  <c r="E4348" i="1"/>
  <c r="B4348" i="1" s="1"/>
  <c r="D4348" i="1"/>
  <c r="C4348" i="1"/>
  <c r="E4347" i="1"/>
  <c r="D4347" i="1"/>
  <c r="C4347" i="1"/>
  <c r="E4346" i="1"/>
  <c r="D4346" i="1"/>
  <c r="C4346" i="1"/>
  <c r="E4345" i="1"/>
  <c r="B4345" i="1" s="1"/>
  <c r="D4345" i="1"/>
  <c r="C4345" i="1"/>
  <c r="E4344" i="1"/>
  <c r="B4344" i="1" s="1"/>
  <c r="D4344" i="1"/>
  <c r="C4344" i="1"/>
  <c r="E4343" i="1"/>
  <c r="B4343" i="1" s="1"/>
  <c r="D4343" i="1"/>
  <c r="C4343" i="1"/>
  <c r="E4342" i="1"/>
  <c r="D4342" i="1"/>
  <c r="C4342" i="1"/>
  <c r="E4341" i="1"/>
  <c r="D4341" i="1"/>
  <c r="B4341" i="1" s="1"/>
  <c r="C4341" i="1"/>
  <c r="E4340" i="1"/>
  <c r="D4340" i="1"/>
  <c r="C4340" i="1"/>
  <c r="E4339" i="1"/>
  <c r="D4339" i="1"/>
  <c r="C4339" i="1"/>
  <c r="B4339" i="1"/>
  <c r="E4338" i="1"/>
  <c r="B4338" i="1" s="1"/>
  <c r="D4338" i="1"/>
  <c r="C4338" i="1"/>
  <c r="E4337" i="1"/>
  <c r="B4337" i="1" s="1"/>
  <c r="D4337" i="1"/>
  <c r="C4337" i="1"/>
  <c r="E4336" i="1"/>
  <c r="B4336" i="1" s="1"/>
  <c r="D4336" i="1"/>
  <c r="C4336" i="1"/>
  <c r="E4335" i="1"/>
  <c r="B4335" i="1" s="1"/>
  <c r="D4335" i="1"/>
  <c r="C4335" i="1"/>
  <c r="E4334" i="1"/>
  <c r="D4334" i="1"/>
  <c r="C4334" i="1"/>
  <c r="E4333" i="1"/>
  <c r="D4333" i="1"/>
  <c r="B4333" i="1" s="1"/>
  <c r="C4333" i="1"/>
  <c r="E4332" i="1"/>
  <c r="D4332" i="1"/>
  <c r="C4332" i="1"/>
  <c r="E4331" i="1"/>
  <c r="D4331" i="1"/>
  <c r="C4331" i="1"/>
  <c r="B4331" i="1"/>
  <c r="E4330" i="1"/>
  <c r="B4330" i="1" s="1"/>
  <c r="D4330" i="1"/>
  <c r="C4330" i="1"/>
  <c r="E4329" i="1"/>
  <c r="B4329" i="1" s="1"/>
  <c r="D4329" i="1"/>
  <c r="C4329" i="1"/>
  <c r="E4328" i="1"/>
  <c r="B4328" i="1" s="1"/>
  <c r="D4328" i="1"/>
  <c r="C4328" i="1"/>
  <c r="E4327" i="1"/>
  <c r="B4327" i="1" s="1"/>
  <c r="D4327" i="1"/>
  <c r="C4327" i="1"/>
  <c r="E4326" i="1"/>
  <c r="D4326" i="1"/>
  <c r="C4326" i="1"/>
  <c r="E4325" i="1"/>
  <c r="D4325" i="1"/>
  <c r="B4325" i="1" s="1"/>
  <c r="C4325" i="1"/>
  <c r="E4324" i="1"/>
  <c r="D4324" i="1"/>
  <c r="C4324" i="1"/>
  <c r="E4323" i="1"/>
  <c r="D4323" i="1"/>
  <c r="C4323" i="1"/>
  <c r="B4323" i="1"/>
  <c r="E4322" i="1"/>
  <c r="B4322" i="1" s="1"/>
  <c r="D4322" i="1"/>
  <c r="C4322" i="1"/>
  <c r="E4321" i="1"/>
  <c r="B4321" i="1" s="1"/>
  <c r="D4321" i="1"/>
  <c r="C4321" i="1"/>
  <c r="E4320" i="1"/>
  <c r="B4320" i="1" s="1"/>
  <c r="D4320" i="1"/>
  <c r="C4320" i="1"/>
  <c r="E4319" i="1"/>
  <c r="B4319" i="1" s="1"/>
  <c r="D4319" i="1"/>
  <c r="C4319" i="1"/>
  <c r="E4318" i="1"/>
  <c r="D4318" i="1"/>
  <c r="C4318" i="1"/>
  <c r="E4317" i="1"/>
  <c r="B4317" i="1" s="1"/>
  <c r="D4317" i="1"/>
  <c r="C4317" i="1"/>
  <c r="E4316" i="1"/>
  <c r="D4316" i="1"/>
  <c r="C4316" i="1"/>
  <c r="E4315" i="1"/>
  <c r="D4315" i="1"/>
  <c r="C4315" i="1"/>
  <c r="B4315" i="1"/>
  <c r="E4314" i="1"/>
  <c r="B4314" i="1" s="1"/>
  <c r="D4314" i="1"/>
  <c r="C4314" i="1"/>
  <c r="E4313" i="1"/>
  <c r="B4313" i="1" s="1"/>
  <c r="D4313" i="1"/>
  <c r="C4313" i="1"/>
  <c r="E4312" i="1"/>
  <c r="B4312" i="1" s="1"/>
  <c r="D4312" i="1"/>
  <c r="C4312" i="1"/>
  <c r="E4311" i="1"/>
  <c r="B4311" i="1" s="1"/>
  <c r="D4311" i="1"/>
  <c r="C4311" i="1"/>
  <c r="E4310" i="1"/>
  <c r="D4310" i="1"/>
  <c r="C4310" i="1"/>
  <c r="E4309" i="1"/>
  <c r="D4309" i="1"/>
  <c r="B4309" i="1" s="1"/>
  <c r="C4309" i="1"/>
  <c r="E4308" i="1"/>
  <c r="D4308" i="1"/>
  <c r="C4308" i="1"/>
  <c r="E4307" i="1"/>
  <c r="D4307" i="1"/>
  <c r="C4307" i="1"/>
  <c r="B4307" i="1"/>
  <c r="E4306" i="1"/>
  <c r="D4306" i="1"/>
  <c r="C4306" i="1"/>
  <c r="E4305" i="1"/>
  <c r="B4305" i="1" s="1"/>
  <c r="D4305" i="1"/>
  <c r="C4305" i="1"/>
  <c r="E4304" i="1"/>
  <c r="B4304" i="1" s="1"/>
  <c r="D4304" i="1"/>
  <c r="C4304" i="1"/>
  <c r="E4303" i="1"/>
  <c r="B4303" i="1" s="1"/>
  <c r="D4303" i="1"/>
  <c r="C4303" i="1"/>
  <c r="E4302" i="1"/>
  <c r="D4302" i="1"/>
  <c r="C4302" i="1"/>
  <c r="E4301" i="1"/>
  <c r="B4301" i="1" s="1"/>
  <c r="D4301" i="1"/>
  <c r="C4301" i="1"/>
  <c r="E4300" i="1"/>
  <c r="D4300" i="1"/>
  <c r="C4300" i="1"/>
  <c r="E4299" i="1"/>
  <c r="D4299" i="1"/>
  <c r="C4299" i="1"/>
  <c r="B4299" i="1"/>
  <c r="E4298" i="1"/>
  <c r="B4298" i="1" s="1"/>
  <c r="D4298" i="1"/>
  <c r="C4298" i="1"/>
  <c r="E4297" i="1"/>
  <c r="B4297" i="1" s="1"/>
  <c r="D4297" i="1"/>
  <c r="C4297" i="1"/>
  <c r="E4296" i="1"/>
  <c r="B4296" i="1" s="1"/>
  <c r="D4296" i="1"/>
  <c r="C4296" i="1"/>
  <c r="E4295" i="1"/>
  <c r="B4295" i="1" s="1"/>
  <c r="D4295" i="1"/>
  <c r="C4295" i="1"/>
  <c r="E4294" i="1"/>
  <c r="D4294" i="1"/>
  <c r="C4294" i="1"/>
  <c r="E4293" i="1"/>
  <c r="D4293" i="1"/>
  <c r="B4293" i="1" s="1"/>
  <c r="C4293" i="1"/>
  <c r="E4292" i="1"/>
  <c r="D4292" i="1"/>
  <c r="C4292" i="1"/>
  <c r="E4291" i="1"/>
  <c r="D4291" i="1"/>
  <c r="C4291" i="1"/>
  <c r="B4291" i="1"/>
  <c r="E4290" i="1"/>
  <c r="D4290" i="1"/>
  <c r="C4290" i="1"/>
  <c r="E4289" i="1"/>
  <c r="B4289" i="1" s="1"/>
  <c r="D4289" i="1"/>
  <c r="C4289" i="1"/>
  <c r="E4288" i="1"/>
  <c r="B4288" i="1" s="1"/>
  <c r="D4288" i="1"/>
  <c r="C4288" i="1"/>
  <c r="E4287" i="1"/>
  <c r="B4287" i="1" s="1"/>
  <c r="D4287" i="1"/>
  <c r="C4287" i="1"/>
  <c r="E4286" i="1"/>
  <c r="D4286" i="1"/>
  <c r="C4286" i="1"/>
  <c r="E4285" i="1"/>
  <c r="B4285" i="1" s="1"/>
  <c r="D4285" i="1"/>
  <c r="C4285" i="1"/>
  <c r="E4284" i="1"/>
  <c r="D4284" i="1"/>
  <c r="C4284" i="1"/>
  <c r="E4283" i="1"/>
  <c r="D4283" i="1"/>
  <c r="C4283" i="1"/>
  <c r="B4283" i="1"/>
  <c r="E4282" i="1"/>
  <c r="B4282" i="1" s="1"/>
  <c r="D4282" i="1"/>
  <c r="C4282" i="1"/>
  <c r="E4281" i="1"/>
  <c r="B4281" i="1" s="1"/>
  <c r="D4281" i="1"/>
  <c r="C4281" i="1"/>
  <c r="E4280" i="1"/>
  <c r="B4280" i="1" s="1"/>
  <c r="D4280" i="1"/>
  <c r="C4280" i="1"/>
  <c r="E4279" i="1"/>
  <c r="B4279" i="1" s="1"/>
  <c r="D4279" i="1"/>
  <c r="C4279" i="1"/>
  <c r="E4278" i="1"/>
  <c r="B4278" i="1" s="1"/>
  <c r="D4278" i="1"/>
  <c r="C4278" i="1"/>
  <c r="E4277" i="1"/>
  <c r="D4277" i="1"/>
  <c r="C4277" i="1"/>
  <c r="E4276" i="1"/>
  <c r="B4276" i="1" s="1"/>
  <c r="D4276" i="1"/>
  <c r="C4276" i="1"/>
  <c r="E4275" i="1"/>
  <c r="B4275" i="1" s="1"/>
  <c r="D4275" i="1"/>
  <c r="C4275" i="1"/>
  <c r="E4274" i="1"/>
  <c r="D4274" i="1"/>
  <c r="C4274" i="1"/>
  <c r="E4273" i="1"/>
  <c r="B4273" i="1" s="1"/>
  <c r="D4273" i="1"/>
  <c r="C4273" i="1"/>
  <c r="E4272" i="1"/>
  <c r="B4272" i="1" s="1"/>
  <c r="D4272" i="1"/>
  <c r="C4272" i="1"/>
  <c r="E4271" i="1"/>
  <c r="B4271" i="1" s="1"/>
  <c r="D4271" i="1"/>
  <c r="C4271" i="1"/>
  <c r="E4270" i="1"/>
  <c r="D4270" i="1"/>
  <c r="C4270" i="1"/>
  <c r="E4269" i="1"/>
  <c r="D4269" i="1"/>
  <c r="C4269" i="1"/>
  <c r="E4268" i="1"/>
  <c r="B4268" i="1" s="1"/>
  <c r="D4268" i="1"/>
  <c r="C4268" i="1"/>
  <c r="E4267" i="1"/>
  <c r="D4267" i="1"/>
  <c r="C4267" i="1"/>
  <c r="E4266" i="1"/>
  <c r="D4266" i="1"/>
  <c r="C4266" i="1"/>
  <c r="E4265" i="1"/>
  <c r="B4265" i="1" s="1"/>
  <c r="D4265" i="1"/>
  <c r="C4265" i="1"/>
  <c r="E4264" i="1"/>
  <c r="B4264" i="1" s="1"/>
  <c r="D4264" i="1"/>
  <c r="C4264" i="1"/>
  <c r="E4263" i="1"/>
  <c r="B4263" i="1" s="1"/>
  <c r="D4263" i="1"/>
  <c r="C4263" i="1"/>
  <c r="E4262" i="1"/>
  <c r="D4262" i="1"/>
  <c r="C4262" i="1"/>
  <c r="E4261" i="1"/>
  <c r="D4261" i="1"/>
  <c r="C4261" i="1"/>
  <c r="E4260" i="1"/>
  <c r="B4260" i="1" s="1"/>
  <c r="D4260" i="1"/>
  <c r="C4260" i="1"/>
  <c r="E4259" i="1"/>
  <c r="B4259" i="1" s="1"/>
  <c r="D4259" i="1"/>
  <c r="C4259" i="1"/>
  <c r="E4258" i="1"/>
  <c r="D4258" i="1"/>
  <c r="C4258" i="1"/>
  <c r="E4257" i="1"/>
  <c r="B4257" i="1" s="1"/>
  <c r="D4257" i="1"/>
  <c r="C4257" i="1"/>
  <c r="E4256" i="1"/>
  <c r="B4256" i="1" s="1"/>
  <c r="D4256" i="1"/>
  <c r="C4256" i="1"/>
  <c r="E4255" i="1"/>
  <c r="B4255" i="1" s="1"/>
  <c r="D4255" i="1"/>
  <c r="C4255" i="1"/>
  <c r="E4254" i="1"/>
  <c r="D4254" i="1"/>
  <c r="C4254" i="1"/>
  <c r="E4253" i="1"/>
  <c r="D4253" i="1"/>
  <c r="C4253" i="1"/>
  <c r="E4252" i="1"/>
  <c r="B4252" i="1" s="1"/>
  <c r="D4252" i="1"/>
  <c r="C4252" i="1"/>
  <c r="E4251" i="1"/>
  <c r="B4251" i="1" s="1"/>
  <c r="D4251" i="1"/>
  <c r="C4251" i="1"/>
  <c r="E4250" i="1"/>
  <c r="D4250" i="1"/>
  <c r="C4250" i="1"/>
  <c r="E4249" i="1"/>
  <c r="B4249" i="1" s="1"/>
  <c r="D4249" i="1"/>
  <c r="C4249" i="1"/>
  <c r="E4248" i="1"/>
  <c r="B4248" i="1" s="1"/>
  <c r="D4248" i="1"/>
  <c r="C4248" i="1"/>
  <c r="E4247" i="1"/>
  <c r="B4247" i="1" s="1"/>
  <c r="D4247" i="1"/>
  <c r="C4247" i="1"/>
  <c r="E4246" i="1"/>
  <c r="D4246" i="1"/>
  <c r="C4246" i="1"/>
  <c r="E4245" i="1"/>
  <c r="D4245" i="1"/>
  <c r="C4245" i="1"/>
  <c r="E4244" i="1"/>
  <c r="D4244" i="1"/>
  <c r="C4244" i="1"/>
  <c r="E4243" i="1"/>
  <c r="D4243" i="1"/>
  <c r="C4243" i="1"/>
  <c r="E4242" i="1"/>
  <c r="D4242" i="1"/>
  <c r="C4242" i="1"/>
  <c r="E4241" i="1"/>
  <c r="B4241" i="1" s="1"/>
  <c r="D4241" i="1"/>
  <c r="C4241" i="1"/>
  <c r="E4240" i="1"/>
  <c r="B4240" i="1" s="1"/>
  <c r="D4240" i="1"/>
  <c r="C4240" i="1"/>
  <c r="E4239" i="1"/>
  <c r="B4239" i="1" s="1"/>
  <c r="D4239" i="1"/>
  <c r="C4239" i="1"/>
  <c r="E4238" i="1"/>
  <c r="D4238" i="1"/>
  <c r="C4238" i="1"/>
  <c r="E4237" i="1"/>
  <c r="B4237" i="1" s="1"/>
  <c r="D4237" i="1"/>
  <c r="C4237" i="1"/>
  <c r="E4236" i="1"/>
  <c r="B4236" i="1" s="1"/>
  <c r="D4236" i="1"/>
  <c r="C4236" i="1"/>
  <c r="E4235" i="1"/>
  <c r="D4235" i="1"/>
  <c r="C4235" i="1"/>
  <c r="E4234" i="1"/>
  <c r="D4234" i="1"/>
  <c r="C4234" i="1"/>
  <c r="E4233" i="1"/>
  <c r="B4233" i="1" s="1"/>
  <c r="D4233" i="1"/>
  <c r="C4233" i="1"/>
  <c r="E4232" i="1"/>
  <c r="B4232" i="1" s="1"/>
  <c r="D4232" i="1"/>
  <c r="C4232" i="1"/>
  <c r="E4231" i="1"/>
  <c r="B4231" i="1" s="1"/>
  <c r="D4231" i="1"/>
  <c r="C4231" i="1"/>
  <c r="E4230" i="1"/>
  <c r="D4230" i="1"/>
  <c r="C4230" i="1"/>
  <c r="E4229" i="1"/>
  <c r="B4229" i="1" s="1"/>
  <c r="D4229" i="1"/>
  <c r="C4229" i="1"/>
  <c r="E4228" i="1"/>
  <c r="B4228" i="1" s="1"/>
  <c r="D4228" i="1"/>
  <c r="C4228" i="1"/>
  <c r="E4227" i="1"/>
  <c r="D4227" i="1"/>
  <c r="C4227" i="1"/>
  <c r="E4226" i="1"/>
  <c r="D4226" i="1"/>
  <c r="C4226" i="1"/>
  <c r="E4225" i="1"/>
  <c r="B4225" i="1" s="1"/>
  <c r="D4225" i="1"/>
  <c r="C4225" i="1"/>
  <c r="E4224" i="1"/>
  <c r="B4224" i="1" s="1"/>
  <c r="D4224" i="1"/>
  <c r="C4224" i="1"/>
  <c r="E4223" i="1"/>
  <c r="B4223" i="1" s="1"/>
  <c r="D4223" i="1"/>
  <c r="C4223" i="1"/>
  <c r="E4222" i="1"/>
  <c r="D4222" i="1"/>
  <c r="C4222" i="1"/>
  <c r="E4221" i="1"/>
  <c r="B4221" i="1" s="1"/>
  <c r="D4221" i="1"/>
  <c r="C4221" i="1"/>
  <c r="E4220" i="1"/>
  <c r="B4220" i="1" s="1"/>
  <c r="D4220" i="1"/>
  <c r="C4220" i="1"/>
  <c r="E4219" i="1"/>
  <c r="D4219" i="1"/>
  <c r="C4219" i="1"/>
  <c r="E4218" i="1"/>
  <c r="D4218" i="1"/>
  <c r="C4218" i="1"/>
  <c r="E4217" i="1"/>
  <c r="B4217" i="1" s="1"/>
  <c r="D4217" i="1"/>
  <c r="C4217" i="1"/>
  <c r="E4216" i="1"/>
  <c r="B4216" i="1" s="1"/>
  <c r="D4216" i="1"/>
  <c r="C4216" i="1"/>
  <c r="E4215" i="1"/>
  <c r="B4215" i="1" s="1"/>
  <c r="D4215" i="1"/>
  <c r="C4215" i="1"/>
  <c r="E4214" i="1"/>
  <c r="D4214" i="1"/>
  <c r="C4214" i="1"/>
  <c r="E4213" i="1"/>
  <c r="B4213" i="1" s="1"/>
  <c r="D4213" i="1"/>
  <c r="C4213" i="1"/>
  <c r="E4212" i="1"/>
  <c r="B4212" i="1" s="1"/>
  <c r="D4212" i="1"/>
  <c r="C4212" i="1"/>
  <c r="E4211" i="1"/>
  <c r="D4211" i="1"/>
  <c r="C4211" i="1"/>
  <c r="E4210" i="1"/>
  <c r="D4210" i="1"/>
  <c r="C4210" i="1"/>
  <c r="E4209" i="1"/>
  <c r="B4209" i="1" s="1"/>
  <c r="D4209" i="1"/>
  <c r="C4209" i="1"/>
  <c r="E4208" i="1"/>
  <c r="B4208" i="1" s="1"/>
  <c r="D4208" i="1"/>
  <c r="C4208" i="1"/>
  <c r="E4207" i="1"/>
  <c r="B4207" i="1" s="1"/>
  <c r="D4207" i="1"/>
  <c r="C4207" i="1"/>
  <c r="E4206" i="1"/>
  <c r="D4206" i="1"/>
  <c r="C4206" i="1"/>
  <c r="E4205" i="1"/>
  <c r="B4205" i="1" s="1"/>
  <c r="D4205" i="1"/>
  <c r="C4205" i="1"/>
  <c r="E4204" i="1"/>
  <c r="B4204" i="1" s="1"/>
  <c r="D4204" i="1"/>
  <c r="C4204" i="1"/>
  <c r="E4203" i="1"/>
  <c r="D4203" i="1"/>
  <c r="C4203" i="1"/>
  <c r="E4202" i="1"/>
  <c r="D4202" i="1"/>
  <c r="C4202" i="1"/>
  <c r="E4201" i="1"/>
  <c r="B4201" i="1" s="1"/>
  <c r="D4201" i="1"/>
  <c r="C4201" i="1"/>
  <c r="E4200" i="1"/>
  <c r="B4200" i="1" s="1"/>
  <c r="D4200" i="1"/>
  <c r="C4200" i="1"/>
  <c r="E4199" i="1"/>
  <c r="B4199" i="1" s="1"/>
  <c r="D4199" i="1"/>
  <c r="C4199" i="1"/>
  <c r="E4198" i="1"/>
  <c r="B4198" i="1" s="1"/>
  <c r="D4198" i="1"/>
  <c r="C4198" i="1"/>
  <c r="E4197" i="1"/>
  <c r="B4197" i="1" s="1"/>
  <c r="D4197" i="1"/>
  <c r="C4197" i="1"/>
  <c r="E4196" i="1"/>
  <c r="D4196" i="1"/>
  <c r="C4196" i="1"/>
  <c r="E4195" i="1"/>
  <c r="D4195" i="1"/>
  <c r="C4195" i="1"/>
  <c r="E4194" i="1"/>
  <c r="D4194" i="1"/>
  <c r="C4194" i="1"/>
  <c r="E4193" i="1"/>
  <c r="B4193" i="1" s="1"/>
  <c r="D4193" i="1"/>
  <c r="C4193" i="1"/>
  <c r="E4192" i="1"/>
  <c r="B4192" i="1" s="1"/>
  <c r="D4192" i="1"/>
  <c r="C4192" i="1"/>
  <c r="E4191" i="1"/>
  <c r="B4191" i="1" s="1"/>
  <c r="D4191" i="1"/>
  <c r="C4191" i="1"/>
  <c r="E4190" i="1"/>
  <c r="B4190" i="1" s="1"/>
  <c r="D4190" i="1"/>
  <c r="C4190" i="1"/>
  <c r="E4189" i="1"/>
  <c r="D4189" i="1"/>
  <c r="C4189" i="1"/>
  <c r="E4188" i="1"/>
  <c r="D4188" i="1"/>
  <c r="C4188" i="1"/>
  <c r="E4187" i="1"/>
  <c r="D4187" i="1"/>
  <c r="C4187" i="1"/>
  <c r="E4186" i="1"/>
  <c r="D4186" i="1"/>
  <c r="C4186" i="1"/>
  <c r="E4185" i="1"/>
  <c r="B4185" i="1" s="1"/>
  <c r="D4185" i="1"/>
  <c r="C4185" i="1"/>
  <c r="E4184" i="1"/>
  <c r="B4184" i="1" s="1"/>
  <c r="D4184" i="1"/>
  <c r="C4184" i="1"/>
  <c r="E4183" i="1"/>
  <c r="B4183" i="1" s="1"/>
  <c r="D4183" i="1"/>
  <c r="C4183" i="1"/>
  <c r="E4182" i="1"/>
  <c r="D4182" i="1"/>
  <c r="C4182" i="1"/>
  <c r="E4181" i="1"/>
  <c r="D4181" i="1"/>
  <c r="C4181" i="1"/>
  <c r="E4180" i="1"/>
  <c r="D4180" i="1"/>
  <c r="C4180" i="1"/>
  <c r="E4179" i="1"/>
  <c r="D4179" i="1"/>
  <c r="B4179" i="1" s="1"/>
  <c r="C4179" i="1"/>
  <c r="E4178" i="1"/>
  <c r="B4178" i="1" s="1"/>
  <c r="D4178" i="1"/>
  <c r="C4178" i="1"/>
  <c r="E4177" i="1"/>
  <c r="B4177" i="1" s="1"/>
  <c r="D4177" i="1"/>
  <c r="C4177" i="1"/>
  <c r="E4176" i="1"/>
  <c r="D4176" i="1"/>
  <c r="C4176" i="1"/>
  <c r="E4175" i="1"/>
  <c r="B4175" i="1" s="1"/>
  <c r="D4175" i="1"/>
  <c r="C4175" i="1"/>
  <c r="E4174" i="1"/>
  <c r="D4174" i="1"/>
  <c r="C4174" i="1"/>
  <c r="E4173" i="1"/>
  <c r="B4173" i="1" s="1"/>
  <c r="D4173" i="1"/>
  <c r="C4173" i="1"/>
  <c r="E4172" i="1"/>
  <c r="B4172" i="1" s="1"/>
  <c r="D4172" i="1"/>
  <c r="C4172" i="1"/>
  <c r="E4171" i="1"/>
  <c r="B4171" i="1" s="1"/>
  <c r="D4171" i="1"/>
  <c r="C4171" i="1"/>
  <c r="E4170" i="1"/>
  <c r="D4170" i="1"/>
  <c r="C4170" i="1"/>
  <c r="E4169" i="1"/>
  <c r="D4169" i="1"/>
  <c r="B4169" i="1" s="1"/>
  <c r="C4169" i="1"/>
  <c r="E4168" i="1"/>
  <c r="D4168" i="1"/>
  <c r="C4168" i="1"/>
  <c r="E4167" i="1"/>
  <c r="D4167" i="1"/>
  <c r="C4167" i="1"/>
  <c r="B4167" i="1"/>
  <c r="E4166" i="1"/>
  <c r="B4166" i="1" s="1"/>
  <c r="D4166" i="1"/>
  <c r="C4166" i="1"/>
  <c r="E4165" i="1"/>
  <c r="D4165" i="1"/>
  <c r="C4165" i="1"/>
  <c r="B4165" i="1"/>
  <c r="E4164" i="1"/>
  <c r="D4164" i="1"/>
  <c r="C4164" i="1"/>
  <c r="E4163" i="1"/>
  <c r="B4163" i="1" s="1"/>
  <c r="D4163" i="1"/>
  <c r="C4163" i="1"/>
  <c r="E4162" i="1"/>
  <c r="B4162" i="1" s="1"/>
  <c r="D4162" i="1"/>
  <c r="C4162" i="1"/>
  <c r="E4161" i="1"/>
  <c r="B4161" i="1" s="1"/>
  <c r="D4161" i="1"/>
  <c r="C4161" i="1"/>
  <c r="E4160" i="1"/>
  <c r="D4160" i="1"/>
  <c r="C4160" i="1"/>
  <c r="E4159" i="1"/>
  <c r="D4159" i="1"/>
  <c r="C4159" i="1"/>
  <c r="B4159" i="1"/>
  <c r="E4158" i="1"/>
  <c r="D4158" i="1"/>
  <c r="C4158" i="1"/>
  <c r="E4157" i="1"/>
  <c r="B4157" i="1" s="1"/>
  <c r="D4157" i="1"/>
  <c r="C4157" i="1"/>
  <c r="E4156" i="1"/>
  <c r="B4156" i="1" s="1"/>
  <c r="D4156" i="1"/>
  <c r="C4156" i="1"/>
  <c r="E4155" i="1"/>
  <c r="B4155" i="1" s="1"/>
  <c r="D4155" i="1"/>
  <c r="C4155" i="1"/>
  <c r="E4154" i="1"/>
  <c r="D4154" i="1"/>
  <c r="C4154" i="1"/>
  <c r="E4153" i="1"/>
  <c r="D4153" i="1"/>
  <c r="B4153" i="1" s="1"/>
  <c r="C4153" i="1"/>
  <c r="E4152" i="1"/>
  <c r="B4152" i="1" s="1"/>
  <c r="D4152" i="1"/>
  <c r="C4152" i="1"/>
  <c r="E4151" i="1"/>
  <c r="D4151" i="1"/>
  <c r="B4151" i="1" s="1"/>
  <c r="C4151" i="1"/>
  <c r="E4150" i="1"/>
  <c r="B4150" i="1" s="1"/>
  <c r="D4150" i="1"/>
  <c r="C4150" i="1"/>
  <c r="E4149" i="1"/>
  <c r="D4149" i="1"/>
  <c r="B4149" i="1" s="1"/>
  <c r="C4149" i="1"/>
  <c r="E4148" i="1"/>
  <c r="B4148" i="1" s="1"/>
  <c r="D4148" i="1"/>
  <c r="C4148" i="1"/>
  <c r="E4147" i="1"/>
  <c r="D4147" i="1"/>
  <c r="B4147" i="1" s="1"/>
  <c r="C4147" i="1"/>
  <c r="E4146" i="1"/>
  <c r="B4146" i="1" s="1"/>
  <c r="D4146" i="1"/>
  <c r="C4146" i="1"/>
  <c r="E4145" i="1"/>
  <c r="D4145" i="1"/>
  <c r="B4145" i="1" s="1"/>
  <c r="C4145" i="1"/>
  <c r="E4144" i="1"/>
  <c r="B4144" i="1" s="1"/>
  <c r="D4144" i="1"/>
  <c r="C4144" i="1"/>
  <c r="E4143" i="1"/>
  <c r="D4143" i="1"/>
  <c r="B4143" i="1" s="1"/>
  <c r="C4143" i="1"/>
  <c r="E4142" i="1"/>
  <c r="B4142" i="1" s="1"/>
  <c r="D4142" i="1"/>
  <c r="C4142" i="1"/>
  <c r="E4141" i="1"/>
  <c r="D4141" i="1"/>
  <c r="B4141" i="1" s="1"/>
  <c r="C4141" i="1"/>
  <c r="E4140" i="1"/>
  <c r="B4140" i="1" s="1"/>
  <c r="D4140" i="1"/>
  <c r="C4140" i="1"/>
  <c r="E4139" i="1"/>
  <c r="D4139" i="1"/>
  <c r="B4139" i="1" s="1"/>
  <c r="C4139" i="1"/>
  <c r="E4138" i="1"/>
  <c r="B4138" i="1" s="1"/>
  <c r="D4138" i="1"/>
  <c r="C4138" i="1"/>
  <c r="E4137" i="1"/>
  <c r="D4137" i="1"/>
  <c r="B4137" i="1" s="1"/>
  <c r="C4137" i="1"/>
  <c r="E4136" i="1"/>
  <c r="B4136" i="1" s="1"/>
  <c r="D4136" i="1"/>
  <c r="C4136" i="1"/>
  <c r="E4135" i="1"/>
  <c r="D4135" i="1"/>
  <c r="B4135" i="1" s="1"/>
  <c r="C4135" i="1"/>
  <c r="E4134" i="1"/>
  <c r="B4134" i="1" s="1"/>
  <c r="D4134" i="1"/>
  <c r="C4134" i="1"/>
  <c r="E4133" i="1"/>
  <c r="D4133" i="1"/>
  <c r="B4133" i="1" s="1"/>
  <c r="C4133" i="1"/>
  <c r="E4132" i="1"/>
  <c r="B4132" i="1" s="1"/>
  <c r="D4132" i="1"/>
  <c r="C4132" i="1"/>
  <c r="E4131" i="1"/>
  <c r="D4131" i="1"/>
  <c r="C4131" i="1"/>
  <c r="E4130" i="1"/>
  <c r="B4130" i="1" s="1"/>
  <c r="D4130" i="1"/>
  <c r="C4130" i="1"/>
  <c r="E4129" i="1"/>
  <c r="D4129" i="1"/>
  <c r="C4129" i="1"/>
  <c r="E4128" i="1"/>
  <c r="B4128" i="1" s="1"/>
  <c r="D4128" i="1"/>
  <c r="C4128" i="1"/>
  <c r="E4127" i="1"/>
  <c r="D4127" i="1"/>
  <c r="C4127" i="1"/>
  <c r="E4126" i="1"/>
  <c r="B4126" i="1" s="1"/>
  <c r="D4126" i="1"/>
  <c r="C4126" i="1"/>
  <c r="E4125" i="1"/>
  <c r="D4125" i="1"/>
  <c r="C4125" i="1"/>
  <c r="E4124" i="1"/>
  <c r="B4124" i="1" s="1"/>
  <c r="D4124" i="1"/>
  <c r="C4124" i="1"/>
  <c r="E4123" i="1"/>
  <c r="D4123" i="1"/>
  <c r="C4123" i="1"/>
  <c r="E4122" i="1"/>
  <c r="B4122" i="1" s="1"/>
  <c r="D4122" i="1"/>
  <c r="C4122" i="1"/>
  <c r="E4121" i="1"/>
  <c r="B4121" i="1" s="1"/>
  <c r="D4121" i="1"/>
  <c r="C4121" i="1"/>
  <c r="E4120" i="1"/>
  <c r="D4120" i="1"/>
  <c r="C4120" i="1"/>
  <c r="E4119" i="1"/>
  <c r="D4119" i="1"/>
  <c r="C4119" i="1"/>
  <c r="E4118" i="1"/>
  <c r="B4118" i="1" s="1"/>
  <c r="D4118" i="1"/>
  <c r="C4118" i="1"/>
  <c r="E4117" i="1"/>
  <c r="D4117" i="1"/>
  <c r="C4117" i="1"/>
  <c r="E4116" i="1"/>
  <c r="B4116" i="1" s="1"/>
  <c r="D4116" i="1"/>
  <c r="C4116" i="1"/>
  <c r="E4115" i="1"/>
  <c r="D4115" i="1"/>
  <c r="C4115" i="1"/>
  <c r="E4114" i="1"/>
  <c r="B4114" i="1" s="1"/>
  <c r="D4114" i="1"/>
  <c r="C4114" i="1"/>
  <c r="E4113" i="1"/>
  <c r="B4113" i="1" s="1"/>
  <c r="D4113" i="1"/>
  <c r="C4113" i="1"/>
  <c r="E4112" i="1"/>
  <c r="D4112" i="1"/>
  <c r="C4112" i="1"/>
  <c r="E4111" i="1"/>
  <c r="D4111" i="1"/>
  <c r="C4111" i="1"/>
  <c r="E4110" i="1"/>
  <c r="B4110" i="1" s="1"/>
  <c r="D4110" i="1"/>
  <c r="C4110" i="1"/>
  <c r="E4109" i="1"/>
  <c r="D4109" i="1"/>
  <c r="C4109" i="1"/>
  <c r="E4108" i="1"/>
  <c r="B4108" i="1" s="1"/>
  <c r="D4108" i="1"/>
  <c r="C4108" i="1"/>
  <c r="E4107" i="1"/>
  <c r="D4107" i="1"/>
  <c r="C4107" i="1"/>
  <c r="E4106" i="1"/>
  <c r="B4106" i="1" s="1"/>
  <c r="D4106" i="1"/>
  <c r="C4106" i="1"/>
  <c r="E4105" i="1"/>
  <c r="B4105" i="1" s="1"/>
  <c r="D4105" i="1"/>
  <c r="C4105" i="1"/>
  <c r="E4104" i="1"/>
  <c r="D4104" i="1"/>
  <c r="C4104" i="1"/>
  <c r="E4103" i="1"/>
  <c r="D4103" i="1"/>
  <c r="C4103" i="1"/>
  <c r="E4102" i="1"/>
  <c r="B4102" i="1" s="1"/>
  <c r="D4102" i="1"/>
  <c r="C4102" i="1"/>
  <c r="E4101" i="1"/>
  <c r="D4101" i="1"/>
  <c r="C4101" i="1"/>
  <c r="B4101" i="1"/>
  <c r="E4100" i="1"/>
  <c r="B4100" i="1" s="1"/>
  <c r="D4100" i="1"/>
  <c r="C4100" i="1"/>
  <c r="E4099" i="1"/>
  <c r="B4099" i="1" s="1"/>
  <c r="D4099" i="1"/>
  <c r="C4099" i="1"/>
  <c r="E4098" i="1"/>
  <c r="B4098" i="1" s="1"/>
  <c r="D4098" i="1"/>
  <c r="C4098" i="1"/>
  <c r="E4097" i="1"/>
  <c r="D4097" i="1"/>
  <c r="C4097" i="1"/>
  <c r="B4097" i="1"/>
  <c r="E4096" i="1"/>
  <c r="D4096" i="1"/>
  <c r="C4096" i="1"/>
  <c r="E4095" i="1"/>
  <c r="D4095" i="1"/>
  <c r="C4095" i="1"/>
  <c r="B4095" i="1"/>
  <c r="E4094" i="1"/>
  <c r="B4094" i="1" s="1"/>
  <c r="D4094" i="1"/>
  <c r="C4094" i="1"/>
  <c r="E4093" i="1"/>
  <c r="B4093" i="1" s="1"/>
  <c r="D4093" i="1"/>
  <c r="C4093" i="1"/>
  <c r="E4092" i="1"/>
  <c r="D4092" i="1"/>
  <c r="C4092" i="1"/>
  <c r="E4091" i="1"/>
  <c r="B4091" i="1" s="1"/>
  <c r="D4091" i="1"/>
  <c r="C4091" i="1"/>
  <c r="E4090" i="1"/>
  <c r="B4090" i="1" s="1"/>
  <c r="D4090" i="1"/>
  <c r="C4090" i="1"/>
  <c r="E4089" i="1"/>
  <c r="D4089" i="1"/>
  <c r="B4089" i="1" s="1"/>
  <c r="C4089" i="1"/>
  <c r="E4088" i="1"/>
  <c r="D4088" i="1"/>
  <c r="C4088" i="1"/>
  <c r="E4087" i="1"/>
  <c r="B4087" i="1" s="1"/>
  <c r="D4087" i="1"/>
  <c r="C4087" i="1"/>
  <c r="E4086" i="1"/>
  <c r="B4086" i="1" s="1"/>
  <c r="D4086" i="1"/>
  <c r="C4086" i="1"/>
  <c r="E4085" i="1"/>
  <c r="D4085" i="1"/>
  <c r="B4085" i="1" s="1"/>
  <c r="C4085" i="1"/>
  <c r="E4084" i="1"/>
  <c r="B4084" i="1" s="1"/>
  <c r="D4084" i="1"/>
  <c r="C4084" i="1"/>
  <c r="E4083" i="1"/>
  <c r="B4083" i="1" s="1"/>
  <c r="D4083" i="1"/>
  <c r="C4083" i="1"/>
  <c r="E4082" i="1"/>
  <c r="B4082" i="1" s="1"/>
  <c r="D4082" i="1"/>
  <c r="C4082" i="1"/>
  <c r="E4081" i="1"/>
  <c r="D4081" i="1"/>
  <c r="C4081" i="1"/>
  <c r="B4081" i="1"/>
  <c r="E4080" i="1"/>
  <c r="D4080" i="1"/>
  <c r="C4080" i="1"/>
  <c r="E4079" i="1"/>
  <c r="D4079" i="1"/>
  <c r="C4079" i="1"/>
  <c r="B4079" i="1"/>
  <c r="E4078" i="1"/>
  <c r="B4078" i="1" s="1"/>
  <c r="D4078" i="1"/>
  <c r="C4078" i="1"/>
  <c r="E4077" i="1"/>
  <c r="B4077" i="1" s="1"/>
  <c r="D4077" i="1"/>
  <c r="C4077" i="1"/>
  <c r="E4076" i="1"/>
  <c r="D4076" i="1"/>
  <c r="C4076" i="1"/>
  <c r="E4075" i="1"/>
  <c r="B4075" i="1" s="1"/>
  <c r="D4075" i="1"/>
  <c r="C4075" i="1"/>
  <c r="E4074" i="1"/>
  <c r="B4074" i="1" s="1"/>
  <c r="D4074" i="1"/>
  <c r="C4074" i="1"/>
  <c r="E4073" i="1"/>
  <c r="D4073" i="1"/>
  <c r="B4073" i="1" s="1"/>
  <c r="C4073" i="1"/>
  <c r="E4072" i="1"/>
  <c r="D4072" i="1"/>
  <c r="C4072" i="1"/>
  <c r="E4071" i="1"/>
  <c r="B4071" i="1" s="1"/>
  <c r="D4071" i="1"/>
  <c r="C4071" i="1"/>
  <c r="E4070" i="1"/>
  <c r="B4070" i="1" s="1"/>
  <c r="D4070" i="1"/>
  <c r="C4070" i="1"/>
  <c r="E4069" i="1"/>
  <c r="D4069" i="1"/>
  <c r="B4069" i="1" s="1"/>
  <c r="C4069" i="1"/>
  <c r="E4068" i="1"/>
  <c r="B4068" i="1" s="1"/>
  <c r="D4068" i="1"/>
  <c r="C4068" i="1"/>
  <c r="E4067" i="1"/>
  <c r="B4067" i="1" s="1"/>
  <c r="D4067" i="1"/>
  <c r="C4067" i="1"/>
  <c r="E4066" i="1"/>
  <c r="B4066" i="1" s="1"/>
  <c r="D4066" i="1"/>
  <c r="C4066" i="1"/>
  <c r="E4065" i="1"/>
  <c r="D4065" i="1"/>
  <c r="C4065" i="1"/>
  <c r="B4065" i="1"/>
  <c r="E4064" i="1"/>
  <c r="D4064" i="1"/>
  <c r="C4064" i="1"/>
  <c r="E4063" i="1"/>
  <c r="D4063" i="1"/>
  <c r="C4063" i="1"/>
  <c r="B4063" i="1"/>
  <c r="E4062" i="1"/>
  <c r="B4062" i="1" s="1"/>
  <c r="D4062" i="1"/>
  <c r="C4062" i="1"/>
  <c r="E4061" i="1"/>
  <c r="B4061" i="1" s="1"/>
  <c r="D4061" i="1"/>
  <c r="C4061" i="1"/>
  <c r="E4060" i="1"/>
  <c r="D4060" i="1"/>
  <c r="C4060" i="1"/>
  <c r="E4059" i="1"/>
  <c r="B4059" i="1" s="1"/>
  <c r="D4059" i="1"/>
  <c r="C4059" i="1"/>
  <c r="E4058" i="1"/>
  <c r="B4058" i="1" s="1"/>
  <c r="D4058" i="1"/>
  <c r="C4058" i="1"/>
  <c r="E4057" i="1"/>
  <c r="D4057" i="1"/>
  <c r="B4057" i="1" s="1"/>
  <c r="C4057" i="1"/>
  <c r="E4056" i="1"/>
  <c r="D4056" i="1"/>
  <c r="C4056" i="1"/>
  <c r="E4055" i="1"/>
  <c r="B4055" i="1" s="1"/>
  <c r="D4055" i="1"/>
  <c r="C4055" i="1"/>
  <c r="E4054" i="1"/>
  <c r="B4054" i="1" s="1"/>
  <c r="D4054" i="1"/>
  <c r="C4054" i="1"/>
  <c r="E4053" i="1"/>
  <c r="D4053" i="1"/>
  <c r="B4053" i="1" s="1"/>
  <c r="C4053" i="1"/>
  <c r="E4052" i="1"/>
  <c r="B4052" i="1" s="1"/>
  <c r="D4052" i="1"/>
  <c r="C4052" i="1"/>
  <c r="E4051" i="1"/>
  <c r="B4051" i="1" s="1"/>
  <c r="D4051" i="1"/>
  <c r="C4051" i="1"/>
  <c r="E4050" i="1"/>
  <c r="B4050" i="1" s="1"/>
  <c r="D4050" i="1"/>
  <c r="C4050" i="1"/>
  <c r="E4049" i="1"/>
  <c r="D4049" i="1"/>
  <c r="C4049" i="1"/>
  <c r="B4049" i="1"/>
  <c r="E4048" i="1"/>
  <c r="D4048" i="1"/>
  <c r="C4048" i="1"/>
  <c r="E4047" i="1"/>
  <c r="D4047" i="1"/>
  <c r="C4047" i="1"/>
  <c r="B4047" i="1"/>
  <c r="E4046" i="1"/>
  <c r="B4046" i="1" s="1"/>
  <c r="D4046" i="1"/>
  <c r="C4046" i="1"/>
  <c r="E4045" i="1"/>
  <c r="B4045" i="1" s="1"/>
  <c r="D4045" i="1"/>
  <c r="C4045" i="1"/>
  <c r="E4044" i="1"/>
  <c r="D4044" i="1"/>
  <c r="C4044" i="1"/>
  <c r="E4043" i="1"/>
  <c r="B4043" i="1" s="1"/>
  <c r="D4043" i="1"/>
  <c r="C4043" i="1"/>
  <c r="E4042" i="1"/>
  <c r="B4042" i="1" s="1"/>
  <c r="D4042" i="1"/>
  <c r="C4042" i="1"/>
  <c r="E4041" i="1"/>
  <c r="D4041" i="1"/>
  <c r="B4041" i="1" s="1"/>
  <c r="C4041" i="1"/>
  <c r="E4040" i="1"/>
  <c r="D4040" i="1"/>
  <c r="C4040" i="1"/>
  <c r="E4039" i="1"/>
  <c r="B4039" i="1" s="1"/>
  <c r="D4039" i="1"/>
  <c r="C4039" i="1"/>
  <c r="E4038" i="1"/>
  <c r="B4038" i="1" s="1"/>
  <c r="D4038" i="1"/>
  <c r="C4038" i="1"/>
  <c r="E4037" i="1"/>
  <c r="D4037" i="1"/>
  <c r="B4037" i="1" s="1"/>
  <c r="C4037" i="1"/>
  <c r="E4036" i="1"/>
  <c r="B4036" i="1" s="1"/>
  <c r="D4036" i="1"/>
  <c r="C4036" i="1"/>
  <c r="E4035" i="1"/>
  <c r="B4035" i="1" s="1"/>
  <c r="D4035" i="1"/>
  <c r="C4035" i="1"/>
  <c r="E4034" i="1"/>
  <c r="B4034" i="1" s="1"/>
  <c r="D4034" i="1"/>
  <c r="C4034" i="1"/>
  <c r="E4033" i="1"/>
  <c r="D4033" i="1"/>
  <c r="C4033" i="1"/>
  <c r="B4033" i="1"/>
  <c r="E4032" i="1"/>
  <c r="D4032" i="1"/>
  <c r="C4032" i="1"/>
  <c r="E4031" i="1"/>
  <c r="D4031" i="1"/>
  <c r="C4031" i="1"/>
  <c r="B4031" i="1"/>
  <c r="E4030" i="1"/>
  <c r="B4030" i="1" s="1"/>
  <c r="D4030" i="1"/>
  <c r="C4030" i="1"/>
  <c r="E4029" i="1"/>
  <c r="B4029" i="1" s="1"/>
  <c r="D4029" i="1"/>
  <c r="C4029" i="1"/>
  <c r="E4028" i="1"/>
  <c r="D4028" i="1"/>
  <c r="C4028" i="1"/>
  <c r="E4027" i="1"/>
  <c r="B4027" i="1" s="1"/>
  <c r="D4027" i="1"/>
  <c r="C4027" i="1"/>
  <c r="E4026" i="1"/>
  <c r="D4026" i="1"/>
  <c r="C4026" i="1"/>
  <c r="E4025" i="1"/>
  <c r="D4025" i="1"/>
  <c r="B4025" i="1" s="1"/>
  <c r="C4025" i="1"/>
  <c r="E4024" i="1"/>
  <c r="D4024" i="1"/>
  <c r="C4024" i="1"/>
  <c r="E4023" i="1"/>
  <c r="B4023" i="1" s="1"/>
  <c r="D4023" i="1"/>
  <c r="C4023" i="1"/>
  <c r="E4022" i="1"/>
  <c r="B4022" i="1" s="1"/>
  <c r="D4022" i="1"/>
  <c r="C4022" i="1"/>
  <c r="E4021" i="1"/>
  <c r="D4021" i="1"/>
  <c r="B4021" i="1" s="1"/>
  <c r="C4021" i="1"/>
  <c r="E4020" i="1"/>
  <c r="B4020" i="1" s="1"/>
  <c r="D4020" i="1"/>
  <c r="C4020" i="1"/>
  <c r="E4019" i="1"/>
  <c r="B4019" i="1" s="1"/>
  <c r="D4019" i="1"/>
  <c r="C4019" i="1"/>
  <c r="E4018" i="1"/>
  <c r="B4018" i="1" s="1"/>
  <c r="D4018" i="1"/>
  <c r="C4018" i="1"/>
  <c r="E4017" i="1"/>
  <c r="D4017" i="1"/>
  <c r="C4017" i="1"/>
  <c r="B4017" i="1"/>
  <c r="E4016" i="1"/>
  <c r="D4016" i="1"/>
  <c r="C4016" i="1"/>
  <c r="E4015" i="1"/>
  <c r="B4015" i="1" s="1"/>
  <c r="D4015" i="1"/>
  <c r="C4015" i="1"/>
  <c r="E4014" i="1"/>
  <c r="B4014" i="1" s="1"/>
  <c r="D4014" i="1"/>
  <c r="C4014" i="1"/>
  <c r="E4013" i="1"/>
  <c r="B4013" i="1" s="1"/>
  <c r="D4013" i="1"/>
  <c r="C4013" i="1"/>
  <c r="E4012" i="1"/>
  <c r="D4012" i="1"/>
  <c r="C4012" i="1"/>
  <c r="E4011" i="1"/>
  <c r="B4011" i="1" s="1"/>
  <c r="D4011" i="1"/>
  <c r="C4011" i="1"/>
  <c r="E4010" i="1"/>
  <c r="D4010" i="1"/>
  <c r="C4010" i="1"/>
  <c r="E4009" i="1"/>
  <c r="D4009" i="1"/>
  <c r="B4009" i="1" s="1"/>
  <c r="C4009" i="1"/>
  <c r="E4008" i="1"/>
  <c r="D4008" i="1"/>
  <c r="C4008" i="1"/>
  <c r="E4007" i="1"/>
  <c r="B4007" i="1" s="1"/>
  <c r="D4007" i="1"/>
  <c r="C4007" i="1"/>
  <c r="E4006" i="1"/>
  <c r="B4006" i="1" s="1"/>
  <c r="D4006" i="1"/>
  <c r="C4006" i="1"/>
  <c r="E4005" i="1"/>
  <c r="D4005" i="1"/>
  <c r="B4005" i="1" s="1"/>
  <c r="C4005" i="1"/>
  <c r="E4004" i="1"/>
  <c r="B4004" i="1" s="1"/>
  <c r="D4004" i="1"/>
  <c r="C4004" i="1"/>
  <c r="E4003" i="1"/>
  <c r="D4003" i="1"/>
  <c r="B4003" i="1" s="1"/>
  <c r="C4003" i="1"/>
  <c r="E4002" i="1"/>
  <c r="B4002" i="1" s="1"/>
  <c r="D4002" i="1"/>
  <c r="C4002" i="1"/>
  <c r="E4001" i="1"/>
  <c r="D4001" i="1"/>
  <c r="B4001" i="1" s="1"/>
  <c r="C4001" i="1"/>
  <c r="E4000" i="1"/>
  <c r="B4000" i="1" s="1"/>
  <c r="D4000" i="1"/>
  <c r="C4000" i="1"/>
  <c r="E3999" i="1"/>
  <c r="D3999" i="1"/>
  <c r="B3999" i="1" s="1"/>
  <c r="C3999" i="1"/>
  <c r="E3998" i="1"/>
  <c r="B3998" i="1" s="1"/>
  <c r="D3998" i="1"/>
  <c r="C3998" i="1"/>
  <c r="E3997" i="1"/>
  <c r="D3997" i="1"/>
  <c r="B3997" i="1" s="1"/>
  <c r="C3997" i="1"/>
  <c r="E3996" i="1"/>
  <c r="B3996" i="1" s="1"/>
  <c r="D3996" i="1"/>
  <c r="C3996" i="1"/>
  <c r="E3995" i="1"/>
  <c r="D3995" i="1"/>
  <c r="B3995" i="1" s="1"/>
  <c r="C3995" i="1"/>
  <c r="E3994" i="1"/>
  <c r="B3994" i="1" s="1"/>
  <c r="D3994" i="1"/>
  <c r="C3994" i="1"/>
  <c r="E3993" i="1"/>
  <c r="D3993" i="1"/>
  <c r="B3993" i="1" s="1"/>
  <c r="C3993" i="1"/>
  <c r="E3992" i="1"/>
  <c r="B3992" i="1" s="1"/>
  <c r="D3992" i="1"/>
  <c r="C3992" i="1"/>
  <c r="E3991" i="1"/>
  <c r="B3991" i="1" s="1"/>
  <c r="D3991" i="1"/>
  <c r="C3991" i="1"/>
  <c r="E3990" i="1"/>
  <c r="B3990" i="1" s="1"/>
  <c r="D3990" i="1"/>
  <c r="C3990" i="1"/>
  <c r="E3989" i="1"/>
  <c r="B3989" i="1" s="1"/>
  <c r="D3989" i="1"/>
  <c r="C3989" i="1"/>
  <c r="E3988" i="1"/>
  <c r="B3988" i="1" s="1"/>
  <c r="D3988" i="1"/>
  <c r="C3988" i="1"/>
  <c r="E3987" i="1"/>
  <c r="B3987" i="1" s="1"/>
  <c r="D3987" i="1"/>
  <c r="C3987" i="1"/>
  <c r="E3986" i="1"/>
  <c r="B3986" i="1" s="1"/>
  <c r="D3986" i="1"/>
  <c r="C3986" i="1"/>
  <c r="E3985" i="1"/>
  <c r="B3985" i="1" s="1"/>
  <c r="D3985" i="1"/>
  <c r="C3985" i="1"/>
  <c r="E3984" i="1"/>
  <c r="B3984" i="1" s="1"/>
  <c r="D3984" i="1"/>
  <c r="C3984" i="1"/>
  <c r="E3983" i="1"/>
  <c r="B3983" i="1" s="1"/>
  <c r="D3983" i="1"/>
  <c r="C3983" i="1"/>
  <c r="E3982" i="1"/>
  <c r="B3982" i="1" s="1"/>
  <c r="D3982" i="1"/>
  <c r="C3982" i="1"/>
  <c r="E3981" i="1"/>
  <c r="B3981" i="1" s="1"/>
  <c r="D3981" i="1"/>
  <c r="C3981" i="1"/>
  <c r="E3980" i="1"/>
  <c r="B3980" i="1" s="1"/>
  <c r="D3980" i="1"/>
  <c r="C3980" i="1"/>
  <c r="E3979" i="1"/>
  <c r="B3979" i="1" s="1"/>
  <c r="D3979" i="1"/>
  <c r="C3979" i="1"/>
  <c r="E3978" i="1"/>
  <c r="B3978" i="1" s="1"/>
  <c r="D3978" i="1"/>
  <c r="C3978" i="1"/>
  <c r="E3977" i="1"/>
  <c r="B3977" i="1" s="1"/>
  <c r="D3977" i="1"/>
  <c r="C3977" i="1"/>
  <c r="E3976" i="1"/>
  <c r="B3976" i="1" s="1"/>
  <c r="D3976" i="1"/>
  <c r="C3976" i="1"/>
  <c r="E3975" i="1"/>
  <c r="B3975" i="1" s="1"/>
  <c r="D3975" i="1"/>
  <c r="C3975" i="1"/>
  <c r="E3974" i="1"/>
  <c r="B3974" i="1" s="1"/>
  <c r="D3974" i="1"/>
  <c r="C3974" i="1"/>
  <c r="E3973" i="1"/>
  <c r="B3973" i="1" s="1"/>
  <c r="D3973" i="1"/>
  <c r="C3973" i="1"/>
  <c r="E3972" i="1"/>
  <c r="B3972" i="1" s="1"/>
  <c r="D3972" i="1"/>
  <c r="C3972" i="1"/>
  <c r="E3971" i="1"/>
  <c r="B3971" i="1" s="1"/>
  <c r="D3971" i="1"/>
  <c r="C3971" i="1"/>
  <c r="E3970" i="1"/>
  <c r="B3970" i="1" s="1"/>
  <c r="D3970" i="1"/>
  <c r="C3970" i="1"/>
  <c r="E3969" i="1"/>
  <c r="B3969" i="1" s="1"/>
  <c r="D3969" i="1"/>
  <c r="C3969" i="1"/>
  <c r="E3968" i="1"/>
  <c r="B3968" i="1" s="1"/>
  <c r="D3968" i="1"/>
  <c r="C3968" i="1"/>
  <c r="E3967" i="1"/>
  <c r="B3967" i="1" s="1"/>
  <c r="D3967" i="1"/>
  <c r="C3967" i="1"/>
  <c r="E3966" i="1"/>
  <c r="B3966" i="1" s="1"/>
  <c r="D3966" i="1"/>
  <c r="C3966" i="1"/>
  <c r="E3965" i="1"/>
  <c r="B3965" i="1" s="1"/>
  <c r="D3965" i="1"/>
  <c r="C3965" i="1"/>
  <c r="E3964" i="1"/>
  <c r="B3964" i="1" s="1"/>
  <c r="D3964" i="1"/>
  <c r="C3964" i="1"/>
  <c r="E3963" i="1"/>
  <c r="B3963" i="1" s="1"/>
  <c r="D3963" i="1"/>
  <c r="C3963" i="1"/>
  <c r="E3962" i="1"/>
  <c r="B3962" i="1" s="1"/>
  <c r="D3962" i="1"/>
  <c r="C3962" i="1"/>
  <c r="E3961" i="1"/>
  <c r="B3961" i="1" s="1"/>
  <c r="D3961" i="1"/>
  <c r="C3961" i="1"/>
  <c r="E3960" i="1"/>
  <c r="B3960" i="1" s="1"/>
  <c r="D3960" i="1"/>
  <c r="C3960" i="1"/>
  <c r="E3959" i="1"/>
  <c r="B3959" i="1" s="1"/>
  <c r="D3959" i="1"/>
  <c r="C3959" i="1"/>
  <c r="E3958" i="1"/>
  <c r="B3958" i="1" s="1"/>
  <c r="D3958" i="1"/>
  <c r="C3958" i="1"/>
  <c r="E3957" i="1"/>
  <c r="B3957" i="1" s="1"/>
  <c r="D3957" i="1"/>
  <c r="C3957" i="1"/>
  <c r="E3956" i="1"/>
  <c r="B3956" i="1" s="1"/>
  <c r="D3956" i="1"/>
  <c r="C3956" i="1"/>
  <c r="E3955" i="1"/>
  <c r="B3955" i="1" s="1"/>
  <c r="D3955" i="1"/>
  <c r="C3955" i="1"/>
  <c r="E3954" i="1"/>
  <c r="B3954" i="1" s="1"/>
  <c r="D3954" i="1"/>
  <c r="C3954" i="1"/>
  <c r="E3953" i="1"/>
  <c r="B3953" i="1" s="1"/>
  <c r="D3953" i="1"/>
  <c r="C3953" i="1"/>
  <c r="E3952" i="1"/>
  <c r="B3952" i="1" s="1"/>
  <c r="D3952" i="1"/>
  <c r="C3952" i="1"/>
  <c r="E3951" i="1"/>
  <c r="B3951" i="1" s="1"/>
  <c r="D3951" i="1"/>
  <c r="C3951" i="1"/>
  <c r="E3950" i="1"/>
  <c r="B3950" i="1" s="1"/>
  <c r="D3950" i="1"/>
  <c r="C3950" i="1"/>
  <c r="E3949" i="1"/>
  <c r="B3949" i="1" s="1"/>
  <c r="D3949" i="1"/>
  <c r="C3949" i="1"/>
  <c r="E3948" i="1"/>
  <c r="B3948" i="1" s="1"/>
  <c r="D3948" i="1"/>
  <c r="C3948" i="1"/>
  <c r="E3947" i="1"/>
  <c r="B3947" i="1" s="1"/>
  <c r="D3947" i="1"/>
  <c r="C3947" i="1"/>
  <c r="E3946" i="1"/>
  <c r="B3946" i="1" s="1"/>
  <c r="D3946" i="1"/>
  <c r="C3946" i="1"/>
  <c r="E3945" i="1"/>
  <c r="B3945" i="1" s="1"/>
  <c r="D3945" i="1"/>
  <c r="C3945" i="1"/>
  <c r="E3944" i="1"/>
  <c r="B3944" i="1" s="1"/>
  <c r="D3944" i="1"/>
  <c r="C3944" i="1"/>
  <c r="E3943" i="1"/>
  <c r="B3943" i="1" s="1"/>
  <c r="D3943" i="1"/>
  <c r="C3943" i="1"/>
  <c r="E3942" i="1"/>
  <c r="B3942" i="1" s="1"/>
  <c r="D3942" i="1"/>
  <c r="C3942" i="1"/>
  <c r="E3941" i="1"/>
  <c r="B3941" i="1" s="1"/>
  <c r="D3941" i="1"/>
  <c r="C3941" i="1"/>
  <c r="E3940" i="1"/>
  <c r="B3940" i="1" s="1"/>
  <c r="D3940" i="1"/>
  <c r="C3940" i="1"/>
  <c r="E3939" i="1"/>
  <c r="B3939" i="1" s="1"/>
  <c r="D3939" i="1"/>
  <c r="C3939" i="1"/>
  <c r="E3938" i="1"/>
  <c r="B3938" i="1" s="1"/>
  <c r="D3938" i="1"/>
  <c r="C3938" i="1"/>
  <c r="E3937" i="1"/>
  <c r="B3937" i="1" s="1"/>
  <c r="D3937" i="1"/>
  <c r="C3937" i="1"/>
  <c r="E3936" i="1"/>
  <c r="B3936" i="1" s="1"/>
  <c r="D3936" i="1"/>
  <c r="C3936" i="1"/>
  <c r="E3935" i="1"/>
  <c r="B3935" i="1" s="1"/>
  <c r="D3935" i="1"/>
  <c r="C3935" i="1"/>
  <c r="E3934" i="1"/>
  <c r="B3934" i="1" s="1"/>
  <c r="D3934" i="1"/>
  <c r="C3934" i="1"/>
  <c r="E3933" i="1"/>
  <c r="B3933" i="1" s="1"/>
  <c r="D3933" i="1"/>
  <c r="C3933" i="1"/>
  <c r="E3932" i="1"/>
  <c r="B3932" i="1" s="1"/>
  <c r="D3932" i="1"/>
  <c r="C3932" i="1"/>
  <c r="E3931" i="1"/>
  <c r="B3931" i="1" s="1"/>
  <c r="D3931" i="1"/>
  <c r="C3931" i="1"/>
  <c r="E3930" i="1"/>
  <c r="B3930" i="1" s="1"/>
  <c r="D3930" i="1"/>
  <c r="C3930" i="1"/>
  <c r="E3929" i="1"/>
  <c r="B3929" i="1" s="1"/>
  <c r="D3929" i="1"/>
  <c r="C3929" i="1"/>
  <c r="E3928" i="1"/>
  <c r="B3928" i="1" s="1"/>
  <c r="D3928" i="1"/>
  <c r="C3928" i="1"/>
  <c r="E3927" i="1"/>
  <c r="B3927" i="1" s="1"/>
  <c r="D3927" i="1"/>
  <c r="C3927" i="1"/>
  <c r="E3926" i="1"/>
  <c r="B3926" i="1" s="1"/>
  <c r="D3926" i="1"/>
  <c r="C3926" i="1"/>
  <c r="E3925" i="1"/>
  <c r="B3925" i="1" s="1"/>
  <c r="D3925" i="1"/>
  <c r="C3925" i="1"/>
  <c r="E3924" i="1"/>
  <c r="B3924" i="1" s="1"/>
  <c r="D3924" i="1"/>
  <c r="C3924" i="1"/>
  <c r="E3923" i="1"/>
  <c r="B3923" i="1" s="1"/>
  <c r="D3923" i="1"/>
  <c r="C3923" i="1"/>
  <c r="E3922" i="1"/>
  <c r="B3922" i="1" s="1"/>
  <c r="D3922" i="1"/>
  <c r="C3922" i="1"/>
  <c r="E3921" i="1"/>
  <c r="B3921" i="1" s="1"/>
  <c r="D3921" i="1"/>
  <c r="C3921" i="1"/>
  <c r="E3920" i="1"/>
  <c r="B3920" i="1" s="1"/>
  <c r="D3920" i="1"/>
  <c r="C3920" i="1"/>
  <c r="E3919" i="1"/>
  <c r="B3919" i="1" s="1"/>
  <c r="D3919" i="1"/>
  <c r="C3919" i="1"/>
  <c r="E3918" i="1"/>
  <c r="B3918" i="1" s="1"/>
  <c r="D3918" i="1"/>
  <c r="C3918" i="1"/>
  <c r="E3917" i="1"/>
  <c r="B3917" i="1" s="1"/>
  <c r="D3917" i="1"/>
  <c r="C3917" i="1"/>
  <c r="E3916" i="1"/>
  <c r="B3916" i="1" s="1"/>
  <c r="D3916" i="1"/>
  <c r="C3916" i="1"/>
  <c r="E3915" i="1"/>
  <c r="B3915" i="1" s="1"/>
  <c r="D3915" i="1"/>
  <c r="C3915" i="1"/>
  <c r="E3914" i="1"/>
  <c r="B3914" i="1" s="1"/>
  <c r="D3914" i="1"/>
  <c r="C3914" i="1"/>
  <c r="E3913" i="1"/>
  <c r="B3913" i="1" s="1"/>
  <c r="D3913" i="1"/>
  <c r="C3913" i="1"/>
  <c r="E3912" i="1"/>
  <c r="B3912" i="1" s="1"/>
  <c r="D3912" i="1"/>
  <c r="C3912" i="1"/>
  <c r="E3911" i="1"/>
  <c r="B3911" i="1" s="1"/>
  <c r="D3911" i="1"/>
  <c r="C3911" i="1"/>
  <c r="E3910" i="1"/>
  <c r="B3910" i="1" s="1"/>
  <c r="D3910" i="1"/>
  <c r="C3910" i="1"/>
  <c r="E3909" i="1"/>
  <c r="B3909" i="1" s="1"/>
  <c r="D3909" i="1"/>
  <c r="C3909" i="1"/>
  <c r="E3908" i="1"/>
  <c r="B3908" i="1" s="1"/>
  <c r="D3908" i="1"/>
  <c r="C3908" i="1"/>
  <c r="E3907" i="1"/>
  <c r="B3907" i="1" s="1"/>
  <c r="D3907" i="1"/>
  <c r="C3907" i="1"/>
  <c r="E3906" i="1"/>
  <c r="B3906" i="1" s="1"/>
  <c r="D3906" i="1"/>
  <c r="C3906" i="1"/>
  <c r="E3905" i="1"/>
  <c r="B3905" i="1" s="1"/>
  <c r="D3905" i="1"/>
  <c r="C3905" i="1"/>
  <c r="E3904" i="1"/>
  <c r="B3904" i="1" s="1"/>
  <c r="D3904" i="1"/>
  <c r="C3904" i="1"/>
  <c r="E3903" i="1"/>
  <c r="B3903" i="1" s="1"/>
  <c r="D3903" i="1"/>
  <c r="C3903" i="1"/>
  <c r="E3902" i="1"/>
  <c r="B3902" i="1" s="1"/>
  <c r="D3902" i="1"/>
  <c r="C3902" i="1"/>
  <c r="E3901" i="1"/>
  <c r="B3901" i="1" s="1"/>
  <c r="D3901" i="1"/>
  <c r="C3901" i="1"/>
  <c r="E3900" i="1"/>
  <c r="B3900" i="1" s="1"/>
  <c r="D3900" i="1"/>
  <c r="C3900" i="1"/>
  <c r="E3899" i="1"/>
  <c r="B3899" i="1" s="1"/>
  <c r="D3899" i="1"/>
  <c r="C3899" i="1"/>
  <c r="E3898" i="1"/>
  <c r="B3898" i="1" s="1"/>
  <c r="D3898" i="1"/>
  <c r="C3898" i="1"/>
  <c r="E3897" i="1"/>
  <c r="B3897" i="1" s="1"/>
  <c r="D3897" i="1"/>
  <c r="C3897" i="1"/>
  <c r="E3896" i="1"/>
  <c r="B3896" i="1" s="1"/>
  <c r="D3896" i="1"/>
  <c r="C3896" i="1"/>
  <c r="E3895" i="1"/>
  <c r="B3895" i="1" s="1"/>
  <c r="D3895" i="1"/>
  <c r="C3895" i="1"/>
  <c r="E3894" i="1"/>
  <c r="B3894" i="1" s="1"/>
  <c r="D3894" i="1"/>
  <c r="C3894" i="1"/>
  <c r="E3893" i="1"/>
  <c r="B3893" i="1" s="1"/>
  <c r="D3893" i="1"/>
  <c r="C3893" i="1"/>
  <c r="E3892" i="1"/>
  <c r="B3892" i="1" s="1"/>
  <c r="D3892" i="1"/>
  <c r="C3892" i="1"/>
  <c r="E3891" i="1"/>
  <c r="B3891" i="1" s="1"/>
  <c r="D3891" i="1"/>
  <c r="C3891" i="1"/>
  <c r="E3890" i="1"/>
  <c r="B3890" i="1" s="1"/>
  <c r="D3890" i="1"/>
  <c r="C3890" i="1"/>
  <c r="E3889" i="1"/>
  <c r="B3889" i="1" s="1"/>
  <c r="D3889" i="1"/>
  <c r="C3889" i="1"/>
  <c r="E3888" i="1"/>
  <c r="B3888" i="1" s="1"/>
  <c r="D3888" i="1"/>
  <c r="C3888" i="1"/>
  <c r="E3887" i="1"/>
  <c r="B3887" i="1" s="1"/>
  <c r="D3887" i="1"/>
  <c r="C3887" i="1"/>
  <c r="E3886" i="1"/>
  <c r="B3886" i="1" s="1"/>
  <c r="D3886" i="1"/>
  <c r="C3886" i="1"/>
  <c r="E3885" i="1"/>
  <c r="B3885" i="1" s="1"/>
  <c r="D3885" i="1"/>
  <c r="C3885" i="1"/>
  <c r="E3884" i="1"/>
  <c r="B3884" i="1" s="1"/>
  <c r="D3884" i="1"/>
  <c r="C3884" i="1"/>
  <c r="E3883" i="1"/>
  <c r="B3883" i="1" s="1"/>
  <c r="D3883" i="1"/>
  <c r="C3883" i="1"/>
  <c r="E3882" i="1"/>
  <c r="B3882" i="1" s="1"/>
  <c r="D3882" i="1"/>
  <c r="C3882" i="1"/>
  <c r="E3881" i="1"/>
  <c r="B3881" i="1" s="1"/>
  <c r="D3881" i="1"/>
  <c r="C3881" i="1"/>
  <c r="E3880" i="1"/>
  <c r="B3880" i="1" s="1"/>
  <c r="D3880" i="1"/>
  <c r="C3880" i="1"/>
  <c r="E3879" i="1"/>
  <c r="B3879" i="1" s="1"/>
  <c r="D3879" i="1"/>
  <c r="C3879" i="1"/>
  <c r="E3878" i="1"/>
  <c r="B3878" i="1" s="1"/>
  <c r="D3878" i="1"/>
  <c r="C3878" i="1"/>
  <c r="E3877" i="1"/>
  <c r="B3877" i="1" s="1"/>
  <c r="D3877" i="1"/>
  <c r="C3877" i="1"/>
  <c r="E3876" i="1"/>
  <c r="B3876" i="1" s="1"/>
  <c r="D3876" i="1"/>
  <c r="C3876" i="1"/>
  <c r="E3875" i="1"/>
  <c r="D3875" i="1"/>
  <c r="C3875" i="1"/>
  <c r="E3874" i="1"/>
  <c r="B3874" i="1" s="1"/>
  <c r="D3874" i="1"/>
  <c r="C3874" i="1"/>
  <c r="E3873" i="1"/>
  <c r="B3873" i="1" s="1"/>
  <c r="D3873" i="1"/>
  <c r="C3873" i="1"/>
  <c r="E3872" i="1"/>
  <c r="B3872" i="1" s="1"/>
  <c r="D3872" i="1"/>
  <c r="C3872" i="1"/>
  <c r="E3871" i="1"/>
  <c r="D3871" i="1"/>
  <c r="C3871" i="1"/>
  <c r="E3870" i="1"/>
  <c r="B3870" i="1" s="1"/>
  <c r="D3870" i="1"/>
  <c r="C3870" i="1"/>
  <c r="E3869" i="1"/>
  <c r="B3869" i="1" s="1"/>
  <c r="D3869" i="1"/>
  <c r="C3869" i="1"/>
  <c r="E3868" i="1"/>
  <c r="B3868" i="1" s="1"/>
  <c r="D3868" i="1"/>
  <c r="C3868" i="1"/>
  <c r="E3867" i="1"/>
  <c r="D3867" i="1"/>
  <c r="C3867" i="1"/>
  <c r="E3866" i="1"/>
  <c r="B3866" i="1" s="1"/>
  <c r="D3866" i="1"/>
  <c r="C3866" i="1"/>
  <c r="E3865" i="1"/>
  <c r="B3865" i="1" s="1"/>
  <c r="D3865" i="1"/>
  <c r="C3865" i="1"/>
  <c r="E3864" i="1"/>
  <c r="B3864" i="1" s="1"/>
  <c r="D3864" i="1"/>
  <c r="C3864" i="1"/>
  <c r="E3863" i="1"/>
  <c r="D3863" i="1"/>
  <c r="C3863" i="1"/>
  <c r="E3862" i="1"/>
  <c r="B3862" i="1" s="1"/>
  <c r="D3862" i="1"/>
  <c r="C3862" i="1"/>
  <c r="E3861" i="1"/>
  <c r="B3861" i="1" s="1"/>
  <c r="D3861" i="1"/>
  <c r="C3861" i="1"/>
  <c r="E3860" i="1"/>
  <c r="B3860" i="1" s="1"/>
  <c r="D3860" i="1"/>
  <c r="C3860" i="1"/>
  <c r="E3859" i="1"/>
  <c r="D3859" i="1"/>
  <c r="C3859" i="1"/>
  <c r="E3858" i="1"/>
  <c r="B3858" i="1" s="1"/>
  <c r="D3858" i="1"/>
  <c r="C3858" i="1"/>
  <c r="E3857" i="1"/>
  <c r="B3857" i="1" s="1"/>
  <c r="D3857" i="1"/>
  <c r="C3857" i="1"/>
  <c r="E3856" i="1"/>
  <c r="D3856" i="1"/>
  <c r="C3856" i="1"/>
  <c r="E3855" i="1"/>
  <c r="D3855" i="1"/>
  <c r="C3855" i="1"/>
  <c r="E3854" i="1"/>
  <c r="B3854" i="1" s="1"/>
  <c r="D3854" i="1"/>
  <c r="C3854" i="1"/>
  <c r="E3853" i="1"/>
  <c r="B3853" i="1" s="1"/>
  <c r="D3853" i="1"/>
  <c r="C3853" i="1"/>
  <c r="E3852" i="1"/>
  <c r="D3852" i="1"/>
  <c r="C3852" i="1"/>
  <c r="E3851" i="1"/>
  <c r="D3851" i="1"/>
  <c r="C3851" i="1"/>
  <c r="E3850" i="1"/>
  <c r="B3850" i="1" s="1"/>
  <c r="D3850" i="1"/>
  <c r="C3850" i="1"/>
  <c r="E3849" i="1"/>
  <c r="B3849" i="1" s="1"/>
  <c r="D3849" i="1"/>
  <c r="C3849" i="1"/>
  <c r="E3848" i="1"/>
  <c r="D3848" i="1"/>
  <c r="C3848" i="1"/>
  <c r="E3847" i="1"/>
  <c r="D3847" i="1"/>
  <c r="C3847" i="1"/>
  <c r="E3846" i="1"/>
  <c r="B3846" i="1" s="1"/>
  <c r="D3846" i="1"/>
  <c r="C3846" i="1"/>
  <c r="E3845" i="1"/>
  <c r="B3845" i="1" s="1"/>
  <c r="D3845" i="1"/>
  <c r="C3845" i="1"/>
  <c r="E3844" i="1"/>
  <c r="D3844" i="1"/>
  <c r="C3844" i="1"/>
  <c r="E3843" i="1"/>
  <c r="D3843" i="1"/>
  <c r="C3843" i="1"/>
  <c r="E3842" i="1"/>
  <c r="B3842" i="1" s="1"/>
  <c r="D3842" i="1"/>
  <c r="C3842" i="1"/>
  <c r="E3841" i="1"/>
  <c r="B3841" i="1" s="1"/>
  <c r="D3841" i="1"/>
  <c r="C3841" i="1"/>
  <c r="E3840" i="1"/>
  <c r="D3840" i="1"/>
  <c r="C3840" i="1"/>
  <c r="E3839" i="1"/>
  <c r="D3839" i="1"/>
  <c r="C3839" i="1"/>
  <c r="E3838" i="1"/>
  <c r="B3838" i="1" s="1"/>
  <c r="D3838" i="1"/>
  <c r="C3838" i="1"/>
  <c r="E3837" i="1"/>
  <c r="B3837" i="1" s="1"/>
  <c r="D3837" i="1"/>
  <c r="C3837" i="1"/>
  <c r="E3836" i="1"/>
  <c r="D3836" i="1"/>
  <c r="C3836" i="1"/>
  <c r="E3835" i="1"/>
  <c r="D3835" i="1"/>
  <c r="C3835" i="1"/>
  <c r="E3834" i="1"/>
  <c r="B3834" i="1" s="1"/>
  <c r="D3834" i="1"/>
  <c r="C3834" i="1"/>
  <c r="E3833" i="1"/>
  <c r="B3833" i="1" s="1"/>
  <c r="D3833" i="1"/>
  <c r="C3833" i="1"/>
  <c r="E3832" i="1"/>
  <c r="D3832" i="1"/>
  <c r="C3832" i="1"/>
  <c r="E3831" i="1"/>
  <c r="B3831" i="1" s="1"/>
  <c r="D3831" i="1"/>
  <c r="C3831" i="1"/>
  <c r="E3830" i="1"/>
  <c r="B3830" i="1" s="1"/>
  <c r="D3830" i="1"/>
  <c r="C3830" i="1"/>
  <c r="E3829" i="1"/>
  <c r="B3829" i="1" s="1"/>
  <c r="D3829" i="1"/>
  <c r="C3829" i="1"/>
  <c r="E3828" i="1"/>
  <c r="D3828" i="1"/>
  <c r="C3828" i="1"/>
  <c r="E3827" i="1"/>
  <c r="D3827" i="1"/>
  <c r="C3827" i="1"/>
  <c r="E3826" i="1"/>
  <c r="B3826" i="1" s="1"/>
  <c r="D3826" i="1"/>
  <c r="C3826" i="1"/>
  <c r="E3825" i="1"/>
  <c r="B3825" i="1" s="1"/>
  <c r="D3825" i="1"/>
  <c r="C3825" i="1"/>
  <c r="E3824" i="1"/>
  <c r="D3824" i="1"/>
  <c r="C3824" i="1"/>
  <c r="E3823" i="1"/>
  <c r="B3823" i="1" s="1"/>
  <c r="D3823" i="1"/>
  <c r="C3823" i="1"/>
  <c r="E3822" i="1"/>
  <c r="B3822" i="1" s="1"/>
  <c r="D3822" i="1"/>
  <c r="C3822" i="1"/>
  <c r="E3821" i="1"/>
  <c r="B3821" i="1" s="1"/>
  <c r="D3821" i="1"/>
  <c r="C3821" i="1"/>
  <c r="E3820" i="1"/>
  <c r="D3820" i="1"/>
  <c r="C3820" i="1"/>
  <c r="E3819" i="1"/>
  <c r="D3819" i="1"/>
  <c r="C3819" i="1"/>
  <c r="E3818" i="1"/>
  <c r="B3818" i="1" s="1"/>
  <c r="D3818" i="1"/>
  <c r="C3818" i="1"/>
  <c r="E3817" i="1"/>
  <c r="B3817" i="1" s="1"/>
  <c r="D3817" i="1"/>
  <c r="C3817" i="1"/>
  <c r="E3816" i="1"/>
  <c r="D3816" i="1"/>
  <c r="C3816" i="1"/>
  <c r="E3815" i="1"/>
  <c r="B3815" i="1" s="1"/>
  <c r="D3815" i="1"/>
  <c r="C3815" i="1"/>
  <c r="E3814" i="1"/>
  <c r="B3814" i="1" s="1"/>
  <c r="D3814" i="1"/>
  <c r="C3814" i="1"/>
  <c r="E3813" i="1"/>
  <c r="B3813" i="1" s="1"/>
  <c r="D3813" i="1"/>
  <c r="C3813" i="1"/>
  <c r="E3812" i="1"/>
  <c r="D3812" i="1"/>
  <c r="C3812" i="1"/>
  <c r="E3811" i="1"/>
  <c r="D3811" i="1"/>
  <c r="C3811" i="1"/>
  <c r="E3810" i="1"/>
  <c r="B3810" i="1" s="1"/>
  <c r="D3810" i="1"/>
  <c r="C3810" i="1"/>
  <c r="E3809" i="1"/>
  <c r="B3809" i="1" s="1"/>
  <c r="D3809" i="1"/>
  <c r="C3809" i="1"/>
  <c r="E3808" i="1"/>
  <c r="D3808" i="1"/>
  <c r="C3808" i="1"/>
  <c r="E3807" i="1"/>
  <c r="B3807" i="1" s="1"/>
  <c r="D3807" i="1"/>
  <c r="C3807" i="1"/>
  <c r="E3806" i="1"/>
  <c r="B3806" i="1" s="1"/>
  <c r="D3806" i="1"/>
  <c r="C3806" i="1"/>
  <c r="E3805" i="1"/>
  <c r="B3805" i="1" s="1"/>
  <c r="D3805" i="1"/>
  <c r="C3805" i="1"/>
  <c r="E3804" i="1"/>
  <c r="D3804" i="1"/>
  <c r="C3804" i="1"/>
  <c r="E3803" i="1"/>
  <c r="D3803" i="1"/>
  <c r="C3803" i="1"/>
  <c r="E3802" i="1"/>
  <c r="B3802" i="1" s="1"/>
  <c r="D3802" i="1"/>
  <c r="C3802" i="1"/>
  <c r="E3801" i="1"/>
  <c r="B3801" i="1" s="1"/>
  <c r="D3801" i="1"/>
  <c r="C3801" i="1"/>
  <c r="E3800" i="1"/>
  <c r="D3800" i="1"/>
  <c r="C3800" i="1"/>
  <c r="E3799" i="1"/>
  <c r="B3799" i="1" s="1"/>
  <c r="D3799" i="1"/>
  <c r="C3799" i="1"/>
  <c r="E3798" i="1"/>
  <c r="B3798" i="1" s="1"/>
  <c r="D3798" i="1"/>
  <c r="C3798" i="1"/>
  <c r="E3797" i="1"/>
  <c r="B3797" i="1" s="1"/>
  <c r="D3797" i="1"/>
  <c r="C3797" i="1"/>
  <c r="E3796" i="1"/>
  <c r="D3796" i="1"/>
  <c r="C3796" i="1"/>
  <c r="E3795" i="1"/>
  <c r="D3795" i="1"/>
  <c r="C3795" i="1"/>
  <c r="E3794" i="1"/>
  <c r="B3794" i="1" s="1"/>
  <c r="D3794" i="1"/>
  <c r="C3794" i="1"/>
  <c r="E3793" i="1"/>
  <c r="D3793" i="1"/>
  <c r="C3793" i="1"/>
  <c r="E3792" i="1"/>
  <c r="D3792" i="1"/>
  <c r="C3792" i="1"/>
  <c r="E3791" i="1"/>
  <c r="B3791" i="1" s="1"/>
  <c r="D3791" i="1"/>
  <c r="C3791" i="1"/>
  <c r="E3790" i="1"/>
  <c r="B3790" i="1" s="1"/>
  <c r="D3790" i="1"/>
  <c r="C3790" i="1"/>
  <c r="E3789" i="1"/>
  <c r="B3789" i="1" s="1"/>
  <c r="D3789" i="1"/>
  <c r="C3789" i="1"/>
  <c r="E3788" i="1"/>
  <c r="D3788" i="1"/>
  <c r="C3788" i="1"/>
  <c r="E3787" i="1"/>
  <c r="D3787" i="1"/>
  <c r="C3787" i="1"/>
  <c r="E3786" i="1"/>
  <c r="B3786" i="1" s="1"/>
  <c r="D3786" i="1"/>
  <c r="C3786" i="1"/>
  <c r="E3785" i="1"/>
  <c r="B3785" i="1" s="1"/>
  <c r="D3785" i="1"/>
  <c r="C3785" i="1"/>
  <c r="E3784" i="1"/>
  <c r="D3784" i="1"/>
  <c r="C3784" i="1"/>
  <c r="E3783" i="1"/>
  <c r="B3783" i="1" s="1"/>
  <c r="D3783" i="1"/>
  <c r="C3783" i="1"/>
  <c r="E3782" i="1"/>
  <c r="B3782" i="1" s="1"/>
  <c r="D3782" i="1"/>
  <c r="C3782" i="1"/>
  <c r="E3781" i="1"/>
  <c r="B3781" i="1" s="1"/>
  <c r="D3781" i="1"/>
  <c r="C3781" i="1"/>
  <c r="E3780" i="1"/>
  <c r="D3780" i="1"/>
  <c r="C3780" i="1"/>
  <c r="E3779" i="1"/>
  <c r="D3779" i="1"/>
  <c r="C3779" i="1"/>
  <c r="E3778" i="1"/>
  <c r="B3778" i="1" s="1"/>
  <c r="D3778" i="1"/>
  <c r="C3778" i="1"/>
  <c r="E3777" i="1"/>
  <c r="B3777" i="1" s="1"/>
  <c r="D3777" i="1"/>
  <c r="C3777" i="1"/>
  <c r="E3776" i="1"/>
  <c r="D3776" i="1"/>
  <c r="C3776" i="1"/>
  <c r="E3775" i="1"/>
  <c r="B3775" i="1" s="1"/>
  <c r="D3775" i="1"/>
  <c r="C3775" i="1"/>
  <c r="E3774" i="1"/>
  <c r="B3774" i="1" s="1"/>
  <c r="D3774" i="1"/>
  <c r="C3774" i="1"/>
  <c r="E3773" i="1"/>
  <c r="B3773" i="1" s="1"/>
  <c r="D3773" i="1"/>
  <c r="C3773" i="1"/>
  <c r="E3772" i="1"/>
  <c r="D3772" i="1"/>
  <c r="C3772" i="1"/>
  <c r="E3771" i="1"/>
  <c r="D3771" i="1"/>
  <c r="C3771" i="1"/>
  <c r="E3770" i="1"/>
  <c r="B3770" i="1" s="1"/>
  <c r="D3770" i="1"/>
  <c r="C3770" i="1"/>
  <c r="E3769" i="1"/>
  <c r="B3769" i="1" s="1"/>
  <c r="D3769" i="1"/>
  <c r="C3769" i="1"/>
  <c r="E3768" i="1"/>
  <c r="D3768" i="1"/>
  <c r="C3768" i="1"/>
  <c r="E3767" i="1"/>
  <c r="B3767" i="1" s="1"/>
  <c r="D3767" i="1"/>
  <c r="C3767" i="1"/>
  <c r="E3766" i="1"/>
  <c r="B3766" i="1" s="1"/>
  <c r="D3766" i="1"/>
  <c r="C3766" i="1"/>
  <c r="E3765" i="1"/>
  <c r="B3765" i="1" s="1"/>
  <c r="D3765" i="1"/>
  <c r="C3765" i="1"/>
  <c r="E3764" i="1"/>
  <c r="D3764" i="1"/>
  <c r="C3764" i="1"/>
  <c r="E3763" i="1"/>
  <c r="D3763" i="1"/>
  <c r="C3763" i="1"/>
  <c r="E3762" i="1"/>
  <c r="B3762" i="1" s="1"/>
  <c r="D3762" i="1"/>
  <c r="C3762" i="1"/>
  <c r="E3761" i="1"/>
  <c r="B3761" i="1" s="1"/>
  <c r="D3761" i="1"/>
  <c r="C3761" i="1"/>
  <c r="E3760" i="1"/>
  <c r="D3760" i="1"/>
  <c r="C3760" i="1"/>
  <c r="E3759" i="1"/>
  <c r="B3759" i="1" s="1"/>
  <c r="D3759" i="1"/>
  <c r="C3759" i="1"/>
  <c r="E3758" i="1"/>
  <c r="B3758" i="1" s="1"/>
  <c r="D3758" i="1"/>
  <c r="C3758" i="1"/>
  <c r="E3757" i="1"/>
  <c r="B3757" i="1" s="1"/>
  <c r="D3757" i="1"/>
  <c r="C3757" i="1"/>
  <c r="E3756" i="1"/>
  <c r="D3756" i="1"/>
  <c r="C3756" i="1"/>
  <c r="E3755" i="1"/>
  <c r="D3755" i="1"/>
  <c r="C3755" i="1"/>
  <c r="E3754" i="1"/>
  <c r="B3754" i="1" s="1"/>
  <c r="D3754" i="1"/>
  <c r="C3754" i="1"/>
  <c r="E3753" i="1"/>
  <c r="B3753" i="1" s="1"/>
  <c r="D3753" i="1"/>
  <c r="C3753" i="1"/>
  <c r="E3752" i="1"/>
  <c r="D3752" i="1"/>
  <c r="C3752" i="1"/>
  <c r="E3751" i="1"/>
  <c r="B3751" i="1" s="1"/>
  <c r="D3751" i="1"/>
  <c r="C3751" i="1"/>
  <c r="E3750" i="1"/>
  <c r="B3750" i="1" s="1"/>
  <c r="D3750" i="1"/>
  <c r="C3750" i="1"/>
  <c r="E3749" i="1"/>
  <c r="B3749" i="1" s="1"/>
  <c r="D3749" i="1"/>
  <c r="C3749" i="1"/>
  <c r="E3748" i="1"/>
  <c r="D3748" i="1"/>
  <c r="C3748" i="1"/>
  <c r="E3747" i="1"/>
  <c r="D3747" i="1"/>
  <c r="C3747" i="1"/>
  <c r="E3746" i="1"/>
  <c r="B3746" i="1" s="1"/>
  <c r="D3746" i="1"/>
  <c r="C3746" i="1"/>
  <c r="E3745" i="1"/>
  <c r="D3745" i="1"/>
  <c r="C3745" i="1"/>
  <c r="E3744" i="1"/>
  <c r="D3744" i="1"/>
  <c r="C3744" i="1"/>
  <c r="E3743" i="1"/>
  <c r="B3743" i="1" s="1"/>
  <c r="D3743" i="1"/>
  <c r="C3743" i="1"/>
  <c r="E3742" i="1"/>
  <c r="B3742" i="1" s="1"/>
  <c r="D3742" i="1"/>
  <c r="C3742" i="1"/>
  <c r="E3741" i="1"/>
  <c r="B3741" i="1" s="1"/>
  <c r="D3741" i="1"/>
  <c r="C3741" i="1"/>
  <c r="E3740" i="1"/>
  <c r="D3740" i="1"/>
  <c r="C3740" i="1"/>
  <c r="E3739" i="1"/>
  <c r="D3739" i="1"/>
  <c r="C3739" i="1"/>
  <c r="E3738" i="1"/>
  <c r="B3738" i="1" s="1"/>
  <c r="D3738" i="1"/>
  <c r="C3738" i="1"/>
  <c r="E3737" i="1"/>
  <c r="D3737" i="1"/>
  <c r="C3737" i="1"/>
  <c r="E3736" i="1"/>
  <c r="D3736" i="1"/>
  <c r="C3736" i="1"/>
  <c r="E3735" i="1"/>
  <c r="B3735" i="1" s="1"/>
  <c r="D3735" i="1"/>
  <c r="C3735" i="1"/>
  <c r="E3734" i="1"/>
  <c r="B3734" i="1" s="1"/>
  <c r="D3734" i="1"/>
  <c r="C3734" i="1"/>
  <c r="E3733" i="1"/>
  <c r="B3733" i="1" s="1"/>
  <c r="D3733" i="1"/>
  <c r="C3733" i="1"/>
  <c r="E3732" i="1"/>
  <c r="D3732" i="1"/>
  <c r="C3732" i="1"/>
  <c r="E3731" i="1"/>
  <c r="D3731" i="1"/>
  <c r="C3731" i="1"/>
  <c r="E3730" i="1"/>
  <c r="B3730" i="1" s="1"/>
  <c r="D3730" i="1"/>
  <c r="C3730" i="1"/>
  <c r="E3729" i="1"/>
  <c r="D3729" i="1"/>
  <c r="C3729" i="1"/>
  <c r="E3728" i="1"/>
  <c r="D3728" i="1"/>
  <c r="C3728" i="1"/>
  <c r="E3727" i="1"/>
  <c r="B3727" i="1" s="1"/>
  <c r="D3727" i="1"/>
  <c r="C3727" i="1"/>
  <c r="E3726" i="1"/>
  <c r="B3726" i="1" s="1"/>
  <c r="D3726" i="1"/>
  <c r="C3726" i="1"/>
  <c r="E3725" i="1"/>
  <c r="B3725" i="1" s="1"/>
  <c r="D3725" i="1"/>
  <c r="C3725" i="1"/>
  <c r="E3724" i="1"/>
  <c r="D3724" i="1"/>
  <c r="C3724" i="1"/>
  <c r="E3723" i="1"/>
  <c r="D3723" i="1"/>
  <c r="C3723" i="1"/>
  <c r="E3722" i="1"/>
  <c r="B3722" i="1" s="1"/>
  <c r="D3722" i="1"/>
  <c r="C3722" i="1"/>
  <c r="E3721" i="1"/>
  <c r="D3721" i="1"/>
  <c r="C3721" i="1"/>
  <c r="E3720" i="1"/>
  <c r="D3720" i="1"/>
  <c r="C3720" i="1"/>
  <c r="E3719" i="1"/>
  <c r="B3719" i="1" s="1"/>
  <c r="D3719" i="1"/>
  <c r="C3719" i="1"/>
  <c r="E3718" i="1"/>
  <c r="B3718" i="1" s="1"/>
  <c r="D3718" i="1"/>
  <c r="C3718" i="1"/>
  <c r="E3717" i="1"/>
  <c r="B3717" i="1" s="1"/>
  <c r="D3717" i="1"/>
  <c r="C3717" i="1"/>
  <c r="E3716" i="1"/>
  <c r="D3716" i="1"/>
  <c r="C3716" i="1"/>
  <c r="E3715" i="1"/>
  <c r="D3715" i="1"/>
  <c r="C3715" i="1"/>
  <c r="E3714" i="1"/>
  <c r="B3714" i="1" s="1"/>
  <c r="D3714" i="1"/>
  <c r="C3714" i="1"/>
  <c r="E3713" i="1"/>
  <c r="D3713" i="1"/>
  <c r="C3713" i="1"/>
  <c r="E3712" i="1"/>
  <c r="D3712" i="1"/>
  <c r="C3712" i="1"/>
  <c r="E3711" i="1"/>
  <c r="B3711" i="1" s="1"/>
  <c r="D3711" i="1"/>
  <c r="C3711" i="1"/>
  <c r="E3710" i="1"/>
  <c r="B3710" i="1" s="1"/>
  <c r="D3710" i="1"/>
  <c r="C3710" i="1"/>
  <c r="E3709" i="1"/>
  <c r="B3709" i="1" s="1"/>
  <c r="D3709" i="1"/>
  <c r="C3709" i="1"/>
  <c r="E3708" i="1"/>
  <c r="D3708" i="1"/>
  <c r="C3708" i="1"/>
  <c r="E3707" i="1"/>
  <c r="D3707" i="1"/>
  <c r="C3707" i="1"/>
  <c r="E3706" i="1"/>
  <c r="B3706" i="1" s="1"/>
  <c r="D3706" i="1"/>
  <c r="C3706" i="1"/>
  <c r="E3705" i="1"/>
  <c r="D3705" i="1"/>
  <c r="C3705" i="1"/>
  <c r="E3704" i="1"/>
  <c r="D3704" i="1"/>
  <c r="C3704" i="1"/>
  <c r="E3703" i="1"/>
  <c r="B3703" i="1" s="1"/>
  <c r="D3703" i="1"/>
  <c r="C3703" i="1"/>
  <c r="E3702" i="1"/>
  <c r="B3702" i="1" s="1"/>
  <c r="D3702" i="1"/>
  <c r="C3702" i="1"/>
  <c r="E3701" i="1"/>
  <c r="B3701" i="1" s="1"/>
  <c r="D3701" i="1"/>
  <c r="C3701" i="1"/>
  <c r="E3700" i="1"/>
  <c r="D3700" i="1"/>
  <c r="C3700" i="1"/>
  <c r="E3699" i="1"/>
  <c r="D3699" i="1"/>
  <c r="C3699" i="1"/>
  <c r="E3698" i="1"/>
  <c r="B3698" i="1" s="1"/>
  <c r="D3698" i="1"/>
  <c r="C3698" i="1"/>
  <c r="E3697" i="1"/>
  <c r="D3697" i="1"/>
  <c r="C3697" i="1"/>
  <c r="E3696" i="1"/>
  <c r="D3696" i="1"/>
  <c r="C3696" i="1"/>
  <c r="E3695" i="1"/>
  <c r="B3695" i="1" s="1"/>
  <c r="D3695" i="1"/>
  <c r="C3695" i="1"/>
  <c r="E3694" i="1"/>
  <c r="B3694" i="1" s="1"/>
  <c r="D3694" i="1"/>
  <c r="C3694" i="1"/>
  <c r="E3693" i="1"/>
  <c r="B3693" i="1" s="1"/>
  <c r="D3693" i="1"/>
  <c r="C3693" i="1"/>
  <c r="E3692" i="1"/>
  <c r="D3692" i="1"/>
  <c r="C3692" i="1"/>
  <c r="E3691" i="1"/>
  <c r="D3691" i="1"/>
  <c r="C3691" i="1"/>
  <c r="E3690" i="1"/>
  <c r="B3690" i="1" s="1"/>
  <c r="D3690" i="1"/>
  <c r="C3690" i="1"/>
  <c r="E3689" i="1"/>
  <c r="D3689" i="1"/>
  <c r="C3689" i="1"/>
  <c r="E3688" i="1"/>
  <c r="D3688" i="1"/>
  <c r="C3688" i="1"/>
  <c r="E3687" i="1"/>
  <c r="B3687" i="1" s="1"/>
  <c r="D3687" i="1"/>
  <c r="C3687" i="1"/>
  <c r="E3686" i="1"/>
  <c r="B3686" i="1" s="1"/>
  <c r="D3686" i="1"/>
  <c r="C3686" i="1"/>
  <c r="E3685" i="1"/>
  <c r="B3685" i="1" s="1"/>
  <c r="D3685" i="1"/>
  <c r="C3685" i="1"/>
  <c r="E3684" i="1"/>
  <c r="D3684" i="1"/>
  <c r="C3684" i="1"/>
  <c r="E3683" i="1"/>
  <c r="D3683" i="1"/>
  <c r="C3683" i="1"/>
  <c r="E3682" i="1"/>
  <c r="B3682" i="1" s="1"/>
  <c r="D3682" i="1"/>
  <c r="C3682" i="1"/>
  <c r="E3681" i="1"/>
  <c r="D3681" i="1"/>
  <c r="C3681" i="1"/>
  <c r="E3680" i="1"/>
  <c r="D3680" i="1"/>
  <c r="C3680" i="1"/>
  <c r="E3679" i="1"/>
  <c r="B3679" i="1" s="1"/>
  <c r="D3679" i="1"/>
  <c r="C3679" i="1"/>
  <c r="E3678" i="1"/>
  <c r="B3678" i="1" s="1"/>
  <c r="D3678" i="1"/>
  <c r="C3678" i="1"/>
  <c r="E3677" i="1"/>
  <c r="B3677" i="1" s="1"/>
  <c r="D3677" i="1"/>
  <c r="C3677" i="1"/>
  <c r="E3676" i="1"/>
  <c r="D3676" i="1"/>
  <c r="C3676" i="1"/>
  <c r="E3675" i="1"/>
  <c r="D3675" i="1"/>
  <c r="C3675" i="1"/>
  <c r="E3674" i="1"/>
  <c r="B3674" i="1" s="1"/>
  <c r="D3674" i="1"/>
  <c r="C3674" i="1"/>
  <c r="E3673" i="1"/>
  <c r="D3673" i="1"/>
  <c r="C3673" i="1"/>
  <c r="E3672" i="1"/>
  <c r="D3672" i="1"/>
  <c r="C3672" i="1"/>
  <c r="E3671" i="1"/>
  <c r="B3671" i="1" s="1"/>
  <c r="D3671" i="1"/>
  <c r="C3671" i="1"/>
  <c r="E3670" i="1"/>
  <c r="B3670" i="1" s="1"/>
  <c r="D3670" i="1"/>
  <c r="C3670" i="1"/>
  <c r="E3669" i="1"/>
  <c r="B3669" i="1" s="1"/>
  <c r="D3669" i="1"/>
  <c r="C3669" i="1"/>
  <c r="E3668" i="1"/>
  <c r="D3668" i="1"/>
  <c r="C3668" i="1"/>
  <c r="E3667" i="1"/>
  <c r="D3667" i="1"/>
  <c r="C3667" i="1"/>
  <c r="E3666" i="1"/>
  <c r="B3666" i="1" s="1"/>
  <c r="D3666" i="1"/>
  <c r="C3666" i="1"/>
  <c r="E3665" i="1"/>
  <c r="D3665" i="1"/>
  <c r="C3665" i="1"/>
  <c r="E3664" i="1"/>
  <c r="D3664" i="1"/>
  <c r="C3664" i="1"/>
  <c r="E3663" i="1"/>
  <c r="B3663" i="1" s="1"/>
  <c r="D3663" i="1"/>
  <c r="C3663" i="1"/>
  <c r="E3662" i="1"/>
  <c r="B3662" i="1" s="1"/>
  <c r="D3662" i="1"/>
  <c r="C3662" i="1"/>
  <c r="E3661" i="1"/>
  <c r="B3661" i="1" s="1"/>
  <c r="D3661" i="1"/>
  <c r="C3661" i="1"/>
  <c r="E3660" i="1"/>
  <c r="D3660" i="1"/>
  <c r="C3660" i="1"/>
  <c r="E3659" i="1"/>
  <c r="D3659" i="1"/>
  <c r="C3659" i="1"/>
  <c r="E3658" i="1"/>
  <c r="B3658" i="1" s="1"/>
  <c r="D3658" i="1"/>
  <c r="C3658" i="1"/>
  <c r="E3657" i="1"/>
  <c r="D3657" i="1"/>
  <c r="C3657" i="1"/>
  <c r="E3656" i="1"/>
  <c r="D3656" i="1"/>
  <c r="C3656" i="1"/>
  <c r="E3655" i="1"/>
  <c r="B3655" i="1" s="1"/>
  <c r="D3655" i="1"/>
  <c r="C3655" i="1"/>
  <c r="E3654" i="1"/>
  <c r="B3654" i="1" s="1"/>
  <c r="D3654" i="1"/>
  <c r="C3654" i="1"/>
  <c r="E3653" i="1"/>
  <c r="B3653" i="1" s="1"/>
  <c r="D3653" i="1"/>
  <c r="C3653" i="1"/>
  <c r="E3652" i="1"/>
  <c r="D3652" i="1"/>
  <c r="C3652" i="1"/>
  <c r="E3651" i="1"/>
  <c r="D3651" i="1"/>
  <c r="C3651" i="1"/>
  <c r="E3650" i="1"/>
  <c r="B3650" i="1" s="1"/>
  <c r="D3650" i="1"/>
  <c r="C3650" i="1"/>
  <c r="E3649" i="1"/>
  <c r="D3649" i="1"/>
  <c r="C3649" i="1"/>
  <c r="E3648" i="1"/>
  <c r="D3648" i="1"/>
  <c r="C3648" i="1"/>
  <c r="E3647" i="1"/>
  <c r="B3647" i="1" s="1"/>
  <c r="D3647" i="1"/>
  <c r="C3647" i="1"/>
  <c r="E3646" i="1"/>
  <c r="B3646" i="1" s="1"/>
  <c r="D3646" i="1"/>
  <c r="C3646" i="1"/>
  <c r="E3645" i="1"/>
  <c r="B3645" i="1" s="1"/>
  <c r="D3645" i="1"/>
  <c r="C3645" i="1"/>
  <c r="E3644" i="1"/>
  <c r="D3644" i="1"/>
  <c r="C3644" i="1"/>
  <c r="E3643" i="1"/>
  <c r="D3643" i="1"/>
  <c r="C3643" i="1"/>
  <c r="E3642" i="1"/>
  <c r="B3642" i="1" s="1"/>
  <c r="D3642" i="1"/>
  <c r="C3642" i="1"/>
  <c r="E3641" i="1"/>
  <c r="D3641" i="1"/>
  <c r="C3641" i="1"/>
  <c r="E3640" i="1"/>
  <c r="D3640" i="1"/>
  <c r="C3640" i="1"/>
  <c r="E3639" i="1"/>
  <c r="B3639" i="1" s="1"/>
  <c r="D3639" i="1"/>
  <c r="C3639" i="1"/>
  <c r="E3638" i="1"/>
  <c r="B3638" i="1" s="1"/>
  <c r="D3638" i="1"/>
  <c r="C3638" i="1"/>
  <c r="E3637" i="1"/>
  <c r="B3637" i="1" s="1"/>
  <c r="D3637" i="1"/>
  <c r="C3637" i="1"/>
  <c r="E3636" i="1"/>
  <c r="D3636" i="1"/>
  <c r="C3636" i="1"/>
  <c r="E3635" i="1"/>
  <c r="D3635" i="1"/>
  <c r="C3635" i="1"/>
  <c r="E3634" i="1"/>
  <c r="B3634" i="1" s="1"/>
  <c r="D3634" i="1"/>
  <c r="C3634" i="1"/>
  <c r="E3633" i="1"/>
  <c r="D3633" i="1"/>
  <c r="C3633" i="1"/>
  <c r="E3632" i="1"/>
  <c r="D3632" i="1"/>
  <c r="C3632" i="1"/>
  <c r="E3631" i="1"/>
  <c r="B3631" i="1" s="1"/>
  <c r="D3631" i="1"/>
  <c r="C3631" i="1"/>
  <c r="E3630" i="1"/>
  <c r="B3630" i="1" s="1"/>
  <c r="D3630" i="1"/>
  <c r="C3630" i="1"/>
  <c r="E3629" i="1"/>
  <c r="B3629" i="1" s="1"/>
  <c r="D3629" i="1"/>
  <c r="C3629" i="1"/>
  <c r="E3628" i="1"/>
  <c r="D3628" i="1"/>
  <c r="C3628" i="1"/>
  <c r="E3627" i="1"/>
  <c r="D3627" i="1"/>
  <c r="C3627" i="1"/>
  <c r="E3626" i="1"/>
  <c r="B3626" i="1" s="1"/>
  <c r="D3626" i="1"/>
  <c r="C3626" i="1"/>
  <c r="E3625" i="1"/>
  <c r="D3625" i="1"/>
  <c r="C3625" i="1"/>
  <c r="E3624" i="1"/>
  <c r="D3624" i="1"/>
  <c r="C3624" i="1"/>
  <c r="E3623" i="1"/>
  <c r="B3623" i="1" s="1"/>
  <c r="D3623" i="1"/>
  <c r="C3623" i="1"/>
  <c r="E3622" i="1"/>
  <c r="B3622" i="1" s="1"/>
  <c r="D3622" i="1"/>
  <c r="C3622" i="1"/>
  <c r="E3621" i="1"/>
  <c r="B3621" i="1" s="1"/>
  <c r="D3621" i="1"/>
  <c r="C3621" i="1"/>
  <c r="E3620" i="1"/>
  <c r="D3620" i="1"/>
  <c r="C3620" i="1"/>
  <c r="E3619" i="1"/>
  <c r="D3619" i="1"/>
  <c r="C3619" i="1"/>
  <c r="E3618" i="1"/>
  <c r="D3618" i="1"/>
  <c r="C3618" i="1"/>
  <c r="E3617" i="1"/>
  <c r="D3617" i="1"/>
  <c r="C3617" i="1"/>
  <c r="E3616" i="1"/>
  <c r="D3616" i="1"/>
  <c r="C3616" i="1"/>
  <c r="E3615" i="1"/>
  <c r="B3615" i="1" s="1"/>
  <c r="D3615" i="1"/>
  <c r="C3615" i="1"/>
  <c r="E3614" i="1"/>
  <c r="B3614" i="1" s="1"/>
  <c r="D3614" i="1"/>
  <c r="C3614" i="1"/>
  <c r="E3613" i="1"/>
  <c r="B3613" i="1" s="1"/>
  <c r="D3613" i="1"/>
  <c r="C3613" i="1"/>
  <c r="E3612" i="1"/>
  <c r="D3612" i="1"/>
  <c r="C3612" i="1"/>
  <c r="E3611" i="1"/>
  <c r="D3611" i="1"/>
  <c r="C3611" i="1"/>
  <c r="E3610" i="1"/>
  <c r="B3610" i="1" s="1"/>
  <c r="D3610" i="1"/>
  <c r="C3610" i="1"/>
  <c r="E3609" i="1"/>
  <c r="D3609" i="1"/>
  <c r="C3609" i="1"/>
  <c r="E3608" i="1"/>
  <c r="D3608" i="1"/>
  <c r="C3608" i="1"/>
  <c r="E3607" i="1"/>
  <c r="B3607" i="1" s="1"/>
  <c r="D3607" i="1"/>
  <c r="C3607" i="1"/>
  <c r="E3606" i="1"/>
  <c r="B3606" i="1" s="1"/>
  <c r="D3606" i="1"/>
  <c r="C3606" i="1"/>
  <c r="E3605" i="1"/>
  <c r="B3605" i="1" s="1"/>
  <c r="D3605" i="1"/>
  <c r="C3605" i="1"/>
  <c r="E3604" i="1"/>
  <c r="D3604" i="1"/>
  <c r="C3604" i="1"/>
  <c r="E3603" i="1"/>
  <c r="D3603" i="1"/>
  <c r="C3603" i="1"/>
  <c r="E3602" i="1"/>
  <c r="B3602" i="1" s="1"/>
  <c r="D3602" i="1"/>
  <c r="C3602" i="1"/>
  <c r="E3601" i="1"/>
  <c r="D3601" i="1"/>
  <c r="C3601" i="1"/>
  <c r="E3600" i="1"/>
  <c r="D3600" i="1"/>
  <c r="C3600" i="1"/>
  <c r="E3599" i="1"/>
  <c r="B3599" i="1" s="1"/>
  <c r="D3599" i="1"/>
  <c r="C3599" i="1"/>
  <c r="E3598" i="1"/>
  <c r="B3598" i="1" s="1"/>
  <c r="D3598" i="1"/>
  <c r="C3598" i="1"/>
  <c r="E3597" i="1"/>
  <c r="B3597" i="1" s="1"/>
  <c r="D3597" i="1"/>
  <c r="C3597" i="1"/>
  <c r="E3596" i="1"/>
  <c r="D3596" i="1"/>
  <c r="C3596" i="1"/>
  <c r="E3595" i="1"/>
  <c r="D3595" i="1"/>
  <c r="C3595" i="1"/>
  <c r="E3594" i="1"/>
  <c r="B3594" i="1" s="1"/>
  <c r="D3594" i="1"/>
  <c r="C3594" i="1"/>
  <c r="E3593" i="1"/>
  <c r="D3593" i="1"/>
  <c r="C3593" i="1"/>
  <c r="E3592" i="1"/>
  <c r="D3592" i="1"/>
  <c r="C3592" i="1"/>
  <c r="E3591" i="1"/>
  <c r="B3591" i="1" s="1"/>
  <c r="D3591" i="1"/>
  <c r="C3591" i="1"/>
  <c r="E3590" i="1"/>
  <c r="B3590" i="1" s="1"/>
  <c r="D3590" i="1"/>
  <c r="C3590" i="1"/>
  <c r="E3589" i="1"/>
  <c r="B3589" i="1" s="1"/>
  <c r="D3589" i="1"/>
  <c r="C3589" i="1"/>
  <c r="E3588" i="1"/>
  <c r="D3588" i="1"/>
  <c r="C3588" i="1"/>
  <c r="E3587" i="1"/>
  <c r="D3587" i="1"/>
  <c r="C3587" i="1"/>
  <c r="E3586" i="1"/>
  <c r="B3586" i="1" s="1"/>
  <c r="D3586" i="1"/>
  <c r="C3586" i="1"/>
  <c r="E3585" i="1"/>
  <c r="D3585" i="1"/>
  <c r="C3585" i="1"/>
  <c r="E3584" i="1"/>
  <c r="D3584" i="1"/>
  <c r="C3584" i="1"/>
  <c r="E3583" i="1"/>
  <c r="B3583" i="1" s="1"/>
  <c r="D3583" i="1"/>
  <c r="C3583" i="1"/>
  <c r="E3582" i="1"/>
  <c r="B3582" i="1" s="1"/>
  <c r="D3582" i="1"/>
  <c r="C3582" i="1"/>
  <c r="E3581" i="1"/>
  <c r="B3581" i="1" s="1"/>
  <c r="D3581" i="1"/>
  <c r="C3581" i="1"/>
  <c r="E3580" i="1"/>
  <c r="D3580" i="1"/>
  <c r="C3580" i="1"/>
  <c r="E3579" i="1"/>
  <c r="D3579" i="1"/>
  <c r="C3579" i="1"/>
  <c r="E3578" i="1"/>
  <c r="B3578" i="1" s="1"/>
  <c r="D3578" i="1"/>
  <c r="C3578" i="1"/>
  <c r="E3577" i="1"/>
  <c r="D3577" i="1"/>
  <c r="C3577" i="1"/>
  <c r="E3576" i="1"/>
  <c r="D3576" i="1"/>
  <c r="C3576" i="1"/>
  <c r="E3575" i="1"/>
  <c r="B3575" i="1" s="1"/>
  <c r="D3575" i="1"/>
  <c r="C3575" i="1"/>
  <c r="E3574" i="1"/>
  <c r="B3574" i="1" s="1"/>
  <c r="D3574" i="1"/>
  <c r="C3574" i="1"/>
  <c r="E3573" i="1"/>
  <c r="B3573" i="1" s="1"/>
  <c r="D3573" i="1"/>
  <c r="C3573" i="1"/>
  <c r="E3572" i="1"/>
  <c r="D3572" i="1"/>
  <c r="C3572" i="1"/>
  <c r="E3571" i="1"/>
  <c r="D3571" i="1"/>
  <c r="C3571" i="1"/>
  <c r="E3570" i="1"/>
  <c r="B3570" i="1" s="1"/>
  <c r="D3570" i="1"/>
  <c r="C3570" i="1"/>
  <c r="E3569" i="1"/>
  <c r="D3569" i="1"/>
  <c r="C3569" i="1"/>
  <c r="E3568" i="1"/>
  <c r="D3568" i="1"/>
  <c r="C3568" i="1"/>
  <c r="E3567" i="1"/>
  <c r="B3567" i="1" s="1"/>
  <c r="D3567" i="1"/>
  <c r="C3567" i="1"/>
  <c r="E3566" i="1"/>
  <c r="B3566" i="1" s="1"/>
  <c r="D3566" i="1"/>
  <c r="C3566" i="1"/>
  <c r="E3565" i="1"/>
  <c r="B3565" i="1" s="1"/>
  <c r="D3565" i="1"/>
  <c r="C3565" i="1"/>
  <c r="E3564" i="1"/>
  <c r="D3564" i="1"/>
  <c r="C3564" i="1"/>
  <c r="E3563" i="1"/>
  <c r="D3563" i="1"/>
  <c r="C3563" i="1"/>
  <c r="E3562" i="1"/>
  <c r="B3562" i="1" s="1"/>
  <c r="D3562" i="1"/>
  <c r="C3562" i="1"/>
  <c r="E3561" i="1"/>
  <c r="D3561" i="1"/>
  <c r="C3561" i="1"/>
  <c r="E3560" i="1"/>
  <c r="D3560" i="1"/>
  <c r="C3560" i="1"/>
  <c r="E3559" i="1"/>
  <c r="B3559" i="1" s="1"/>
  <c r="D3559" i="1"/>
  <c r="C3559" i="1"/>
  <c r="E3558" i="1"/>
  <c r="B3558" i="1" s="1"/>
  <c r="D3558" i="1"/>
  <c r="C3558" i="1"/>
  <c r="E3557" i="1"/>
  <c r="B3557" i="1" s="1"/>
  <c r="D3557" i="1"/>
  <c r="C3557" i="1"/>
  <c r="E3556" i="1"/>
  <c r="D3556" i="1"/>
  <c r="C3556" i="1"/>
  <c r="E3555" i="1"/>
  <c r="D3555" i="1"/>
  <c r="C3555" i="1"/>
  <c r="E3554" i="1"/>
  <c r="B3554" i="1" s="1"/>
  <c r="D3554" i="1"/>
  <c r="C3554" i="1"/>
  <c r="E3553" i="1"/>
  <c r="D3553" i="1"/>
  <c r="C3553" i="1"/>
  <c r="E3552" i="1"/>
  <c r="D3552" i="1"/>
  <c r="C3552" i="1"/>
  <c r="E3551" i="1"/>
  <c r="B3551" i="1" s="1"/>
  <c r="D3551" i="1"/>
  <c r="C3551" i="1"/>
  <c r="E3550" i="1"/>
  <c r="B3550" i="1" s="1"/>
  <c r="D3550" i="1"/>
  <c r="C3550" i="1"/>
  <c r="E3549" i="1"/>
  <c r="B3549" i="1" s="1"/>
  <c r="D3549" i="1"/>
  <c r="C3549" i="1"/>
  <c r="E3548" i="1"/>
  <c r="D3548" i="1"/>
  <c r="C3548" i="1"/>
  <c r="E3547" i="1"/>
  <c r="D3547" i="1"/>
  <c r="C3547" i="1"/>
  <c r="E3546" i="1"/>
  <c r="B3546" i="1" s="1"/>
  <c r="D3546" i="1"/>
  <c r="C3546" i="1"/>
  <c r="E3545" i="1"/>
  <c r="B3545" i="1" s="1"/>
  <c r="D3545" i="1"/>
  <c r="C3545" i="1"/>
  <c r="E3544" i="1"/>
  <c r="D3544" i="1"/>
  <c r="C3544" i="1"/>
  <c r="E3543" i="1"/>
  <c r="B3543" i="1" s="1"/>
  <c r="D3543" i="1"/>
  <c r="C3543" i="1"/>
  <c r="E3542" i="1"/>
  <c r="B3542" i="1" s="1"/>
  <c r="D3542" i="1"/>
  <c r="C3542" i="1"/>
  <c r="E3541" i="1"/>
  <c r="B3541" i="1" s="1"/>
  <c r="D3541" i="1"/>
  <c r="C3541" i="1"/>
  <c r="E3540" i="1"/>
  <c r="D3540" i="1"/>
  <c r="C3540" i="1"/>
  <c r="E3539" i="1"/>
  <c r="D3539" i="1"/>
  <c r="C3539" i="1"/>
  <c r="E3538" i="1"/>
  <c r="B3538" i="1" s="1"/>
  <c r="D3538" i="1"/>
  <c r="C3538" i="1"/>
  <c r="E3537" i="1"/>
  <c r="B3537" i="1" s="1"/>
  <c r="D3537" i="1"/>
  <c r="C3537" i="1"/>
  <c r="E3536" i="1"/>
  <c r="D3536" i="1"/>
  <c r="C3536" i="1"/>
  <c r="E3535" i="1"/>
  <c r="B3535" i="1" s="1"/>
  <c r="D3535" i="1"/>
  <c r="C3535" i="1"/>
  <c r="E3534" i="1"/>
  <c r="B3534" i="1" s="1"/>
  <c r="D3534" i="1"/>
  <c r="C3534" i="1"/>
  <c r="E3533" i="1"/>
  <c r="B3533" i="1" s="1"/>
  <c r="D3533" i="1"/>
  <c r="C3533" i="1"/>
  <c r="E3532" i="1"/>
  <c r="D3532" i="1"/>
  <c r="C3532" i="1"/>
  <c r="E3531" i="1"/>
  <c r="D3531" i="1"/>
  <c r="C3531" i="1"/>
  <c r="E3530" i="1"/>
  <c r="B3530" i="1" s="1"/>
  <c r="D3530" i="1"/>
  <c r="C3530" i="1"/>
  <c r="E3529" i="1"/>
  <c r="B3529" i="1" s="1"/>
  <c r="D3529" i="1"/>
  <c r="C3529" i="1"/>
  <c r="E3528" i="1"/>
  <c r="D3528" i="1"/>
  <c r="C3528" i="1"/>
  <c r="E3527" i="1"/>
  <c r="B3527" i="1" s="1"/>
  <c r="D3527" i="1"/>
  <c r="C3527" i="1"/>
  <c r="E3526" i="1"/>
  <c r="B3526" i="1" s="1"/>
  <c r="D3526" i="1"/>
  <c r="C3526" i="1"/>
  <c r="E3525" i="1"/>
  <c r="B3525" i="1" s="1"/>
  <c r="D3525" i="1"/>
  <c r="C3525" i="1"/>
  <c r="E3524" i="1"/>
  <c r="D3524" i="1"/>
  <c r="C3524" i="1"/>
  <c r="E3523" i="1"/>
  <c r="D3523" i="1"/>
  <c r="C3523" i="1"/>
  <c r="E3522" i="1"/>
  <c r="B3522" i="1" s="1"/>
  <c r="D3522" i="1"/>
  <c r="C3522" i="1"/>
  <c r="E3521" i="1"/>
  <c r="B3521" i="1" s="1"/>
  <c r="D3521" i="1"/>
  <c r="C3521" i="1"/>
  <c r="E3520" i="1"/>
  <c r="D3520" i="1"/>
  <c r="C3520" i="1"/>
  <c r="E3519" i="1"/>
  <c r="B3519" i="1" s="1"/>
  <c r="D3519" i="1"/>
  <c r="C3519" i="1"/>
  <c r="E3518" i="1"/>
  <c r="B3518" i="1" s="1"/>
  <c r="D3518" i="1"/>
  <c r="C3518" i="1"/>
  <c r="E3517" i="1"/>
  <c r="B3517" i="1" s="1"/>
  <c r="D3517" i="1"/>
  <c r="C3517" i="1"/>
  <c r="E3516" i="1"/>
  <c r="D3516" i="1"/>
  <c r="C3516" i="1"/>
  <c r="E3515" i="1"/>
  <c r="D3515" i="1"/>
  <c r="C3515" i="1"/>
  <c r="E3514" i="1"/>
  <c r="B3514" i="1" s="1"/>
  <c r="D3514" i="1"/>
  <c r="C3514" i="1"/>
  <c r="E3513" i="1"/>
  <c r="B3513" i="1" s="1"/>
  <c r="D3513" i="1"/>
  <c r="C3513" i="1"/>
  <c r="E3512" i="1"/>
  <c r="D3512" i="1"/>
  <c r="C3512" i="1"/>
  <c r="E3511" i="1"/>
  <c r="B3511" i="1" s="1"/>
  <c r="D3511" i="1"/>
  <c r="C3511" i="1"/>
  <c r="E3510" i="1"/>
  <c r="B3510" i="1" s="1"/>
  <c r="D3510" i="1"/>
  <c r="C3510" i="1"/>
  <c r="E3509" i="1"/>
  <c r="B3509" i="1" s="1"/>
  <c r="D3509" i="1"/>
  <c r="C3509" i="1"/>
  <c r="E3508" i="1"/>
  <c r="D3508" i="1"/>
  <c r="C3508" i="1"/>
  <c r="E3507" i="1"/>
  <c r="D3507" i="1"/>
  <c r="C3507" i="1"/>
  <c r="E3506" i="1"/>
  <c r="B3506" i="1" s="1"/>
  <c r="D3506" i="1"/>
  <c r="C3506" i="1"/>
  <c r="E3505" i="1"/>
  <c r="B3505" i="1" s="1"/>
  <c r="D3505" i="1"/>
  <c r="C3505" i="1"/>
  <c r="E3504" i="1"/>
  <c r="D3504" i="1"/>
  <c r="C3504" i="1"/>
  <c r="E3503" i="1"/>
  <c r="B3503" i="1" s="1"/>
  <c r="D3503" i="1"/>
  <c r="C3503" i="1"/>
  <c r="E3502" i="1"/>
  <c r="B3502" i="1" s="1"/>
  <c r="D3502" i="1"/>
  <c r="C3502" i="1"/>
  <c r="E3501" i="1"/>
  <c r="B3501" i="1" s="1"/>
  <c r="D3501" i="1"/>
  <c r="C3501" i="1"/>
  <c r="E3500" i="1"/>
  <c r="D3500" i="1"/>
  <c r="C3500" i="1"/>
  <c r="E3499" i="1"/>
  <c r="D3499" i="1"/>
  <c r="C3499" i="1"/>
  <c r="E3498" i="1"/>
  <c r="B3498" i="1" s="1"/>
  <c r="D3498" i="1"/>
  <c r="C3498" i="1"/>
  <c r="E3497" i="1"/>
  <c r="B3497" i="1" s="1"/>
  <c r="D3497" i="1"/>
  <c r="C3497" i="1"/>
  <c r="E3496" i="1"/>
  <c r="D3496" i="1"/>
  <c r="C3496" i="1"/>
  <c r="E3495" i="1"/>
  <c r="B3495" i="1" s="1"/>
  <c r="D3495" i="1"/>
  <c r="C3495" i="1"/>
  <c r="E3494" i="1"/>
  <c r="B3494" i="1" s="1"/>
  <c r="D3494" i="1"/>
  <c r="C3494" i="1"/>
  <c r="E3493" i="1"/>
  <c r="B3493" i="1" s="1"/>
  <c r="D3493" i="1"/>
  <c r="C3493" i="1"/>
  <c r="E3492" i="1"/>
  <c r="D3492" i="1"/>
  <c r="C3492" i="1"/>
  <c r="E3491" i="1"/>
  <c r="D3491" i="1"/>
  <c r="C3491" i="1"/>
  <c r="E3490" i="1"/>
  <c r="B3490" i="1" s="1"/>
  <c r="D3490" i="1"/>
  <c r="C3490" i="1"/>
  <c r="E3489" i="1"/>
  <c r="B3489" i="1" s="1"/>
  <c r="D3489" i="1"/>
  <c r="C3489" i="1"/>
  <c r="E3488" i="1"/>
  <c r="D3488" i="1"/>
  <c r="C3488" i="1"/>
  <c r="E3487" i="1"/>
  <c r="B3487" i="1" s="1"/>
  <c r="D3487" i="1"/>
  <c r="C3487" i="1"/>
  <c r="E3486" i="1"/>
  <c r="B3486" i="1" s="1"/>
  <c r="D3486" i="1"/>
  <c r="C3486" i="1"/>
  <c r="E3485" i="1"/>
  <c r="B3485" i="1" s="1"/>
  <c r="D3485" i="1"/>
  <c r="C3485" i="1"/>
  <c r="E3484" i="1"/>
  <c r="D3484" i="1"/>
  <c r="C3484" i="1"/>
  <c r="E3483" i="1"/>
  <c r="D3483" i="1"/>
  <c r="C3483" i="1"/>
  <c r="E3482" i="1"/>
  <c r="B3482" i="1" s="1"/>
  <c r="D3482" i="1"/>
  <c r="C3482" i="1"/>
  <c r="E3481" i="1"/>
  <c r="B3481" i="1" s="1"/>
  <c r="D3481" i="1"/>
  <c r="C3481" i="1"/>
  <c r="E3480" i="1"/>
  <c r="D3480" i="1"/>
  <c r="C3480" i="1"/>
  <c r="E3479" i="1"/>
  <c r="B3479" i="1" s="1"/>
  <c r="D3479" i="1"/>
  <c r="C3479" i="1"/>
  <c r="E3478" i="1"/>
  <c r="B3478" i="1" s="1"/>
  <c r="D3478" i="1"/>
  <c r="C3478" i="1"/>
  <c r="E3477" i="1"/>
  <c r="B3477" i="1" s="1"/>
  <c r="D3477" i="1"/>
  <c r="C3477" i="1"/>
  <c r="E3476" i="1"/>
  <c r="D3476" i="1"/>
  <c r="C3476" i="1"/>
  <c r="E3475" i="1"/>
  <c r="D3475" i="1"/>
  <c r="C3475" i="1"/>
  <c r="E3474" i="1"/>
  <c r="B3474" i="1" s="1"/>
  <c r="D3474" i="1"/>
  <c r="C3474" i="1"/>
  <c r="E3473" i="1"/>
  <c r="B3473" i="1" s="1"/>
  <c r="D3473" i="1"/>
  <c r="C3473" i="1"/>
  <c r="E3472" i="1"/>
  <c r="D3472" i="1"/>
  <c r="C3472" i="1"/>
  <c r="E3471" i="1"/>
  <c r="B3471" i="1" s="1"/>
  <c r="D3471" i="1"/>
  <c r="C3471" i="1"/>
  <c r="E3470" i="1"/>
  <c r="B3470" i="1" s="1"/>
  <c r="D3470" i="1"/>
  <c r="C3470" i="1"/>
  <c r="E3469" i="1"/>
  <c r="B3469" i="1" s="1"/>
  <c r="D3469" i="1"/>
  <c r="C3469" i="1"/>
  <c r="E3468" i="1"/>
  <c r="D3468" i="1"/>
  <c r="C3468" i="1"/>
  <c r="E3467" i="1"/>
  <c r="D3467" i="1"/>
  <c r="C3467" i="1"/>
  <c r="E3466" i="1"/>
  <c r="B3466" i="1" s="1"/>
  <c r="D3466" i="1"/>
  <c r="C3466" i="1"/>
  <c r="E3465" i="1"/>
  <c r="B3465" i="1" s="1"/>
  <c r="D3465" i="1"/>
  <c r="C3465" i="1"/>
  <c r="E3464" i="1"/>
  <c r="D3464" i="1"/>
  <c r="C3464" i="1"/>
  <c r="E3463" i="1"/>
  <c r="B3463" i="1" s="1"/>
  <c r="D3463" i="1"/>
  <c r="C3463" i="1"/>
  <c r="E3462" i="1"/>
  <c r="B3462" i="1" s="1"/>
  <c r="D3462" i="1"/>
  <c r="C3462" i="1"/>
  <c r="E3461" i="1"/>
  <c r="B3461" i="1" s="1"/>
  <c r="D3461" i="1"/>
  <c r="C3461" i="1"/>
  <c r="E3460" i="1"/>
  <c r="D3460" i="1"/>
  <c r="C3460" i="1"/>
  <c r="E3459" i="1"/>
  <c r="D3459" i="1"/>
  <c r="C3459" i="1"/>
  <c r="E3458" i="1"/>
  <c r="B3458" i="1" s="1"/>
  <c r="D3458" i="1"/>
  <c r="C3458" i="1"/>
  <c r="E3457" i="1"/>
  <c r="B3457" i="1" s="1"/>
  <c r="D3457" i="1"/>
  <c r="C3457" i="1"/>
  <c r="E3456" i="1"/>
  <c r="D3456" i="1"/>
  <c r="C3456" i="1"/>
  <c r="E3455" i="1"/>
  <c r="B3455" i="1" s="1"/>
  <c r="D3455" i="1"/>
  <c r="C3455" i="1"/>
  <c r="E3454" i="1"/>
  <c r="B3454" i="1" s="1"/>
  <c r="D3454" i="1"/>
  <c r="C3454" i="1"/>
  <c r="E3453" i="1"/>
  <c r="B3453" i="1" s="1"/>
  <c r="D3453" i="1"/>
  <c r="C3453" i="1"/>
  <c r="E3452" i="1"/>
  <c r="D3452" i="1"/>
  <c r="C3452" i="1"/>
  <c r="E3451" i="1"/>
  <c r="D3451" i="1"/>
  <c r="C3451" i="1"/>
  <c r="E3450" i="1"/>
  <c r="B3450" i="1" s="1"/>
  <c r="D3450" i="1"/>
  <c r="C3450" i="1"/>
  <c r="E3449" i="1"/>
  <c r="B3449" i="1" s="1"/>
  <c r="D3449" i="1"/>
  <c r="C3449" i="1"/>
  <c r="E3448" i="1"/>
  <c r="D3448" i="1"/>
  <c r="C3448" i="1"/>
  <c r="E3447" i="1"/>
  <c r="B3447" i="1" s="1"/>
  <c r="D3447" i="1"/>
  <c r="C3447" i="1"/>
  <c r="E3446" i="1"/>
  <c r="B3446" i="1" s="1"/>
  <c r="D3446" i="1"/>
  <c r="C3446" i="1"/>
  <c r="E3445" i="1"/>
  <c r="B3445" i="1" s="1"/>
  <c r="D3445" i="1"/>
  <c r="C3445" i="1"/>
  <c r="E3444" i="1"/>
  <c r="D3444" i="1"/>
  <c r="C3444" i="1"/>
  <c r="E3443" i="1"/>
  <c r="D3443" i="1"/>
  <c r="C3443" i="1"/>
  <c r="E3442" i="1"/>
  <c r="B3442" i="1" s="1"/>
  <c r="D3442" i="1"/>
  <c r="C3442" i="1"/>
  <c r="E3441" i="1"/>
  <c r="B3441" i="1" s="1"/>
  <c r="D3441" i="1"/>
  <c r="C3441" i="1"/>
  <c r="E3440" i="1"/>
  <c r="D3440" i="1"/>
  <c r="C3440" i="1"/>
  <c r="E3439" i="1"/>
  <c r="B3439" i="1" s="1"/>
  <c r="D3439" i="1"/>
  <c r="C3439" i="1"/>
  <c r="E3438" i="1"/>
  <c r="B3438" i="1" s="1"/>
  <c r="D3438" i="1"/>
  <c r="C3438" i="1"/>
  <c r="E3437" i="1"/>
  <c r="B3437" i="1" s="1"/>
  <c r="D3437" i="1"/>
  <c r="C3437" i="1"/>
  <c r="E3436" i="1"/>
  <c r="D3436" i="1"/>
  <c r="C3436" i="1"/>
  <c r="E3435" i="1"/>
  <c r="D3435" i="1"/>
  <c r="C3435" i="1"/>
  <c r="E3434" i="1"/>
  <c r="B3434" i="1" s="1"/>
  <c r="D3434" i="1"/>
  <c r="C3434" i="1"/>
  <c r="E3433" i="1"/>
  <c r="B3433" i="1" s="1"/>
  <c r="D3433" i="1"/>
  <c r="C3433" i="1"/>
  <c r="E3432" i="1"/>
  <c r="D3432" i="1"/>
  <c r="C3432" i="1"/>
  <c r="E3431" i="1"/>
  <c r="B3431" i="1" s="1"/>
  <c r="D3431" i="1"/>
  <c r="C3431" i="1"/>
  <c r="E3430" i="1"/>
  <c r="B3430" i="1" s="1"/>
  <c r="D3430" i="1"/>
  <c r="C3430" i="1"/>
  <c r="E3429" i="1"/>
  <c r="B3429" i="1" s="1"/>
  <c r="D3429" i="1"/>
  <c r="C3429" i="1"/>
  <c r="E3428" i="1"/>
  <c r="D3428" i="1"/>
  <c r="C3428" i="1"/>
  <c r="E3427" i="1"/>
  <c r="D3427" i="1"/>
  <c r="C3427" i="1"/>
  <c r="E3426" i="1"/>
  <c r="B3426" i="1" s="1"/>
  <c r="D3426" i="1"/>
  <c r="C3426" i="1"/>
  <c r="E3425" i="1"/>
  <c r="B3425" i="1" s="1"/>
  <c r="D3425" i="1"/>
  <c r="C3425" i="1"/>
  <c r="E3424" i="1"/>
  <c r="D3424" i="1"/>
  <c r="C3424" i="1"/>
  <c r="E3423" i="1"/>
  <c r="B3423" i="1" s="1"/>
  <c r="D3423" i="1"/>
  <c r="C3423" i="1"/>
  <c r="E3422" i="1"/>
  <c r="B3422" i="1" s="1"/>
  <c r="D3422" i="1"/>
  <c r="C3422" i="1"/>
  <c r="E3421" i="1"/>
  <c r="B3421" i="1" s="1"/>
  <c r="D3421" i="1"/>
  <c r="C3421" i="1"/>
  <c r="E3420" i="1"/>
  <c r="D3420" i="1"/>
  <c r="C3420" i="1"/>
  <c r="E3419" i="1"/>
  <c r="D3419" i="1"/>
  <c r="C3419" i="1"/>
  <c r="E3418" i="1"/>
  <c r="B3418" i="1" s="1"/>
  <c r="D3418" i="1"/>
  <c r="C3418" i="1"/>
  <c r="E3417" i="1"/>
  <c r="B3417" i="1" s="1"/>
  <c r="D3417" i="1"/>
  <c r="C3417" i="1"/>
  <c r="E3416" i="1"/>
  <c r="D3416" i="1"/>
  <c r="C3416" i="1"/>
  <c r="E3415" i="1"/>
  <c r="B3415" i="1" s="1"/>
  <c r="D3415" i="1"/>
  <c r="C3415" i="1"/>
  <c r="E3414" i="1"/>
  <c r="B3414" i="1" s="1"/>
  <c r="D3414" i="1"/>
  <c r="C3414" i="1"/>
  <c r="E3413" i="1"/>
  <c r="B3413" i="1" s="1"/>
  <c r="D3413" i="1"/>
  <c r="C3413" i="1"/>
  <c r="E3412" i="1"/>
  <c r="D3412" i="1"/>
  <c r="C3412" i="1"/>
  <c r="E3411" i="1"/>
  <c r="D3411" i="1"/>
  <c r="C3411" i="1"/>
  <c r="E3410" i="1"/>
  <c r="B3410" i="1" s="1"/>
  <c r="D3410" i="1"/>
  <c r="C3410" i="1"/>
  <c r="E3409" i="1"/>
  <c r="B3409" i="1" s="1"/>
  <c r="D3409" i="1"/>
  <c r="C3409" i="1"/>
  <c r="E3408" i="1"/>
  <c r="D3408" i="1"/>
  <c r="C3408" i="1"/>
  <c r="E3407" i="1"/>
  <c r="B3407" i="1" s="1"/>
  <c r="D3407" i="1"/>
  <c r="C3407" i="1"/>
  <c r="E3406" i="1"/>
  <c r="B3406" i="1" s="1"/>
  <c r="D3406" i="1"/>
  <c r="C3406" i="1"/>
  <c r="E3405" i="1"/>
  <c r="B3405" i="1" s="1"/>
  <c r="D3405" i="1"/>
  <c r="C3405" i="1"/>
  <c r="E3404" i="1"/>
  <c r="D3404" i="1"/>
  <c r="C3404" i="1"/>
  <c r="E3403" i="1"/>
  <c r="D3403" i="1"/>
  <c r="C3403" i="1"/>
  <c r="E3402" i="1"/>
  <c r="B3402" i="1" s="1"/>
  <c r="D3402" i="1"/>
  <c r="C3402" i="1"/>
  <c r="E3401" i="1"/>
  <c r="B3401" i="1" s="1"/>
  <c r="D3401" i="1"/>
  <c r="C3401" i="1"/>
  <c r="E3400" i="1"/>
  <c r="B3400" i="1" s="1"/>
  <c r="D3400" i="1"/>
  <c r="C3400" i="1"/>
  <c r="E3399" i="1"/>
  <c r="B3399" i="1" s="1"/>
  <c r="D3399" i="1"/>
  <c r="C3399" i="1"/>
  <c r="E3398" i="1"/>
  <c r="D3398" i="1"/>
  <c r="C3398" i="1"/>
  <c r="E3397" i="1"/>
  <c r="D3397" i="1"/>
  <c r="C3397" i="1"/>
  <c r="B3397" i="1"/>
  <c r="E3396" i="1"/>
  <c r="D3396" i="1"/>
  <c r="C3396" i="1"/>
  <c r="E3395" i="1"/>
  <c r="D3395" i="1"/>
  <c r="C3395" i="1"/>
  <c r="B3395" i="1"/>
  <c r="E3394" i="1"/>
  <c r="B3394" i="1" s="1"/>
  <c r="D3394" i="1"/>
  <c r="C3394" i="1"/>
  <c r="E3393" i="1"/>
  <c r="B3393" i="1" s="1"/>
  <c r="D3393" i="1"/>
  <c r="C3393" i="1"/>
  <c r="E3392" i="1"/>
  <c r="B3392" i="1" s="1"/>
  <c r="D3392" i="1"/>
  <c r="C3392" i="1"/>
  <c r="E3391" i="1"/>
  <c r="B3391" i="1" s="1"/>
  <c r="D3391" i="1"/>
  <c r="C3391" i="1"/>
  <c r="E3390" i="1"/>
  <c r="D3390" i="1"/>
  <c r="C3390" i="1"/>
  <c r="E3389" i="1"/>
  <c r="D3389" i="1"/>
  <c r="C3389" i="1"/>
  <c r="B3389" i="1"/>
  <c r="E3388" i="1"/>
  <c r="B3388" i="1" s="1"/>
  <c r="D3388" i="1"/>
  <c r="C3388" i="1"/>
  <c r="E3387" i="1"/>
  <c r="D3387" i="1"/>
  <c r="C3387" i="1"/>
  <c r="B3387" i="1"/>
  <c r="E3386" i="1"/>
  <c r="B3386" i="1" s="1"/>
  <c r="D3386" i="1"/>
  <c r="C3386" i="1"/>
  <c r="E3385" i="1"/>
  <c r="B3385" i="1" s="1"/>
  <c r="D3385" i="1"/>
  <c r="C3385" i="1"/>
  <c r="E3384" i="1"/>
  <c r="B3384" i="1" s="1"/>
  <c r="D3384" i="1"/>
  <c r="C3384" i="1"/>
  <c r="E3383" i="1"/>
  <c r="B3383" i="1" s="1"/>
  <c r="D3383" i="1"/>
  <c r="C3383" i="1"/>
  <c r="E3382" i="1"/>
  <c r="D3382" i="1"/>
  <c r="C3382" i="1"/>
  <c r="E3381" i="1"/>
  <c r="D3381" i="1"/>
  <c r="C3381" i="1"/>
  <c r="B3381" i="1"/>
  <c r="E3380" i="1"/>
  <c r="D3380" i="1"/>
  <c r="C3380" i="1"/>
  <c r="E3379" i="1"/>
  <c r="D3379" i="1"/>
  <c r="C3379" i="1"/>
  <c r="B3379" i="1"/>
  <c r="E3378" i="1"/>
  <c r="B3378" i="1" s="1"/>
  <c r="D3378" i="1"/>
  <c r="C3378" i="1"/>
  <c r="E3377" i="1"/>
  <c r="B3377" i="1" s="1"/>
  <c r="D3377" i="1"/>
  <c r="C3377" i="1"/>
  <c r="E3376" i="1"/>
  <c r="B3376" i="1" s="1"/>
  <c r="D3376" i="1"/>
  <c r="C3376" i="1"/>
  <c r="E3375" i="1"/>
  <c r="B3375" i="1" s="1"/>
  <c r="D3375" i="1"/>
  <c r="C3375" i="1"/>
  <c r="E3374" i="1"/>
  <c r="D3374" i="1"/>
  <c r="C3374" i="1"/>
  <c r="E3373" i="1"/>
  <c r="D3373" i="1"/>
  <c r="C3373" i="1"/>
  <c r="B3373" i="1"/>
  <c r="E3372" i="1"/>
  <c r="B3372" i="1" s="1"/>
  <c r="D3372" i="1"/>
  <c r="C3372" i="1"/>
  <c r="E3371" i="1"/>
  <c r="D3371" i="1"/>
  <c r="C3371" i="1"/>
  <c r="B3371" i="1"/>
  <c r="E3370" i="1"/>
  <c r="B3370" i="1" s="1"/>
  <c r="D3370" i="1"/>
  <c r="C3370" i="1"/>
  <c r="E3369" i="1"/>
  <c r="B3369" i="1" s="1"/>
  <c r="D3369" i="1"/>
  <c r="C3369" i="1"/>
  <c r="E3368" i="1"/>
  <c r="B3368" i="1" s="1"/>
  <c r="D3368" i="1"/>
  <c r="C3368" i="1"/>
  <c r="E3367" i="1"/>
  <c r="B3367" i="1" s="1"/>
  <c r="D3367" i="1"/>
  <c r="C3367" i="1"/>
  <c r="E3366" i="1"/>
  <c r="D3366" i="1"/>
  <c r="C3366" i="1"/>
  <c r="E3365" i="1"/>
  <c r="D3365" i="1"/>
  <c r="C3365" i="1"/>
  <c r="B3365" i="1"/>
  <c r="E3364" i="1"/>
  <c r="D3364" i="1"/>
  <c r="C3364" i="1"/>
  <c r="E3363" i="1"/>
  <c r="D3363" i="1"/>
  <c r="C3363" i="1"/>
  <c r="B3363" i="1"/>
  <c r="E3362" i="1"/>
  <c r="B3362" i="1" s="1"/>
  <c r="D3362" i="1"/>
  <c r="C3362" i="1"/>
  <c r="E3361" i="1"/>
  <c r="B3361" i="1" s="1"/>
  <c r="D3361" i="1"/>
  <c r="C3361" i="1"/>
  <c r="E3360" i="1"/>
  <c r="B3360" i="1" s="1"/>
  <c r="D3360" i="1"/>
  <c r="C3360" i="1"/>
  <c r="E3359" i="1"/>
  <c r="B3359" i="1" s="1"/>
  <c r="D3359" i="1"/>
  <c r="C3359" i="1"/>
  <c r="E3358" i="1"/>
  <c r="D3358" i="1"/>
  <c r="C3358" i="1"/>
  <c r="E3357" i="1"/>
  <c r="D3357" i="1"/>
  <c r="C3357" i="1"/>
  <c r="B3357" i="1"/>
  <c r="E3356" i="1"/>
  <c r="B3356" i="1" s="1"/>
  <c r="D3356" i="1"/>
  <c r="C3356" i="1"/>
  <c r="E3355" i="1"/>
  <c r="D3355" i="1"/>
  <c r="C3355" i="1"/>
  <c r="B3355" i="1"/>
  <c r="E3354" i="1"/>
  <c r="B3354" i="1" s="1"/>
  <c r="D3354" i="1"/>
  <c r="C3354" i="1"/>
  <c r="E3353" i="1"/>
  <c r="B3353" i="1" s="1"/>
  <c r="D3353" i="1"/>
  <c r="C3353" i="1"/>
  <c r="E3352" i="1"/>
  <c r="B3352" i="1" s="1"/>
  <c r="D3352" i="1"/>
  <c r="C3352" i="1"/>
  <c r="E3351" i="1"/>
  <c r="B3351" i="1" s="1"/>
  <c r="D3351" i="1"/>
  <c r="C3351" i="1"/>
  <c r="E3350" i="1"/>
  <c r="D3350" i="1"/>
  <c r="C3350" i="1"/>
  <c r="E3349" i="1"/>
  <c r="D3349" i="1"/>
  <c r="C3349" i="1"/>
  <c r="B3349" i="1"/>
  <c r="E3348" i="1"/>
  <c r="D3348" i="1"/>
  <c r="C3348" i="1"/>
  <c r="E3347" i="1"/>
  <c r="D3347" i="1"/>
  <c r="C3347" i="1"/>
  <c r="B3347" i="1"/>
  <c r="E3346" i="1"/>
  <c r="B3346" i="1" s="1"/>
  <c r="D3346" i="1"/>
  <c r="C3346" i="1"/>
  <c r="E3345" i="1"/>
  <c r="B3345" i="1" s="1"/>
  <c r="D3345" i="1"/>
  <c r="C3345" i="1"/>
  <c r="E3344" i="1"/>
  <c r="B3344" i="1" s="1"/>
  <c r="D3344" i="1"/>
  <c r="C3344" i="1"/>
  <c r="E3343" i="1"/>
  <c r="B3343" i="1" s="1"/>
  <c r="D3343" i="1"/>
  <c r="C3343" i="1"/>
  <c r="E3342" i="1"/>
  <c r="B3342" i="1" s="1"/>
  <c r="D3342" i="1"/>
  <c r="C3342" i="1"/>
  <c r="E3341" i="1"/>
  <c r="B3341" i="1" s="1"/>
  <c r="D3341" i="1"/>
  <c r="C3341" i="1"/>
  <c r="E3340" i="1"/>
  <c r="B3340" i="1" s="1"/>
  <c r="D3340" i="1"/>
  <c r="C3340" i="1"/>
  <c r="E3339" i="1"/>
  <c r="B3339" i="1" s="1"/>
  <c r="D3339" i="1"/>
  <c r="C3339" i="1"/>
  <c r="E3338" i="1"/>
  <c r="B3338" i="1" s="1"/>
  <c r="D3338" i="1"/>
  <c r="C3338" i="1"/>
  <c r="E3337" i="1"/>
  <c r="B3337" i="1" s="1"/>
  <c r="D3337" i="1"/>
  <c r="C3337" i="1"/>
  <c r="E3336" i="1"/>
  <c r="B3336" i="1" s="1"/>
  <c r="D3336" i="1"/>
  <c r="C3336" i="1"/>
  <c r="E3335" i="1"/>
  <c r="B3335" i="1" s="1"/>
  <c r="D3335" i="1"/>
  <c r="C3335" i="1"/>
  <c r="E3334" i="1"/>
  <c r="B3334" i="1" s="1"/>
  <c r="D3334" i="1"/>
  <c r="C3334" i="1"/>
  <c r="E3333" i="1"/>
  <c r="B3333" i="1" s="1"/>
  <c r="D3333" i="1"/>
  <c r="C3333" i="1"/>
  <c r="E3332" i="1"/>
  <c r="B3332" i="1" s="1"/>
  <c r="D3332" i="1"/>
  <c r="C3332" i="1"/>
  <c r="E3331" i="1"/>
  <c r="B3331" i="1" s="1"/>
  <c r="D3331" i="1"/>
  <c r="C3331" i="1"/>
  <c r="E3330" i="1"/>
  <c r="B3330" i="1" s="1"/>
  <c r="D3330" i="1"/>
  <c r="C3330" i="1"/>
  <c r="E3329" i="1"/>
  <c r="B3329" i="1" s="1"/>
  <c r="D3329" i="1"/>
  <c r="C3329" i="1"/>
  <c r="E3328" i="1"/>
  <c r="B3328" i="1" s="1"/>
  <c r="D3328" i="1"/>
  <c r="C3328" i="1"/>
  <c r="E3327" i="1"/>
  <c r="B3327" i="1" s="1"/>
  <c r="D3327" i="1"/>
  <c r="C3327" i="1"/>
  <c r="E3326" i="1"/>
  <c r="B3326" i="1" s="1"/>
  <c r="D3326" i="1"/>
  <c r="C3326" i="1"/>
  <c r="E3325" i="1"/>
  <c r="B3325" i="1" s="1"/>
  <c r="D3325" i="1"/>
  <c r="C3325" i="1"/>
  <c r="E3324" i="1"/>
  <c r="B3324" i="1" s="1"/>
  <c r="D3324" i="1"/>
  <c r="C3324" i="1"/>
  <c r="E3323" i="1"/>
  <c r="B3323" i="1" s="1"/>
  <c r="D3323" i="1"/>
  <c r="C3323" i="1"/>
  <c r="E3322" i="1"/>
  <c r="B3322" i="1" s="1"/>
  <c r="D3322" i="1"/>
  <c r="C3322" i="1"/>
  <c r="E3321" i="1"/>
  <c r="B3321" i="1" s="1"/>
  <c r="D3321" i="1"/>
  <c r="C3321" i="1"/>
  <c r="E3320" i="1"/>
  <c r="B3320" i="1" s="1"/>
  <c r="D3320" i="1"/>
  <c r="C3320" i="1"/>
  <c r="E3319" i="1"/>
  <c r="B3319" i="1" s="1"/>
  <c r="D3319" i="1"/>
  <c r="C3319" i="1"/>
  <c r="E3318" i="1"/>
  <c r="B3318" i="1" s="1"/>
  <c r="D3318" i="1"/>
  <c r="C3318" i="1"/>
  <c r="E3317" i="1"/>
  <c r="B3317" i="1" s="1"/>
  <c r="D3317" i="1"/>
  <c r="C3317" i="1"/>
  <c r="E3316" i="1"/>
  <c r="B3316" i="1" s="1"/>
  <c r="D3316" i="1"/>
  <c r="C3316" i="1"/>
  <c r="E3315" i="1"/>
  <c r="B3315" i="1" s="1"/>
  <c r="D3315" i="1"/>
  <c r="C3315" i="1"/>
  <c r="E3314" i="1"/>
  <c r="B3314" i="1" s="1"/>
  <c r="D3314" i="1"/>
  <c r="C3314" i="1"/>
  <c r="E3313" i="1"/>
  <c r="B3313" i="1" s="1"/>
  <c r="D3313" i="1"/>
  <c r="C3313" i="1"/>
  <c r="E3312" i="1"/>
  <c r="B3312" i="1" s="1"/>
  <c r="D3312" i="1"/>
  <c r="C3312" i="1"/>
  <c r="E3311" i="1"/>
  <c r="B3311" i="1" s="1"/>
  <c r="D3311" i="1"/>
  <c r="C3311" i="1"/>
  <c r="E3310" i="1"/>
  <c r="B3310" i="1" s="1"/>
  <c r="D3310" i="1"/>
  <c r="C3310" i="1"/>
  <c r="E3309" i="1"/>
  <c r="B3309" i="1" s="1"/>
  <c r="D3309" i="1"/>
  <c r="C3309" i="1"/>
  <c r="E3308" i="1"/>
  <c r="B3308" i="1" s="1"/>
  <c r="D3308" i="1"/>
  <c r="C3308" i="1"/>
  <c r="E3307" i="1"/>
  <c r="B3307" i="1" s="1"/>
  <c r="D3307" i="1"/>
  <c r="C3307" i="1"/>
  <c r="E3306" i="1"/>
  <c r="B3306" i="1" s="1"/>
  <c r="D3306" i="1"/>
  <c r="C3306" i="1"/>
  <c r="E3305" i="1"/>
  <c r="B3305" i="1" s="1"/>
  <c r="D3305" i="1"/>
  <c r="C3305" i="1"/>
  <c r="E3304" i="1"/>
  <c r="B3304" i="1" s="1"/>
  <c r="D3304" i="1"/>
  <c r="C3304" i="1"/>
  <c r="E3303" i="1"/>
  <c r="B3303" i="1" s="1"/>
  <c r="D3303" i="1"/>
  <c r="C3303" i="1"/>
  <c r="E3302" i="1"/>
  <c r="B3302" i="1" s="1"/>
  <c r="D3302" i="1"/>
  <c r="C3302" i="1"/>
  <c r="E3301" i="1"/>
  <c r="B3301" i="1" s="1"/>
  <c r="D3301" i="1"/>
  <c r="C3301" i="1"/>
  <c r="E3300" i="1"/>
  <c r="B3300" i="1" s="1"/>
  <c r="D3300" i="1"/>
  <c r="C3300" i="1"/>
  <c r="E3299" i="1"/>
  <c r="B3299" i="1" s="1"/>
  <c r="D3299" i="1"/>
  <c r="C3299" i="1"/>
  <c r="E3298" i="1"/>
  <c r="B3298" i="1" s="1"/>
  <c r="D3298" i="1"/>
  <c r="C3298" i="1"/>
  <c r="E3297" i="1"/>
  <c r="B3297" i="1" s="1"/>
  <c r="D3297" i="1"/>
  <c r="C3297" i="1"/>
  <c r="E3296" i="1"/>
  <c r="B3296" i="1" s="1"/>
  <c r="D3296" i="1"/>
  <c r="C3296" i="1"/>
  <c r="E3295" i="1"/>
  <c r="B3295" i="1" s="1"/>
  <c r="D3295" i="1"/>
  <c r="C3295" i="1"/>
  <c r="E3294" i="1"/>
  <c r="B3294" i="1" s="1"/>
  <c r="D3294" i="1"/>
  <c r="C3294" i="1"/>
  <c r="E3293" i="1"/>
  <c r="B3293" i="1" s="1"/>
  <c r="D3293" i="1"/>
  <c r="C3293" i="1"/>
  <c r="E3292" i="1"/>
  <c r="B3292" i="1" s="1"/>
  <c r="D3292" i="1"/>
  <c r="C3292" i="1"/>
  <c r="E3291" i="1"/>
  <c r="B3291" i="1" s="1"/>
  <c r="D3291" i="1"/>
  <c r="C3291" i="1"/>
  <c r="E3290" i="1"/>
  <c r="B3290" i="1" s="1"/>
  <c r="D3290" i="1"/>
  <c r="C3290" i="1"/>
  <c r="E3289" i="1"/>
  <c r="B3289" i="1" s="1"/>
  <c r="D3289" i="1"/>
  <c r="C3289" i="1"/>
  <c r="E3288" i="1"/>
  <c r="B3288" i="1" s="1"/>
  <c r="D3288" i="1"/>
  <c r="C3288" i="1"/>
  <c r="E3287" i="1"/>
  <c r="B3287" i="1" s="1"/>
  <c r="D3287" i="1"/>
  <c r="C3287" i="1"/>
  <c r="E3286" i="1"/>
  <c r="B3286" i="1" s="1"/>
  <c r="D3286" i="1"/>
  <c r="C3286" i="1"/>
  <c r="E3285" i="1"/>
  <c r="B3285" i="1" s="1"/>
  <c r="D3285" i="1"/>
  <c r="C3285" i="1"/>
  <c r="E3284" i="1"/>
  <c r="B3284" i="1" s="1"/>
  <c r="D3284" i="1"/>
  <c r="C3284" i="1"/>
  <c r="E3283" i="1"/>
  <c r="B3283" i="1" s="1"/>
  <c r="D3283" i="1"/>
  <c r="C3283" i="1"/>
  <c r="E3282" i="1"/>
  <c r="B3282" i="1" s="1"/>
  <c r="D3282" i="1"/>
  <c r="C3282" i="1"/>
  <c r="E3281" i="1"/>
  <c r="B3281" i="1" s="1"/>
  <c r="D3281" i="1"/>
  <c r="C3281" i="1"/>
  <c r="E3280" i="1"/>
  <c r="B3280" i="1" s="1"/>
  <c r="D3280" i="1"/>
  <c r="C3280" i="1"/>
  <c r="E3279" i="1"/>
  <c r="B3279" i="1" s="1"/>
  <c r="D3279" i="1"/>
  <c r="C3279" i="1"/>
  <c r="E3278" i="1"/>
  <c r="B3278" i="1" s="1"/>
  <c r="D3278" i="1"/>
  <c r="C3278" i="1"/>
  <c r="E3277" i="1"/>
  <c r="B3277" i="1" s="1"/>
  <c r="D3277" i="1"/>
  <c r="C3277" i="1"/>
  <c r="E3276" i="1"/>
  <c r="B3276" i="1" s="1"/>
  <c r="D3276" i="1"/>
  <c r="C3276" i="1"/>
  <c r="E3275" i="1"/>
  <c r="B3275" i="1" s="1"/>
  <c r="D3275" i="1"/>
  <c r="C3275" i="1"/>
  <c r="E3274" i="1"/>
  <c r="B3274" i="1" s="1"/>
  <c r="D3274" i="1"/>
  <c r="C3274" i="1"/>
  <c r="E3273" i="1"/>
  <c r="B3273" i="1" s="1"/>
  <c r="D3273" i="1"/>
  <c r="C3273" i="1"/>
  <c r="E3272" i="1"/>
  <c r="B3272" i="1" s="1"/>
  <c r="D3272" i="1"/>
  <c r="C3272" i="1"/>
  <c r="E3271" i="1"/>
  <c r="B3271" i="1" s="1"/>
  <c r="D3271" i="1"/>
  <c r="C3271" i="1"/>
  <c r="E3270" i="1"/>
  <c r="B3270" i="1" s="1"/>
  <c r="D3270" i="1"/>
  <c r="C3270" i="1"/>
  <c r="E3269" i="1"/>
  <c r="B3269" i="1" s="1"/>
  <c r="D3269" i="1"/>
  <c r="C3269" i="1"/>
  <c r="E3268" i="1"/>
  <c r="B3268" i="1" s="1"/>
  <c r="D3268" i="1"/>
  <c r="C3268" i="1"/>
  <c r="E3267" i="1"/>
  <c r="B3267" i="1" s="1"/>
  <c r="D3267" i="1"/>
  <c r="C3267" i="1"/>
  <c r="E3266" i="1"/>
  <c r="B3266" i="1" s="1"/>
  <c r="D3266" i="1"/>
  <c r="C3266" i="1"/>
  <c r="E3265" i="1"/>
  <c r="B3265" i="1" s="1"/>
  <c r="D3265" i="1"/>
  <c r="C3265" i="1"/>
  <c r="E3264" i="1"/>
  <c r="B3264" i="1" s="1"/>
  <c r="D3264" i="1"/>
  <c r="C3264" i="1"/>
  <c r="E3263" i="1"/>
  <c r="B3263" i="1" s="1"/>
  <c r="D3263" i="1"/>
  <c r="C3263" i="1"/>
  <c r="E3262" i="1"/>
  <c r="B3262" i="1" s="1"/>
  <c r="D3262" i="1"/>
  <c r="C3262" i="1"/>
  <c r="E3261" i="1"/>
  <c r="B3261" i="1" s="1"/>
  <c r="D3261" i="1"/>
  <c r="C3261" i="1"/>
  <c r="E3260" i="1"/>
  <c r="B3260" i="1" s="1"/>
  <c r="D3260" i="1"/>
  <c r="C3260" i="1"/>
  <c r="E3259" i="1"/>
  <c r="B3259" i="1" s="1"/>
  <c r="D3259" i="1"/>
  <c r="C3259" i="1"/>
  <c r="E3258" i="1"/>
  <c r="B3258" i="1" s="1"/>
  <c r="D3258" i="1"/>
  <c r="C3258" i="1"/>
  <c r="E3257" i="1"/>
  <c r="B3257" i="1" s="1"/>
  <c r="D3257" i="1"/>
  <c r="C3257" i="1"/>
  <c r="E3256" i="1"/>
  <c r="B3256" i="1" s="1"/>
  <c r="D3256" i="1"/>
  <c r="C3256" i="1"/>
  <c r="E3255" i="1"/>
  <c r="B3255" i="1" s="1"/>
  <c r="D3255" i="1"/>
  <c r="C3255" i="1"/>
  <c r="E3254" i="1"/>
  <c r="B3254" i="1" s="1"/>
  <c r="D3254" i="1"/>
  <c r="C3254" i="1"/>
  <c r="E3253" i="1"/>
  <c r="B3253" i="1" s="1"/>
  <c r="D3253" i="1"/>
  <c r="C3253" i="1"/>
  <c r="E3252" i="1"/>
  <c r="B3252" i="1" s="1"/>
  <c r="D3252" i="1"/>
  <c r="C3252" i="1"/>
  <c r="E3251" i="1"/>
  <c r="B3251" i="1" s="1"/>
  <c r="D3251" i="1"/>
  <c r="C3251" i="1"/>
  <c r="E3250" i="1"/>
  <c r="B3250" i="1" s="1"/>
  <c r="D3250" i="1"/>
  <c r="C3250" i="1"/>
  <c r="E3249" i="1"/>
  <c r="B3249" i="1" s="1"/>
  <c r="D3249" i="1"/>
  <c r="C3249" i="1"/>
  <c r="E3248" i="1"/>
  <c r="B3248" i="1" s="1"/>
  <c r="D3248" i="1"/>
  <c r="C3248" i="1"/>
  <c r="E3247" i="1"/>
  <c r="B3247" i="1" s="1"/>
  <c r="D3247" i="1"/>
  <c r="C3247" i="1"/>
  <c r="E3246" i="1"/>
  <c r="B3246" i="1" s="1"/>
  <c r="D3246" i="1"/>
  <c r="C3246" i="1"/>
  <c r="E3245" i="1"/>
  <c r="B3245" i="1" s="1"/>
  <c r="D3245" i="1"/>
  <c r="C3245" i="1"/>
  <c r="E3244" i="1"/>
  <c r="B3244" i="1" s="1"/>
  <c r="D3244" i="1"/>
  <c r="C3244" i="1"/>
  <c r="E3243" i="1"/>
  <c r="B3243" i="1" s="1"/>
  <c r="D3243" i="1"/>
  <c r="C3243" i="1"/>
  <c r="E3242" i="1"/>
  <c r="B3242" i="1" s="1"/>
  <c r="D3242" i="1"/>
  <c r="C3242" i="1"/>
  <c r="E3241" i="1"/>
  <c r="B3241" i="1" s="1"/>
  <c r="D3241" i="1"/>
  <c r="C3241" i="1"/>
  <c r="E3240" i="1"/>
  <c r="B3240" i="1" s="1"/>
  <c r="D3240" i="1"/>
  <c r="C3240" i="1"/>
  <c r="E3239" i="1"/>
  <c r="B3239" i="1" s="1"/>
  <c r="D3239" i="1"/>
  <c r="C3239" i="1"/>
  <c r="E3238" i="1"/>
  <c r="B3238" i="1" s="1"/>
  <c r="D3238" i="1"/>
  <c r="C3238" i="1"/>
  <c r="E3237" i="1"/>
  <c r="B3237" i="1" s="1"/>
  <c r="D3237" i="1"/>
  <c r="C3237" i="1"/>
  <c r="E3236" i="1"/>
  <c r="B3236" i="1" s="1"/>
  <c r="D3236" i="1"/>
  <c r="C3236" i="1"/>
  <c r="E3235" i="1"/>
  <c r="B3235" i="1" s="1"/>
  <c r="D3235" i="1"/>
  <c r="C3235" i="1"/>
  <c r="E3234" i="1"/>
  <c r="B3234" i="1" s="1"/>
  <c r="D3234" i="1"/>
  <c r="C3234" i="1"/>
  <c r="E3233" i="1"/>
  <c r="B3233" i="1" s="1"/>
  <c r="D3233" i="1"/>
  <c r="C3233" i="1"/>
  <c r="E3232" i="1"/>
  <c r="B3232" i="1" s="1"/>
  <c r="D3232" i="1"/>
  <c r="C3232" i="1"/>
  <c r="E3231" i="1"/>
  <c r="B3231" i="1" s="1"/>
  <c r="D3231" i="1"/>
  <c r="C3231" i="1"/>
  <c r="E3230" i="1"/>
  <c r="B3230" i="1" s="1"/>
  <c r="D3230" i="1"/>
  <c r="C3230" i="1"/>
  <c r="E3229" i="1"/>
  <c r="B3229" i="1" s="1"/>
  <c r="D3229" i="1"/>
  <c r="C3229" i="1"/>
  <c r="E3228" i="1"/>
  <c r="B3228" i="1" s="1"/>
  <c r="D3228" i="1"/>
  <c r="C3228" i="1"/>
  <c r="E3227" i="1"/>
  <c r="B3227" i="1" s="1"/>
  <c r="D3227" i="1"/>
  <c r="C3227" i="1"/>
  <c r="E3226" i="1"/>
  <c r="B3226" i="1" s="1"/>
  <c r="D3226" i="1"/>
  <c r="C3226" i="1"/>
  <c r="E3225" i="1"/>
  <c r="B3225" i="1" s="1"/>
  <c r="D3225" i="1"/>
  <c r="C3225" i="1"/>
  <c r="E3224" i="1"/>
  <c r="B3224" i="1" s="1"/>
  <c r="D3224" i="1"/>
  <c r="C3224" i="1"/>
  <c r="E3223" i="1"/>
  <c r="B3223" i="1" s="1"/>
  <c r="D3223" i="1"/>
  <c r="C3223" i="1"/>
  <c r="E3222" i="1"/>
  <c r="B3222" i="1" s="1"/>
  <c r="D3222" i="1"/>
  <c r="C3222" i="1"/>
  <c r="E3221" i="1"/>
  <c r="B3221" i="1" s="1"/>
  <c r="D3221" i="1"/>
  <c r="C3221" i="1"/>
  <c r="E3220" i="1"/>
  <c r="B3220" i="1" s="1"/>
  <c r="D3220" i="1"/>
  <c r="C3220" i="1"/>
  <c r="E3219" i="1"/>
  <c r="B3219" i="1" s="1"/>
  <c r="D3219" i="1"/>
  <c r="C3219" i="1"/>
  <c r="E3218" i="1"/>
  <c r="B3218" i="1" s="1"/>
  <c r="D3218" i="1"/>
  <c r="C3218" i="1"/>
  <c r="E3217" i="1"/>
  <c r="B3217" i="1" s="1"/>
  <c r="D3217" i="1"/>
  <c r="C3217" i="1"/>
  <c r="E3216" i="1"/>
  <c r="B3216" i="1" s="1"/>
  <c r="D3216" i="1"/>
  <c r="C3216" i="1"/>
  <c r="E3215" i="1"/>
  <c r="B3215" i="1" s="1"/>
  <c r="D3215" i="1"/>
  <c r="C3215" i="1"/>
  <c r="E3214" i="1"/>
  <c r="D3214" i="1"/>
  <c r="C3214" i="1"/>
  <c r="E3213" i="1"/>
  <c r="D3213" i="1"/>
  <c r="C3213" i="1"/>
  <c r="E3212" i="1"/>
  <c r="D3212" i="1"/>
  <c r="C3212" i="1"/>
  <c r="E3211" i="1"/>
  <c r="B3211" i="1" s="1"/>
  <c r="D3211" i="1"/>
  <c r="C3211" i="1"/>
  <c r="E3210" i="1"/>
  <c r="D3210" i="1"/>
  <c r="C3210" i="1"/>
  <c r="E3209" i="1"/>
  <c r="B3209" i="1" s="1"/>
  <c r="D3209" i="1"/>
  <c r="C3209" i="1"/>
  <c r="E3208" i="1"/>
  <c r="D3208" i="1"/>
  <c r="C3208" i="1"/>
  <c r="E3207" i="1"/>
  <c r="B3207" i="1" s="1"/>
  <c r="D3207" i="1"/>
  <c r="C3207" i="1"/>
  <c r="E3206" i="1"/>
  <c r="D3206" i="1"/>
  <c r="C3206" i="1"/>
  <c r="E3205" i="1"/>
  <c r="D3205" i="1"/>
  <c r="C3205" i="1"/>
  <c r="E3204" i="1"/>
  <c r="D3204" i="1"/>
  <c r="C3204" i="1"/>
  <c r="E3203" i="1"/>
  <c r="B3203" i="1" s="1"/>
  <c r="D3203" i="1"/>
  <c r="C3203" i="1"/>
  <c r="E3202" i="1"/>
  <c r="D3202" i="1"/>
  <c r="C3202" i="1"/>
  <c r="E3201" i="1"/>
  <c r="B3201" i="1" s="1"/>
  <c r="D3201" i="1"/>
  <c r="C3201" i="1"/>
  <c r="E3200" i="1"/>
  <c r="D3200" i="1"/>
  <c r="C3200" i="1"/>
  <c r="E3199" i="1"/>
  <c r="B3199" i="1" s="1"/>
  <c r="D3199" i="1"/>
  <c r="C3199" i="1"/>
  <c r="E3198" i="1"/>
  <c r="D3198" i="1"/>
  <c r="C3198" i="1"/>
  <c r="E3197" i="1"/>
  <c r="B3197" i="1" s="1"/>
  <c r="D3197" i="1"/>
  <c r="C3197" i="1"/>
  <c r="E3196" i="1"/>
  <c r="D3196" i="1"/>
  <c r="C3196" i="1"/>
  <c r="E3195" i="1"/>
  <c r="B3195" i="1" s="1"/>
  <c r="D3195" i="1"/>
  <c r="C3195" i="1"/>
  <c r="E3194" i="1"/>
  <c r="D3194" i="1"/>
  <c r="C3194" i="1"/>
  <c r="E3193" i="1"/>
  <c r="B3193" i="1" s="1"/>
  <c r="D3193" i="1"/>
  <c r="C3193" i="1"/>
  <c r="E3192" i="1"/>
  <c r="D3192" i="1"/>
  <c r="C3192" i="1"/>
  <c r="E3191" i="1"/>
  <c r="B3191" i="1" s="1"/>
  <c r="D3191" i="1"/>
  <c r="C3191" i="1"/>
  <c r="E3190" i="1"/>
  <c r="D3190" i="1"/>
  <c r="C3190" i="1"/>
  <c r="E3189" i="1"/>
  <c r="B3189" i="1" s="1"/>
  <c r="D3189" i="1"/>
  <c r="C3189" i="1"/>
  <c r="E3188" i="1"/>
  <c r="D3188" i="1"/>
  <c r="C3188" i="1"/>
  <c r="E3187" i="1"/>
  <c r="B3187" i="1" s="1"/>
  <c r="D3187" i="1"/>
  <c r="C3187" i="1"/>
  <c r="E3186" i="1"/>
  <c r="D3186" i="1"/>
  <c r="C3186" i="1"/>
  <c r="E3185" i="1"/>
  <c r="B3185" i="1" s="1"/>
  <c r="D3185" i="1"/>
  <c r="C3185" i="1"/>
  <c r="E3184" i="1"/>
  <c r="D3184" i="1"/>
  <c r="C3184" i="1"/>
  <c r="E3183" i="1"/>
  <c r="B3183" i="1" s="1"/>
  <c r="D3183" i="1"/>
  <c r="C3183" i="1"/>
  <c r="E3182" i="1"/>
  <c r="D3182" i="1"/>
  <c r="C3182" i="1"/>
  <c r="E3181" i="1"/>
  <c r="B3181" i="1" s="1"/>
  <c r="D3181" i="1"/>
  <c r="C3181" i="1"/>
  <c r="E3180" i="1"/>
  <c r="D3180" i="1"/>
  <c r="C3180" i="1"/>
  <c r="E3179" i="1"/>
  <c r="B3179" i="1" s="1"/>
  <c r="D3179" i="1"/>
  <c r="C3179" i="1"/>
  <c r="E3178" i="1"/>
  <c r="D3178" i="1"/>
  <c r="C3178" i="1"/>
  <c r="E3177" i="1"/>
  <c r="D3177" i="1"/>
  <c r="C3177" i="1"/>
  <c r="E3176" i="1"/>
  <c r="D3176" i="1"/>
  <c r="C3176" i="1"/>
  <c r="E3175" i="1"/>
  <c r="B3175" i="1" s="1"/>
  <c r="D3175" i="1"/>
  <c r="C3175" i="1"/>
  <c r="E3174" i="1"/>
  <c r="D3174" i="1"/>
  <c r="C3174" i="1"/>
  <c r="E3173" i="1"/>
  <c r="B3173" i="1" s="1"/>
  <c r="D3173" i="1"/>
  <c r="C3173" i="1"/>
  <c r="E3172" i="1"/>
  <c r="D3172" i="1"/>
  <c r="C3172" i="1"/>
  <c r="E3171" i="1"/>
  <c r="B3171" i="1" s="1"/>
  <c r="D3171" i="1"/>
  <c r="C3171" i="1"/>
  <c r="E3170" i="1"/>
  <c r="D3170" i="1"/>
  <c r="C3170" i="1"/>
  <c r="E3169" i="1"/>
  <c r="D3169" i="1"/>
  <c r="C3169" i="1"/>
  <c r="E3168" i="1"/>
  <c r="D3168" i="1"/>
  <c r="C3168" i="1"/>
  <c r="E3167" i="1"/>
  <c r="B3167" i="1" s="1"/>
  <c r="D3167" i="1"/>
  <c r="C3167" i="1"/>
  <c r="E3166" i="1"/>
  <c r="D3166" i="1"/>
  <c r="C3166" i="1"/>
  <c r="E3165" i="1"/>
  <c r="B3165" i="1" s="1"/>
  <c r="D3165" i="1"/>
  <c r="C3165" i="1"/>
  <c r="E3164" i="1"/>
  <c r="D3164" i="1"/>
  <c r="C3164" i="1"/>
  <c r="E3163" i="1"/>
  <c r="B3163" i="1" s="1"/>
  <c r="D3163" i="1"/>
  <c r="C3163" i="1"/>
  <c r="E3162" i="1"/>
  <c r="D3162" i="1"/>
  <c r="C3162" i="1"/>
  <c r="E3161" i="1"/>
  <c r="D3161" i="1"/>
  <c r="C3161" i="1"/>
  <c r="E3160" i="1"/>
  <c r="D3160" i="1"/>
  <c r="C3160" i="1"/>
  <c r="E3159" i="1"/>
  <c r="B3159" i="1" s="1"/>
  <c r="D3159" i="1"/>
  <c r="C3159" i="1"/>
  <c r="E3158" i="1"/>
  <c r="D3158" i="1"/>
  <c r="C3158" i="1"/>
  <c r="E3157" i="1"/>
  <c r="B3157" i="1" s="1"/>
  <c r="D3157" i="1"/>
  <c r="C3157" i="1"/>
  <c r="E3156" i="1"/>
  <c r="D3156" i="1"/>
  <c r="C3156" i="1"/>
  <c r="E3155" i="1"/>
  <c r="B3155" i="1" s="1"/>
  <c r="D3155" i="1"/>
  <c r="C3155" i="1"/>
  <c r="E3154" i="1"/>
  <c r="D3154" i="1"/>
  <c r="C3154" i="1"/>
  <c r="E3153" i="1"/>
  <c r="D3153" i="1"/>
  <c r="C3153" i="1"/>
  <c r="E3152" i="1"/>
  <c r="D3152" i="1"/>
  <c r="C3152" i="1"/>
  <c r="E3151" i="1"/>
  <c r="B3151" i="1" s="1"/>
  <c r="D3151" i="1"/>
  <c r="C3151" i="1"/>
  <c r="E3150" i="1"/>
  <c r="D3150" i="1"/>
  <c r="C3150" i="1"/>
  <c r="E3149" i="1"/>
  <c r="B3149" i="1" s="1"/>
  <c r="D3149" i="1"/>
  <c r="C3149" i="1"/>
  <c r="E3148" i="1"/>
  <c r="D3148" i="1"/>
  <c r="C3148" i="1"/>
  <c r="E3147" i="1"/>
  <c r="B3147" i="1" s="1"/>
  <c r="D3147" i="1"/>
  <c r="C3147" i="1"/>
  <c r="E3146" i="1"/>
  <c r="D3146" i="1"/>
  <c r="C3146" i="1"/>
  <c r="E3145" i="1"/>
  <c r="D3145" i="1"/>
  <c r="C3145" i="1"/>
  <c r="E3144" i="1"/>
  <c r="B3144" i="1" s="1"/>
  <c r="D3144" i="1"/>
  <c r="C3144" i="1"/>
  <c r="E3143" i="1"/>
  <c r="B3143" i="1" s="1"/>
  <c r="D3143" i="1"/>
  <c r="C3143" i="1"/>
  <c r="E3142" i="1"/>
  <c r="D3142" i="1"/>
  <c r="C3142" i="1"/>
  <c r="E3141" i="1"/>
  <c r="B3141" i="1" s="1"/>
  <c r="D3141" i="1"/>
  <c r="C3141" i="1"/>
  <c r="E3140" i="1"/>
  <c r="D3140" i="1"/>
  <c r="C3140" i="1"/>
  <c r="E3139" i="1"/>
  <c r="B3139" i="1" s="1"/>
  <c r="D3139" i="1"/>
  <c r="C3139" i="1"/>
  <c r="E3138" i="1"/>
  <c r="D3138" i="1"/>
  <c r="C3138" i="1"/>
  <c r="E3137" i="1"/>
  <c r="D3137" i="1"/>
  <c r="C3137" i="1"/>
  <c r="E3136" i="1"/>
  <c r="B3136" i="1" s="1"/>
  <c r="D3136" i="1"/>
  <c r="C3136" i="1"/>
  <c r="E3135" i="1"/>
  <c r="B3135" i="1" s="1"/>
  <c r="D3135" i="1"/>
  <c r="C3135" i="1"/>
  <c r="E3134" i="1"/>
  <c r="D3134" i="1"/>
  <c r="C3134" i="1"/>
  <c r="E3133" i="1"/>
  <c r="B3133" i="1" s="1"/>
  <c r="D3133" i="1"/>
  <c r="C3133" i="1"/>
  <c r="E3132" i="1"/>
  <c r="D3132" i="1"/>
  <c r="C3132" i="1"/>
  <c r="E3131" i="1"/>
  <c r="B3131" i="1" s="1"/>
  <c r="D3131" i="1"/>
  <c r="C3131" i="1"/>
  <c r="E3130" i="1"/>
  <c r="D3130" i="1"/>
  <c r="C3130" i="1"/>
  <c r="E3129" i="1"/>
  <c r="D3129" i="1"/>
  <c r="C3129" i="1"/>
  <c r="E3128" i="1"/>
  <c r="D3128" i="1"/>
  <c r="C3128" i="1"/>
  <c r="E3127" i="1"/>
  <c r="B3127" i="1" s="1"/>
  <c r="D3127" i="1"/>
  <c r="C3127" i="1"/>
  <c r="E3126" i="1"/>
  <c r="D3126" i="1"/>
  <c r="C3126" i="1"/>
  <c r="E3125" i="1"/>
  <c r="B3125" i="1" s="1"/>
  <c r="D3125" i="1"/>
  <c r="C3125" i="1"/>
  <c r="E3124" i="1"/>
  <c r="D3124" i="1"/>
  <c r="C3124" i="1"/>
  <c r="E3123" i="1"/>
  <c r="B3123" i="1" s="1"/>
  <c r="D3123" i="1"/>
  <c r="C3123" i="1"/>
  <c r="E3122" i="1"/>
  <c r="D3122" i="1"/>
  <c r="C3122" i="1"/>
  <c r="E3121" i="1"/>
  <c r="D3121" i="1"/>
  <c r="C3121" i="1"/>
  <c r="E3120" i="1"/>
  <c r="D3120" i="1"/>
  <c r="C3120" i="1"/>
  <c r="E3119" i="1"/>
  <c r="B3119" i="1" s="1"/>
  <c r="D3119" i="1"/>
  <c r="C3119" i="1"/>
  <c r="E3118" i="1"/>
  <c r="D3118" i="1"/>
  <c r="C3118" i="1"/>
  <c r="E3117" i="1"/>
  <c r="B3117" i="1" s="1"/>
  <c r="D3117" i="1"/>
  <c r="C3117" i="1"/>
  <c r="E3116" i="1"/>
  <c r="D3116" i="1"/>
  <c r="C3116" i="1"/>
  <c r="E3115" i="1"/>
  <c r="B3115" i="1" s="1"/>
  <c r="D3115" i="1"/>
  <c r="C3115" i="1"/>
  <c r="E3114" i="1"/>
  <c r="D3114" i="1"/>
  <c r="C3114" i="1"/>
  <c r="E3113" i="1"/>
  <c r="D3113" i="1"/>
  <c r="C3113" i="1"/>
  <c r="E3112" i="1"/>
  <c r="D3112" i="1"/>
  <c r="C3112" i="1"/>
  <c r="E3111" i="1"/>
  <c r="B3111" i="1" s="1"/>
  <c r="D3111" i="1"/>
  <c r="C3111" i="1"/>
  <c r="E3110" i="1"/>
  <c r="B3110" i="1" s="1"/>
  <c r="D3110" i="1"/>
  <c r="C3110" i="1"/>
  <c r="E3109" i="1"/>
  <c r="B3109" i="1" s="1"/>
  <c r="D3109" i="1"/>
  <c r="C3109" i="1"/>
  <c r="E3108" i="1"/>
  <c r="D3108" i="1"/>
  <c r="C3108" i="1"/>
  <c r="E3107" i="1"/>
  <c r="B3107" i="1" s="1"/>
  <c r="D3107" i="1"/>
  <c r="C3107" i="1"/>
  <c r="E3106" i="1"/>
  <c r="D3106" i="1"/>
  <c r="C3106" i="1"/>
  <c r="E3105" i="1"/>
  <c r="D3105" i="1"/>
  <c r="C3105" i="1"/>
  <c r="E3104" i="1"/>
  <c r="D3104" i="1"/>
  <c r="C3104" i="1"/>
  <c r="E3103" i="1"/>
  <c r="B3103" i="1" s="1"/>
  <c r="D3103" i="1"/>
  <c r="C3103" i="1"/>
  <c r="E3102" i="1"/>
  <c r="D3102" i="1"/>
  <c r="C3102" i="1"/>
  <c r="E3101" i="1"/>
  <c r="B3101" i="1" s="1"/>
  <c r="D3101" i="1"/>
  <c r="C3101" i="1"/>
  <c r="E3100" i="1"/>
  <c r="D3100" i="1"/>
  <c r="C3100" i="1"/>
  <c r="E3099" i="1"/>
  <c r="B3099" i="1" s="1"/>
  <c r="D3099" i="1"/>
  <c r="C3099" i="1"/>
  <c r="E3098" i="1"/>
  <c r="D3098" i="1"/>
  <c r="C3098" i="1"/>
  <c r="E3097" i="1"/>
  <c r="D3097" i="1"/>
  <c r="C3097" i="1"/>
  <c r="E3096" i="1"/>
  <c r="D3096" i="1"/>
  <c r="C3096" i="1"/>
  <c r="E3095" i="1"/>
  <c r="B3095" i="1" s="1"/>
  <c r="D3095" i="1"/>
  <c r="C3095" i="1"/>
  <c r="E3094" i="1"/>
  <c r="B3094" i="1" s="1"/>
  <c r="D3094" i="1"/>
  <c r="C3094" i="1"/>
  <c r="E3093" i="1"/>
  <c r="B3093" i="1" s="1"/>
  <c r="D3093" i="1"/>
  <c r="C3093" i="1"/>
  <c r="E3092" i="1"/>
  <c r="D3092" i="1"/>
  <c r="C3092" i="1"/>
  <c r="E3091" i="1"/>
  <c r="B3091" i="1" s="1"/>
  <c r="D3091" i="1"/>
  <c r="C3091" i="1"/>
  <c r="E3090" i="1"/>
  <c r="D3090" i="1"/>
  <c r="C3090" i="1"/>
  <c r="E3089" i="1"/>
  <c r="D3089" i="1"/>
  <c r="C3089" i="1"/>
  <c r="E3088" i="1"/>
  <c r="D3088" i="1"/>
  <c r="C3088" i="1"/>
  <c r="E3087" i="1"/>
  <c r="B3087" i="1" s="1"/>
  <c r="D3087" i="1"/>
  <c r="C3087" i="1"/>
  <c r="E3086" i="1"/>
  <c r="D3086" i="1"/>
  <c r="C3086" i="1"/>
  <c r="E3085" i="1"/>
  <c r="B3085" i="1" s="1"/>
  <c r="D3085" i="1"/>
  <c r="C3085" i="1"/>
  <c r="E3084" i="1"/>
  <c r="D3084" i="1"/>
  <c r="C3084" i="1"/>
  <c r="E3083" i="1"/>
  <c r="B3083" i="1" s="1"/>
  <c r="D3083" i="1"/>
  <c r="C3083" i="1"/>
  <c r="E3082" i="1"/>
  <c r="D3082" i="1"/>
  <c r="C3082" i="1"/>
  <c r="E3081" i="1"/>
  <c r="D3081" i="1"/>
  <c r="C3081" i="1"/>
  <c r="E3080" i="1"/>
  <c r="D3080" i="1"/>
  <c r="C3080" i="1"/>
  <c r="E3079" i="1"/>
  <c r="B3079" i="1" s="1"/>
  <c r="D3079" i="1"/>
  <c r="C3079" i="1"/>
  <c r="E3078" i="1"/>
  <c r="D3078" i="1"/>
  <c r="C3078" i="1"/>
  <c r="E3077" i="1"/>
  <c r="B3077" i="1" s="1"/>
  <c r="D3077" i="1"/>
  <c r="C3077" i="1"/>
  <c r="E3076" i="1"/>
  <c r="D3076" i="1"/>
  <c r="C3076" i="1"/>
  <c r="E3075" i="1"/>
  <c r="B3075" i="1" s="1"/>
  <c r="D3075" i="1"/>
  <c r="C3075" i="1"/>
  <c r="E3074" i="1"/>
  <c r="D3074" i="1"/>
  <c r="C3074" i="1"/>
  <c r="E3073" i="1"/>
  <c r="D3073" i="1"/>
  <c r="C3073" i="1"/>
  <c r="E3072" i="1"/>
  <c r="D3072" i="1"/>
  <c r="C3072" i="1"/>
  <c r="E3071" i="1"/>
  <c r="B3071" i="1" s="1"/>
  <c r="D3071" i="1"/>
  <c r="C3071" i="1"/>
  <c r="E3070" i="1"/>
  <c r="D3070" i="1"/>
  <c r="C3070" i="1"/>
  <c r="E3069" i="1"/>
  <c r="B3069" i="1" s="1"/>
  <c r="D3069" i="1"/>
  <c r="C3069" i="1"/>
  <c r="E3068" i="1"/>
  <c r="B3068" i="1" s="1"/>
  <c r="D3068" i="1"/>
  <c r="C3068" i="1"/>
  <c r="E3067" i="1"/>
  <c r="B3067" i="1" s="1"/>
  <c r="D3067" i="1"/>
  <c r="C3067" i="1"/>
  <c r="E3066" i="1"/>
  <c r="D3066" i="1"/>
  <c r="C3066" i="1"/>
  <c r="E3065" i="1"/>
  <c r="D3065" i="1"/>
  <c r="C3065" i="1"/>
  <c r="E3064" i="1"/>
  <c r="D3064" i="1"/>
  <c r="C3064" i="1"/>
  <c r="E3063" i="1"/>
  <c r="B3063" i="1" s="1"/>
  <c r="D3063" i="1"/>
  <c r="C3063" i="1"/>
  <c r="E3062" i="1"/>
  <c r="D3062" i="1"/>
  <c r="C3062" i="1"/>
  <c r="E3061" i="1"/>
  <c r="B3061" i="1" s="1"/>
  <c r="D3061" i="1"/>
  <c r="C3061" i="1"/>
  <c r="E3060" i="1"/>
  <c r="B3060" i="1" s="1"/>
  <c r="D3060" i="1"/>
  <c r="C3060" i="1"/>
  <c r="E3059" i="1"/>
  <c r="B3059" i="1" s="1"/>
  <c r="D3059" i="1"/>
  <c r="C3059" i="1"/>
  <c r="E3058" i="1"/>
  <c r="D3058" i="1"/>
  <c r="C3058" i="1"/>
  <c r="E3057" i="1"/>
  <c r="D3057" i="1"/>
  <c r="C3057" i="1"/>
  <c r="E3056" i="1"/>
  <c r="D3056" i="1"/>
  <c r="C3056" i="1"/>
  <c r="E3055" i="1"/>
  <c r="B3055" i="1" s="1"/>
  <c r="D3055" i="1"/>
  <c r="C3055" i="1"/>
  <c r="E3054" i="1"/>
  <c r="D3054" i="1"/>
  <c r="C3054" i="1"/>
  <c r="E3053" i="1"/>
  <c r="B3053" i="1" s="1"/>
  <c r="D3053" i="1"/>
  <c r="C3053" i="1"/>
  <c r="E3052" i="1"/>
  <c r="B3052" i="1" s="1"/>
  <c r="D3052" i="1"/>
  <c r="C3052" i="1"/>
  <c r="E3051" i="1"/>
  <c r="B3051" i="1" s="1"/>
  <c r="D3051" i="1"/>
  <c r="C3051" i="1"/>
  <c r="E3050" i="1"/>
  <c r="D3050" i="1"/>
  <c r="C3050" i="1"/>
  <c r="E3049" i="1"/>
  <c r="D3049" i="1"/>
  <c r="C3049" i="1"/>
  <c r="E3048" i="1"/>
  <c r="D3048" i="1"/>
  <c r="C3048" i="1"/>
  <c r="E3047" i="1"/>
  <c r="B3047" i="1" s="1"/>
  <c r="D3047" i="1"/>
  <c r="C3047" i="1"/>
  <c r="E3046" i="1"/>
  <c r="B3046" i="1" s="1"/>
  <c r="D3046" i="1"/>
  <c r="C3046" i="1"/>
  <c r="E3045" i="1"/>
  <c r="B3045" i="1" s="1"/>
  <c r="D3045" i="1"/>
  <c r="C3045" i="1"/>
  <c r="E3044" i="1"/>
  <c r="B3044" i="1" s="1"/>
  <c r="D3044" i="1"/>
  <c r="C3044" i="1"/>
  <c r="E3043" i="1"/>
  <c r="B3043" i="1" s="1"/>
  <c r="D3043" i="1"/>
  <c r="C3043" i="1"/>
  <c r="E3042" i="1"/>
  <c r="D3042" i="1"/>
  <c r="C3042" i="1"/>
  <c r="E3041" i="1"/>
  <c r="D3041" i="1"/>
  <c r="C3041" i="1"/>
  <c r="E3040" i="1"/>
  <c r="D3040" i="1"/>
  <c r="C3040" i="1"/>
  <c r="E3039" i="1"/>
  <c r="B3039" i="1" s="1"/>
  <c r="D3039" i="1"/>
  <c r="C3039" i="1"/>
  <c r="E3038" i="1"/>
  <c r="B3038" i="1" s="1"/>
  <c r="D3038" i="1"/>
  <c r="C3038" i="1"/>
  <c r="E3037" i="1"/>
  <c r="B3037" i="1" s="1"/>
  <c r="D3037" i="1"/>
  <c r="C3037" i="1"/>
  <c r="E3036" i="1"/>
  <c r="B3036" i="1" s="1"/>
  <c r="D3036" i="1"/>
  <c r="C3036" i="1"/>
  <c r="E3035" i="1"/>
  <c r="B3035" i="1" s="1"/>
  <c r="D3035" i="1"/>
  <c r="C3035" i="1"/>
  <c r="E3034" i="1"/>
  <c r="D3034" i="1"/>
  <c r="C3034" i="1"/>
  <c r="E3033" i="1"/>
  <c r="D3033" i="1"/>
  <c r="C3033" i="1"/>
  <c r="E3032" i="1"/>
  <c r="D3032" i="1"/>
  <c r="C3032" i="1"/>
  <c r="E3031" i="1"/>
  <c r="B3031" i="1" s="1"/>
  <c r="D3031" i="1"/>
  <c r="C3031" i="1"/>
  <c r="E3030" i="1"/>
  <c r="B3030" i="1" s="1"/>
  <c r="D3030" i="1"/>
  <c r="C3030" i="1"/>
  <c r="E3029" i="1"/>
  <c r="B3029" i="1" s="1"/>
  <c r="D3029" i="1"/>
  <c r="C3029" i="1"/>
  <c r="E3028" i="1"/>
  <c r="B3028" i="1" s="1"/>
  <c r="D3028" i="1"/>
  <c r="C3028" i="1"/>
  <c r="E3027" i="1"/>
  <c r="B3027" i="1" s="1"/>
  <c r="D3027" i="1"/>
  <c r="C3027" i="1"/>
  <c r="E3026" i="1"/>
  <c r="D3026" i="1"/>
  <c r="C3026" i="1"/>
  <c r="E3025" i="1"/>
  <c r="D3025" i="1"/>
  <c r="C3025" i="1"/>
  <c r="E3024" i="1"/>
  <c r="D3024" i="1"/>
  <c r="C3024" i="1"/>
  <c r="E3023" i="1"/>
  <c r="B3023" i="1" s="1"/>
  <c r="D3023" i="1"/>
  <c r="C3023" i="1"/>
  <c r="E3022" i="1"/>
  <c r="B3022" i="1" s="1"/>
  <c r="D3022" i="1"/>
  <c r="C3022" i="1"/>
  <c r="E3021" i="1"/>
  <c r="B3021" i="1" s="1"/>
  <c r="D3021" i="1"/>
  <c r="C3021" i="1"/>
  <c r="E3020" i="1"/>
  <c r="B3020" i="1" s="1"/>
  <c r="D3020" i="1"/>
  <c r="C3020" i="1"/>
  <c r="E3019" i="1"/>
  <c r="B3019" i="1" s="1"/>
  <c r="D3019" i="1"/>
  <c r="C3019" i="1"/>
  <c r="E3018" i="1"/>
  <c r="D3018" i="1"/>
  <c r="C3018" i="1"/>
  <c r="E3017" i="1"/>
  <c r="D3017" i="1"/>
  <c r="C3017" i="1"/>
  <c r="E3016" i="1"/>
  <c r="D3016" i="1"/>
  <c r="C3016" i="1"/>
  <c r="E3015" i="1"/>
  <c r="B3015" i="1" s="1"/>
  <c r="D3015" i="1"/>
  <c r="C3015" i="1"/>
  <c r="E3014" i="1"/>
  <c r="D3014" i="1"/>
  <c r="C3014" i="1"/>
  <c r="E3013" i="1"/>
  <c r="B3013" i="1" s="1"/>
  <c r="D3013" i="1"/>
  <c r="C3013" i="1"/>
  <c r="E3012" i="1"/>
  <c r="B3012" i="1" s="1"/>
  <c r="D3012" i="1"/>
  <c r="C3012" i="1"/>
  <c r="E3011" i="1"/>
  <c r="B3011" i="1" s="1"/>
  <c r="D3011" i="1"/>
  <c r="C3011" i="1"/>
  <c r="E3010" i="1"/>
  <c r="D3010" i="1"/>
  <c r="C3010" i="1"/>
  <c r="E3009" i="1"/>
  <c r="D3009" i="1"/>
  <c r="C3009" i="1"/>
  <c r="E3008" i="1"/>
  <c r="D3008" i="1"/>
  <c r="C3008" i="1"/>
  <c r="E3007" i="1"/>
  <c r="B3007" i="1" s="1"/>
  <c r="D3007" i="1"/>
  <c r="C3007" i="1"/>
  <c r="E3006" i="1"/>
  <c r="B3006" i="1" s="1"/>
  <c r="D3006" i="1"/>
  <c r="C3006" i="1"/>
  <c r="E3005" i="1"/>
  <c r="B3005" i="1" s="1"/>
  <c r="D3005" i="1"/>
  <c r="C3005" i="1"/>
  <c r="E3004" i="1"/>
  <c r="B3004" i="1" s="1"/>
  <c r="D3004" i="1"/>
  <c r="C3004" i="1"/>
  <c r="E3003" i="1"/>
  <c r="B3003" i="1" s="1"/>
  <c r="D3003" i="1"/>
  <c r="C3003" i="1"/>
  <c r="E3002" i="1"/>
  <c r="D3002" i="1"/>
  <c r="C3002" i="1"/>
  <c r="E3001" i="1"/>
  <c r="D3001" i="1"/>
  <c r="C3001" i="1"/>
  <c r="E3000" i="1"/>
  <c r="D3000" i="1"/>
  <c r="C3000" i="1"/>
  <c r="E2999" i="1"/>
  <c r="B2999" i="1" s="1"/>
  <c r="D2999" i="1"/>
  <c r="C2999" i="1"/>
  <c r="E2998" i="1"/>
  <c r="B2998" i="1" s="1"/>
  <c r="D2998" i="1"/>
  <c r="C2998" i="1"/>
  <c r="E2997" i="1"/>
  <c r="B2997" i="1" s="1"/>
  <c r="D2997" i="1"/>
  <c r="C2997" i="1"/>
  <c r="E2996" i="1"/>
  <c r="B2996" i="1" s="1"/>
  <c r="D2996" i="1"/>
  <c r="C2996" i="1"/>
  <c r="E2995" i="1"/>
  <c r="B2995" i="1" s="1"/>
  <c r="D2995" i="1"/>
  <c r="C2995" i="1"/>
  <c r="E2994" i="1"/>
  <c r="D2994" i="1"/>
  <c r="C2994" i="1"/>
  <c r="E2993" i="1"/>
  <c r="D2993" i="1"/>
  <c r="C2993" i="1"/>
  <c r="E2992" i="1"/>
  <c r="D2992" i="1"/>
  <c r="C2992" i="1"/>
  <c r="E2991" i="1"/>
  <c r="B2991" i="1" s="1"/>
  <c r="D2991" i="1"/>
  <c r="C2991" i="1"/>
  <c r="E2990" i="1"/>
  <c r="B2990" i="1" s="1"/>
  <c r="D2990" i="1"/>
  <c r="C2990" i="1"/>
  <c r="E2989" i="1"/>
  <c r="B2989" i="1" s="1"/>
  <c r="D2989" i="1"/>
  <c r="C2989" i="1"/>
  <c r="E2988" i="1"/>
  <c r="B2988" i="1" s="1"/>
  <c r="D2988" i="1"/>
  <c r="C2988" i="1"/>
  <c r="E2987" i="1"/>
  <c r="B2987" i="1" s="1"/>
  <c r="D2987" i="1"/>
  <c r="C2987" i="1"/>
  <c r="E2986" i="1"/>
  <c r="D2986" i="1"/>
  <c r="C2986" i="1"/>
  <c r="E2985" i="1"/>
  <c r="D2985" i="1"/>
  <c r="C2985" i="1"/>
  <c r="E2984" i="1"/>
  <c r="D2984" i="1"/>
  <c r="C2984" i="1"/>
  <c r="E2983" i="1"/>
  <c r="B2983" i="1" s="1"/>
  <c r="D2983" i="1"/>
  <c r="C2983" i="1"/>
  <c r="E2982" i="1"/>
  <c r="B2982" i="1" s="1"/>
  <c r="D2982" i="1"/>
  <c r="C2982" i="1"/>
  <c r="E2981" i="1"/>
  <c r="B2981" i="1" s="1"/>
  <c r="D2981" i="1"/>
  <c r="C2981" i="1"/>
  <c r="E2980" i="1"/>
  <c r="B2980" i="1" s="1"/>
  <c r="D2980" i="1"/>
  <c r="C2980" i="1"/>
  <c r="E2979" i="1"/>
  <c r="B2979" i="1" s="1"/>
  <c r="D2979" i="1"/>
  <c r="C2979" i="1"/>
  <c r="E2978" i="1"/>
  <c r="D2978" i="1"/>
  <c r="C2978" i="1"/>
  <c r="E2977" i="1"/>
  <c r="D2977" i="1"/>
  <c r="C2977" i="1"/>
  <c r="E2976" i="1"/>
  <c r="D2976" i="1"/>
  <c r="C2976" i="1"/>
  <c r="E2975" i="1"/>
  <c r="B2975" i="1" s="1"/>
  <c r="D2975" i="1"/>
  <c r="C2975" i="1"/>
  <c r="E2974" i="1"/>
  <c r="B2974" i="1" s="1"/>
  <c r="D2974" i="1"/>
  <c r="C2974" i="1"/>
  <c r="E2973" i="1"/>
  <c r="B2973" i="1" s="1"/>
  <c r="D2973" i="1"/>
  <c r="C2973" i="1"/>
  <c r="E2972" i="1"/>
  <c r="B2972" i="1" s="1"/>
  <c r="D2972" i="1"/>
  <c r="C2972" i="1"/>
  <c r="E2971" i="1"/>
  <c r="B2971" i="1" s="1"/>
  <c r="D2971" i="1"/>
  <c r="C2971" i="1"/>
  <c r="E2970" i="1"/>
  <c r="D2970" i="1"/>
  <c r="C2970" i="1"/>
  <c r="E2969" i="1"/>
  <c r="D2969" i="1"/>
  <c r="C2969" i="1"/>
  <c r="E2968" i="1"/>
  <c r="D2968" i="1"/>
  <c r="C2968" i="1"/>
  <c r="E2967" i="1"/>
  <c r="B2967" i="1" s="1"/>
  <c r="D2967" i="1"/>
  <c r="C2967" i="1"/>
  <c r="E2966" i="1"/>
  <c r="D2966" i="1"/>
  <c r="C2966" i="1"/>
  <c r="E2965" i="1"/>
  <c r="B2965" i="1" s="1"/>
  <c r="D2965" i="1"/>
  <c r="C2965" i="1"/>
  <c r="E2964" i="1"/>
  <c r="B2964" i="1" s="1"/>
  <c r="D2964" i="1"/>
  <c r="C2964" i="1"/>
  <c r="E2963" i="1"/>
  <c r="B2963" i="1" s="1"/>
  <c r="D2963" i="1"/>
  <c r="C2963" i="1"/>
  <c r="E2962" i="1"/>
  <c r="D2962" i="1"/>
  <c r="C2962" i="1"/>
  <c r="E2961" i="1"/>
  <c r="D2961" i="1"/>
  <c r="C2961" i="1"/>
  <c r="E2960" i="1"/>
  <c r="D2960" i="1"/>
  <c r="C2960" i="1"/>
  <c r="E2959" i="1"/>
  <c r="B2959" i="1" s="1"/>
  <c r="D2959" i="1"/>
  <c r="C2959" i="1"/>
  <c r="E2958" i="1"/>
  <c r="B2958" i="1" s="1"/>
  <c r="D2958" i="1"/>
  <c r="C2958" i="1"/>
  <c r="E2957" i="1"/>
  <c r="B2957" i="1" s="1"/>
  <c r="D2957" i="1"/>
  <c r="C2957" i="1"/>
  <c r="E2956" i="1"/>
  <c r="B2956" i="1" s="1"/>
  <c r="D2956" i="1"/>
  <c r="C2956" i="1"/>
  <c r="E2955" i="1"/>
  <c r="B2955" i="1" s="1"/>
  <c r="D2955" i="1"/>
  <c r="C2955" i="1"/>
  <c r="E2954" i="1"/>
  <c r="D2954" i="1"/>
  <c r="C2954" i="1"/>
  <c r="E2953" i="1"/>
  <c r="D2953" i="1"/>
  <c r="C2953" i="1"/>
  <c r="E2952" i="1"/>
  <c r="D2952" i="1"/>
  <c r="C2952" i="1"/>
  <c r="E2951" i="1"/>
  <c r="B2951" i="1" s="1"/>
  <c r="D2951" i="1"/>
  <c r="C2951" i="1"/>
  <c r="E2950" i="1"/>
  <c r="B2950" i="1" s="1"/>
  <c r="D2950" i="1"/>
  <c r="C2950" i="1"/>
  <c r="E2949" i="1"/>
  <c r="D2949" i="1"/>
  <c r="C2949" i="1"/>
  <c r="E2948" i="1"/>
  <c r="B2948" i="1" s="1"/>
  <c r="D2948" i="1"/>
  <c r="C2948" i="1"/>
  <c r="E2947" i="1"/>
  <c r="B2947" i="1" s="1"/>
  <c r="D2947" i="1"/>
  <c r="C2947" i="1"/>
  <c r="E2946" i="1"/>
  <c r="D2946" i="1"/>
  <c r="C2946" i="1"/>
  <c r="E2945" i="1"/>
  <c r="D2945" i="1"/>
  <c r="C2945" i="1"/>
  <c r="E2944" i="1"/>
  <c r="B2944" i="1" s="1"/>
  <c r="D2944" i="1"/>
  <c r="C2944" i="1"/>
  <c r="E2943" i="1"/>
  <c r="B2943" i="1" s="1"/>
  <c r="D2943" i="1"/>
  <c r="C2943" i="1"/>
  <c r="E2942" i="1"/>
  <c r="B2942" i="1" s="1"/>
  <c r="D2942" i="1"/>
  <c r="C2942" i="1"/>
  <c r="E2941" i="1"/>
  <c r="D2941" i="1"/>
  <c r="C2941" i="1"/>
  <c r="E2940" i="1"/>
  <c r="D2940" i="1"/>
  <c r="C2940" i="1"/>
  <c r="E2939" i="1"/>
  <c r="B2939" i="1" s="1"/>
  <c r="D2939" i="1"/>
  <c r="C2939" i="1"/>
  <c r="E2938" i="1"/>
  <c r="D2938" i="1"/>
  <c r="C2938" i="1"/>
  <c r="E2937" i="1"/>
  <c r="D2937" i="1"/>
  <c r="C2937" i="1"/>
  <c r="E2936" i="1"/>
  <c r="B2936" i="1" s="1"/>
  <c r="D2936" i="1"/>
  <c r="C2936" i="1"/>
  <c r="E2935" i="1"/>
  <c r="B2935" i="1" s="1"/>
  <c r="D2935" i="1"/>
  <c r="C2935" i="1"/>
  <c r="E2934" i="1"/>
  <c r="B2934" i="1" s="1"/>
  <c r="D2934" i="1"/>
  <c r="C2934" i="1"/>
  <c r="E2933" i="1"/>
  <c r="D2933" i="1"/>
  <c r="C2933" i="1"/>
  <c r="E2932" i="1"/>
  <c r="D2932" i="1"/>
  <c r="C2932" i="1"/>
  <c r="E2931" i="1"/>
  <c r="B2931" i="1" s="1"/>
  <c r="D2931" i="1"/>
  <c r="C2931" i="1"/>
  <c r="E2930" i="1"/>
  <c r="D2930" i="1"/>
  <c r="C2930" i="1"/>
  <c r="E2929" i="1"/>
  <c r="D2929" i="1"/>
  <c r="C2929" i="1"/>
  <c r="E2928" i="1"/>
  <c r="B2928" i="1" s="1"/>
  <c r="D2928" i="1"/>
  <c r="C2928" i="1"/>
  <c r="E2927" i="1"/>
  <c r="B2927" i="1" s="1"/>
  <c r="D2927" i="1"/>
  <c r="C2927" i="1"/>
  <c r="E2926" i="1"/>
  <c r="B2926" i="1" s="1"/>
  <c r="D2926" i="1"/>
  <c r="C2926" i="1"/>
  <c r="E2925" i="1"/>
  <c r="D2925" i="1"/>
  <c r="C2925" i="1"/>
  <c r="E2924" i="1"/>
  <c r="D2924" i="1"/>
  <c r="C2924" i="1"/>
  <c r="E2923" i="1"/>
  <c r="B2923" i="1" s="1"/>
  <c r="D2923" i="1"/>
  <c r="C2923" i="1"/>
  <c r="E2922" i="1"/>
  <c r="D2922" i="1"/>
  <c r="C2922" i="1"/>
  <c r="E2921" i="1"/>
  <c r="D2921" i="1"/>
  <c r="C2921" i="1"/>
  <c r="E2920" i="1"/>
  <c r="B2920" i="1" s="1"/>
  <c r="D2920" i="1"/>
  <c r="C2920" i="1"/>
  <c r="E2919" i="1"/>
  <c r="B2919" i="1" s="1"/>
  <c r="D2919" i="1"/>
  <c r="C2919" i="1"/>
  <c r="E2918" i="1"/>
  <c r="D2918" i="1"/>
  <c r="C2918" i="1"/>
  <c r="E2917" i="1"/>
  <c r="D2917" i="1"/>
  <c r="C2917" i="1"/>
  <c r="E2916" i="1"/>
  <c r="D2916" i="1"/>
  <c r="C2916" i="1"/>
  <c r="E2915" i="1"/>
  <c r="B2915" i="1" s="1"/>
  <c r="D2915" i="1"/>
  <c r="C2915" i="1"/>
  <c r="E2914" i="1"/>
  <c r="D2914" i="1"/>
  <c r="C2914" i="1"/>
  <c r="E2913" i="1"/>
  <c r="D2913" i="1"/>
  <c r="C2913" i="1"/>
  <c r="E2912" i="1"/>
  <c r="B2912" i="1" s="1"/>
  <c r="D2912" i="1"/>
  <c r="C2912" i="1"/>
  <c r="E2911" i="1"/>
  <c r="B2911" i="1" s="1"/>
  <c r="D2911" i="1"/>
  <c r="C2911" i="1"/>
  <c r="E2910" i="1"/>
  <c r="B2910" i="1" s="1"/>
  <c r="D2910" i="1"/>
  <c r="C2910" i="1"/>
  <c r="E2909" i="1"/>
  <c r="B2909" i="1" s="1"/>
  <c r="D2909" i="1"/>
  <c r="C2909" i="1"/>
  <c r="E2908" i="1"/>
  <c r="D2908" i="1"/>
  <c r="C2908" i="1"/>
  <c r="E2907" i="1"/>
  <c r="B2907" i="1" s="1"/>
  <c r="D2907" i="1"/>
  <c r="C2907" i="1"/>
  <c r="E2906" i="1"/>
  <c r="D2906" i="1"/>
  <c r="C2906" i="1"/>
  <c r="E2905" i="1"/>
  <c r="D2905" i="1"/>
  <c r="C2905" i="1"/>
  <c r="E2904" i="1"/>
  <c r="B2904" i="1" s="1"/>
  <c r="D2904" i="1"/>
  <c r="C2904" i="1"/>
  <c r="E2903" i="1"/>
  <c r="B2903" i="1" s="1"/>
  <c r="D2903" i="1"/>
  <c r="C2903" i="1"/>
  <c r="E2902" i="1"/>
  <c r="B2902" i="1" s="1"/>
  <c r="D2902" i="1"/>
  <c r="C2902" i="1"/>
  <c r="E2901" i="1"/>
  <c r="B2901" i="1" s="1"/>
  <c r="D2901" i="1"/>
  <c r="C2901" i="1"/>
  <c r="E2900" i="1"/>
  <c r="D2900" i="1"/>
  <c r="C2900" i="1"/>
  <c r="E2899" i="1"/>
  <c r="B2899" i="1" s="1"/>
  <c r="D2899" i="1"/>
  <c r="C2899" i="1"/>
  <c r="E2898" i="1"/>
  <c r="D2898" i="1"/>
  <c r="C2898" i="1"/>
  <c r="E2897" i="1"/>
  <c r="D2897" i="1"/>
  <c r="C2897" i="1"/>
  <c r="E2896" i="1"/>
  <c r="B2896" i="1" s="1"/>
  <c r="D2896" i="1"/>
  <c r="C2896" i="1"/>
  <c r="E2895" i="1"/>
  <c r="B2895" i="1" s="1"/>
  <c r="D2895" i="1"/>
  <c r="C2895" i="1"/>
  <c r="E2894" i="1"/>
  <c r="B2894" i="1" s="1"/>
  <c r="D2894" i="1"/>
  <c r="C2894" i="1"/>
  <c r="E2893" i="1"/>
  <c r="B2893" i="1" s="1"/>
  <c r="D2893" i="1"/>
  <c r="C2893" i="1"/>
  <c r="E2892" i="1"/>
  <c r="D2892" i="1"/>
  <c r="C2892" i="1"/>
  <c r="E2891" i="1"/>
  <c r="B2891" i="1" s="1"/>
  <c r="D2891" i="1"/>
  <c r="C2891" i="1"/>
  <c r="E2890" i="1"/>
  <c r="D2890" i="1"/>
  <c r="C2890" i="1"/>
  <c r="E2889" i="1"/>
  <c r="D2889" i="1"/>
  <c r="C2889" i="1"/>
  <c r="E2888" i="1"/>
  <c r="B2888" i="1" s="1"/>
  <c r="D2888" i="1"/>
  <c r="C2888" i="1"/>
  <c r="E2887" i="1"/>
  <c r="B2887" i="1" s="1"/>
  <c r="D2887" i="1"/>
  <c r="C2887" i="1"/>
  <c r="E2886" i="1"/>
  <c r="D2886" i="1"/>
  <c r="C2886" i="1"/>
  <c r="E2885" i="1"/>
  <c r="D2885" i="1"/>
  <c r="C2885" i="1"/>
  <c r="E2884" i="1"/>
  <c r="D2884" i="1"/>
  <c r="C2884" i="1"/>
  <c r="E2883" i="1"/>
  <c r="B2883" i="1" s="1"/>
  <c r="D2883" i="1"/>
  <c r="C2883" i="1"/>
  <c r="E2882" i="1"/>
  <c r="D2882" i="1"/>
  <c r="C2882" i="1"/>
  <c r="E2881" i="1"/>
  <c r="D2881" i="1"/>
  <c r="C2881" i="1"/>
  <c r="E2880" i="1"/>
  <c r="B2880" i="1" s="1"/>
  <c r="D2880" i="1"/>
  <c r="C2880" i="1"/>
  <c r="E2879" i="1"/>
  <c r="B2879" i="1" s="1"/>
  <c r="D2879" i="1"/>
  <c r="C2879" i="1"/>
  <c r="E2878" i="1"/>
  <c r="D2878" i="1"/>
  <c r="C2878" i="1"/>
  <c r="E2877" i="1"/>
  <c r="D2877" i="1"/>
  <c r="C2877" i="1"/>
  <c r="E2876" i="1"/>
  <c r="D2876" i="1"/>
  <c r="C2876" i="1"/>
  <c r="E2875" i="1"/>
  <c r="B2875" i="1" s="1"/>
  <c r="D2875" i="1"/>
  <c r="C2875" i="1"/>
  <c r="E2874" i="1"/>
  <c r="D2874" i="1"/>
  <c r="C2874" i="1"/>
  <c r="E2873" i="1"/>
  <c r="D2873" i="1"/>
  <c r="C2873" i="1"/>
  <c r="E2872" i="1"/>
  <c r="B2872" i="1" s="1"/>
  <c r="D2872" i="1"/>
  <c r="C2872" i="1"/>
  <c r="E2871" i="1"/>
  <c r="B2871" i="1" s="1"/>
  <c r="D2871" i="1"/>
  <c r="C2871" i="1"/>
  <c r="E2870" i="1"/>
  <c r="D2870" i="1"/>
  <c r="C2870" i="1"/>
  <c r="E2869" i="1"/>
  <c r="D2869" i="1"/>
  <c r="C2869" i="1"/>
  <c r="E2868" i="1"/>
  <c r="D2868" i="1"/>
  <c r="C2868" i="1"/>
  <c r="E2867" i="1"/>
  <c r="B2867" i="1" s="1"/>
  <c r="D2867" i="1"/>
  <c r="C2867" i="1"/>
  <c r="E2866" i="1"/>
  <c r="D2866" i="1"/>
  <c r="C2866" i="1"/>
  <c r="E2865" i="1"/>
  <c r="D2865" i="1"/>
  <c r="C2865" i="1"/>
  <c r="E2864" i="1"/>
  <c r="B2864" i="1" s="1"/>
  <c r="D2864" i="1"/>
  <c r="C2864" i="1"/>
  <c r="E2863" i="1"/>
  <c r="B2863" i="1" s="1"/>
  <c r="D2863" i="1"/>
  <c r="C2863" i="1"/>
  <c r="E2862" i="1"/>
  <c r="D2862" i="1"/>
  <c r="C2862" i="1"/>
  <c r="E2861" i="1"/>
  <c r="D2861" i="1"/>
  <c r="C2861" i="1"/>
  <c r="E2860" i="1"/>
  <c r="D2860" i="1"/>
  <c r="C2860" i="1"/>
  <c r="E2859" i="1"/>
  <c r="B2859" i="1" s="1"/>
  <c r="D2859" i="1"/>
  <c r="C2859" i="1"/>
  <c r="E2858" i="1"/>
  <c r="D2858" i="1"/>
  <c r="C2858" i="1"/>
  <c r="E2857" i="1"/>
  <c r="D2857" i="1"/>
  <c r="C2857" i="1"/>
  <c r="E2856" i="1"/>
  <c r="B2856" i="1" s="1"/>
  <c r="D2856" i="1"/>
  <c r="C2856" i="1"/>
  <c r="E2855" i="1"/>
  <c r="B2855" i="1" s="1"/>
  <c r="D2855" i="1"/>
  <c r="C2855" i="1"/>
  <c r="E2854" i="1"/>
  <c r="D2854" i="1"/>
  <c r="C2854" i="1"/>
  <c r="E2853" i="1"/>
  <c r="D2853" i="1"/>
  <c r="C2853" i="1"/>
  <c r="E2852" i="1"/>
  <c r="D2852" i="1"/>
  <c r="C2852" i="1"/>
  <c r="E2851" i="1"/>
  <c r="B2851" i="1" s="1"/>
  <c r="D2851" i="1"/>
  <c r="C2851" i="1"/>
  <c r="E2850" i="1"/>
  <c r="D2850" i="1"/>
  <c r="C2850" i="1"/>
  <c r="E2849" i="1"/>
  <c r="D2849" i="1"/>
  <c r="C2849" i="1"/>
  <c r="E2848" i="1"/>
  <c r="B2848" i="1" s="1"/>
  <c r="D2848" i="1"/>
  <c r="C2848" i="1"/>
  <c r="E2847" i="1"/>
  <c r="B2847" i="1" s="1"/>
  <c r="D2847" i="1"/>
  <c r="C2847" i="1"/>
  <c r="E2846" i="1"/>
  <c r="D2846" i="1"/>
  <c r="C2846" i="1"/>
  <c r="E2845" i="1"/>
  <c r="D2845" i="1"/>
  <c r="C2845" i="1"/>
  <c r="E2844" i="1"/>
  <c r="D2844" i="1"/>
  <c r="C2844" i="1"/>
  <c r="E2843" i="1"/>
  <c r="B2843" i="1" s="1"/>
  <c r="D2843" i="1"/>
  <c r="C2843" i="1"/>
  <c r="E2842" i="1"/>
  <c r="D2842" i="1"/>
  <c r="C2842" i="1"/>
  <c r="E2841" i="1"/>
  <c r="D2841" i="1"/>
  <c r="C2841" i="1"/>
  <c r="E2840" i="1"/>
  <c r="B2840" i="1" s="1"/>
  <c r="D2840" i="1"/>
  <c r="C2840" i="1"/>
  <c r="E2839" i="1"/>
  <c r="B2839" i="1" s="1"/>
  <c r="D2839" i="1"/>
  <c r="C2839" i="1"/>
  <c r="E2838" i="1"/>
  <c r="D2838" i="1"/>
  <c r="C2838" i="1"/>
  <c r="E2837" i="1"/>
  <c r="D2837" i="1"/>
  <c r="C2837" i="1"/>
  <c r="E2836" i="1"/>
  <c r="D2836" i="1"/>
  <c r="C2836" i="1"/>
  <c r="E2835" i="1"/>
  <c r="B2835" i="1" s="1"/>
  <c r="D2835" i="1"/>
  <c r="C2835" i="1"/>
  <c r="E2834" i="1"/>
  <c r="D2834" i="1"/>
  <c r="C2834" i="1"/>
  <c r="E2833" i="1"/>
  <c r="D2833" i="1"/>
  <c r="C2833" i="1"/>
  <c r="E2832" i="1"/>
  <c r="B2832" i="1" s="1"/>
  <c r="D2832" i="1"/>
  <c r="C2832" i="1"/>
  <c r="E2831" i="1"/>
  <c r="B2831" i="1" s="1"/>
  <c r="D2831" i="1"/>
  <c r="C2831" i="1"/>
  <c r="E2830" i="1"/>
  <c r="B2830" i="1" s="1"/>
  <c r="D2830" i="1"/>
  <c r="C2830" i="1"/>
  <c r="E2829" i="1"/>
  <c r="D2829" i="1"/>
  <c r="C2829" i="1"/>
  <c r="E2828" i="1"/>
  <c r="D2828" i="1"/>
  <c r="C2828" i="1"/>
  <c r="E2827" i="1"/>
  <c r="B2827" i="1" s="1"/>
  <c r="D2827" i="1"/>
  <c r="C2827" i="1"/>
  <c r="E2826" i="1"/>
  <c r="D2826" i="1"/>
  <c r="C2826" i="1"/>
  <c r="E2825" i="1"/>
  <c r="D2825" i="1"/>
  <c r="C2825" i="1"/>
  <c r="E2824" i="1"/>
  <c r="B2824" i="1" s="1"/>
  <c r="D2824" i="1"/>
  <c r="C2824" i="1"/>
  <c r="E2823" i="1"/>
  <c r="B2823" i="1" s="1"/>
  <c r="D2823" i="1"/>
  <c r="C2823" i="1"/>
  <c r="E2822" i="1"/>
  <c r="B2822" i="1" s="1"/>
  <c r="D2822" i="1"/>
  <c r="C2822" i="1"/>
  <c r="E2821" i="1"/>
  <c r="D2821" i="1"/>
  <c r="C2821" i="1"/>
  <c r="E2820" i="1"/>
  <c r="D2820" i="1"/>
  <c r="C2820" i="1"/>
  <c r="E2819" i="1"/>
  <c r="B2819" i="1" s="1"/>
  <c r="D2819" i="1"/>
  <c r="C2819" i="1"/>
  <c r="E2818" i="1"/>
  <c r="D2818" i="1"/>
  <c r="C2818" i="1"/>
  <c r="E2817" i="1"/>
  <c r="D2817" i="1"/>
  <c r="C2817" i="1"/>
  <c r="E2816" i="1"/>
  <c r="B2816" i="1" s="1"/>
  <c r="D2816" i="1"/>
  <c r="C2816" i="1"/>
  <c r="E2815" i="1"/>
  <c r="B2815" i="1" s="1"/>
  <c r="D2815" i="1"/>
  <c r="C2815" i="1"/>
  <c r="E2814" i="1"/>
  <c r="B2814" i="1" s="1"/>
  <c r="D2814" i="1"/>
  <c r="C2814" i="1"/>
  <c r="E2813" i="1"/>
  <c r="D2813" i="1"/>
  <c r="C2813" i="1"/>
  <c r="E2812" i="1"/>
  <c r="D2812" i="1"/>
  <c r="C2812" i="1"/>
  <c r="E2811" i="1"/>
  <c r="B2811" i="1" s="1"/>
  <c r="D2811" i="1"/>
  <c r="C2811" i="1"/>
  <c r="E2810" i="1"/>
  <c r="D2810" i="1"/>
  <c r="C2810" i="1"/>
  <c r="E2809" i="1"/>
  <c r="D2809" i="1"/>
  <c r="C2809" i="1"/>
  <c r="E2808" i="1"/>
  <c r="B2808" i="1" s="1"/>
  <c r="D2808" i="1"/>
  <c r="C2808" i="1"/>
  <c r="E2807" i="1"/>
  <c r="B2807" i="1" s="1"/>
  <c r="D2807" i="1"/>
  <c r="C2807" i="1"/>
  <c r="E2806" i="1"/>
  <c r="B2806" i="1" s="1"/>
  <c r="D2806" i="1"/>
  <c r="C2806" i="1"/>
  <c r="E2805" i="1"/>
  <c r="D2805" i="1"/>
  <c r="C2805" i="1"/>
  <c r="E2804" i="1"/>
  <c r="D2804" i="1"/>
  <c r="C2804" i="1"/>
  <c r="E2803" i="1"/>
  <c r="B2803" i="1" s="1"/>
  <c r="D2803" i="1"/>
  <c r="C2803" i="1"/>
  <c r="E2802" i="1"/>
  <c r="D2802" i="1"/>
  <c r="C2802" i="1"/>
  <c r="E2801" i="1"/>
  <c r="D2801" i="1"/>
  <c r="C2801" i="1"/>
  <c r="E2800" i="1"/>
  <c r="B2800" i="1" s="1"/>
  <c r="D2800" i="1"/>
  <c r="C2800" i="1"/>
  <c r="E2799" i="1"/>
  <c r="B2799" i="1" s="1"/>
  <c r="D2799" i="1"/>
  <c r="C2799" i="1"/>
  <c r="E2798" i="1"/>
  <c r="B2798" i="1" s="1"/>
  <c r="D2798" i="1"/>
  <c r="C2798" i="1"/>
  <c r="E2797" i="1"/>
  <c r="D2797" i="1"/>
  <c r="C2797" i="1"/>
  <c r="E2796" i="1"/>
  <c r="D2796" i="1"/>
  <c r="C2796" i="1"/>
  <c r="E2795" i="1"/>
  <c r="B2795" i="1" s="1"/>
  <c r="D2795" i="1"/>
  <c r="C2795" i="1"/>
  <c r="E2794" i="1"/>
  <c r="D2794" i="1"/>
  <c r="C2794" i="1"/>
  <c r="E2793" i="1"/>
  <c r="D2793" i="1"/>
  <c r="C2793" i="1"/>
  <c r="E2792" i="1"/>
  <c r="D2792" i="1"/>
  <c r="C2792" i="1"/>
  <c r="B2792" i="1"/>
  <c r="E2791" i="1"/>
  <c r="D2791" i="1"/>
  <c r="C2791" i="1"/>
  <c r="E2790" i="1"/>
  <c r="B2790" i="1" s="1"/>
  <c r="D2790" i="1"/>
  <c r="C2790" i="1"/>
  <c r="E2789" i="1"/>
  <c r="B2789" i="1" s="1"/>
  <c r="D2789" i="1"/>
  <c r="C2789" i="1"/>
  <c r="E2788" i="1"/>
  <c r="B2788" i="1" s="1"/>
  <c r="D2788" i="1"/>
  <c r="C2788" i="1"/>
  <c r="E2787" i="1"/>
  <c r="D2787" i="1"/>
  <c r="C2787" i="1"/>
  <c r="E2786" i="1"/>
  <c r="D2786" i="1"/>
  <c r="B2786" i="1" s="1"/>
  <c r="C2786" i="1"/>
  <c r="E2785" i="1"/>
  <c r="D2785" i="1"/>
  <c r="C2785" i="1"/>
  <c r="E2784" i="1"/>
  <c r="D2784" i="1"/>
  <c r="C2784" i="1"/>
  <c r="B2784" i="1"/>
  <c r="E2783" i="1"/>
  <c r="B2783" i="1" s="1"/>
  <c r="D2783" i="1"/>
  <c r="C2783" i="1"/>
  <c r="E2782" i="1"/>
  <c r="D2782" i="1"/>
  <c r="C2782" i="1"/>
  <c r="B2782" i="1"/>
  <c r="E2781" i="1"/>
  <c r="B2781" i="1" s="1"/>
  <c r="D2781" i="1"/>
  <c r="C2781" i="1"/>
  <c r="E2780" i="1"/>
  <c r="D2780" i="1"/>
  <c r="B2780" i="1" s="1"/>
  <c r="C2780" i="1"/>
  <c r="E2779" i="1"/>
  <c r="B2779" i="1" s="1"/>
  <c r="D2779" i="1"/>
  <c r="C2779" i="1"/>
  <c r="E2778" i="1"/>
  <c r="D2778" i="1"/>
  <c r="B2778" i="1" s="1"/>
  <c r="C2778" i="1"/>
  <c r="E2777" i="1"/>
  <c r="D2777" i="1"/>
  <c r="C2777" i="1"/>
  <c r="E2776" i="1"/>
  <c r="D2776" i="1"/>
  <c r="C2776" i="1"/>
  <c r="B2776" i="1"/>
  <c r="E2775" i="1"/>
  <c r="D2775" i="1"/>
  <c r="C2775" i="1"/>
  <c r="E2774" i="1"/>
  <c r="B2774" i="1" s="1"/>
  <c r="D2774" i="1"/>
  <c r="C2774" i="1"/>
  <c r="E2773" i="1"/>
  <c r="B2773" i="1" s="1"/>
  <c r="D2773" i="1"/>
  <c r="C2773" i="1"/>
  <c r="E2772" i="1"/>
  <c r="B2772" i="1" s="1"/>
  <c r="D2772" i="1"/>
  <c r="C2772" i="1"/>
  <c r="E2771" i="1"/>
  <c r="D2771" i="1"/>
  <c r="C2771" i="1"/>
  <c r="E2770" i="1"/>
  <c r="D2770" i="1"/>
  <c r="B2770" i="1" s="1"/>
  <c r="C2770" i="1"/>
  <c r="E2769" i="1"/>
  <c r="D2769" i="1"/>
  <c r="C2769" i="1"/>
  <c r="E2768" i="1"/>
  <c r="D2768" i="1"/>
  <c r="C2768" i="1"/>
  <c r="B2768" i="1"/>
  <c r="E2767" i="1"/>
  <c r="B2767" i="1" s="1"/>
  <c r="D2767" i="1"/>
  <c r="C2767" i="1"/>
  <c r="E2766" i="1"/>
  <c r="D2766" i="1"/>
  <c r="C2766" i="1"/>
  <c r="B2766" i="1"/>
  <c r="E2765" i="1"/>
  <c r="B2765" i="1" s="1"/>
  <c r="D2765" i="1"/>
  <c r="C2765" i="1"/>
  <c r="E2764" i="1"/>
  <c r="D2764" i="1"/>
  <c r="B2764" i="1" s="1"/>
  <c r="C2764" i="1"/>
  <c r="E2763" i="1"/>
  <c r="B2763" i="1" s="1"/>
  <c r="D2763" i="1"/>
  <c r="C2763" i="1"/>
  <c r="E2762" i="1"/>
  <c r="D2762" i="1"/>
  <c r="B2762" i="1" s="1"/>
  <c r="C2762" i="1"/>
  <c r="E2761" i="1"/>
  <c r="D2761" i="1"/>
  <c r="C2761" i="1"/>
  <c r="E2760" i="1"/>
  <c r="D2760" i="1"/>
  <c r="C2760" i="1"/>
  <c r="B2760" i="1"/>
  <c r="E2759" i="1"/>
  <c r="D2759" i="1"/>
  <c r="C2759" i="1"/>
  <c r="E2758" i="1"/>
  <c r="B2758" i="1" s="1"/>
  <c r="D2758" i="1"/>
  <c r="C2758" i="1"/>
  <c r="E2757" i="1"/>
  <c r="B2757" i="1" s="1"/>
  <c r="D2757" i="1"/>
  <c r="C2757" i="1"/>
  <c r="E2756" i="1"/>
  <c r="B2756" i="1" s="1"/>
  <c r="D2756" i="1"/>
  <c r="C2756" i="1"/>
  <c r="E2755" i="1"/>
  <c r="D2755" i="1"/>
  <c r="C2755" i="1"/>
  <c r="E2754" i="1"/>
  <c r="D2754" i="1"/>
  <c r="B2754" i="1" s="1"/>
  <c r="C2754" i="1"/>
  <c r="E2753" i="1"/>
  <c r="D2753" i="1"/>
  <c r="C2753" i="1"/>
  <c r="E2752" i="1"/>
  <c r="D2752" i="1"/>
  <c r="C2752" i="1"/>
  <c r="B2752" i="1"/>
  <c r="E2751" i="1"/>
  <c r="B2751" i="1" s="1"/>
  <c r="D2751" i="1"/>
  <c r="C2751" i="1"/>
  <c r="E2750" i="1"/>
  <c r="D2750" i="1"/>
  <c r="C2750" i="1"/>
  <c r="B2750" i="1"/>
  <c r="E2749" i="1"/>
  <c r="B2749" i="1" s="1"/>
  <c r="D2749" i="1"/>
  <c r="C2749" i="1"/>
  <c r="E2748" i="1"/>
  <c r="D2748" i="1"/>
  <c r="B2748" i="1" s="1"/>
  <c r="C2748" i="1"/>
  <c r="E2747" i="1"/>
  <c r="B2747" i="1" s="1"/>
  <c r="D2747" i="1"/>
  <c r="C2747" i="1"/>
  <c r="E2746" i="1"/>
  <c r="D2746" i="1"/>
  <c r="B2746" i="1" s="1"/>
  <c r="C2746" i="1"/>
  <c r="E2745" i="1"/>
  <c r="D2745" i="1"/>
  <c r="C2745" i="1"/>
  <c r="E2744" i="1"/>
  <c r="D2744" i="1"/>
  <c r="C2744" i="1"/>
  <c r="B2744" i="1"/>
  <c r="E2743" i="1"/>
  <c r="D2743" i="1"/>
  <c r="C2743" i="1"/>
  <c r="E2742" i="1"/>
  <c r="B2742" i="1" s="1"/>
  <c r="D2742" i="1"/>
  <c r="C2742" i="1"/>
  <c r="E2741" i="1"/>
  <c r="B2741" i="1" s="1"/>
  <c r="D2741" i="1"/>
  <c r="C2741" i="1"/>
  <c r="E2740" i="1"/>
  <c r="B2740" i="1" s="1"/>
  <c r="D2740" i="1"/>
  <c r="C2740" i="1"/>
  <c r="E2739" i="1"/>
  <c r="D2739" i="1"/>
  <c r="C2739" i="1"/>
  <c r="E2738" i="1"/>
  <c r="D2738" i="1"/>
  <c r="B2738" i="1" s="1"/>
  <c r="C2738" i="1"/>
  <c r="E2737" i="1"/>
  <c r="D2737" i="1"/>
  <c r="C2737" i="1"/>
  <c r="E2736" i="1"/>
  <c r="D2736" i="1"/>
  <c r="C2736" i="1"/>
  <c r="B2736" i="1"/>
  <c r="E2735" i="1"/>
  <c r="B2735" i="1" s="1"/>
  <c r="D2735" i="1"/>
  <c r="C2735" i="1"/>
  <c r="E2734" i="1"/>
  <c r="B2734" i="1" s="1"/>
  <c r="D2734" i="1"/>
  <c r="C2734" i="1"/>
  <c r="E2733" i="1"/>
  <c r="B2733" i="1" s="1"/>
  <c r="D2733" i="1"/>
  <c r="C2733" i="1"/>
  <c r="E2732" i="1"/>
  <c r="D2732" i="1"/>
  <c r="B2732" i="1" s="1"/>
  <c r="C2732" i="1"/>
  <c r="E2731" i="1"/>
  <c r="B2731" i="1" s="1"/>
  <c r="D2731" i="1"/>
  <c r="C2731" i="1"/>
  <c r="E2730" i="1"/>
  <c r="D2730" i="1"/>
  <c r="B2730" i="1" s="1"/>
  <c r="C2730" i="1"/>
  <c r="E2729" i="1"/>
  <c r="D2729" i="1"/>
  <c r="C2729" i="1"/>
  <c r="E2728" i="1"/>
  <c r="D2728" i="1"/>
  <c r="C2728" i="1"/>
  <c r="B2728" i="1"/>
  <c r="E2727" i="1"/>
  <c r="D2727" i="1"/>
  <c r="C2727" i="1"/>
  <c r="E2726" i="1"/>
  <c r="B2726" i="1" s="1"/>
  <c r="D2726" i="1"/>
  <c r="C2726" i="1"/>
  <c r="E2725" i="1"/>
  <c r="B2725" i="1" s="1"/>
  <c r="D2725" i="1"/>
  <c r="C2725" i="1"/>
  <c r="E2724" i="1"/>
  <c r="B2724" i="1" s="1"/>
  <c r="D2724" i="1"/>
  <c r="C2724" i="1"/>
  <c r="E2723" i="1"/>
  <c r="D2723" i="1"/>
  <c r="C2723" i="1"/>
  <c r="E2722" i="1"/>
  <c r="D2722" i="1"/>
  <c r="B2722" i="1" s="1"/>
  <c r="C2722" i="1"/>
  <c r="E2721" i="1"/>
  <c r="D2721" i="1"/>
  <c r="C2721" i="1"/>
  <c r="E2720" i="1"/>
  <c r="D2720" i="1"/>
  <c r="C2720" i="1"/>
  <c r="B2720" i="1"/>
  <c r="E2719" i="1"/>
  <c r="B2719" i="1" s="1"/>
  <c r="D2719" i="1"/>
  <c r="C2719" i="1"/>
  <c r="E2718" i="1"/>
  <c r="B2718" i="1" s="1"/>
  <c r="D2718" i="1"/>
  <c r="C2718" i="1"/>
  <c r="E2717" i="1"/>
  <c r="B2717" i="1" s="1"/>
  <c r="D2717" i="1"/>
  <c r="C2717" i="1"/>
  <c r="E2716" i="1"/>
  <c r="D2716" i="1"/>
  <c r="B2716" i="1" s="1"/>
  <c r="C2716" i="1"/>
  <c r="E2715" i="1"/>
  <c r="B2715" i="1" s="1"/>
  <c r="D2715" i="1"/>
  <c r="C2715" i="1"/>
  <c r="E2714" i="1"/>
  <c r="D2714" i="1"/>
  <c r="B2714" i="1" s="1"/>
  <c r="C2714" i="1"/>
  <c r="E2713" i="1"/>
  <c r="D2713" i="1"/>
  <c r="C2713" i="1"/>
  <c r="E2712" i="1"/>
  <c r="D2712" i="1"/>
  <c r="C2712" i="1"/>
  <c r="B2712" i="1"/>
  <c r="E2711" i="1"/>
  <c r="D2711" i="1"/>
  <c r="C2711" i="1"/>
  <c r="E2710" i="1"/>
  <c r="B2710" i="1" s="1"/>
  <c r="D2710" i="1"/>
  <c r="C2710" i="1"/>
  <c r="E2709" i="1"/>
  <c r="B2709" i="1" s="1"/>
  <c r="D2709" i="1"/>
  <c r="C2709" i="1"/>
  <c r="E2708" i="1"/>
  <c r="B2708" i="1" s="1"/>
  <c r="D2708" i="1"/>
  <c r="C2708" i="1"/>
  <c r="E2707" i="1"/>
  <c r="D2707" i="1"/>
  <c r="C2707" i="1"/>
  <c r="E2706" i="1"/>
  <c r="D2706" i="1"/>
  <c r="B2706" i="1" s="1"/>
  <c r="C2706" i="1"/>
  <c r="E2705" i="1"/>
  <c r="D2705" i="1"/>
  <c r="C2705" i="1"/>
  <c r="E2704" i="1"/>
  <c r="D2704" i="1"/>
  <c r="C2704" i="1"/>
  <c r="B2704" i="1"/>
  <c r="E2703" i="1"/>
  <c r="B2703" i="1" s="1"/>
  <c r="D2703" i="1"/>
  <c r="C2703" i="1"/>
  <c r="E2702" i="1"/>
  <c r="B2702" i="1" s="1"/>
  <c r="D2702" i="1"/>
  <c r="C2702" i="1"/>
  <c r="E2701" i="1"/>
  <c r="B2701" i="1" s="1"/>
  <c r="D2701" i="1"/>
  <c r="C2701" i="1"/>
  <c r="E2700" i="1"/>
  <c r="D2700" i="1"/>
  <c r="B2700" i="1" s="1"/>
  <c r="C2700" i="1"/>
  <c r="E2699" i="1"/>
  <c r="B2699" i="1" s="1"/>
  <c r="D2699" i="1"/>
  <c r="C2699" i="1"/>
  <c r="E2698" i="1"/>
  <c r="D2698" i="1"/>
  <c r="B2698" i="1" s="1"/>
  <c r="C2698" i="1"/>
  <c r="E2697" i="1"/>
  <c r="B2697" i="1" s="1"/>
  <c r="D2697" i="1"/>
  <c r="C2697" i="1"/>
  <c r="E2696" i="1"/>
  <c r="D2696" i="1"/>
  <c r="B2696" i="1" s="1"/>
  <c r="C2696" i="1"/>
  <c r="E2695" i="1"/>
  <c r="B2695" i="1" s="1"/>
  <c r="D2695" i="1"/>
  <c r="C2695" i="1"/>
  <c r="E2694" i="1"/>
  <c r="D2694" i="1"/>
  <c r="B2694" i="1" s="1"/>
  <c r="C2694" i="1"/>
  <c r="E2693" i="1"/>
  <c r="B2693" i="1" s="1"/>
  <c r="D2693" i="1"/>
  <c r="C2693" i="1"/>
  <c r="E2692" i="1"/>
  <c r="D2692" i="1"/>
  <c r="C2692" i="1"/>
  <c r="E2691" i="1"/>
  <c r="B2691" i="1" s="1"/>
  <c r="D2691" i="1"/>
  <c r="C2691" i="1"/>
  <c r="E2690" i="1"/>
  <c r="D2690" i="1"/>
  <c r="C2690" i="1"/>
  <c r="E2689" i="1"/>
  <c r="B2689" i="1" s="1"/>
  <c r="D2689" i="1"/>
  <c r="C2689" i="1"/>
  <c r="E2688" i="1"/>
  <c r="D2688" i="1"/>
  <c r="C2688" i="1"/>
  <c r="E2687" i="1"/>
  <c r="B2687" i="1" s="1"/>
  <c r="D2687" i="1"/>
  <c r="C2687" i="1"/>
  <c r="E2686" i="1"/>
  <c r="D2686" i="1"/>
  <c r="C2686" i="1"/>
  <c r="E2685" i="1"/>
  <c r="B2685" i="1" s="1"/>
  <c r="D2685" i="1"/>
  <c r="C2685" i="1"/>
  <c r="E2684" i="1"/>
  <c r="D2684" i="1"/>
  <c r="C2684" i="1"/>
  <c r="E2683" i="1"/>
  <c r="B2683" i="1" s="1"/>
  <c r="D2683" i="1"/>
  <c r="C2683" i="1"/>
  <c r="E2682" i="1"/>
  <c r="D2682" i="1"/>
  <c r="C2682" i="1"/>
  <c r="E2681" i="1"/>
  <c r="B2681" i="1" s="1"/>
  <c r="D2681" i="1"/>
  <c r="C2681" i="1"/>
  <c r="E2680" i="1"/>
  <c r="D2680" i="1"/>
  <c r="C2680" i="1"/>
  <c r="E2679" i="1"/>
  <c r="B2679" i="1" s="1"/>
  <c r="D2679" i="1"/>
  <c r="C2679" i="1"/>
  <c r="E2678" i="1"/>
  <c r="D2678" i="1"/>
  <c r="C2678" i="1"/>
  <c r="E2677" i="1"/>
  <c r="B2677" i="1" s="1"/>
  <c r="D2677" i="1"/>
  <c r="C2677" i="1"/>
  <c r="E2676" i="1"/>
  <c r="D2676" i="1"/>
  <c r="C2676" i="1"/>
  <c r="E2675" i="1"/>
  <c r="B2675" i="1" s="1"/>
  <c r="D2675" i="1"/>
  <c r="C2675" i="1"/>
  <c r="E2674" i="1"/>
  <c r="D2674" i="1"/>
  <c r="C2674" i="1"/>
  <c r="E2673" i="1"/>
  <c r="B2673" i="1" s="1"/>
  <c r="D2673" i="1"/>
  <c r="C2673" i="1"/>
  <c r="E2672" i="1"/>
  <c r="D2672" i="1"/>
  <c r="C2672" i="1"/>
  <c r="E2671" i="1"/>
  <c r="B2671" i="1" s="1"/>
  <c r="D2671" i="1"/>
  <c r="C2671" i="1"/>
  <c r="E2670" i="1"/>
  <c r="D2670" i="1"/>
  <c r="C2670" i="1"/>
  <c r="E2669" i="1"/>
  <c r="B2669" i="1" s="1"/>
  <c r="D2669" i="1"/>
  <c r="C2669" i="1"/>
  <c r="E2668" i="1"/>
  <c r="D2668" i="1"/>
  <c r="C2668" i="1"/>
  <c r="E2667" i="1"/>
  <c r="B2667" i="1" s="1"/>
  <c r="D2667" i="1"/>
  <c r="C2667" i="1"/>
  <c r="E2666" i="1"/>
  <c r="D2666" i="1"/>
  <c r="C2666" i="1"/>
  <c r="E2665" i="1"/>
  <c r="B2665" i="1" s="1"/>
  <c r="D2665" i="1"/>
  <c r="C2665" i="1"/>
  <c r="E2664" i="1"/>
  <c r="D2664" i="1"/>
  <c r="C2664" i="1"/>
  <c r="E2663" i="1"/>
  <c r="B2663" i="1" s="1"/>
  <c r="D2663" i="1"/>
  <c r="C2663" i="1"/>
  <c r="E2662" i="1"/>
  <c r="D2662" i="1"/>
  <c r="C2662" i="1"/>
  <c r="E2661" i="1"/>
  <c r="B2661" i="1" s="1"/>
  <c r="D2661" i="1"/>
  <c r="C2661" i="1"/>
  <c r="E2660" i="1"/>
  <c r="D2660" i="1"/>
  <c r="C2660" i="1"/>
  <c r="E2659" i="1"/>
  <c r="B2659" i="1" s="1"/>
  <c r="D2659" i="1"/>
  <c r="C2659" i="1"/>
  <c r="E2658" i="1"/>
  <c r="D2658" i="1"/>
  <c r="C2658" i="1"/>
  <c r="E2657" i="1"/>
  <c r="B2657" i="1" s="1"/>
  <c r="D2657" i="1"/>
  <c r="C2657" i="1"/>
  <c r="E2656" i="1"/>
  <c r="D2656" i="1"/>
  <c r="C2656" i="1"/>
  <c r="E2655" i="1"/>
  <c r="B2655" i="1" s="1"/>
  <c r="D2655" i="1"/>
  <c r="C2655" i="1"/>
  <c r="E2654" i="1"/>
  <c r="D2654" i="1"/>
  <c r="C2654" i="1"/>
  <c r="E2653" i="1"/>
  <c r="B2653" i="1" s="1"/>
  <c r="D2653" i="1"/>
  <c r="C2653" i="1"/>
  <c r="E2652" i="1"/>
  <c r="D2652" i="1"/>
  <c r="C2652" i="1"/>
  <c r="E2651" i="1"/>
  <c r="B2651" i="1" s="1"/>
  <c r="D2651" i="1"/>
  <c r="C2651" i="1"/>
  <c r="E2650" i="1"/>
  <c r="D2650" i="1"/>
  <c r="C2650" i="1"/>
  <c r="E2649" i="1"/>
  <c r="B2649" i="1" s="1"/>
  <c r="D2649" i="1"/>
  <c r="C2649" i="1"/>
  <c r="E2648" i="1"/>
  <c r="D2648" i="1"/>
  <c r="C2648" i="1"/>
  <c r="E2647" i="1"/>
  <c r="B2647" i="1" s="1"/>
  <c r="D2647" i="1"/>
  <c r="C2647" i="1"/>
  <c r="E2646" i="1"/>
  <c r="D2646" i="1"/>
  <c r="C2646" i="1"/>
  <c r="E2645" i="1"/>
  <c r="B2645" i="1" s="1"/>
  <c r="D2645" i="1"/>
  <c r="C2645" i="1"/>
  <c r="E2644" i="1"/>
  <c r="D2644" i="1"/>
  <c r="C2644" i="1"/>
  <c r="E2643" i="1"/>
  <c r="B2643" i="1" s="1"/>
  <c r="D2643" i="1"/>
  <c r="C2643" i="1"/>
  <c r="E2642" i="1"/>
  <c r="D2642" i="1"/>
  <c r="C2642" i="1"/>
  <c r="E2641" i="1"/>
  <c r="B2641" i="1" s="1"/>
  <c r="D2641" i="1"/>
  <c r="C2641" i="1"/>
  <c r="E2640" i="1"/>
  <c r="D2640" i="1"/>
  <c r="C2640" i="1"/>
  <c r="E2639" i="1"/>
  <c r="B2639" i="1" s="1"/>
  <c r="D2639" i="1"/>
  <c r="C2639" i="1"/>
  <c r="E2638" i="1"/>
  <c r="D2638" i="1"/>
  <c r="C2638" i="1"/>
  <c r="E2637" i="1"/>
  <c r="B2637" i="1" s="1"/>
  <c r="D2637" i="1"/>
  <c r="C2637" i="1"/>
  <c r="E2636" i="1"/>
  <c r="D2636" i="1"/>
  <c r="C2636" i="1"/>
  <c r="E2635" i="1"/>
  <c r="B2635" i="1" s="1"/>
  <c r="D2635" i="1"/>
  <c r="C2635" i="1"/>
  <c r="E2634" i="1"/>
  <c r="D2634" i="1"/>
  <c r="C2634" i="1"/>
  <c r="E2633" i="1"/>
  <c r="B2633" i="1" s="1"/>
  <c r="D2633" i="1"/>
  <c r="C2633" i="1"/>
  <c r="E2632" i="1"/>
  <c r="D2632" i="1"/>
  <c r="C2632" i="1"/>
  <c r="E2631" i="1"/>
  <c r="B2631" i="1" s="1"/>
  <c r="D2631" i="1"/>
  <c r="C2631" i="1"/>
  <c r="E2630" i="1"/>
  <c r="D2630" i="1"/>
  <c r="C2630" i="1"/>
  <c r="E2629" i="1"/>
  <c r="B2629" i="1" s="1"/>
  <c r="D2629" i="1"/>
  <c r="C2629" i="1"/>
  <c r="E2628" i="1"/>
  <c r="D2628" i="1"/>
  <c r="C2628" i="1"/>
  <c r="E2627" i="1"/>
  <c r="B2627" i="1" s="1"/>
  <c r="D2627" i="1"/>
  <c r="C2627" i="1"/>
  <c r="E2626" i="1"/>
  <c r="D2626" i="1"/>
  <c r="C2626" i="1"/>
  <c r="E2625" i="1"/>
  <c r="B2625" i="1" s="1"/>
  <c r="D2625" i="1"/>
  <c r="C2625" i="1"/>
  <c r="E2624" i="1"/>
  <c r="D2624" i="1"/>
  <c r="C2624" i="1"/>
  <c r="E2623" i="1"/>
  <c r="B2623" i="1" s="1"/>
  <c r="D2623" i="1"/>
  <c r="C2623" i="1"/>
  <c r="E2622" i="1"/>
  <c r="D2622" i="1"/>
  <c r="C2622" i="1"/>
  <c r="E2621" i="1"/>
  <c r="B2621" i="1" s="1"/>
  <c r="D2621" i="1"/>
  <c r="C2621" i="1"/>
  <c r="E2620" i="1"/>
  <c r="D2620" i="1"/>
  <c r="C2620" i="1"/>
  <c r="E2619" i="1"/>
  <c r="B2619" i="1" s="1"/>
  <c r="D2619" i="1"/>
  <c r="C2619" i="1"/>
  <c r="E2618" i="1"/>
  <c r="D2618" i="1"/>
  <c r="C2618" i="1"/>
  <c r="E2617" i="1"/>
  <c r="B2617" i="1" s="1"/>
  <c r="D2617" i="1"/>
  <c r="C2617" i="1"/>
  <c r="E2616" i="1"/>
  <c r="D2616" i="1"/>
  <c r="C2616" i="1"/>
  <c r="E2615" i="1"/>
  <c r="B2615" i="1" s="1"/>
  <c r="D2615" i="1"/>
  <c r="C2615" i="1"/>
  <c r="E2614" i="1"/>
  <c r="D2614" i="1"/>
  <c r="C2614" i="1"/>
  <c r="E2613" i="1"/>
  <c r="B2613" i="1" s="1"/>
  <c r="D2613" i="1"/>
  <c r="C2613" i="1"/>
  <c r="E2612" i="1"/>
  <c r="D2612" i="1"/>
  <c r="C2612" i="1"/>
  <c r="E2611" i="1"/>
  <c r="B2611" i="1" s="1"/>
  <c r="D2611" i="1"/>
  <c r="C2611" i="1"/>
  <c r="E2610" i="1"/>
  <c r="D2610" i="1"/>
  <c r="C2610" i="1"/>
  <c r="E2609" i="1"/>
  <c r="B2609" i="1" s="1"/>
  <c r="D2609" i="1"/>
  <c r="C2609" i="1"/>
  <c r="E2608" i="1"/>
  <c r="D2608" i="1"/>
  <c r="C2608" i="1"/>
  <c r="E2607" i="1"/>
  <c r="B2607" i="1" s="1"/>
  <c r="D2607" i="1"/>
  <c r="C2607" i="1"/>
  <c r="E2606" i="1"/>
  <c r="D2606" i="1"/>
  <c r="C2606" i="1"/>
  <c r="E2605" i="1"/>
  <c r="B2605" i="1" s="1"/>
  <c r="D2605" i="1"/>
  <c r="C2605" i="1"/>
  <c r="E2604" i="1"/>
  <c r="D2604" i="1"/>
  <c r="C2604" i="1"/>
  <c r="E2603" i="1"/>
  <c r="B2603" i="1" s="1"/>
  <c r="D2603" i="1"/>
  <c r="C2603" i="1"/>
  <c r="E2602" i="1"/>
  <c r="D2602" i="1"/>
  <c r="C2602" i="1"/>
  <c r="E2601" i="1"/>
  <c r="B2601" i="1" s="1"/>
  <c r="D2601" i="1"/>
  <c r="C2601" i="1"/>
  <c r="E2600" i="1"/>
  <c r="D2600" i="1"/>
  <c r="C2600" i="1"/>
  <c r="E2599" i="1"/>
  <c r="B2599" i="1" s="1"/>
  <c r="D2599" i="1"/>
  <c r="C2599" i="1"/>
  <c r="E2598" i="1"/>
  <c r="D2598" i="1"/>
  <c r="C2598" i="1"/>
  <c r="E2597" i="1"/>
  <c r="B2597" i="1" s="1"/>
  <c r="D2597" i="1"/>
  <c r="C2597" i="1"/>
  <c r="E2596" i="1"/>
  <c r="D2596" i="1"/>
  <c r="C2596" i="1"/>
  <c r="E2595" i="1"/>
  <c r="B2595" i="1" s="1"/>
  <c r="D2595" i="1"/>
  <c r="C2595" i="1"/>
  <c r="E2594" i="1"/>
  <c r="D2594" i="1"/>
  <c r="C2594" i="1"/>
  <c r="E2593" i="1"/>
  <c r="B2593" i="1" s="1"/>
  <c r="D2593" i="1"/>
  <c r="C2593" i="1"/>
  <c r="E2592" i="1"/>
  <c r="D2592" i="1"/>
  <c r="C2592" i="1"/>
  <c r="E2591" i="1"/>
  <c r="B2591" i="1" s="1"/>
  <c r="D2591" i="1"/>
  <c r="C2591" i="1"/>
  <c r="E2590" i="1"/>
  <c r="D2590" i="1"/>
  <c r="C2590" i="1"/>
  <c r="E2589" i="1"/>
  <c r="B2589" i="1" s="1"/>
  <c r="D2589" i="1"/>
  <c r="C2589" i="1"/>
  <c r="E2588" i="1"/>
  <c r="D2588" i="1"/>
  <c r="C2588" i="1"/>
  <c r="E2587" i="1"/>
  <c r="B2587" i="1" s="1"/>
  <c r="D2587" i="1"/>
  <c r="C2587" i="1"/>
  <c r="E2586" i="1"/>
  <c r="D2586" i="1"/>
  <c r="C2586" i="1"/>
  <c r="E2585" i="1"/>
  <c r="B2585" i="1" s="1"/>
  <c r="D2585" i="1"/>
  <c r="C2585" i="1"/>
  <c r="E2584" i="1"/>
  <c r="D2584" i="1"/>
  <c r="C2584" i="1"/>
  <c r="E2583" i="1"/>
  <c r="B2583" i="1" s="1"/>
  <c r="D2583" i="1"/>
  <c r="C2583" i="1"/>
  <c r="E2582" i="1"/>
  <c r="D2582" i="1"/>
  <c r="C2582" i="1"/>
  <c r="E2581" i="1"/>
  <c r="B2581" i="1" s="1"/>
  <c r="D2581" i="1"/>
  <c r="C2581" i="1"/>
  <c r="E2580" i="1"/>
  <c r="D2580" i="1"/>
  <c r="C2580" i="1"/>
  <c r="E2579" i="1"/>
  <c r="B2579" i="1" s="1"/>
  <c r="D2579" i="1"/>
  <c r="C2579" i="1"/>
  <c r="E2578" i="1"/>
  <c r="D2578" i="1"/>
  <c r="C2578" i="1"/>
  <c r="E2577" i="1"/>
  <c r="B2577" i="1" s="1"/>
  <c r="D2577" i="1"/>
  <c r="C2577" i="1"/>
  <c r="E2576" i="1"/>
  <c r="D2576" i="1"/>
  <c r="C2576" i="1"/>
  <c r="E2575" i="1"/>
  <c r="B2575" i="1" s="1"/>
  <c r="D2575" i="1"/>
  <c r="C2575" i="1"/>
  <c r="E2574" i="1"/>
  <c r="D2574" i="1"/>
  <c r="C2574" i="1"/>
  <c r="E2573" i="1"/>
  <c r="B2573" i="1" s="1"/>
  <c r="D2573" i="1"/>
  <c r="C2573" i="1"/>
  <c r="E2572" i="1"/>
  <c r="D2572" i="1"/>
  <c r="C2572" i="1"/>
  <c r="E2571" i="1"/>
  <c r="B2571" i="1" s="1"/>
  <c r="D2571" i="1"/>
  <c r="C2571" i="1"/>
  <c r="E2570" i="1"/>
  <c r="D2570" i="1"/>
  <c r="C2570" i="1"/>
  <c r="E2569" i="1"/>
  <c r="B2569" i="1" s="1"/>
  <c r="D2569" i="1"/>
  <c r="C2569" i="1"/>
  <c r="E2568" i="1"/>
  <c r="D2568" i="1"/>
  <c r="C2568" i="1"/>
  <c r="E2567" i="1"/>
  <c r="B2567" i="1" s="1"/>
  <c r="D2567" i="1"/>
  <c r="C2567" i="1"/>
  <c r="E2566" i="1"/>
  <c r="D2566" i="1"/>
  <c r="C2566" i="1"/>
  <c r="E2565" i="1"/>
  <c r="B2565" i="1" s="1"/>
  <c r="D2565" i="1"/>
  <c r="C2565" i="1"/>
  <c r="E2564" i="1"/>
  <c r="D2564" i="1"/>
  <c r="C2564" i="1"/>
  <c r="E2563" i="1"/>
  <c r="B2563" i="1" s="1"/>
  <c r="D2563" i="1"/>
  <c r="C2563" i="1"/>
  <c r="E2562" i="1"/>
  <c r="D2562" i="1"/>
  <c r="C2562" i="1"/>
  <c r="E2561" i="1"/>
  <c r="B2561" i="1" s="1"/>
  <c r="D2561" i="1"/>
  <c r="C2561" i="1"/>
  <c r="E2560" i="1"/>
  <c r="D2560" i="1"/>
  <c r="C2560" i="1"/>
  <c r="E2559" i="1"/>
  <c r="B2559" i="1" s="1"/>
  <c r="D2559" i="1"/>
  <c r="C2559" i="1"/>
  <c r="E2558" i="1"/>
  <c r="D2558" i="1"/>
  <c r="C2558" i="1"/>
  <c r="E2557" i="1"/>
  <c r="B2557" i="1" s="1"/>
  <c r="D2557" i="1"/>
  <c r="C2557" i="1"/>
  <c r="E2556" i="1"/>
  <c r="D2556" i="1"/>
  <c r="C2556" i="1"/>
  <c r="E2555" i="1"/>
  <c r="B2555" i="1" s="1"/>
  <c r="D2555" i="1"/>
  <c r="C2555" i="1"/>
  <c r="E2554" i="1"/>
  <c r="D2554" i="1"/>
  <c r="C2554" i="1"/>
  <c r="E2553" i="1"/>
  <c r="B2553" i="1" s="1"/>
  <c r="D2553" i="1"/>
  <c r="C2553" i="1"/>
  <c r="E2552" i="1"/>
  <c r="D2552" i="1"/>
  <c r="C2552" i="1"/>
  <c r="E2551" i="1"/>
  <c r="B2551" i="1" s="1"/>
  <c r="D2551" i="1"/>
  <c r="C2551" i="1"/>
  <c r="E2550" i="1"/>
  <c r="D2550" i="1"/>
  <c r="C2550" i="1"/>
  <c r="E2549" i="1"/>
  <c r="B2549" i="1" s="1"/>
  <c r="D2549" i="1"/>
  <c r="C2549" i="1"/>
  <c r="E2548" i="1"/>
  <c r="D2548" i="1"/>
  <c r="C2548" i="1"/>
  <c r="E2547" i="1"/>
  <c r="B2547" i="1" s="1"/>
  <c r="D2547" i="1"/>
  <c r="C2547" i="1"/>
  <c r="E2546" i="1"/>
  <c r="D2546" i="1"/>
  <c r="C2546" i="1"/>
  <c r="E2545" i="1"/>
  <c r="B2545" i="1" s="1"/>
  <c r="D2545" i="1"/>
  <c r="C2545" i="1"/>
  <c r="E2544" i="1"/>
  <c r="D2544" i="1"/>
  <c r="C2544" i="1"/>
  <c r="E2543" i="1"/>
  <c r="B2543" i="1" s="1"/>
  <c r="D2543" i="1"/>
  <c r="C2543" i="1"/>
  <c r="E2542" i="1"/>
  <c r="D2542" i="1"/>
  <c r="C2542" i="1"/>
  <c r="E2541" i="1"/>
  <c r="B2541" i="1" s="1"/>
  <c r="D2541" i="1"/>
  <c r="C2541" i="1"/>
  <c r="E2540" i="1"/>
  <c r="D2540" i="1"/>
  <c r="C2540" i="1"/>
  <c r="E2539" i="1"/>
  <c r="B2539" i="1" s="1"/>
  <c r="D2539" i="1"/>
  <c r="C2539" i="1"/>
  <c r="E2538" i="1"/>
  <c r="D2538" i="1"/>
  <c r="C2538" i="1"/>
  <c r="E2537" i="1"/>
  <c r="B2537" i="1" s="1"/>
  <c r="D2537" i="1"/>
  <c r="C2537" i="1"/>
  <c r="E2536" i="1"/>
  <c r="D2536" i="1"/>
  <c r="C2536" i="1"/>
  <c r="E2535" i="1"/>
  <c r="B2535" i="1" s="1"/>
  <c r="D2535" i="1"/>
  <c r="C2535" i="1"/>
  <c r="E2534" i="1"/>
  <c r="D2534" i="1"/>
  <c r="C2534" i="1"/>
  <c r="E2533" i="1"/>
  <c r="B2533" i="1" s="1"/>
  <c r="D2533" i="1"/>
  <c r="C2533" i="1"/>
  <c r="E2532" i="1"/>
  <c r="D2532" i="1"/>
  <c r="C2532" i="1"/>
  <c r="E2531" i="1"/>
  <c r="B2531" i="1" s="1"/>
  <c r="D2531" i="1"/>
  <c r="C2531" i="1"/>
  <c r="E2530" i="1"/>
  <c r="D2530" i="1"/>
  <c r="C2530" i="1"/>
  <c r="E2529" i="1"/>
  <c r="B2529" i="1" s="1"/>
  <c r="D2529" i="1"/>
  <c r="C2529" i="1"/>
  <c r="E2528" i="1"/>
  <c r="D2528" i="1"/>
  <c r="C2528" i="1"/>
  <c r="E2527" i="1"/>
  <c r="B2527" i="1" s="1"/>
  <c r="D2527" i="1"/>
  <c r="C2527" i="1"/>
  <c r="E2526" i="1"/>
  <c r="D2526" i="1"/>
  <c r="C2526" i="1"/>
  <c r="E2525" i="1"/>
  <c r="B2525" i="1" s="1"/>
  <c r="D2525" i="1"/>
  <c r="C2525" i="1"/>
  <c r="E2524" i="1"/>
  <c r="D2524" i="1"/>
  <c r="C2524" i="1"/>
  <c r="E2523" i="1"/>
  <c r="B2523" i="1" s="1"/>
  <c r="D2523" i="1"/>
  <c r="C2523" i="1"/>
  <c r="E2522" i="1"/>
  <c r="D2522" i="1"/>
  <c r="C2522" i="1"/>
  <c r="E2521" i="1"/>
  <c r="B2521" i="1" s="1"/>
  <c r="D2521" i="1"/>
  <c r="C2521" i="1"/>
  <c r="E2520" i="1"/>
  <c r="D2520" i="1"/>
  <c r="C2520" i="1"/>
  <c r="E2519" i="1"/>
  <c r="B2519" i="1" s="1"/>
  <c r="D2519" i="1"/>
  <c r="C2519" i="1"/>
  <c r="E2518" i="1"/>
  <c r="D2518" i="1"/>
  <c r="C2518" i="1"/>
  <c r="E2517" i="1"/>
  <c r="B2517" i="1" s="1"/>
  <c r="D2517" i="1"/>
  <c r="C2517" i="1"/>
  <c r="E2516" i="1"/>
  <c r="D2516" i="1"/>
  <c r="C2516" i="1"/>
  <c r="E2515" i="1"/>
  <c r="B2515" i="1" s="1"/>
  <c r="D2515" i="1"/>
  <c r="C2515" i="1"/>
  <c r="E2514" i="1"/>
  <c r="D2514" i="1"/>
  <c r="C2514" i="1"/>
  <c r="E2513" i="1"/>
  <c r="B2513" i="1" s="1"/>
  <c r="D2513" i="1"/>
  <c r="C2513" i="1"/>
  <c r="E2512" i="1"/>
  <c r="D2512" i="1"/>
  <c r="C2512" i="1"/>
  <c r="E2511" i="1"/>
  <c r="B2511" i="1" s="1"/>
  <c r="D2511" i="1"/>
  <c r="C2511" i="1"/>
  <c r="E2510" i="1"/>
  <c r="D2510" i="1"/>
  <c r="C2510" i="1"/>
  <c r="E2509" i="1"/>
  <c r="B2509" i="1" s="1"/>
  <c r="D2509" i="1"/>
  <c r="C2509" i="1"/>
  <c r="E2508" i="1"/>
  <c r="D2508" i="1"/>
  <c r="C2508" i="1"/>
  <c r="E2507" i="1"/>
  <c r="B2507" i="1" s="1"/>
  <c r="D2507" i="1"/>
  <c r="C2507" i="1"/>
  <c r="E2506" i="1"/>
  <c r="D2506" i="1"/>
  <c r="C2506" i="1"/>
  <c r="E2505" i="1"/>
  <c r="B2505" i="1" s="1"/>
  <c r="D2505" i="1"/>
  <c r="C2505" i="1"/>
  <c r="E2504" i="1"/>
  <c r="D2504" i="1"/>
  <c r="C2504" i="1"/>
  <c r="E2503" i="1"/>
  <c r="B2503" i="1" s="1"/>
  <c r="D2503" i="1"/>
  <c r="C2503" i="1"/>
  <c r="E2502" i="1"/>
  <c r="D2502" i="1"/>
  <c r="C2502" i="1"/>
  <c r="E2501" i="1"/>
  <c r="B2501" i="1" s="1"/>
  <c r="D2501" i="1"/>
  <c r="C2501" i="1"/>
  <c r="E2500" i="1"/>
  <c r="D2500" i="1"/>
  <c r="C2500" i="1"/>
  <c r="E2499" i="1"/>
  <c r="B2499" i="1" s="1"/>
  <c r="D2499" i="1"/>
  <c r="C2499" i="1"/>
  <c r="E2498" i="1"/>
  <c r="D2498" i="1"/>
  <c r="C2498" i="1"/>
  <c r="E2497" i="1"/>
  <c r="B2497" i="1" s="1"/>
  <c r="D2497" i="1"/>
  <c r="C2497" i="1"/>
  <c r="E2496" i="1"/>
  <c r="D2496" i="1"/>
  <c r="C2496" i="1"/>
  <c r="E2495" i="1"/>
  <c r="D2495" i="1"/>
  <c r="C2495" i="1"/>
  <c r="E2494" i="1"/>
  <c r="D2494" i="1"/>
  <c r="C2494" i="1"/>
  <c r="E2493" i="1"/>
  <c r="B2493" i="1" s="1"/>
  <c r="D2493" i="1"/>
  <c r="C2493" i="1"/>
  <c r="E2492" i="1"/>
  <c r="D2492" i="1"/>
  <c r="C2492" i="1"/>
  <c r="E2491" i="1"/>
  <c r="B2491" i="1" s="1"/>
  <c r="D2491" i="1"/>
  <c r="C2491" i="1"/>
  <c r="E2490" i="1"/>
  <c r="D2490" i="1"/>
  <c r="C2490" i="1"/>
  <c r="E2489" i="1"/>
  <c r="B2489" i="1" s="1"/>
  <c r="D2489" i="1"/>
  <c r="C2489" i="1"/>
  <c r="E2488" i="1"/>
  <c r="D2488" i="1"/>
  <c r="C2488" i="1"/>
  <c r="E2487" i="1"/>
  <c r="D2487" i="1"/>
  <c r="C2487" i="1"/>
  <c r="E2486" i="1"/>
  <c r="D2486" i="1"/>
  <c r="C2486" i="1"/>
  <c r="E2485" i="1"/>
  <c r="B2485" i="1" s="1"/>
  <c r="D2485" i="1"/>
  <c r="C2485" i="1"/>
  <c r="E2484" i="1"/>
  <c r="D2484" i="1"/>
  <c r="C2484" i="1"/>
  <c r="E2483" i="1"/>
  <c r="B2483" i="1" s="1"/>
  <c r="D2483" i="1"/>
  <c r="C2483" i="1"/>
  <c r="E2482" i="1"/>
  <c r="D2482" i="1"/>
  <c r="C2482" i="1"/>
  <c r="E2481" i="1"/>
  <c r="B2481" i="1" s="1"/>
  <c r="D2481" i="1"/>
  <c r="C2481" i="1"/>
  <c r="E2480" i="1"/>
  <c r="D2480" i="1"/>
  <c r="C2480" i="1"/>
  <c r="E2479" i="1"/>
  <c r="B2479" i="1" s="1"/>
  <c r="D2479" i="1"/>
  <c r="C2479" i="1"/>
  <c r="E2478" i="1"/>
  <c r="D2478" i="1"/>
  <c r="C2478" i="1"/>
  <c r="B2478" i="1"/>
  <c r="E2477" i="1"/>
  <c r="D2477" i="1"/>
  <c r="C2477" i="1"/>
  <c r="E2476" i="1"/>
  <c r="B2476" i="1" s="1"/>
  <c r="D2476" i="1"/>
  <c r="C2476" i="1"/>
  <c r="E2475" i="1"/>
  <c r="B2475" i="1" s="1"/>
  <c r="D2475" i="1"/>
  <c r="C2475" i="1"/>
  <c r="E2474" i="1"/>
  <c r="D2474" i="1"/>
  <c r="B2474" i="1" s="1"/>
  <c r="C2474" i="1"/>
  <c r="E2473" i="1"/>
  <c r="D2473" i="1"/>
  <c r="C2473" i="1"/>
  <c r="E2472" i="1"/>
  <c r="B2472" i="1" s="1"/>
  <c r="D2472" i="1"/>
  <c r="C2472" i="1"/>
  <c r="E2471" i="1"/>
  <c r="B2471" i="1" s="1"/>
  <c r="D2471" i="1"/>
  <c r="C2471" i="1"/>
  <c r="E2470" i="1"/>
  <c r="D2470" i="1"/>
  <c r="C2470" i="1"/>
  <c r="B2470" i="1"/>
  <c r="E2469" i="1"/>
  <c r="D2469" i="1"/>
  <c r="C2469" i="1"/>
  <c r="E2468" i="1"/>
  <c r="B2468" i="1" s="1"/>
  <c r="D2468" i="1"/>
  <c r="C2468" i="1"/>
  <c r="E2467" i="1"/>
  <c r="B2467" i="1" s="1"/>
  <c r="D2467" i="1"/>
  <c r="C2467" i="1"/>
  <c r="E2466" i="1"/>
  <c r="D2466" i="1"/>
  <c r="C2466" i="1"/>
  <c r="B2466" i="1"/>
  <c r="E2465" i="1"/>
  <c r="D2465" i="1"/>
  <c r="C2465" i="1"/>
  <c r="E2464" i="1"/>
  <c r="B2464" i="1" s="1"/>
  <c r="D2464" i="1"/>
  <c r="C2464" i="1"/>
  <c r="E2463" i="1"/>
  <c r="B2463" i="1" s="1"/>
  <c r="D2463" i="1"/>
  <c r="C2463" i="1"/>
  <c r="E2462" i="1"/>
  <c r="D2462" i="1"/>
  <c r="C2462" i="1"/>
  <c r="B2462" i="1"/>
  <c r="E2461" i="1"/>
  <c r="D2461" i="1"/>
  <c r="C2461" i="1"/>
  <c r="E2460" i="1"/>
  <c r="B2460" i="1" s="1"/>
  <c r="D2460" i="1"/>
  <c r="C2460" i="1"/>
  <c r="E2459" i="1"/>
  <c r="B2459" i="1" s="1"/>
  <c r="D2459" i="1"/>
  <c r="C2459" i="1"/>
  <c r="E2458" i="1"/>
  <c r="D2458" i="1"/>
  <c r="B2458" i="1" s="1"/>
  <c r="C2458" i="1"/>
  <c r="E2457" i="1"/>
  <c r="D2457" i="1"/>
  <c r="C2457" i="1"/>
  <c r="E2456" i="1"/>
  <c r="B2456" i="1" s="1"/>
  <c r="D2456" i="1"/>
  <c r="C2456" i="1"/>
  <c r="E2455" i="1"/>
  <c r="B2455" i="1" s="1"/>
  <c r="D2455" i="1"/>
  <c r="C2455" i="1"/>
  <c r="E2454" i="1"/>
  <c r="D2454" i="1"/>
  <c r="C2454" i="1"/>
  <c r="B2454" i="1"/>
  <c r="E2453" i="1"/>
  <c r="D2453" i="1"/>
  <c r="C2453" i="1"/>
  <c r="E2452" i="1"/>
  <c r="B2452" i="1" s="1"/>
  <c r="D2452" i="1"/>
  <c r="C2452" i="1"/>
  <c r="E2451" i="1"/>
  <c r="B2451" i="1" s="1"/>
  <c r="D2451" i="1"/>
  <c r="C2451" i="1"/>
  <c r="E2450" i="1"/>
  <c r="D2450" i="1"/>
  <c r="C2450" i="1"/>
  <c r="B2450" i="1"/>
  <c r="E2449" i="1"/>
  <c r="D2449" i="1"/>
  <c r="C2449" i="1"/>
  <c r="E2448" i="1"/>
  <c r="B2448" i="1" s="1"/>
  <c r="D2448" i="1"/>
  <c r="C2448" i="1"/>
  <c r="E2447" i="1"/>
  <c r="B2447" i="1" s="1"/>
  <c r="D2447" i="1"/>
  <c r="C2447" i="1"/>
  <c r="E2446" i="1"/>
  <c r="D2446" i="1"/>
  <c r="C2446" i="1"/>
  <c r="B2446" i="1"/>
  <c r="E2445" i="1"/>
  <c r="D2445" i="1"/>
  <c r="C2445" i="1"/>
  <c r="E2444" i="1"/>
  <c r="B2444" i="1" s="1"/>
  <c r="D2444" i="1"/>
  <c r="C2444" i="1"/>
  <c r="E2443" i="1"/>
  <c r="B2443" i="1" s="1"/>
  <c r="D2443" i="1"/>
  <c r="C2443" i="1"/>
  <c r="E2442" i="1"/>
  <c r="D2442" i="1"/>
  <c r="B2442" i="1" s="1"/>
  <c r="C2442" i="1"/>
  <c r="E2441" i="1"/>
  <c r="D2441" i="1"/>
  <c r="C2441" i="1"/>
  <c r="E2440" i="1"/>
  <c r="B2440" i="1" s="1"/>
  <c r="D2440" i="1"/>
  <c r="C2440" i="1"/>
  <c r="E2439" i="1"/>
  <c r="B2439" i="1" s="1"/>
  <c r="D2439" i="1"/>
  <c r="C2439" i="1"/>
  <c r="E2438" i="1"/>
  <c r="D2438" i="1"/>
  <c r="C2438" i="1"/>
  <c r="B2438" i="1"/>
  <c r="E2437" i="1"/>
  <c r="D2437" i="1"/>
  <c r="C2437" i="1"/>
  <c r="E2436" i="1"/>
  <c r="B2436" i="1" s="1"/>
  <c r="D2436" i="1"/>
  <c r="C2436" i="1"/>
  <c r="E2435" i="1"/>
  <c r="B2435" i="1" s="1"/>
  <c r="D2435" i="1"/>
  <c r="C2435" i="1"/>
  <c r="E2434" i="1"/>
  <c r="D2434" i="1"/>
  <c r="C2434" i="1"/>
  <c r="B2434" i="1"/>
  <c r="E2433" i="1"/>
  <c r="D2433" i="1"/>
  <c r="B2433" i="1" s="1"/>
  <c r="C2433" i="1"/>
  <c r="E2432" i="1"/>
  <c r="D2432" i="1"/>
  <c r="C2432" i="1"/>
  <c r="B2432" i="1"/>
  <c r="E2431" i="1"/>
  <c r="D2431" i="1"/>
  <c r="B2431" i="1" s="1"/>
  <c r="C2431" i="1"/>
  <c r="E2430" i="1"/>
  <c r="D2430" i="1"/>
  <c r="C2430" i="1"/>
  <c r="B2430" i="1"/>
  <c r="E2429" i="1"/>
  <c r="D2429" i="1"/>
  <c r="B2429" i="1" s="1"/>
  <c r="C2429" i="1"/>
  <c r="E2428" i="1"/>
  <c r="D2428" i="1"/>
  <c r="C2428" i="1"/>
  <c r="B2428" i="1"/>
  <c r="E2427" i="1"/>
  <c r="D2427" i="1"/>
  <c r="B2427" i="1" s="1"/>
  <c r="C2427" i="1"/>
  <c r="E2426" i="1"/>
  <c r="D2426" i="1"/>
  <c r="C2426" i="1"/>
  <c r="B2426" i="1"/>
  <c r="E2425" i="1"/>
  <c r="D2425" i="1"/>
  <c r="B2425" i="1" s="1"/>
  <c r="C2425" i="1"/>
  <c r="E2424" i="1"/>
  <c r="D2424" i="1"/>
  <c r="C2424" i="1"/>
  <c r="B2424" i="1"/>
  <c r="E2423" i="1"/>
  <c r="D2423" i="1"/>
  <c r="B2423" i="1" s="1"/>
  <c r="C2423" i="1"/>
  <c r="E2422" i="1"/>
  <c r="D2422" i="1"/>
  <c r="C2422" i="1"/>
  <c r="B2422" i="1"/>
  <c r="E2421" i="1"/>
  <c r="D2421" i="1"/>
  <c r="B2421" i="1" s="1"/>
  <c r="C2421" i="1"/>
  <c r="E2420" i="1"/>
  <c r="D2420" i="1"/>
  <c r="B2420" i="1" s="1"/>
  <c r="C2420" i="1"/>
  <c r="E2419" i="1"/>
  <c r="D2419" i="1"/>
  <c r="B2419" i="1" s="1"/>
  <c r="C2419" i="1"/>
  <c r="E2418" i="1"/>
  <c r="D2418" i="1"/>
  <c r="B2418" i="1" s="1"/>
  <c r="C2418" i="1"/>
  <c r="E2417" i="1"/>
  <c r="B2417" i="1" s="1"/>
  <c r="D2417" i="1"/>
  <c r="C2417" i="1"/>
  <c r="E2416" i="1"/>
  <c r="D2416" i="1"/>
  <c r="B2416" i="1" s="1"/>
  <c r="C2416" i="1"/>
  <c r="E2415" i="1"/>
  <c r="B2415" i="1" s="1"/>
  <c r="D2415" i="1"/>
  <c r="C2415" i="1"/>
  <c r="E2414" i="1"/>
  <c r="D2414" i="1"/>
  <c r="B2414" i="1" s="1"/>
  <c r="C2414" i="1"/>
  <c r="E2413" i="1"/>
  <c r="B2413" i="1" s="1"/>
  <c r="D2413" i="1"/>
  <c r="C2413" i="1"/>
  <c r="E2412" i="1"/>
  <c r="D2412" i="1"/>
  <c r="B2412" i="1" s="1"/>
  <c r="C2412" i="1"/>
  <c r="E2411" i="1"/>
  <c r="B2411" i="1" s="1"/>
  <c r="D2411" i="1"/>
  <c r="C2411" i="1"/>
  <c r="E2410" i="1"/>
  <c r="D2410" i="1"/>
  <c r="B2410" i="1" s="1"/>
  <c r="C2410" i="1"/>
  <c r="E2409" i="1"/>
  <c r="B2409" i="1" s="1"/>
  <c r="D2409" i="1"/>
  <c r="C2409" i="1"/>
  <c r="E2408" i="1"/>
  <c r="D2408" i="1"/>
  <c r="B2408" i="1" s="1"/>
  <c r="C2408" i="1"/>
  <c r="E2407" i="1"/>
  <c r="B2407" i="1" s="1"/>
  <c r="D2407" i="1"/>
  <c r="C2407" i="1"/>
  <c r="E2406" i="1"/>
  <c r="D2406" i="1"/>
  <c r="B2406" i="1" s="1"/>
  <c r="C2406" i="1"/>
  <c r="E2405" i="1"/>
  <c r="B2405" i="1" s="1"/>
  <c r="D2405" i="1"/>
  <c r="C2405" i="1"/>
  <c r="E2404" i="1"/>
  <c r="D2404" i="1"/>
  <c r="B2404" i="1" s="1"/>
  <c r="C2404" i="1"/>
  <c r="E2403" i="1"/>
  <c r="B2403" i="1" s="1"/>
  <c r="D2403" i="1"/>
  <c r="C2403" i="1"/>
  <c r="E2402" i="1"/>
  <c r="D2402" i="1"/>
  <c r="B2402" i="1" s="1"/>
  <c r="C2402" i="1"/>
  <c r="E2401" i="1"/>
  <c r="B2401" i="1" s="1"/>
  <c r="D2401" i="1"/>
  <c r="C2401" i="1"/>
  <c r="E2400" i="1"/>
  <c r="D2400" i="1"/>
  <c r="B2400" i="1" s="1"/>
  <c r="C2400" i="1"/>
  <c r="E2399" i="1"/>
  <c r="B2399" i="1" s="1"/>
  <c r="D2399" i="1"/>
  <c r="C2399" i="1"/>
  <c r="E2398" i="1"/>
  <c r="B2398" i="1" s="1"/>
  <c r="D2398" i="1"/>
  <c r="C2398" i="1"/>
  <c r="E2397" i="1"/>
  <c r="B2397" i="1" s="1"/>
  <c r="D2397" i="1"/>
  <c r="C2397" i="1"/>
  <c r="E2396" i="1"/>
  <c r="B2396" i="1" s="1"/>
  <c r="D2396" i="1"/>
  <c r="C2396" i="1"/>
  <c r="E2395" i="1"/>
  <c r="B2395" i="1" s="1"/>
  <c r="D2395" i="1"/>
  <c r="C2395" i="1"/>
  <c r="E2394" i="1"/>
  <c r="B2394" i="1" s="1"/>
  <c r="D2394" i="1"/>
  <c r="C2394" i="1"/>
  <c r="E2393" i="1"/>
  <c r="B2393" i="1" s="1"/>
  <c r="D2393" i="1"/>
  <c r="C2393" i="1"/>
  <c r="E2392" i="1"/>
  <c r="B2392" i="1" s="1"/>
  <c r="D2392" i="1"/>
  <c r="C2392" i="1"/>
  <c r="E2391" i="1"/>
  <c r="B2391" i="1" s="1"/>
  <c r="D2391" i="1"/>
  <c r="C2391" i="1"/>
  <c r="E2390" i="1"/>
  <c r="B2390" i="1" s="1"/>
  <c r="D2390" i="1"/>
  <c r="C2390" i="1"/>
  <c r="E2389" i="1"/>
  <c r="B2389" i="1" s="1"/>
  <c r="D2389" i="1"/>
  <c r="C2389" i="1"/>
  <c r="E2388" i="1"/>
  <c r="B2388" i="1" s="1"/>
  <c r="D2388" i="1"/>
  <c r="C2388" i="1"/>
  <c r="E2387" i="1"/>
  <c r="B2387" i="1" s="1"/>
  <c r="D2387" i="1"/>
  <c r="C2387" i="1"/>
  <c r="E2386" i="1"/>
  <c r="B2386" i="1" s="1"/>
  <c r="D2386" i="1"/>
  <c r="C2386" i="1"/>
  <c r="E2385" i="1"/>
  <c r="B2385" i="1" s="1"/>
  <c r="D2385" i="1"/>
  <c r="C2385" i="1"/>
  <c r="E2384" i="1"/>
  <c r="B2384" i="1" s="1"/>
  <c r="D2384" i="1"/>
  <c r="C2384" i="1"/>
  <c r="E2383" i="1"/>
  <c r="B2383" i="1" s="1"/>
  <c r="D2383" i="1"/>
  <c r="C2383" i="1"/>
  <c r="E2382" i="1"/>
  <c r="B2382" i="1" s="1"/>
  <c r="D2382" i="1"/>
  <c r="C2382" i="1"/>
  <c r="E2381" i="1"/>
  <c r="B2381" i="1" s="1"/>
  <c r="D2381" i="1"/>
  <c r="C2381" i="1"/>
  <c r="E2380" i="1"/>
  <c r="B2380" i="1" s="1"/>
  <c r="D2380" i="1"/>
  <c r="C2380" i="1"/>
  <c r="E2379" i="1"/>
  <c r="B2379" i="1" s="1"/>
  <c r="D2379" i="1"/>
  <c r="C2379" i="1"/>
  <c r="E2378" i="1"/>
  <c r="B2378" i="1" s="1"/>
  <c r="D2378" i="1"/>
  <c r="C2378" i="1"/>
  <c r="E2377" i="1"/>
  <c r="B2377" i="1" s="1"/>
  <c r="D2377" i="1"/>
  <c r="C2377" i="1"/>
  <c r="E2376" i="1"/>
  <c r="B2376" i="1" s="1"/>
  <c r="D2376" i="1"/>
  <c r="C2376" i="1"/>
  <c r="E2375" i="1"/>
  <c r="B2375" i="1" s="1"/>
  <c r="D2375" i="1"/>
  <c r="C2375" i="1"/>
  <c r="E2374" i="1"/>
  <c r="B2374" i="1" s="1"/>
  <c r="D2374" i="1"/>
  <c r="C2374" i="1"/>
  <c r="E2373" i="1"/>
  <c r="B2373" i="1" s="1"/>
  <c r="D2373" i="1"/>
  <c r="C2373" i="1"/>
  <c r="E2372" i="1"/>
  <c r="B2372" i="1" s="1"/>
  <c r="D2372" i="1"/>
  <c r="C2372" i="1"/>
  <c r="E2371" i="1"/>
  <c r="B2371" i="1" s="1"/>
  <c r="D2371" i="1"/>
  <c r="C2371" i="1"/>
  <c r="E2370" i="1"/>
  <c r="B2370" i="1" s="1"/>
  <c r="D2370" i="1"/>
  <c r="C2370" i="1"/>
  <c r="E2369" i="1"/>
  <c r="B2369" i="1" s="1"/>
  <c r="D2369" i="1"/>
  <c r="C2369" i="1"/>
  <c r="E2368" i="1"/>
  <c r="B2368" i="1" s="1"/>
  <c r="D2368" i="1"/>
  <c r="C2368" i="1"/>
  <c r="E2367" i="1"/>
  <c r="B2367" i="1" s="1"/>
  <c r="D2367" i="1"/>
  <c r="C2367" i="1"/>
  <c r="E2366" i="1"/>
  <c r="B2366" i="1" s="1"/>
  <c r="D2366" i="1"/>
  <c r="C2366" i="1"/>
  <c r="E2365" i="1"/>
  <c r="B2365" i="1" s="1"/>
  <c r="D2365" i="1"/>
  <c r="C2365" i="1"/>
  <c r="E2364" i="1"/>
  <c r="B2364" i="1" s="1"/>
  <c r="D2364" i="1"/>
  <c r="C2364" i="1"/>
  <c r="E2363" i="1"/>
  <c r="B2363" i="1" s="1"/>
  <c r="D2363" i="1"/>
  <c r="C2363" i="1"/>
  <c r="E2362" i="1"/>
  <c r="B2362" i="1" s="1"/>
  <c r="D2362" i="1"/>
  <c r="C2362" i="1"/>
  <c r="E2361" i="1"/>
  <c r="B2361" i="1" s="1"/>
  <c r="D2361" i="1"/>
  <c r="C2361" i="1"/>
  <c r="E2360" i="1"/>
  <c r="B2360" i="1" s="1"/>
  <c r="D2360" i="1"/>
  <c r="C2360" i="1"/>
  <c r="E2359" i="1"/>
  <c r="B2359" i="1" s="1"/>
  <c r="D2359" i="1"/>
  <c r="C2359" i="1"/>
  <c r="E2358" i="1"/>
  <c r="B2358" i="1" s="1"/>
  <c r="D2358" i="1"/>
  <c r="C2358" i="1"/>
  <c r="E2357" i="1"/>
  <c r="B2357" i="1" s="1"/>
  <c r="D2357" i="1"/>
  <c r="C2357" i="1"/>
  <c r="E2356" i="1"/>
  <c r="B2356" i="1" s="1"/>
  <c r="D2356" i="1"/>
  <c r="C2356" i="1"/>
  <c r="E2355" i="1"/>
  <c r="B2355" i="1" s="1"/>
  <c r="D2355" i="1"/>
  <c r="C2355" i="1"/>
  <c r="E2354" i="1"/>
  <c r="B2354" i="1" s="1"/>
  <c r="D2354" i="1"/>
  <c r="C2354" i="1"/>
  <c r="E2353" i="1"/>
  <c r="B2353" i="1" s="1"/>
  <c r="D2353" i="1"/>
  <c r="C2353" i="1"/>
  <c r="E2352" i="1"/>
  <c r="B2352" i="1" s="1"/>
  <c r="D2352" i="1"/>
  <c r="C2352" i="1"/>
  <c r="E2351" i="1"/>
  <c r="B2351" i="1" s="1"/>
  <c r="D2351" i="1"/>
  <c r="C2351" i="1"/>
  <c r="E2350" i="1"/>
  <c r="B2350" i="1" s="1"/>
  <c r="D2350" i="1"/>
  <c r="C2350" i="1"/>
  <c r="E2349" i="1"/>
  <c r="B2349" i="1" s="1"/>
  <c r="D2349" i="1"/>
  <c r="C2349" i="1"/>
  <c r="E2348" i="1"/>
  <c r="B2348" i="1" s="1"/>
  <c r="D2348" i="1"/>
  <c r="C2348" i="1"/>
  <c r="E2347" i="1"/>
  <c r="B2347" i="1" s="1"/>
  <c r="D2347" i="1"/>
  <c r="C2347" i="1"/>
  <c r="E2346" i="1"/>
  <c r="B2346" i="1" s="1"/>
  <c r="D2346" i="1"/>
  <c r="C2346" i="1"/>
  <c r="E2345" i="1"/>
  <c r="B2345" i="1" s="1"/>
  <c r="D2345" i="1"/>
  <c r="C2345" i="1"/>
  <c r="E2344" i="1"/>
  <c r="B2344" i="1" s="1"/>
  <c r="D2344" i="1"/>
  <c r="C2344" i="1"/>
  <c r="E2343" i="1"/>
  <c r="B2343" i="1" s="1"/>
  <c r="D2343" i="1"/>
  <c r="C2343" i="1"/>
  <c r="E2342" i="1"/>
  <c r="B2342" i="1" s="1"/>
  <c r="D2342" i="1"/>
  <c r="C2342" i="1"/>
  <c r="E2341" i="1"/>
  <c r="B2341" i="1" s="1"/>
  <c r="D2341" i="1"/>
  <c r="C2341" i="1"/>
  <c r="E2340" i="1"/>
  <c r="B2340" i="1" s="1"/>
  <c r="D2340" i="1"/>
  <c r="C2340" i="1"/>
  <c r="E2339" i="1"/>
  <c r="B2339" i="1" s="1"/>
  <c r="D2339" i="1"/>
  <c r="C2339" i="1"/>
  <c r="E2338" i="1"/>
  <c r="B2338" i="1" s="1"/>
  <c r="D2338" i="1"/>
  <c r="C2338" i="1"/>
  <c r="E2337" i="1"/>
  <c r="B2337" i="1" s="1"/>
  <c r="D2337" i="1"/>
  <c r="C2337" i="1"/>
  <c r="E2336" i="1"/>
  <c r="B2336" i="1" s="1"/>
  <c r="D2336" i="1"/>
  <c r="C2336" i="1"/>
  <c r="E2335" i="1"/>
  <c r="B2335" i="1" s="1"/>
  <c r="D2335" i="1"/>
  <c r="C2335" i="1"/>
  <c r="E2334" i="1"/>
  <c r="B2334" i="1" s="1"/>
  <c r="D2334" i="1"/>
  <c r="C2334" i="1"/>
  <c r="E2333" i="1"/>
  <c r="B2333" i="1" s="1"/>
  <c r="D2333" i="1"/>
  <c r="C2333" i="1"/>
  <c r="E2332" i="1"/>
  <c r="B2332" i="1" s="1"/>
  <c r="D2332" i="1"/>
  <c r="C2332" i="1"/>
  <c r="E2331" i="1"/>
  <c r="B2331" i="1" s="1"/>
  <c r="D2331" i="1"/>
  <c r="C2331" i="1"/>
  <c r="E2330" i="1"/>
  <c r="B2330" i="1" s="1"/>
  <c r="D2330" i="1"/>
  <c r="C2330" i="1"/>
  <c r="E2329" i="1"/>
  <c r="B2329" i="1" s="1"/>
  <c r="D2329" i="1"/>
  <c r="C2329" i="1"/>
  <c r="E2328" i="1"/>
  <c r="B2328" i="1" s="1"/>
  <c r="D2328" i="1"/>
  <c r="C2328" i="1"/>
  <c r="E2327" i="1"/>
  <c r="B2327" i="1" s="1"/>
  <c r="D2327" i="1"/>
  <c r="C2327" i="1"/>
  <c r="E2326" i="1"/>
  <c r="B2326" i="1" s="1"/>
  <c r="D2326" i="1"/>
  <c r="C2326" i="1"/>
  <c r="E2325" i="1"/>
  <c r="B2325" i="1" s="1"/>
  <c r="D2325" i="1"/>
  <c r="C2325" i="1"/>
  <c r="E2324" i="1"/>
  <c r="B2324" i="1" s="1"/>
  <c r="D2324" i="1"/>
  <c r="C2324" i="1"/>
  <c r="E2323" i="1"/>
  <c r="B2323" i="1" s="1"/>
  <c r="D2323" i="1"/>
  <c r="C2323" i="1"/>
  <c r="E2322" i="1"/>
  <c r="B2322" i="1" s="1"/>
  <c r="D2322" i="1"/>
  <c r="C2322" i="1"/>
  <c r="E2321" i="1"/>
  <c r="B2321" i="1" s="1"/>
  <c r="D2321" i="1"/>
  <c r="C2321" i="1"/>
  <c r="E2320" i="1"/>
  <c r="B2320" i="1" s="1"/>
  <c r="D2320" i="1"/>
  <c r="C2320" i="1"/>
  <c r="E2319" i="1"/>
  <c r="B2319" i="1" s="1"/>
  <c r="D2319" i="1"/>
  <c r="C2319" i="1"/>
  <c r="E2318" i="1"/>
  <c r="B2318" i="1" s="1"/>
  <c r="D2318" i="1"/>
  <c r="C2318" i="1"/>
  <c r="E2317" i="1"/>
  <c r="B2317" i="1" s="1"/>
  <c r="D2317" i="1"/>
  <c r="C2317" i="1"/>
  <c r="E2316" i="1"/>
  <c r="B2316" i="1" s="1"/>
  <c r="D2316" i="1"/>
  <c r="C2316" i="1"/>
  <c r="E2315" i="1"/>
  <c r="B2315" i="1" s="1"/>
  <c r="D2315" i="1"/>
  <c r="C2315" i="1"/>
  <c r="E2314" i="1"/>
  <c r="B2314" i="1" s="1"/>
  <c r="D2314" i="1"/>
  <c r="C2314" i="1"/>
  <c r="E2313" i="1"/>
  <c r="B2313" i="1" s="1"/>
  <c r="D2313" i="1"/>
  <c r="C2313" i="1"/>
  <c r="E2312" i="1"/>
  <c r="B2312" i="1" s="1"/>
  <c r="D2312" i="1"/>
  <c r="C2312" i="1"/>
  <c r="E2311" i="1"/>
  <c r="B2311" i="1" s="1"/>
  <c r="D2311" i="1"/>
  <c r="C2311" i="1"/>
  <c r="E2310" i="1"/>
  <c r="B2310" i="1" s="1"/>
  <c r="D2310" i="1"/>
  <c r="C2310" i="1"/>
  <c r="E2309" i="1"/>
  <c r="B2309" i="1" s="1"/>
  <c r="D2309" i="1"/>
  <c r="C2309" i="1"/>
  <c r="E2308" i="1"/>
  <c r="B2308" i="1" s="1"/>
  <c r="D2308" i="1"/>
  <c r="C2308" i="1"/>
  <c r="E2307" i="1"/>
  <c r="B2307" i="1" s="1"/>
  <c r="D2307" i="1"/>
  <c r="C2307" i="1"/>
  <c r="E2306" i="1"/>
  <c r="B2306" i="1" s="1"/>
  <c r="D2306" i="1"/>
  <c r="C2306" i="1"/>
  <c r="E2305" i="1"/>
  <c r="B2305" i="1" s="1"/>
  <c r="D2305" i="1"/>
  <c r="C2305" i="1"/>
  <c r="E2304" i="1"/>
  <c r="B2304" i="1" s="1"/>
  <c r="D2304" i="1"/>
  <c r="C2304" i="1"/>
  <c r="E2303" i="1"/>
  <c r="B2303" i="1" s="1"/>
  <c r="D2303" i="1"/>
  <c r="C2303" i="1"/>
  <c r="E2302" i="1"/>
  <c r="B2302" i="1" s="1"/>
  <c r="D2302" i="1"/>
  <c r="C2302" i="1"/>
  <c r="E2301" i="1"/>
  <c r="B2301" i="1" s="1"/>
  <c r="D2301" i="1"/>
  <c r="C2301" i="1"/>
  <c r="E2300" i="1"/>
  <c r="B2300" i="1" s="1"/>
  <c r="D2300" i="1"/>
  <c r="C2300" i="1"/>
  <c r="E2299" i="1"/>
  <c r="B2299" i="1" s="1"/>
  <c r="D2299" i="1"/>
  <c r="C2299" i="1"/>
  <c r="E2298" i="1"/>
  <c r="B2298" i="1" s="1"/>
  <c r="D2298" i="1"/>
  <c r="C2298" i="1"/>
  <c r="E2297" i="1"/>
  <c r="B2297" i="1" s="1"/>
  <c r="D2297" i="1"/>
  <c r="C2297" i="1"/>
  <c r="E2296" i="1"/>
  <c r="B2296" i="1" s="1"/>
  <c r="D2296" i="1"/>
  <c r="C2296" i="1"/>
  <c r="E2295" i="1"/>
  <c r="B2295" i="1" s="1"/>
  <c r="D2295" i="1"/>
  <c r="C2295" i="1"/>
  <c r="E2294" i="1"/>
  <c r="B2294" i="1" s="1"/>
  <c r="D2294" i="1"/>
  <c r="C2294" i="1"/>
  <c r="E2293" i="1"/>
  <c r="B2293" i="1" s="1"/>
  <c r="D2293" i="1"/>
  <c r="C2293" i="1"/>
  <c r="E2292" i="1"/>
  <c r="B2292" i="1" s="1"/>
  <c r="D2292" i="1"/>
  <c r="C2292" i="1"/>
  <c r="E2291" i="1"/>
  <c r="B2291" i="1" s="1"/>
  <c r="D2291" i="1"/>
  <c r="C2291" i="1"/>
  <c r="E2290" i="1"/>
  <c r="B2290" i="1" s="1"/>
  <c r="D2290" i="1"/>
  <c r="C2290" i="1"/>
  <c r="E2289" i="1"/>
  <c r="B2289" i="1" s="1"/>
  <c r="D2289" i="1"/>
  <c r="C2289" i="1"/>
  <c r="E2288" i="1"/>
  <c r="B2288" i="1" s="1"/>
  <c r="D2288" i="1"/>
  <c r="C2288" i="1"/>
  <c r="E2287" i="1"/>
  <c r="B2287" i="1" s="1"/>
  <c r="D2287" i="1"/>
  <c r="C2287" i="1"/>
  <c r="E2286" i="1"/>
  <c r="B2286" i="1" s="1"/>
  <c r="D2286" i="1"/>
  <c r="C2286" i="1"/>
  <c r="E2285" i="1"/>
  <c r="B2285" i="1" s="1"/>
  <c r="D2285" i="1"/>
  <c r="C2285" i="1"/>
  <c r="E2284" i="1"/>
  <c r="B2284" i="1" s="1"/>
  <c r="D2284" i="1"/>
  <c r="C2284" i="1"/>
  <c r="E2283" i="1"/>
  <c r="B2283" i="1" s="1"/>
  <c r="D2283" i="1"/>
  <c r="C2283" i="1"/>
  <c r="E2282" i="1"/>
  <c r="B2282" i="1" s="1"/>
  <c r="D2282" i="1"/>
  <c r="C2282" i="1"/>
  <c r="E2281" i="1"/>
  <c r="B2281" i="1" s="1"/>
  <c r="D2281" i="1"/>
  <c r="C2281" i="1"/>
  <c r="E2280" i="1"/>
  <c r="B2280" i="1" s="1"/>
  <c r="D2280" i="1"/>
  <c r="C2280" i="1"/>
  <c r="E2279" i="1"/>
  <c r="B2279" i="1" s="1"/>
  <c r="D2279" i="1"/>
  <c r="C2279" i="1"/>
  <c r="E2278" i="1"/>
  <c r="B2278" i="1" s="1"/>
  <c r="D2278" i="1"/>
  <c r="C2278" i="1"/>
  <c r="E2277" i="1"/>
  <c r="B2277" i="1" s="1"/>
  <c r="D2277" i="1"/>
  <c r="C2277" i="1"/>
  <c r="E2276" i="1"/>
  <c r="B2276" i="1" s="1"/>
  <c r="D2276" i="1"/>
  <c r="C2276" i="1"/>
  <c r="E2275" i="1"/>
  <c r="B2275" i="1" s="1"/>
  <c r="D2275" i="1"/>
  <c r="C2275" i="1"/>
  <c r="E2274" i="1"/>
  <c r="B2274" i="1" s="1"/>
  <c r="D2274" i="1"/>
  <c r="C2274" i="1"/>
  <c r="E2273" i="1"/>
  <c r="B2273" i="1" s="1"/>
  <c r="D2273" i="1"/>
  <c r="C2273" i="1"/>
  <c r="E2272" i="1"/>
  <c r="B2272" i="1" s="1"/>
  <c r="D2272" i="1"/>
  <c r="C2272" i="1"/>
  <c r="E2271" i="1"/>
  <c r="B2271" i="1" s="1"/>
  <c r="D2271" i="1"/>
  <c r="C2271" i="1"/>
  <c r="E2270" i="1"/>
  <c r="B2270" i="1" s="1"/>
  <c r="D2270" i="1"/>
  <c r="C2270" i="1"/>
  <c r="E2269" i="1"/>
  <c r="B2269" i="1" s="1"/>
  <c r="D2269" i="1"/>
  <c r="C2269" i="1"/>
  <c r="E2268" i="1"/>
  <c r="B2268" i="1" s="1"/>
  <c r="D2268" i="1"/>
  <c r="C2268" i="1"/>
  <c r="E2267" i="1"/>
  <c r="B2267" i="1" s="1"/>
  <c r="D2267" i="1"/>
  <c r="C2267" i="1"/>
  <c r="E2266" i="1"/>
  <c r="B2266" i="1" s="1"/>
  <c r="D2266" i="1"/>
  <c r="C2266" i="1"/>
  <c r="E2265" i="1"/>
  <c r="B2265" i="1" s="1"/>
  <c r="D2265" i="1"/>
  <c r="C2265" i="1"/>
  <c r="E2264" i="1"/>
  <c r="B2264" i="1" s="1"/>
  <c r="D2264" i="1"/>
  <c r="C2264" i="1"/>
  <c r="E2263" i="1"/>
  <c r="B2263" i="1" s="1"/>
  <c r="D2263" i="1"/>
  <c r="C2263" i="1"/>
  <c r="E2262" i="1"/>
  <c r="B2262" i="1" s="1"/>
  <c r="D2262" i="1"/>
  <c r="C2262" i="1"/>
  <c r="E2261" i="1"/>
  <c r="B2261" i="1" s="1"/>
  <c r="D2261" i="1"/>
  <c r="C2261" i="1"/>
  <c r="E2260" i="1"/>
  <c r="B2260" i="1" s="1"/>
  <c r="D2260" i="1"/>
  <c r="C2260" i="1"/>
  <c r="E2259" i="1"/>
  <c r="B2259" i="1" s="1"/>
  <c r="D2259" i="1"/>
  <c r="C2259" i="1"/>
  <c r="E2258" i="1"/>
  <c r="B2258" i="1" s="1"/>
  <c r="D2258" i="1"/>
  <c r="C2258" i="1"/>
  <c r="E2257" i="1"/>
  <c r="B2257" i="1" s="1"/>
  <c r="D2257" i="1"/>
  <c r="C2257" i="1"/>
  <c r="E2256" i="1"/>
  <c r="B2256" i="1" s="1"/>
  <c r="D2256" i="1"/>
  <c r="C2256" i="1"/>
  <c r="E2255" i="1"/>
  <c r="B2255" i="1" s="1"/>
  <c r="D2255" i="1"/>
  <c r="C2255" i="1"/>
  <c r="E2254" i="1"/>
  <c r="B2254" i="1" s="1"/>
  <c r="D2254" i="1"/>
  <c r="C2254" i="1"/>
  <c r="E2253" i="1"/>
  <c r="B2253" i="1" s="1"/>
  <c r="D2253" i="1"/>
  <c r="C2253" i="1"/>
  <c r="E2252" i="1"/>
  <c r="B2252" i="1" s="1"/>
  <c r="D2252" i="1"/>
  <c r="C2252" i="1"/>
  <c r="E2251" i="1"/>
  <c r="B2251" i="1" s="1"/>
  <c r="D2251" i="1"/>
  <c r="C2251" i="1"/>
  <c r="E2250" i="1"/>
  <c r="B2250" i="1" s="1"/>
  <c r="D2250" i="1"/>
  <c r="C2250" i="1"/>
  <c r="E2249" i="1"/>
  <c r="B2249" i="1" s="1"/>
  <c r="D2249" i="1"/>
  <c r="C2249" i="1"/>
  <c r="E2248" i="1"/>
  <c r="B2248" i="1" s="1"/>
  <c r="D2248" i="1"/>
  <c r="C2248" i="1"/>
  <c r="E2247" i="1"/>
  <c r="B2247" i="1" s="1"/>
  <c r="D2247" i="1"/>
  <c r="C2247" i="1"/>
  <c r="E2246" i="1"/>
  <c r="B2246" i="1" s="1"/>
  <c r="D2246" i="1"/>
  <c r="C2246" i="1"/>
  <c r="E2245" i="1"/>
  <c r="B2245" i="1" s="1"/>
  <c r="D2245" i="1"/>
  <c r="C2245" i="1"/>
  <c r="E2244" i="1"/>
  <c r="B2244" i="1" s="1"/>
  <c r="D2244" i="1"/>
  <c r="C2244" i="1"/>
  <c r="E2243" i="1"/>
  <c r="B2243" i="1" s="1"/>
  <c r="D2243" i="1"/>
  <c r="C2243" i="1"/>
  <c r="E2242" i="1"/>
  <c r="B2242" i="1" s="1"/>
  <c r="D2242" i="1"/>
  <c r="C2242" i="1"/>
  <c r="E2241" i="1"/>
  <c r="B2241" i="1" s="1"/>
  <c r="D2241" i="1"/>
  <c r="C2241" i="1"/>
  <c r="E2240" i="1"/>
  <c r="B2240" i="1" s="1"/>
  <c r="D2240" i="1"/>
  <c r="C2240" i="1"/>
  <c r="E2239" i="1"/>
  <c r="B2239" i="1" s="1"/>
  <c r="D2239" i="1"/>
  <c r="C2239" i="1"/>
  <c r="E2238" i="1"/>
  <c r="B2238" i="1" s="1"/>
  <c r="D2238" i="1"/>
  <c r="C2238" i="1"/>
  <c r="E2237" i="1"/>
  <c r="B2237" i="1" s="1"/>
  <c r="D2237" i="1"/>
  <c r="C2237" i="1"/>
  <c r="E2236" i="1"/>
  <c r="B2236" i="1" s="1"/>
  <c r="D2236" i="1"/>
  <c r="C2236" i="1"/>
  <c r="E2235" i="1"/>
  <c r="B2235" i="1" s="1"/>
  <c r="D2235" i="1"/>
  <c r="C2235" i="1"/>
  <c r="E2234" i="1"/>
  <c r="B2234" i="1" s="1"/>
  <c r="D2234" i="1"/>
  <c r="C2234" i="1"/>
  <c r="E2233" i="1"/>
  <c r="B2233" i="1" s="1"/>
  <c r="D2233" i="1"/>
  <c r="C2233" i="1"/>
  <c r="E2232" i="1"/>
  <c r="B2232" i="1" s="1"/>
  <c r="D2232" i="1"/>
  <c r="C2232" i="1"/>
  <c r="E2231" i="1"/>
  <c r="B2231" i="1" s="1"/>
  <c r="D2231" i="1"/>
  <c r="C2231" i="1"/>
  <c r="E2230" i="1"/>
  <c r="B2230" i="1" s="1"/>
  <c r="D2230" i="1"/>
  <c r="C2230" i="1"/>
  <c r="E2229" i="1"/>
  <c r="B2229" i="1" s="1"/>
  <c r="D2229" i="1"/>
  <c r="C2229" i="1"/>
  <c r="E2228" i="1"/>
  <c r="B2228" i="1" s="1"/>
  <c r="D2228" i="1"/>
  <c r="C2228" i="1"/>
  <c r="E2227" i="1"/>
  <c r="B2227" i="1" s="1"/>
  <c r="D2227" i="1"/>
  <c r="C2227" i="1"/>
  <c r="E2226" i="1"/>
  <c r="B2226" i="1" s="1"/>
  <c r="D2226" i="1"/>
  <c r="C2226" i="1"/>
  <c r="E2225" i="1"/>
  <c r="B2225" i="1" s="1"/>
  <c r="D2225" i="1"/>
  <c r="C2225" i="1"/>
  <c r="E2224" i="1"/>
  <c r="B2224" i="1" s="1"/>
  <c r="D2224" i="1"/>
  <c r="C2224" i="1"/>
  <c r="E2223" i="1"/>
  <c r="B2223" i="1" s="1"/>
  <c r="D2223" i="1"/>
  <c r="C2223" i="1"/>
  <c r="E2222" i="1"/>
  <c r="B2222" i="1" s="1"/>
  <c r="D2222" i="1"/>
  <c r="C2222" i="1"/>
  <c r="E2221" i="1"/>
  <c r="B2221" i="1" s="1"/>
  <c r="D2221" i="1"/>
  <c r="C2221" i="1"/>
  <c r="E2220" i="1"/>
  <c r="B2220" i="1" s="1"/>
  <c r="D2220" i="1"/>
  <c r="C2220" i="1"/>
  <c r="E2219" i="1"/>
  <c r="B2219" i="1" s="1"/>
  <c r="D2219" i="1"/>
  <c r="C2219" i="1"/>
  <c r="E2218" i="1"/>
  <c r="B2218" i="1" s="1"/>
  <c r="D2218" i="1"/>
  <c r="C2218" i="1"/>
  <c r="E2217" i="1"/>
  <c r="B2217" i="1" s="1"/>
  <c r="D2217" i="1"/>
  <c r="C2217" i="1"/>
  <c r="E2216" i="1"/>
  <c r="B2216" i="1" s="1"/>
  <c r="D2216" i="1"/>
  <c r="C2216" i="1"/>
  <c r="E2215" i="1"/>
  <c r="B2215" i="1" s="1"/>
  <c r="D2215" i="1"/>
  <c r="C2215" i="1"/>
  <c r="E2214" i="1"/>
  <c r="B2214" i="1" s="1"/>
  <c r="D2214" i="1"/>
  <c r="C2214" i="1"/>
  <c r="E2213" i="1"/>
  <c r="B2213" i="1" s="1"/>
  <c r="D2213" i="1"/>
  <c r="C2213" i="1"/>
  <c r="E2212" i="1"/>
  <c r="B2212" i="1" s="1"/>
  <c r="D2212" i="1"/>
  <c r="C2212" i="1"/>
  <c r="E2211" i="1"/>
  <c r="B2211" i="1" s="1"/>
  <c r="D2211" i="1"/>
  <c r="C2211" i="1"/>
  <c r="E2210" i="1"/>
  <c r="B2210" i="1" s="1"/>
  <c r="D2210" i="1"/>
  <c r="C2210" i="1"/>
  <c r="E2209" i="1"/>
  <c r="B2209" i="1" s="1"/>
  <c r="D2209" i="1"/>
  <c r="C2209" i="1"/>
  <c r="E2208" i="1"/>
  <c r="B2208" i="1" s="1"/>
  <c r="D2208" i="1"/>
  <c r="C2208" i="1"/>
  <c r="E2207" i="1"/>
  <c r="B2207" i="1" s="1"/>
  <c r="D2207" i="1"/>
  <c r="C2207" i="1"/>
  <c r="E2206" i="1"/>
  <c r="B2206" i="1" s="1"/>
  <c r="D2206" i="1"/>
  <c r="C2206" i="1"/>
  <c r="E2205" i="1"/>
  <c r="B2205" i="1" s="1"/>
  <c r="D2205" i="1"/>
  <c r="C2205" i="1"/>
  <c r="E2204" i="1"/>
  <c r="B2204" i="1" s="1"/>
  <c r="D2204" i="1"/>
  <c r="C2204" i="1"/>
  <c r="E2203" i="1"/>
  <c r="B2203" i="1" s="1"/>
  <c r="D2203" i="1"/>
  <c r="C2203" i="1"/>
  <c r="E2202" i="1"/>
  <c r="B2202" i="1" s="1"/>
  <c r="D2202" i="1"/>
  <c r="C2202" i="1"/>
  <c r="E2201" i="1"/>
  <c r="B2201" i="1" s="1"/>
  <c r="D2201" i="1"/>
  <c r="C2201" i="1"/>
  <c r="E2200" i="1"/>
  <c r="B2200" i="1" s="1"/>
  <c r="D2200" i="1"/>
  <c r="C2200" i="1"/>
  <c r="E2199" i="1"/>
  <c r="B2199" i="1" s="1"/>
  <c r="D2199" i="1"/>
  <c r="C2199" i="1"/>
  <c r="E2198" i="1"/>
  <c r="B2198" i="1" s="1"/>
  <c r="D2198" i="1"/>
  <c r="C2198" i="1"/>
  <c r="E2197" i="1"/>
  <c r="B2197" i="1" s="1"/>
  <c r="D2197" i="1"/>
  <c r="C2197" i="1"/>
  <c r="E2196" i="1"/>
  <c r="B2196" i="1" s="1"/>
  <c r="D2196" i="1"/>
  <c r="C2196" i="1"/>
  <c r="E2195" i="1"/>
  <c r="B2195" i="1" s="1"/>
  <c r="D2195" i="1"/>
  <c r="C2195" i="1"/>
  <c r="E2194" i="1"/>
  <c r="B2194" i="1" s="1"/>
  <c r="D2194" i="1"/>
  <c r="C2194" i="1"/>
  <c r="E2193" i="1"/>
  <c r="B2193" i="1" s="1"/>
  <c r="D2193" i="1"/>
  <c r="C2193" i="1"/>
  <c r="E2192" i="1"/>
  <c r="B2192" i="1" s="1"/>
  <c r="D2192" i="1"/>
  <c r="C2192" i="1"/>
  <c r="E2191" i="1"/>
  <c r="B2191" i="1" s="1"/>
  <c r="D2191" i="1"/>
  <c r="C2191" i="1"/>
  <c r="E2190" i="1"/>
  <c r="B2190" i="1" s="1"/>
  <c r="D2190" i="1"/>
  <c r="C2190" i="1"/>
  <c r="E2189" i="1"/>
  <c r="B2189" i="1" s="1"/>
  <c r="D2189" i="1"/>
  <c r="C2189" i="1"/>
  <c r="E2188" i="1"/>
  <c r="B2188" i="1" s="1"/>
  <c r="D2188" i="1"/>
  <c r="C2188" i="1"/>
  <c r="E2187" i="1"/>
  <c r="B2187" i="1" s="1"/>
  <c r="D2187" i="1"/>
  <c r="C2187" i="1"/>
  <c r="E2186" i="1"/>
  <c r="B2186" i="1" s="1"/>
  <c r="D2186" i="1"/>
  <c r="C2186" i="1"/>
  <c r="E2185" i="1"/>
  <c r="B2185" i="1" s="1"/>
  <c r="D2185" i="1"/>
  <c r="C2185" i="1"/>
  <c r="E2184" i="1"/>
  <c r="B2184" i="1" s="1"/>
  <c r="D2184" i="1"/>
  <c r="C2184" i="1"/>
  <c r="E2183" i="1"/>
  <c r="B2183" i="1" s="1"/>
  <c r="D2183" i="1"/>
  <c r="C2183" i="1"/>
  <c r="E2182" i="1"/>
  <c r="B2182" i="1" s="1"/>
  <c r="D2182" i="1"/>
  <c r="C2182" i="1"/>
  <c r="E2181" i="1"/>
  <c r="B2181" i="1" s="1"/>
  <c r="D2181" i="1"/>
  <c r="C2181" i="1"/>
  <c r="E2180" i="1"/>
  <c r="B2180" i="1" s="1"/>
  <c r="D2180" i="1"/>
  <c r="C2180" i="1"/>
  <c r="E2179" i="1"/>
  <c r="B2179" i="1" s="1"/>
  <c r="D2179" i="1"/>
  <c r="C2179" i="1"/>
  <c r="E2178" i="1"/>
  <c r="B2178" i="1" s="1"/>
  <c r="D2178" i="1"/>
  <c r="C2178" i="1"/>
  <c r="E2177" i="1"/>
  <c r="B2177" i="1" s="1"/>
  <c r="D2177" i="1"/>
  <c r="C2177" i="1"/>
  <c r="E2176" i="1"/>
  <c r="B2176" i="1" s="1"/>
  <c r="D2176" i="1"/>
  <c r="C2176" i="1"/>
  <c r="E2175" i="1"/>
  <c r="B2175" i="1" s="1"/>
  <c r="D2175" i="1"/>
  <c r="C2175" i="1"/>
  <c r="E2174" i="1"/>
  <c r="B2174" i="1" s="1"/>
  <c r="D2174" i="1"/>
  <c r="C2174" i="1"/>
  <c r="E2173" i="1"/>
  <c r="B2173" i="1" s="1"/>
  <c r="D2173" i="1"/>
  <c r="C2173" i="1"/>
  <c r="E2172" i="1"/>
  <c r="B2172" i="1" s="1"/>
  <c r="D2172" i="1"/>
  <c r="C2172" i="1"/>
  <c r="E2171" i="1"/>
  <c r="B2171" i="1" s="1"/>
  <c r="D2171" i="1"/>
  <c r="C2171" i="1"/>
  <c r="E2170" i="1"/>
  <c r="B2170" i="1" s="1"/>
  <c r="D2170" i="1"/>
  <c r="C2170" i="1"/>
  <c r="E2169" i="1"/>
  <c r="B2169" i="1" s="1"/>
  <c r="D2169" i="1"/>
  <c r="C2169" i="1"/>
  <c r="E2168" i="1"/>
  <c r="B2168" i="1" s="1"/>
  <c r="D2168" i="1"/>
  <c r="C2168" i="1"/>
  <c r="E2167" i="1"/>
  <c r="B2167" i="1" s="1"/>
  <c r="D2167" i="1"/>
  <c r="C2167" i="1"/>
  <c r="E2166" i="1"/>
  <c r="B2166" i="1" s="1"/>
  <c r="D2166" i="1"/>
  <c r="C2166" i="1"/>
  <c r="E2165" i="1"/>
  <c r="B2165" i="1" s="1"/>
  <c r="D2165" i="1"/>
  <c r="C2165" i="1"/>
  <c r="E2164" i="1"/>
  <c r="B2164" i="1" s="1"/>
  <c r="D2164" i="1"/>
  <c r="C2164" i="1"/>
  <c r="E2163" i="1"/>
  <c r="B2163" i="1" s="1"/>
  <c r="D2163" i="1"/>
  <c r="C2163" i="1"/>
  <c r="E2162" i="1"/>
  <c r="B2162" i="1" s="1"/>
  <c r="D2162" i="1"/>
  <c r="C2162" i="1"/>
  <c r="E2161" i="1"/>
  <c r="B2161" i="1" s="1"/>
  <c r="D2161" i="1"/>
  <c r="C2161" i="1"/>
  <c r="E2160" i="1"/>
  <c r="B2160" i="1" s="1"/>
  <c r="D2160" i="1"/>
  <c r="C2160" i="1"/>
  <c r="E2159" i="1"/>
  <c r="B2159" i="1" s="1"/>
  <c r="D2159" i="1"/>
  <c r="C2159" i="1"/>
  <c r="E2158" i="1"/>
  <c r="B2158" i="1" s="1"/>
  <c r="D2158" i="1"/>
  <c r="C2158" i="1"/>
  <c r="E2157" i="1"/>
  <c r="B2157" i="1" s="1"/>
  <c r="D2157" i="1"/>
  <c r="C2157" i="1"/>
  <c r="E2156" i="1"/>
  <c r="B2156" i="1" s="1"/>
  <c r="D2156" i="1"/>
  <c r="C2156" i="1"/>
  <c r="E2155" i="1"/>
  <c r="B2155" i="1" s="1"/>
  <c r="D2155" i="1"/>
  <c r="C2155" i="1"/>
  <c r="E2154" i="1"/>
  <c r="B2154" i="1" s="1"/>
  <c r="D2154" i="1"/>
  <c r="C2154" i="1"/>
  <c r="E2153" i="1"/>
  <c r="B2153" i="1" s="1"/>
  <c r="D2153" i="1"/>
  <c r="C2153" i="1"/>
  <c r="E2152" i="1"/>
  <c r="B2152" i="1" s="1"/>
  <c r="D2152" i="1"/>
  <c r="C2152" i="1"/>
  <c r="E2151" i="1"/>
  <c r="B2151" i="1" s="1"/>
  <c r="D2151" i="1"/>
  <c r="C2151" i="1"/>
  <c r="E2150" i="1"/>
  <c r="B2150" i="1" s="1"/>
  <c r="D2150" i="1"/>
  <c r="C2150" i="1"/>
  <c r="E2149" i="1"/>
  <c r="B2149" i="1" s="1"/>
  <c r="D2149" i="1"/>
  <c r="C2149" i="1"/>
  <c r="E2148" i="1"/>
  <c r="B2148" i="1" s="1"/>
  <c r="D2148" i="1"/>
  <c r="C2148" i="1"/>
  <c r="E2147" i="1"/>
  <c r="B2147" i="1" s="1"/>
  <c r="D2147" i="1"/>
  <c r="C2147" i="1"/>
  <c r="E2146" i="1"/>
  <c r="B2146" i="1" s="1"/>
  <c r="D2146" i="1"/>
  <c r="C2146" i="1"/>
  <c r="E2145" i="1"/>
  <c r="B2145" i="1" s="1"/>
  <c r="D2145" i="1"/>
  <c r="C2145" i="1"/>
  <c r="E2144" i="1"/>
  <c r="B2144" i="1" s="1"/>
  <c r="D2144" i="1"/>
  <c r="C2144" i="1"/>
  <c r="E2143" i="1"/>
  <c r="B2143" i="1" s="1"/>
  <c r="D2143" i="1"/>
  <c r="C2143" i="1"/>
  <c r="E2142" i="1"/>
  <c r="B2142" i="1" s="1"/>
  <c r="D2142" i="1"/>
  <c r="C2142" i="1"/>
  <c r="E2141" i="1"/>
  <c r="B2141" i="1" s="1"/>
  <c r="D2141" i="1"/>
  <c r="C2141" i="1"/>
  <c r="E2140" i="1"/>
  <c r="B2140" i="1" s="1"/>
  <c r="D2140" i="1"/>
  <c r="C2140" i="1"/>
  <c r="E2139" i="1"/>
  <c r="B2139" i="1" s="1"/>
  <c r="D2139" i="1"/>
  <c r="C2139" i="1"/>
  <c r="E2138" i="1"/>
  <c r="B2138" i="1" s="1"/>
  <c r="D2138" i="1"/>
  <c r="C2138" i="1"/>
  <c r="E2137" i="1"/>
  <c r="D2137" i="1"/>
  <c r="C2137" i="1"/>
  <c r="E2136" i="1"/>
  <c r="B2136" i="1" s="1"/>
  <c r="D2136" i="1"/>
  <c r="C2136" i="1"/>
  <c r="E2135" i="1"/>
  <c r="B2135" i="1" s="1"/>
  <c r="D2135" i="1"/>
  <c r="C2135" i="1"/>
  <c r="E2134" i="1"/>
  <c r="B2134" i="1" s="1"/>
  <c r="D2134" i="1"/>
  <c r="C2134" i="1"/>
  <c r="E2133" i="1"/>
  <c r="D2133" i="1"/>
  <c r="C2133" i="1"/>
  <c r="E2132" i="1"/>
  <c r="B2132" i="1" s="1"/>
  <c r="D2132" i="1"/>
  <c r="C2132" i="1"/>
  <c r="E2131" i="1"/>
  <c r="B2131" i="1" s="1"/>
  <c r="D2131" i="1"/>
  <c r="C2131" i="1"/>
  <c r="E2130" i="1"/>
  <c r="B2130" i="1" s="1"/>
  <c r="D2130" i="1"/>
  <c r="C2130" i="1"/>
  <c r="E2129" i="1"/>
  <c r="D2129" i="1"/>
  <c r="C2129" i="1"/>
  <c r="E2128" i="1"/>
  <c r="B2128" i="1" s="1"/>
  <c r="D2128" i="1"/>
  <c r="C2128" i="1"/>
  <c r="E2127" i="1"/>
  <c r="B2127" i="1" s="1"/>
  <c r="D2127" i="1"/>
  <c r="C2127" i="1"/>
  <c r="E2126" i="1"/>
  <c r="B2126" i="1" s="1"/>
  <c r="D2126" i="1"/>
  <c r="C2126" i="1"/>
  <c r="E2125" i="1"/>
  <c r="D2125" i="1"/>
  <c r="C2125" i="1"/>
  <c r="E2124" i="1"/>
  <c r="B2124" i="1" s="1"/>
  <c r="D2124" i="1"/>
  <c r="C2124" i="1"/>
  <c r="E2123" i="1"/>
  <c r="B2123" i="1" s="1"/>
  <c r="D2123" i="1"/>
  <c r="C2123" i="1"/>
  <c r="E2122" i="1"/>
  <c r="D2122" i="1"/>
  <c r="C2122" i="1"/>
  <c r="E2121" i="1"/>
  <c r="D2121" i="1"/>
  <c r="C2121" i="1"/>
  <c r="E2120" i="1"/>
  <c r="D2120" i="1"/>
  <c r="C2120" i="1"/>
  <c r="E2119" i="1"/>
  <c r="B2119" i="1" s="1"/>
  <c r="D2119" i="1"/>
  <c r="C2119" i="1"/>
  <c r="E2118" i="1"/>
  <c r="B2118" i="1" s="1"/>
  <c r="D2118" i="1"/>
  <c r="C2118" i="1"/>
  <c r="E2117" i="1"/>
  <c r="D2117" i="1"/>
  <c r="C2117" i="1"/>
  <c r="E2116" i="1"/>
  <c r="D2116" i="1"/>
  <c r="C2116" i="1"/>
  <c r="E2115" i="1"/>
  <c r="B2115" i="1" s="1"/>
  <c r="D2115" i="1"/>
  <c r="C2115" i="1"/>
  <c r="E2114" i="1"/>
  <c r="D2114" i="1"/>
  <c r="C2114" i="1"/>
  <c r="E2113" i="1"/>
  <c r="D2113" i="1"/>
  <c r="C2113" i="1"/>
  <c r="E2112" i="1"/>
  <c r="D2112" i="1"/>
  <c r="C2112" i="1"/>
  <c r="E2111" i="1"/>
  <c r="B2111" i="1" s="1"/>
  <c r="D2111" i="1"/>
  <c r="C2111" i="1"/>
  <c r="E2110" i="1"/>
  <c r="B2110" i="1" s="1"/>
  <c r="D2110" i="1"/>
  <c r="C2110" i="1"/>
  <c r="E2109" i="1"/>
  <c r="B2109" i="1" s="1"/>
  <c r="D2109" i="1"/>
  <c r="C2109" i="1"/>
  <c r="E2108" i="1"/>
  <c r="D2108" i="1"/>
  <c r="C2108" i="1"/>
  <c r="E2107" i="1"/>
  <c r="B2107" i="1" s="1"/>
  <c r="D2107" i="1"/>
  <c r="C2107" i="1"/>
  <c r="E2106" i="1"/>
  <c r="D2106" i="1"/>
  <c r="C2106" i="1"/>
  <c r="E2105" i="1"/>
  <c r="D2105" i="1"/>
  <c r="C2105" i="1"/>
  <c r="E2104" i="1"/>
  <c r="D2104" i="1"/>
  <c r="C2104" i="1"/>
  <c r="E2103" i="1"/>
  <c r="B2103" i="1" s="1"/>
  <c r="D2103" i="1"/>
  <c r="C2103" i="1"/>
  <c r="E2102" i="1"/>
  <c r="B2102" i="1" s="1"/>
  <c r="D2102" i="1"/>
  <c r="C2102" i="1"/>
  <c r="E2101" i="1"/>
  <c r="B2101" i="1" s="1"/>
  <c r="D2101" i="1"/>
  <c r="C2101" i="1"/>
  <c r="E2100" i="1"/>
  <c r="D2100" i="1"/>
  <c r="C2100" i="1"/>
  <c r="E2099" i="1"/>
  <c r="B2099" i="1" s="1"/>
  <c r="D2099" i="1"/>
  <c r="C2099" i="1"/>
  <c r="E2098" i="1"/>
  <c r="D2098" i="1"/>
  <c r="C2098" i="1"/>
  <c r="E2097" i="1"/>
  <c r="D2097" i="1"/>
  <c r="C2097" i="1"/>
  <c r="E2096" i="1"/>
  <c r="D2096" i="1"/>
  <c r="C2096" i="1"/>
  <c r="E2095" i="1"/>
  <c r="B2095" i="1" s="1"/>
  <c r="D2095" i="1"/>
  <c r="C2095" i="1"/>
  <c r="E2094" i="1"/>
  <c r="B2094" i="1" s="1"/>
  <c r="D2094" i="1"/>
  <c r="C2094" i="1"/>
  <c r="E2093" i="1"/>
  <c r="B2093" i="1" s="1"/>
  <c r="D2093" i="1"/>
  <c r="C2093" i="1"/>
  <c r="E2092" i="1"/>
  <c r="D2092" i="1"/>
  <c r="C2092" i="1"/>
  <c r="E2091" i="1"/>
  <c r="B2091" i="1" s="1"/>
  <c r="D2091" i="1"/>
  <c r="C2091" i="1"/>
  <c r="E2090" i="1"/>
  <c r="D2090" i="1"/>
  <c r="C2090" i="1"/>
  <c r="E2089" i="1"/>
  <c r="D2089" i="1"/>
  <c r="C2089" i="1"/>
  <c r="E2088" i="1"/>
  <c r="D2088" i="1"/>
  <c r="C2088" i="1"/>
  <c r="E2087" i="1"/>
  <c r="B2087" i="1" s="1"/>
  <c r="D2087" i="1"/>
  <c r="C2087" i="1"/>
  <c r="E2086" i="1"/>
  <c r="B2086" i="1" s="1"/>
  <c r="D2086" i="1"/>
  <c r="C2086" i="1"/>
  <c r="E2085" i="1"/>
  <c r="B2085" i="1" s="1"/>
  <c r="D2085" i="1"/>
  <c r="C2085" i="1"/>
  <c r="E2084" i="1"/>
  <c r="D2084" i="1"/>
  <c r="C2084" i="1"/>
  <c r="E2083" i="1"/>
  <c r="B2083" i="1" s="1"/>
  <c r="D2083" i="1"/>
  <c r="C2083" i="1"/>
  <c r="E2082" i="1"/>
  <c r="D2082" i="1"/>
  <c r="C2082" i="1"/>
  <c r="E2081" i="1"/>
  <c r="D2081" i="1"/>
  <c r="C2081" i="1"/>
  <c r="E2080" i="1"/>
  <c r="D2080" i="1"/>
  <c r="C2080" i="1"/>
  <c r="E2079" i="1"/>
  <c r="B2079" i="1" s="1"/>
  <c r="D2079" i="1"/>
  <c r="C2079" i="1"/>
  <c r="E2078" i="1"/>
  <c r="B2078" i="1" s="1"/>
  <c r="D2078" i="1"/>
  <c r="C2078" i="1"/>
  <c r="E2077" i="1"/>
  <c r="B2077" i="1" s="1"/>
  <c r="D2077" i="1"/>
  <c r="C2077" i="1"/>
  <c r="E2076" i="1"/>
  <c r="D2076" i="1"/>
  <c r="C2076" i="1"/>
  <c r="E2075" i="1"/>
  <c r="B2075" i="1" s="1"/>
  <c r="D2075" i="1"/>
  <c r="C2075" i="1"/>
  <c r="E2074" i="1"/>
  <c r="D2074" i="1"/>
  <c r="C2074" i="1"/>
  <c r="E2073" i="1"/>
  <c r="D2073" i="1"/>
  <c r="C2073" i="1"/>
  <c r="E2072" i="1"/>
  <c r="D2072" i="1"/>
  <c r="C2072" i="1"/>
  <c r="E2071" i="1"/>
  <c r="B2071" i="1" s="1"/>
  <c r="D2071" i="1"/>
  <c r="C2071" i="1"/>
  <c r="E2070" i="1"/>
  <c r="B2070" i="1" s="1"/>
  <c r="D2070" i="1"/>
  <c r="C2070" i="1"/>
  <c r="E2069" i="1"/>
  <c r="B2069" i="1" s="1"/>
  <c r="D2069" i="1"/>
  <c r="C2069" i="1"/>
  <c r="E2068" i="1"/>
  <c r="D2068" i="1"/>
  <c r="C2068" i="1"/>
  <c r="E2067" i="1"/>
  <c r="B2067" i="1" s="1"/>
  <c r="D2067" i="1"/>
  <c r="C2067" i="1"/>
  <c r="E2066" i="1"/>
  <c r="D2066" i="1"/>
  <c r="C2066" i="1"/>
  <c r="E2065" i="1"/>
  <c r="D2065" i="1"/>
  <c r="C2065" i="1"/>
  <c r="E2064" i="1"/>
  <c r="D2064" i="1"/>
  <c r="C2064" i="1"/>
  <c r="E2063" i="1"/>
  <c r="B2063" i="1" s="1"/>
  <c r="D2063" i="1"/>
  <c r="C2063" i="1"/>
  <c r="E2062" i="1"/>
  <c r="B2062" i="1" s="1"/>
  <c r="D2062" i="1"/>
  <c r="C2062" i="1"/>
  <c r="E2061" i="1"/>
  <c r="B2061" i="1" s="1"/>
  <c r="D2061" i="1"/>
  <c r="C2061" i="1"/>
  <c r="E2060" i="1"/>
  <c r="D2060" i="1"/>
  <c r="C2060" i="1"/>
  <c r="E2059" i="1"/>
  <c r="B2059" i="1" s="1"/>
  <c r="D2059" i="1"/>
  <c r="C2059" i="1"/>
  <c r="E2058" i="1"/>
  <c r="D2058" i="1"/>
  <c r="C2058" i="1"/>
  <c r="E2057" i="1"/>
  <c r="D2057" i="1"/>
  <c r="C2057" i="1"/>
  <c r="E2056" i="1"/>
  <c r="D2056" i="1"/>
  <c r="C2056" i="1"/>
  <c r="E2055" i="1"/>
  <c r="B2055" i="1" s="1"/>
  <c r="D2055" i="1"/>
  <c r="C2055" i="1"/>
  <c r="E2054" i="1"/>
  <c r="B2054" i="1" s="1"/>
  <c r="D2054" i="1"/>
  <c r="C2054" i="1"/>
  <c r="E2053" i="1"/>
  <c r="B2053" i="1" s="1"/>
  <c r="D2053" i="1"/>
  <c r="C2053" i="1"/>
  <c r="E2052" i="1"/>
  <c r="D2052" i="1"/>
  <c r="C2052" i="1"/>
  <c r="E2051" i="1"/>
  <c r="B2051" i="1" s="1"/>
  <c r="D2051" i="1"/>
  <c r="C2051" i="1"/>
  <c r="E2050" i="1"/>
  <c r="D2050" i="1"/>
  <c r="C2050" i="1"/>
  <c r="E2049" i="1"/>
  <c r="D2049" i="1"/>
  <c r="C2049" i="1"/>
  <c r="E2048" i="1"/>
  <c r="D2048" i="1"/>
  <c r="C2048" i="1"/>
  <c r="E2047" i="1"/>
  <c r="B2047" i="1" s="1"/>
  <c r="D2047" i="1"/>
  <c r="C2047" i="1"/>
  <c r="E2046" i="1"/>
  <c r="B2046" i="1" s="1"/>
  <c r="D2046" i="1"/>
  <c r="C2046" i="1"/>
  <c r="E2045" i="1"/>
  <c r="B2045" i="1" s="1"/>
  <c r="D2045" i="1"/>
  <c r="C2045" i="1"/>
  <c r="E2044" i="1"/>
  <c r="D2044" i="1"/>
  <c r="C2044" i="1"/>
  <c r="E2043" i="1"/>
  <c r="B2043" i="1" s="1"/>
  <c r="D2043" i="1"/>
  <c r="C2043" i="1"/>
  <c r="E2042" i="1"/>
  <c r="D2042" i="1"/>
  <c r="C2042" i="1"/>
  <c r="E2041" i="1"/>
  <c r="D2041" i="1"/>
  <c r="C2041" i="1"/>
  <c r="E2040" i="1"/>
  <c r="D2040" i="1"/>
  <c r="C2040" i="1"/>
  <c r="E2039" i="1"/>
  <c r="B2039" i="1" s="1"/>
  <c r="D2039" i="1"/>
  <c r="C2039" i="1"/>
  <c r="E2038" i="1"/>
  <c r="B2038" i="1" s="1"/>
  <c r="D2038" i="1"/>
  <c r="C2038" i="1"/>
  <c r="E2037" i="1"/>
  <c r="B2037" i="1" s="1"/>
  <c r="D2037" i="1"/>
  <c r="C2037" i="1"/>
  <c r="E2036" i="1"/>
  <c r="D2036" i="1"/>
  <c r="C2036" i="1"/>
  <c r="E2035" i="1"/>
  <c r="B2035" i="1" s="1"/>
  <c r="D2035" i="1"/>
  <c r="C2035" i="1"/>
  <c r="E2034" i="1"/>
  <c r="D2034" i="1"/>
  <c r="C2034" i="1"/>
  <c r="E2033" i="1"/>
  <c r="D2033" i="1"/>
  <c r="C2033" i="1"/>
  <c r="E2032" i="1"/>
  <c r="D2032" i="1"/>
  <c r="C2032" i="1"/>
  <c r="E2031" i="1"/>
  <c r="B2031" i="1" s="1"/>
  <c r="D2031" i="1"/>
  <c r="C2031" i="1"/>
  <c r="E2030" i="1"/>
  <c r="B2030" i="1" s="1"/>
  <c r="D2030" i="1"/>
  <c r="C2030" i="1"/>
  <c r="E2029" i="1"/>
  <c r="B2029" i="1" s="1"/>
  <c r="D2029" i="1"/>
  <c r="C2029" i="1"/>
  <c r="E2028" i="1"/>
  <c r="D2028" i="1"/>
  <c r="C2028" i="1"/>
  <c r="E2027" i="1"/>
  <c r="B2027" i="1" s="1"/>
  <c r="D2027" i="1"/>
  <c r="C2027" i="1"/>
  <c r="E2026" i="1"/>
  <c r="D2026" i="1"/>
  <c r="C2026" i="1"/>
  <c r="E2025" i="1"/>
  <c r="D2025" i="1"/>
  <c r="C2025" i="1"/>
  <c r="E2024" i="1"/>
  <c r="D2024" i="1"/>
  <c r="C2024" i="1"/>
  <c r="E2023" i="1"/>
  <c r="B2023" i="1" s="1"/>
  <c r="D2023" i="1"/>
  <c r="C2023" i="1"/>
  <c r="E2022" i="1"/>
  <c r="B2022" i="1" s="1"/>
  <c r="D2022" i="1"/>
  <c r="C2022" i="1"/>
  <c r="E2021" i="1"/>
  <c r="B2021" i="1" s="1"/>
  <c r="D2021" i="1"/>
  <c r="C2021" i="1"/>
  <c r="E2020" i="1"/>
  <c r="D2020" i="1"/>
  <c r="C2020" i="1"/>
  <c r="E2019" i="1"/>
  <c r="B2019" i="1" s="1"/>
  <c r="D2019" i="1"/>
  <c r="C2019" i="1"/>
  <c r="E2018" i="1"/>
  <c r="D2018" i="1"/>
  <c r="C2018" i="1"/>
  <c r="E2017" i="1"/>
  <c r="D2017" i="1"/>
  <c r="C2017" i="1"/>
  <c r="E2016" i="1"/>
  <c r="D2016" i="1"/>
  <c r="C2016" i="1"/>
  <c r="E2015" i="1"/>
  <c r="B2015" i="1" s="1"/>
  <c r="D2015" i="1"/>
  <c r="C2015" i="1"/>
  <c r="E2014" i="1"/>
  <c r="B2014" i="1" s="1"/>
  <c r="D2014" i="1"/>
  <c r="C2014" i="1"/>
  <c r="E2013" i="1"/>
  <c r="B2013" i="1" s="1"/>
  <c r="D2013" i="1"/>
  <c r="C2013" i="1"/>
  <c r="E2012" i="1"/>
  <c r="D2012" i="1"/>
  <c r="C2012" i="1"/>
  <c r="E2011" i="1"/>
  <c r="B2011" i="1" s="1"/>
  <c r="D2011" i="1"/>
  <c r="C2011" i="1"/>
  <c r="E2010" i="1"/>
  <c r="D2010" i="1"/>
  <c r="C2010" i="1"/>
  <c r="E2009" i="1"/>
  <c r="D2009" i="1"/>
  <c r="C2009" i="1"/>
  <c r="E2008" i="1"/>
  <c r="D2008" i="1"/>
  <c r="C2008" i="1"/>
  <c r="E2007" i="1"/>
  <c r="B2007" i="1" s="1"/>
  <c r="D2007" i="1"/>
  <c r="C2007" i="1"/>
  <c r="E2006" i="1"/>
  <c r="B2006" i="1" s="1"/>
  <c r="D2006" i="1"/>
  <c r="C2006" i="1"/>
  <c r="E2005" i="1"/>
  <c r="B2005" i="1" s="1"/>
  <c r="D2005" i="1"/>
  <c r="C2005" i="1"/>
  <c r="E2004" i="1"/>
  <c r="D2004" i="1"/>
  <c r="C2004" i="1"/>
  <c r="E2003" i="1"/>
  <c r="B2003" i="1" s="1"/>
  <c r="D2003" i="1"/>
  <c r="C2003" i="1"/>
  <c r="E2002" i="1"/>
  <c r="D2002" i="1"/>
  <c r="C2002" i="1"/>
  <c r="E2001" i="1"/>
  <c r="D2001" i="1"/>
  <c r="C2001" i="1"/>
  <c r="E2000" i="1"/>
  <c r="D2000" i="1"/>
  <c r="C2000" i="1"/>
  <c r="E1999" i="1"/>
  <c r="B1999" i="1" s="1"/>
  <c r="D1999" i="1"/>
  <c r="C1999" i="1"/>
  <c r="E1998" i="1"/>
  <c r="B1998" i="1" s="1"/>
  <c r="D1998" i="1"/>
  <c r="C1998" i="1"/>
  <c r="E1997" i="1"/>
  <c r="B1997" i="1" s="1"/>
  <c r="D1997" i="1"/>
  <c r="C1997" i="1"/>
  <c r="E1996" i="1"/>
  <c r="D1996" i="1"/>
  <c r="C1996" i="1"/>
  <c r="E1995" i="1"/>
  <c r="B1995" i="1" s="1"/>
  <c r="D1995" i="1"/>
  <c r="C1995" i="1"/>
  <c r="E1994" i="1"/>
  <c r="D1994" i="1"/>
  <c r="C1994" i="1"/>
  <c r="E1993" i="1"/>
  <c r="D1993" i="1"/>
  <c r="C1993" i="1"/>
  <c r="E1992" i="1"/>
  <c r="D1992" i="1"/>
  <c r="C1992" i="1"/>
  <c r="E1991" i="1"/>
  <c r="B1991" i="1" s="1"/>
  <c r="D1991" i="1"/>
  <c r="C1991" i="1"/>
  <c r="E1990" i="1"/>
  <c r="B1990" i="1" s="1"/>
  <c r="D1990" i="1"/>
  <c r="C1990" i="1"/>
  <c r="E1989" i="1"/>
  <c r="B1989" i="1" s="1"/>
  <c r="D1989" i="1"/>
  <c r="C1989" i="1"/>
  <c r="E1988" i="1"/>
  <c r="D1988" i="1"/>
  <c r="C1988" i="1"/>
  <c r="E1987" i="1"/>
  <c r="B1987" i="1" s="1"/>
  <c r="D1987" i="1"/>
  <c r="C1987" i="1"/>
  <c r="E1986" i="1"/>
  <c r="D1986" i="1"/>
  <c r="C1986" i="1"/>
  <c r="E1985" i="1"/>
  <c r="D1985" i="1"/>
  <c r="C1985" i="1"/>
  <c r="E1984" i="1"/>
  <c r="D1984" i="1"/>
  <c r="C1984" i="1"/>
  <c r="E1983" i="1"/>
  <c r="B1983" i="1" s="1"/>
  <c r="D1983" i="1"/>
  <c r="C1983" i="1"/>
  <c r="E1982" i="1"/>
  <c r="B1982" i="1" s="1"/>
  <c r="D1982" i="1"/>
  <c r="C1982" i="1"/>
  <c r="E1981" i="1"/>
  <c r="B1981" i="1" s="1"/>
  <c r="D1981" i="1"/>
  <c r="C1981" i="1"/>
  <c r="E1980" i="1"/>
  <c r="D1980" i="1"/>
  <c r="C1980" i="1"/>
  <c r="E1979" i="1"/>
  <c r="B1979" i="1" s="1"/>
  <c r="D1979" i="1"/>
  <c r="C1979" i="1"/>
  <c r="E1978" i="1"/>
  <c r="D1978" i="1"/>
  <c r="C1978" i="1"/>
  <c r="E1977" i="1"/>
  <c r="D1977" i="1"/>
  <c r="C1977" i="1"/>
  <c r="E1976" i="1"/>
  <c r="D1976" i="1"/>
  <c r="C1976" i="1"/>
  <c r="E1975" i="1"/>
  <c r="B1975" i="1" s="1"/>
  <c r="D1975" i="1"/>
  <c r="C1975" i="1"/>
  <c r="E1974" i="1"/>
  <c r="B1974" i="1" s="1"/>
  <c r="D1974" i="1"/>
  <c r="C1974" i="1"/>
  <c r="E1973" i="1"/>
  <c r="B1973" i="1" s="1"/>
  <c r="D1973" i="1"/>
  <c r="C1973" i="1"/>
  <c r="E1972" i="1"/>
  <c r="D1972" i="1"/>
  <c r="C1972" i="1"/>
  <c r="E1971" i="1"/>
  <c r="B1971" i="1" s="1"/>
  <c r="D1971" i="1"/>
  <c r="C1971" i="1"/>
  <c r="E1970" i="1"/>
  <c r="D1970" i="1"/>
  <c r="C1970" i="1"/>
  <c r="E1969" i="1"/>
  <c r="D1969" i="1"/>
  <c r="C1969" i="1"/>
  <c r="E1968" i="1"/>
  <c r="D1968" i="1"/>
  <c r="C1968" i="1"/>
  <c r="E1967" i="1"/>
  <c r="B1967" i="1" s="1"/>
  <c r="D1967" i="1"/>
  <c r="C1967" i="1"/>
  <c r="E1966" i="1"/>
  <c r="B1966" i="1" s="1"/>
  <c r="D1966" i="1"/>
  <c r="C1966" i="1"/>
  <c r="E1965" i="1"/>
  <c r="B1965" i="1" s="1"/>
  <c r="D1965" i="1"/>
  <c r="C1965" i="1"/>
  <c r="E1964" i="1"/>
  <c r="D1964" i="1"/>
  <c r="C1964" i="1"/>
  <c r="E1963" i="1"/>
  <c r="B1963" i="1" s="1"/>
  <c r="D1963" i="1"/>
  <c r="C1963" i="1"/>
  <c r="E1962" i="1"/>
  <c r="D1962" i="1"/>
  <c r="C1962" i="1"/>
  <c r="E1961" i="1"/>
  <c r="D1961" i="1"/>
  <c r="C1961" i="1"/>
  <c r="E1960" i="1"/>
  <c r="D1960" i="1"/>
  <c r="C1960" i="1"/>
  <c r="E1959" i="1"/>
  <c r="B1959" i="1" s="1"/>
  <c r="D1959" i="1"/>
  <c r="C1959" i="1"/>
  <c r="E1958" i="1"/>
  <c r="B1958" i="1" s="1"/>
  <c r="D1958" i="1"/>
  <c r="C1958" i="1"/>
  <c r="E1957" i="1"/>
  <c r="B1957" i="1" s="1"/>
  <c r="D1957" i="1"/>
  <c r="C1957" i="1"/>
  <c r="E1956" i="1"/>
  <c r="D1956" i="1"/>
  <c r="C1956" i="1"/>
  <c r="E1955" i="1"/>
  <c r="B1955" i="1" s="1"/>
  <c r="D1955" i="1"/>
  <c r="C1955" i="1"/>
  <c r="E1954" i="1"/>
  <c r="D1954" i="1"/>
  <c r="C1954" i="1"/>
  <c r="E1953" i="1"/>
  <c r="D1953" i="1"/>
  <c r="C1953" i="1"/>
  <c r="E1952" i="1"/>
  <c r="D1952" i="1"/>
  <c r="C1952" i="1"/>
  <c r="E1951" i="1"/>
  <c r="B1951" i="1" s="1"/>
  <c r="D1951" i="1"/>
  <c r="C1951" i="1"/>
  <c r="E1950" i="1"/>
  <c r="B1950" i="1" s="1"/>
  <c r="D1950" i="1"/>
  <c r="C1950" i="1"/>
  <c r="E1949" i="1"/>
  <c r="B1949" i="1" s="1"/>
  <c r="D1949" i="1"/>
  <c r="C1949" i="1"/>
  <c r="E1948" i="1"/>
  <c r="D1948" i="1"/>
  <c r="C1948" i="1"/>
  <c r="E1947" i="1"/>
  <c r="B1947" i="1" s="1"/>
  <c r="D1947" i="1"/>
  <c r="C1947" i="1"/>
  <c r="E1946" i="1"/>
  <c r="D1946" i="1"/>
  <c r="C1946" i="1"/>
  <c r="E1945" i="1"/>
  <c r="D1945" i="1"/>
  <c r="C1945" i="1"/>
  <c r="E1944" i="1"/>
  <c r="D1944" i="1"/>
  <c r="C1944" i="1"/>
  <c r="E1943" i="1"/>
  <c r="B1943" i="1" s="1"/>
  <c r="D1943" i="1"/>
  <c r="C1943" i="1"/>
  <c r="E1942" i="1"/>
  <c r="B1942" i="1" s="1"/>
  <c r="D1942" i="1"/>
  <c r="C1942" i="1"/>
  <c r="E1941" i="1"/>
  <c r="B1941" i="1" s="1"/>
  <c r="D1941" i="1"/>
  <c r="C1941" i="1"/>
  <c r="E1940" i="1"/>
  <c r="D1940" i="1"/>
  <c r="C1940" i="1"/>
  <c r="E1939" i="1"/>
  <c r="B1939" i="1" s="1"/>
  <c r="D1939" i="1"/>
  <c r="C1939" i="1"/>
  <c r="E1938" i="1"/>
  <c r="D1938" i="1"/>
  <c r="C1938" i="1"/>
  <c r="E1937" i="1"/>
  <c r="D1937" i="1"/>
  <c r="C1937" i="1"/>
  <c r="E1936" i="1"/>
  <c r="D1936" i="1"/>
  <c r="C1936" i="1"/>
  <c r="E1935" i="1"/>
  <c r="B1935" i="1" s="1"/>
  <c r="D1935" i="1"/>
  <c r="C1935" i="1"/>
  <c r="E1934" i="1"/>
  <c r="B1934" i="1" s="1"/>
  <c r="D1934" i="1"/>
  <c r="C1934" i="1"/>
  <c r="E1933" i="1"/>
  <c r="B1933" i="1" s="1"/>
  <c r="D1933" i="1"/>
  <c r="C1933" i="1"/>
  <c r="E1932" i="1"/>
  <c r="D1932" i="1"/>
  <c r="C1932" i="1"/>
  <c r="E1931" i="1"/>
  <c r="B1931" i="1" s="1"/>
  <c r="D1931" i="1"/>
  <c r="C1931" i="1"/>
  <c r="E1930" i="1"/>
  <c r="D1930" i="1"/>
  <c r="C1930" i="1"/>
  <c r="E1929" i="1"/>
  <c r="D1929" i="1"/>
  <c r="C1929" i="1"/>
  <c r="E1928" i="1"/>
  <c r="D1928" i="1"/>
  <c r="C1928" i="1"/>
  <c r="E1927" i="1"/>
  <c r="B1927" i="1" s="1"/>
  <c r="D1927" i="1"/>
  <c r="C1927" i="1"/>
  <c r="E1926" i="1"/>
  <c r="B1926" i="1" s="1"/>
  <c r="D1926" i="1"/>
  <c r="C1926" i="1"/>
  <c r="E1925" i="1"/>
  <c r="B1925" i="1" s="1"/>
  <c r="D1925" i="1"/>
  <c r="C1925" i="1"/>
  <c r="E1924" i="1"/>
  <c r="D1924" i="1"/>
  <c r="C1924" i="1"/>
  <c r="E1923" i="1"/>
  <c r="B1923" i="1" s="1"/>
  <c r="D1923" i="1"/>
  <c r="C1923" i="1"/>
  <c r="E1922" i="1"/>
  <c r="D1922" i="1"/>
  <c r="C1922" i="1"/>
  <c r="E1921" i="1"/>
  <c r="D1921" i="1"/>
  <c r="C1921" i="1"/>
  <c r="E1920" i="1"/>
  <c r="D1920" i="1"/>
  <c r="C1920" i="1"/>
  <c r="E1919" i="1"/>
  <c r="B1919" i="1" s="1"/>
  <c r="D1919" i="1"/>
  <c r="C1919" i="1"/>
  <c r="E1918" i="1"/>
  <c r="B1918" i="1" s="1"/>
  <c r="D1918" i="1"/>
  <c r="C1918" i="1"/>
  <c r="E1917" i="1"/>
  <c r="B1917" i="1" s="1"/>
  <c r="D1917" i="1"/>
  <c r="C1917" i="1"/>
  <c r="E1916" i="1"/>
  <c r="D1916" i="1"/>
  <c r="C1916" i="1"/>
  <c r="E1915" i="1"/>
  <c r="B1915" i="1" s="1"/>
  <c r="D1915" i="1"/>
  <c r="C1915" i="1"/>
  <c r="E1914" i="1"/>
  <c r="D1914" i="1"/>
  <c r="C1914" i="1"/>
  <c r="E1913" i="1"/>
  <c r="D1913" i="1"/>
  <c r="C1913" i="1"/>
  <c r="E1912" i="1"/>
  <c r="D1912" i="1"/>
  <c r="C1912" i="1"/>
  <c r="E1911" i="1"/>
  <c r="B1911" i="1" s="1"/>
  <c r="D1911" i="1"/>
  <c r="C1911" i="1"/>
  <c r="E1910" i="1"/>
  <c r="B1910" i="1" s="1"/>
  <c r="D1910" i="1"/>
  <c r="C1910" i="1"/>
  <c r="E1909" i="1"/>
  <c r="B1909" i="1" s="1"/>
  <c r="D1909" i="1"/>
  <c r="C1909" i="1"/>
  <c r="E1908" i="1"/>
  <c r="D1908" i="1"/>
  <c r="C1908" i="1"/>
  <c r="E1907" i="1"/>
  <c r="B1907" i="1" s="1"/>
  <c r="D1907" i="1"/>
  <c r="C1907" i="1"/>
  <c r="E1906" i="1"/>
  <c r="D1906" i="1"/>
  <c r="C1906" i="1"/>
  <c r="E1905" i="1"/>
  <c r="D1905" i="1"/>
  <c r="C1905" i="1"/>
  <c r="E1904" i="1"/>
  <c r="D1904" i="1"/>
  <c r="C1904" i="1"/>
  <c r="E1903" i="1"/>
  <c r="B1903" i="1" s="1"/>
  <c r="D1903" i="1"/>
  <c r="C1903" i="1"/>
  <c r="E1902" i="1"/>
  <c r="B1902" i="1" s="1"/>
  <c r="D1902" i="1"/>
  <c r="C1902" i="1"/>
  <c r="E1901" i="1"/>
  <c r="B1901" i="1" s="1"/>
  <c r="D1901" i="1"/>
  <c r="C1901" i="1"/>
  <c r="E1900" i="1"/>
  <c r="D1900" i="1"/>
  <c r="C1900" i="1"/>
  <c r="E1899" i="1"/>
  <c r="B1899" i="1" s="1"/>
  <c r="D1899" i="1"/>
  <c r="C1899" i="1"/>
  <c r="E1898" i="1"/>
  <c r="D1898" i="1"/>
  <c r="C1898" i="1"/>
  <c r="E1897" i="1"/>
  <c r="D1897" i="1"/>
  <c r="C1897" i="1"/>
  <c r="E1896" i="1"/>
  <c r="D1896" i="1"/>
  <c r="C1896" i="1"/>
  <c r="E1895" i="1"/>
  <c r="B1895" i="1" s="1"/>
  <c r="D1895" i="1"/>
  <c r="C1895" i="1"/>
  <c r="E1894" i="1"/>
  <c r="B1894" i="1" s="1"/>
  <c r="D1894" i="1"/>
  <c r="C1894" i="1"/>
  <c r="E1893" i="1"/>
  <c r="B1893" i="1" s="1"/>
  <c r="D1893" i="1"/>
  <c r="C1893" i="1"/>
  <c r="E1892" i="1"/>
  <c r="D1892" i="1"/>
  <c r="C1892" i="1"/>
  <c r="E1891" i="1"/>
  <c r="B1891" i="1" s="1"/>
  <c r="D1891" i="1"/>
  <c r="C1891" i="1"/>
  <c r="E1890" i="1"/>
  <c r="D1890" i="1"/>
  <c r="C1890" i="1"/>
  <c r="E1889" i="1"/>
  <c r="D1889" i="1"/>
  <c r="C1889" i="1"/>
  <c r="E1888" i="1"/>
  <c r="D1888" i="1"/>
  <c r="C1888" i="1"/>
  <c r="E1887" i="1"/>
  <c r="B1887" i="1" s="1"/>
  <c r="D1887" i="1"/>
  <c r="C1887" i="1"/>
  <c r="E1886" i="1"/>
  <c r="B1886" i="1" s="1"/>
  <c r="D1886" i="1"/>
  <c r="C1886" i="1"/>
  <c r="E1885" i="1"/>
  <c r="B1885" i="1" s="1"/>
  <c r="D1885" i="1"/>
  <c r="C1885" i="1"/>
  <c r="E1884" i="1"/>
  <c r="D1884" i="1"/>
  <c r="C1884" i="1"/>
  <c r="E1883" i="1"/>
  <c r="B1883" i="1" s="1"/>
  <c r="D1883" i="1"/>
  <c r="C1883" i="1"/>
  <c r="E1882" i="1"/>
  <c r="D1882" i="1"/>
  <c r="C1882" i="1"/>
  <c r="E1881" i="1"/>
  <c r="D1881" i="1"/>
  <c r="C1881" i="1"/>
  <c r="E1880" i="1"/>
  <c r="D1880" i="1"/>
  <c r="C1880" i="1"/>
  <c r="E1879" i="1"/>
  <c r="B1879" i="1" s="1"/>
  <c r="D1879" i="1"/>
  <c r="C1879" i="1"/>
  <c r="E1878" i="1"/>
  <c r="B1878" i="1" s="1"/>
  <c r="D1878" i="1"/>
  <c r="C1878" i="1"/>
  <c r="E1877" i="1"/>
  <c r="B1877" i="1" s="1"/>
  <c r="D1877" i="1"/>
  <c r="C1877" i="1"/>
  <c r="E1876" i="1"/>
  <c r="D1876" i="1"/>
  <c r="C1876" i="1"/>
  <c r="E1875" i="1"/>
  <c r="B1875" i="1" s="1"/>
  <c r="D1875" i="1"/>
  <c r="C1875" i="1"/>
  <c r="E1874" i="1"/>
  <c r="D1874" i="1"/>
  <c r="C1874" i="1"/>
  <c r="E1873" i="1"/>
  <c r="D1873" i="1"/>
  <c r="C1873" i="1"/>
  <c r="E1872" i="1"/>
  <c r="D1872" i="1"/>
  <c r="C1872" i="1"/>
  <c r="E1871" i="1"/>
  <c r="B1871" i="1" s="1"/>
  <c r="D1871" i="1"/>
  <c r="C1871" i="1"/>
  <c r="E1870" i="1"/>
  <c r="B1870" i="1" s="1"/>
  <c r="D1870" i="1"/>
  <c r="C1870" i="1"/>
  <c r="E1869" i="1"/>
  <c r="B1869" i="1" s="1"/>
  <c r="D1869" i="1"/>
  <c r="C1869" i="1"/>
  <c r="E1868" i="1"/>
  <c r="D1868" i="1"/>
  <c r="C1868" i="1"/>
  <c r="E1867" i="1"/>
  <c r="B1867" i="1" s="1"/>
  <c r="D1867" i="1"/>
  <c r="C1867" i="1"/>
  <c r="E1866" i="1"/>
  <c r="D1866" i="1"/>
  <c r="C1866" i="1"/>
  <c r="E1865" i="1"/>
  <c r="D1865" i="1"/>
  <c r="C1865" i="1"/>
  <c r="E1864" i="1"/>
  <c r="D1864" i="1"/>
  <c r="C1864" i="1"/>
  <c r="E1863" i="1"/>
  <c r="B1863" i="1" s="1"/>
  <c r="D1863" i="1"/>
  <c r="C1863" i="1"/>
  <c r="E1862" i="1"/>
  <c r="B1862" i="1" s="1"/>
  <c r="D1862" i="1"/>
  <c r="C1862" i="1"/>
  <c r="E1861" i="1"/>
  <c r="B1861" i="1" s="1"/>
  <c r="D1861" i="1"/>
  <c r="C1861" i="1"/>
  <c r="E1860" i="1"/>
  <c r="D1860" i="1"/>
  <c r="C1860" i="1"/>
  <c r="E1859" i="1"/>
  <c r="B1859" i="1" s="1"/>
  <c r="D1859" i="1"/>
  <c r="C1859" i="1"/>
  <c r="E1858" i="1"/>
  <c r="D1858" i="1"/>
  <c r="C1858" i="1"/>
  <c r="E1857" i="1"/>
  <c r="D1857" i="1"/>
  <c r="C1857" i="1"/>
  <c r="E1856" i="1"/>
  <c r="D1856" i="1"/>
  <c r="C1856" i="1"/>
  <c r="E1855" i="1"/>
  <c r="B1855" i="1" s="1"/>
  <c r="D1855" i="1"/>
  <c r="C1855" i="1"/>
  <c r="E1854" i="1"/>
  <c r="B1854" i="1" s="1"/>
  <c r="D1854" i="1"/>
  <c r="C1854" i="1"/>
  <c r="E1853" i="1"/>
  <c r="B1853" i="1" s="1"/>
  <c r="D1853" i="1"/>
  <c r="C1853" i="1"/>
  <c r="E1852" i="1"/>
  <c r="D1852" i="1"/>
  <c r="C1852" i="1"/>
  <c r="E1851" i="1"/>
  <c r="B1851" i="1" s="1"/>
  <c r="D1851" i="1"/>
  <c r="C1851" i="1"/>
  <c r="E1850" i="1"/>
  <c r="D1850" i="1"/>
  <c r="C1850" i="1"/>
  <c r="E1849" i="1"/>
  <c r="D1849" i="1"/>
  <c r="C1849" i="1"/>
  <c r="E1848" i="1"/>
  <c r="D1848" i="1"/>
  <c r="C1848" i="1"/>
  <c r="E1847" i="1"/>
  <c r="B1847" i="1" s="1"/>
  <c r="D1847" i="1"/>
  <c r="C1847" i="1"/>
  <c r="E1846" i="1"/>
  <c r="B1846" i="1" s="1"/>
  <c r="D1846" i="1"/>
  <c r="C1846" i="1"/>
  <c r="E1845" i="1"/>
  <c r="B1845" i="1" s="1"/>
  <c r="D1845" i="1"/>
  <c r="C1845" i="1"/>
  <c r="E1844" i="1"/>
  <c r="D1844" i="1"/>
  <c r="C1844" i="1"/>
  <c r="E1843" i="1"/>
  <c r="B1843" i="1" s="1"/>
  <c r="D1843" i="1"/>
  <c r="C1843" i="1"/>
  <c r="E1842" i="1"/>
  <c r="D1842" i="1"/>
  <c r="C1842" i="1"/>
  <c r="E1841" i="1"/>
  <c r="D1841" i="1"/>
  <c r="C1841" i="1"/>
  <c r="E1840" i="1"/>
  <c r="D1840" i="1"/>
  <c r="C1840" i="1"/>
  <c r="E1839" i="1"/>
  <c r="B1839" i="1" s="1"/>
  <c r="D1839" i="1"/>
  <c r="C1839" i="1"/>
  <c r="E1838" i="1"/>
  <c r="B1838" i="1" s="1"/>
  <c r="D1838" i="1"/>
  <c r="C1838" i="1"/>
  <c r="E1837" i="1"/>
  <c r="B1837" i="1" s="1"/>
  <c r="D1837" i="1"/>
  <c r="C1837" i="1"/>
  <c r="E1836" i="1"/>
  <c r="D1836" i="1"/>
  <c r="C1836" i="1"/>
  <c r="E1835" i="1"/>
  <c r="B1835" i="1" s="1"/>
  <c r="D1835" i="1"/>
  <c r="C1835" i="1"/>
  <c r="E1834" i="1"/>
  <c r="D1834" i="1"/>
  <c r="C1834" i="1"/>
  <c r="E1833" i="1"/>
  <c r="D1833" i="1"/>
  <c r="C1833" i="1"/>
  <c r="E1832" i="1"/>
  <c r="D1832" i="1"/>
  <c r="C1832" i="1"/>
  <c r="E1831" i="1"/>
  <c r="B1831" i="1" s="1"/>
  <c r="D1831" i="1"/>
  <c r="C1831" i="1"/>
  <c r="E1830" i="1"/>
  <c r="B1830" i="1" s="1"/>
  <c r="D1830" i="1"/>
  <c r="C1830" i="1"/>
  <c r="E1829" i="1"/>
  <c r="B1829" i="1" s="1"/>
  <c r="D1829" i="1"/>
  <c r="C1829" i="1"/>
  <c r="E1828" i="1"/>
  <c r="D1828" i="1"/>
  <c r="C1828" i="1"/>
  <c r="E1827" i="1"/>
  <c r="B1827" i="1" s="1"/>
  <c r="D1827" i="1"/>
  <c r="C1827" i="1"/>
  <c r="E1826" i="1"/>
  <c r="D1826" i="1"/>
  <c r="C1826" i="1"/>
  <c r="E1825" i="1"/>
  <c r="D1825" i="1"/>
  <c r="C1825" i="1"/>
  <c r="E1824" i="1"/>
  <c r="D1824" i="1"/>
  <c r="C1824" i="1"/>
  <c r="E1823" i="1"/>
  <c r="B1823" i="1" s="1"/>
  <c r="D1823" i="1"/>
  <c r="C1823" i="1"/>
  <c r="E1822" i="1"/>
  <c r="B1822" i="1" s="1"/>
  <c r="D1822" i="1"/>
  <c r="C1822" i="1"/>
  <c r="E1821" i="1"/>
  <c r="B1821" i="1" s="1"/>
  <c r="D1821" i="1"/>
  <c r="C1821" i="1"/>
  <c r="E1820" i="1"/>
  <c r="D1820" i="1"/>
  <c r="C1820" i="1"/>
  <c r="E1819" i="1"/>
  <c r="B1819" i="1" s="1"/>
  <c r="D1819" i="1"/>
  <c r="C1819" i="1"/>
  <c r="E1818" i="1"/>
  <c r="D1818" i="1"/>
  <c r="C1818" i="1"/>
  <c r="E1817" i="1"/>
  <c r="D1817" i="1"/>
  <c r="C1817" i="1"/>
  <c r="E1816" i="1"/>
  <c r="D1816" i="1"/>
  <c r="C1816" i="1"/>
  <c r="E1815" i="1"/>
  <c r="B1815" i="1" s="1"/>
  <c r="D1815" i="1"/>
  <c r="C1815" i="1"/>
  <c r="E1814" i="1"/>
  <c r="B1814" i="1" s="1"/>
  <c r="D1814" i="1"/>
  <c r="C1814" i="1"/>
  <c r="E1813" i="1"/>
  <c r="B1813" i="1" s="1"/>
  <c r="D1813" i="1"/>
  <c r="C1813" i="1"/>
  <c r="E1812" i="1"/>
  <c r="D1812" i="1"/>
  <c r="C1812" i="1"/>
  <c r="E1811" i="1"/>
  <c r="B1811" i="1" s="1"/>
  <c r="D1811" i="1"/>
  <c r="C1811" i="1"/>
  <c r="E1810" i="1"/>
  <c r="D1810" i="1"/>
  <c r="C1810" i="1"/>
  <c r="E1809" i="1"/>
  <c r="D1809" i="1"/>
  <c r="C1809" i="1"/>
  <c r="E1808" i="1"/>
  <c r="D1808" i="1"/>
  <c r="C1808" i="1"/>
  <c r="E1807" i="1"/>
  <c r="B1807" i="1" s="1"/>
  <c r="D1807" i="1"/>
  <c r="C1807" i="1"/>
  <c r="E1806" i="1"/>
  <c r="B1806" i="1" s="1"/>
  <c r="D1806" i="1"/>
  <c r="C1806" i="1"/>
  <c r="E1805" i="1"/>
  <c r="B1805" i="1" s="1"/>
  <c r="D1805" i="1"/>
  <c r="C1805" i="1"/>
  <c r="E1804" i="1"/>
  <c r="D1804" i="1"/>
  <c r="C1804" i="1"/>
  <c r="E1803" i="1"/>
  <c r="B1803" i="1" s="1"/>
  <c r="D1803" i="1"/>
  <c r="C1803" i="1"/>
  <c r="E1802" i="1"/>
  <c r="D1802" i="1"/>
  <c r="C1802" i="1"/>
  <c r="E1801" i="1"/>
  <c r="D1801" i="1"/>
  <c r="C1801" i="1"/>
  <c r="E1800" i="1"/>
  <c r="D1800" i="1"/>
  <c r="C1800" i="1"/>
  <c r="E1799" i="1"/>
  <c r="B1799" i="1" s="1"/>
  <c r="D1799" i="1"/>
  <c r="C1799" i="1"/>
  <c r="E1798" i="1"/>
  <c r="B1798" i="1" s="1"/>
  <c r="D1798" i="1"/>
  <c r="C1798" i="1"/>
  <c r="E1797" i="1"/>
  <c r="B1797" i="1" s="1"/>
  <c r="D1797" i="1"/>
  <c r="C1797" i="1"/>
  <c r="E1796" i="1"/>
  <c r="D1796" i="1"/>
  <c r="C1796" i="1"/>
  <c r="E1795" i="1"/>
  <c r="B1795" i="1" s="1"/>
  <c r="D1795" i="1"/>
  <c r="C1795" i="1"/>
  <c r="E1794" i="1"/>
  <c r="D1794" i="1"/>
  <c r="C1794" i="1"/>
  <c r="E1793" i="1"/>
  <c r="D1793" i="1"/>
  <c r="C1793" i="1"/>
  <c r="E1792" i="1"/>
  <c r="D1792" i="1"/>
  <c r="C1792" i="1"/>
  <c r="E1791" i="1"/>
  <c r="B1791" i="1" s="1"/>
  <c r="D1791" i="1"/>
  <c r="C1791" i="1"/>
  <c r="E1790" i="1"/>
  <c r="B1790" i="1" s="1"/>
  <c r="D1790" i="1"/>
  <c r="C1790" i="1"/>
  <c r="E1789" i="1"/>
  <c r="B1789" i="1" s="1"/>
  <c r="D1789" i="1"/>
  <c r="C1789" i="1"/>
  <c r="E1788" i="1"/>
  <c r="D1788" i="1"/>
  <c r="C1788" i="1"/>
  <c r="E1787" i="1"/>
  <c r="B1787" i="1" s="1"/>
  <c r="D1787" i="1"/>
  <c r="C1787" i="1"/>
  <c r="E1786" i="1"/>
  <c r="D1786" i="1"/>
  <c r="C1786" i="1"/>
  <c r="E1785" i="1"/>
  <c r="D1785" i="1"/>
  <c r="C1785" i="1"/>
  <c r="E1784" i="1"/>
  <c r="D1784" i="1"/>
  <c r="C1784" i="1"/>
  <c r="E1783" i="1"/>
  <c r="B1783" i="1" s="1"/>
  <c r="D1783" i="1"/>
  <c r="C1783" i="1"/>
  <c r="E1782" i="1"/>
  <c r="B1782" i="1" s="1"/>
  <c r="D1782" i="1"/>
  <c r="C1782" i="1"/>
  <c r="E1781" i="1"/>
  <c r="B1781" i="1" s="1"/>
  <c r="D1781" i="1"/>
  <c r="C1781" i="1"/>
  <c r="E1780" i="1"/>
  <c r="D1780" i="1"/>
  <c r="C1780" i="1"/>
  <c r="E1779" i="1"/>
  <c r="B1779" i="1" s="1"/>
  <c r="D1779" i="1"/>
  <c r="C1779" i="1"/>
  <c r="E1778" i="1"/>
  <c r="D1778" i="1"/>
  <c r="C1778" i="1"/>
  <c r="E1777" i="1"/>
  <c r="D1777" i="1"/>
  <c r="C1777" i="1"/>
  <c r="E1776" i="1"/>
  <c r="D1776" i="1"/>
  <c r="C1776" i="1"/>
  <c r="E1775" i="1"/>
  <c r="B1775" i="1" s="1"/>
  <c r="D1775" i="1"/>
  <c r="C1775" i="1"/>
  <c r="E1774" i="1"/>
  <c r="B1774" i="1" s="1"/>
  <c r="D1774" i="1"/>
  <c r="C1774" i="1"/>
  <c r="E1773" i="1"/>
  <c r="B1773" i="1" s="1"/>
  <c r="D1773" i="1"/>
  <c r="C1773" i="1"/>
  <c r="E1772" i="1"/>
  <c r="D1772" i="1"/>
  <c r="C1772" i="1"/>
  <c r="E1771" i="1"/>
  <c r="B1771" i="1" s="1"/>
  <c r="D1771" i="1"/>
  <c r="C1771" i="1"/>
  <c r="E1770" i="1"/>
  <c r="D1770" i="1"/>
  <c r="C1770" i="1"/>
  <c r="E1769" i="1"/>
  <c r="D1769" i="1"/>
  <c r="C1769" i="1"/>
  <c r="E1768" i="1"/>
  <c r="D1768" i="1"/>
  <c r="C1768" i="1"/>
  <c r="E1767" i="1"/>
  <c r="B1767" i="1" s="1"/>
  <c r="D1767" i="1"/>
  <c r="C1767" i="1"/>
  <c r="E1766" i="1"/>
  <c r="B1766" i="1" s="1"/>
  <c r="D1766" i="1"/>
  <c r="C1766" i="1"/>
  <c r="E1765" i="1"/>
  <c r="B1765" i="1" s="1"/>
  <c r="D1765" i="1"/>
  <c r="C1765" i="1"/>
  <c r="E1764" i="1"/>
  <c r="D1764" i="1"/>
  <c r="C1764" i="1"/>
  <c r="E1763" i="1"/>
  <c r="B1763" i="1" s="1"/>
  <c r="D1763" i="1"/>
  <c r="C1763" i="1"/>
  <c r="E1762" i="1"/>
  <c r="D1762" i="1"/>
  <c r="C1762" i="1"/>
  <c r="E1761" i="1"/>
  <c r="D1761" i="1"/>
  <c r="C1761" i="1"/>
  <c r="E1760" i="1"/>
  <c r="D1760" i="1"/>
  <c r="C1760" i="1"/>
  <c r="E1759" i="1"/>
  <c r="B1759" i="1" s="1"/>
  <c r="D1759" i="1"/>
  <c r="C1759" i="1"/>
  <c r="E1758" i="1"/>
  <c r="B1758" i="1" s="1"/>
  <c r="D1758" i="1"/>
  <c r="C1758" i="1"/>
  <c r="E1757" i="1"/>
  <c r="B1757" i="1" s="1"/>
  <c r="D1757" i="1"/>
  <c r="C1757" i="1"/>
  <c r="E1756" i="1"/>
  <c r="D1756" i="1"/>
  <c r="C1756" i="1"/>
  <c r="E1755" i="1"/>
  <c r="B1755" i="1" s="1"/>
  <c r="D1755" i="1"/>
  <c r="C1755" i="1"/>
  <c r="E1754" i="1"/>
  <c r="D1754" i="1"/>
  <c r="C1754" i="1"/>
  <c r="E1753" i="1"/>
  <c r="D1753" i="1"/>
  <c r="C1753" i="1"/>
  <c r="E1752" i="1"/>
  <c r="D1752" i="1"/>
  <c r="C1752" i="1"/>
  <c r="E1751" i="1"/>
  <c r="B1751" i="1" s="1"/>
  <c r="D1751" i="1"/>
  <c r="C1751" i="1"/>
  <c r="E1750" i="1"/>
  <c r="B1750" i="1" s="1"/>
  <c r="D1750" i="1"/>
  <c r="C1750" i="1"/>
  <c r="E1749" i="1"/>
  <c r="B1749" i="1" s="1"/>
  <c r="D1749" i="1"/>
  <c r="C1749" i="1"/>
  <c r="E1748" i="1"/>
  <c r="D1748" i="1"/>
  <c r="C1748" i="1"/>
  <c r="E1747" i="1"/>
  <c r="B1747" i="1" s="1"/>
  <c r="D1747" i="1"/>
  <c r="C1747" i="1"/>
  <c r="E1746" i="1"/>
  <c r="D1746" i="1"/>
  <c r="C1746" i="1"/>
  <c r="E1745" i="1"/>
  <c r="D1745" i="1"/>
  <c r="C1745" i="1"/>
  <c r="E1744" i="1"/>
  <c r="D1744" i="1"/>
  <c r="C1744" i="1"/>
  <c r="E1743" i="1"/>
  <c r="B1743" i="1" s="1"/>
  <c r="D1743" i="1"/>
  <c r="C1743" i="1"/>
  <c r="E1742" i="1"/>
  <c r="B1742" i="1" s="1"/>
  <c r="D1742" i="1"/>
  <c r="C1742" i="1"/>
  <c r="E1741" i="1"/>
  <c r="B1741" i="1" s="1"/>
  <c r="D1741" i="1"/>
  <c r="C1741" i="1"/>
  <c r="E1740" i="1"/>
  <c r="D1740" i="1"/>
  <c r="C1740" i="1"/>
  <c r="E1739" i="1"/>
  <c r="B1739" i="1" s="1"/>
  <c r="D1739" i="1"/>
  <c r="C1739" i="1"/>
  <c r="E1738" i="1"/>
  <c r="D1738" i="1"/>
  <c r="C1738" i="1"/>
  <c r="E1737" i="1"/>
  <c r="D1737" i="1"/>
  <c r="C1737" i="1"/>
  <c r="E1736" i="1"/>
  <c r="D1736" i="1"/>
  <c r="C1736" i="1"/>
  <c r="E1735" i="1"/>
  <c r="B1735" i="1" s="1"/>
  <c r="D1735" i="1"/>
  <c r="C1735" i="1"/>
  <c r="E1734" i="1"/>
  <c r="B1734" i="1" s="1"/>
  <c r="D1734" i="1"/>
  <c r="C1734" i="1"/>
  <c r="E1733" i="1"/>
  <c r="B1733" i="1" s="1"/>
  <c r="D1733" i="1"/>
  <c r="C1733" i="1"/>
  <c r="E1732" i="1"/>
  <c r="D1732" i="1"/>
  <c r="C1732" i="1"/>
  <c r="E1731" i="1"/>
  <c r="B1731" i="1" s="1"/>
  <c r="D1731" i="1"/>
  <c r="C1731" i="1"/>
  <c r="E1730" i="1"/>
  <c r="B1730" i="1" s="1"/>
  <c r="D1730" i="1"/>
  <c r="C1730" i="1"/>
  <c r="E1729" i="1"/>
  <c r="D1729" i="1"/>
  <c r="C1729" i="1"/>
  <c r="E1728" i="1"/>
  <c r="D1728" i="1"/>
  <c r="C1728" i="1"/>
  <c r="E1727" i="1"/>
  <c r="B1727" i="1" s="1"/>
  <c r="D1727" i="1"/>
  <c r="C1727" i="1"/>
  <c r="E1726" i="1"/>
  <c r="B1726" i="1" s="1"/>
  <c r="D1726" i="1"/>
  <c r="C1726" i="1"/>
  <c r="E1725" i="1"/>
  <c r="B1725" i="1" s="1"/>
  <c r="D1725" i="1"/>
  <c r="C1725" i="1"/>
  <c r="E1724" i="1"/>
  <c r="D1724" i="1"/>
  <c r="C1724" i="1"/>
  <c r="E1723" i="1"/>
  <c r="B1723" i="1" s="1"/>
  <c r="D1723" i="1"/>
  <c r="C1723" i="1"/>
  <c r="E1722" i="1"/>
  <c r="B1722" i="1" s="1"/>
  <c r="D1722" i="1"/>
  <c r="C1722" i="1"/>
  <c r="E1721" i="1"/>
  <c r="D1721" i="1"/>
  <c r="C1721" i="1"/>
  <c r="E1720" i="1"/>
  <c r="D1720" i="1"/>
  <c r="C1720" i="1"/>
  <c r="E1719" i="1"/>
  <c r="B1719" i="1" s="1"/>
  <c r="D1719" i="1"/>
  <c r="C1719" i="1"/>
  <c r="E1718" i="1"/>
  <c r="B1718" i="1" s="1"/>
  <c r="D1718" i="1"/>
  <c r="C1718" i="1"/>
  <c r="E1717" i="1"/>
  <c r="B1717" i="1" s="1"/>
  <c r="D1717" i="1"/>
  <c r="C1717" i="1"/>
  <c r="E1716" i="1"/>
  <c r="D1716" i="1"/>
  <c r="C1716" i="1"/>
  <c r="E1715" i="1"/>
  <c r="B1715" i="1" s="1"/>
  <c r="D1715" i="1"/>
  <c r="C1715" i="1"/>
  <c r="E1714" i="1"/>
  <c r="B1714" i="1" s="1"/>
  <c r="D1714" i="1"/>
  <c r="C1714" i="1"/>
  <c r="E1713" i="1"/>
  <c r="D1713" i="1"/>
  <c r="C1713" i="1"/>
  <c r="E1712" i="1"/>
  <c r="D1712" i="1"/>
  <c r="C1712" i="1"/>
  <c r="E1711" i="1"/>
  <c r="B1711" i="1" s="1"/>
  <c r="D1711" i="1"/>
  <c r="C1711" i="1"/>
  <c r="E1710" i="1"/>
  <c r="B1710" i="1" s="1"/>
  <c r="D1710" i="1"/>
  <c r="C1710" i="1"/>
  <c r="E1709" i="1"/>
  <c r="B1709" i="1" s="1"/>
  <c r="D1709" i="1"/>
  <c r="C1709" i="1"/>
  <c r="E1708" i="1"/>
  <c r="D1708" i="1"/>
  <c r="C1708" i="1"/>
  <c r="E1707" i="1"/>
  <c r="B1707" i="1" s="1"/>
  <c r="D1707" i="1"/>
  <c r="C1707" i="1"/>
  <c r="E1706" i="1"/>
  <c r="B1706" i="1" s="1"/>
  <c r="D1706" i="1"/>
  <c r="C1706" i="1"/>
  <c r="E1705" i="1"/>
  <c r="D1705" i="1"/>
  <c r="C1705" i="1"/>
  <c r="E1704" i="1"/>
  <c r="D1704" i="1"/>
  <c r="C1704" i="1"/>
  <c r="E1703" i="1"/>
  <c r="B1703" i="1" s="1"/>
  <c r="D1703" i="1"/>
  <c r="C1703" i="1"/>
  <c r="E1702" i="1"/>
  <c r="B1702" i="1" s="1"/>
  <c r="D1702" i="1"/>
  <c r="C1702" i="1"/>
  <c r="E1701" i="1"/>
  <c r="B1701" i="1" s="1"/>
  <c r="D1701" i="1"/>
  <c r="C1701" i="1"/>
  <c r="E1700" i="1"/>
  <c r="D1700" i="1"/>
  <c r="C1700" i="1"/>
  <c r="E1699" i="1"/>
  <c r="B1699" i="1" s="1"/>
  <c r="D1699" i="1"/>
  <c r="C1699" i="1"/>
  <c r="E1698" i="1"/>
  <c r="B1698" i="1" s="1"/>
  <c r="D1698" i="1"/>
  <c r="C1698" i="1"/>
  <c r="E1697" i="1"/>
  <c r="D1697" i="1"/>
  <c r="C1697" i="1"/>
  <c r="E1696" i="1"/>
  <c r="D1696" i="1"/>
  <c r="C1696" i="1"/>
  <c r="E1695" i="1"/>
  <c r="B1695" i="1" s="1"/>
  <c r="D1695" i="1"/>
  <c r="C1695" i="1"/>
  <c r="E1694" i="1"/>
  <c r="B1694" i="1" s="1"/>
  <c r="D1694" i="1"/>
  <c r="C1694" i="1"/>
  <c r="E1693" i="1"/>
  <c r="B1693" i="1" s="1"/>
  <c r="D1693" i="1"/>
  <c r="C1693" i="1"/>
  <c r="E1692" i="1"/>
  <c r="D1692" i="1"/>
  <c r="C1692" i="1"/>
  <c r="E1691" i="1"/>
  <c r="B1691" i="1" s="1"/>
  <c r="D1691" i="1"/>
  <c r="C1691" i="1"/>
  <c r="E1690" i="1"/>
  <c r="B1690" i="1" s="1"/>
  <c r="D1690" i="1"/>
  <c r="C1690" i="1"/>
  <c r="E1689" i="1"/>
  <c r="D1689" i="1"/>
  <c r="C1689" i="1"/>
  <c r="E1688" i="1"/>
  <c r="D1688" i="1"/>
  <c r="C1688" i="1"/>
  <c r="E1687" i="1"/>
  <c r="B1687" i="1" s="1"/>
  <c r="D1687" i="1"/>
  <c r="C1687" i="1"/>
  <c r="E1686" i="1"/>
  <c r="B1686" i="1" s="1"/>
  <c r="D1686" i="1"/>
  <c r="C1686" i="1"/>
  <c r="E1685" i="1"/>
  <c r="B1685" i="1" s="1"/>
  <c r="D1685" i="1"/>
  <c r="C1685" i="1"/>
  <c r="E1684" i="1"/>
  <c r="D1684" i="1"/>
  <c r="C1684" i="1"/>
  <c r="E1683" i="1"/>
  <c r="B1683" i="1" s="1"/>
  <c r="D1683" i="1"/>
  <c r="C1683" i="1"/>
  <c r="E1682" i="1"/>
  <c r="B1682" i="1" s="1"/>
  <c r="D1682" i="1"/>
  <c r="C1682" i="1"/>
  <c r="E1681" i="1"/>
  <c r="D1681" i="1"/>
  <c r="C1681" i="1"/>
  <c r="E1680" i="1"/>
  <c r="D1680" i="1"/>
  <c r="C1680" i="1"/>
  <c r="E1679" i="1"/>
  <c r="B1679" i="1" s="1"/>
  <c r="D1679" i="1"/>
  <c r="C1679" i="1"/>
  <c r="E1678" i="1"/>
  <c r="B1678" i="1" s="1"/>
  <c r="D1678" i="1"/>
  <c r="C1678" i="1"/>
  <c r="E1677" i="1"/>
  <c r="B1677" i="1" s="1"/>
  <c r="D1677" i="1"/>
  <c r="C1677" i="1"/>
  <c r="E1676" i="1"/>
  <c r="D1676" i="1"/>
  <c r="C1676" i="1"/>
  <c r="E1675" i="1"/>
  <c r="B1675" i="1" s="1"/>
  <c r="D1675" i="1"/>
  <c r="C1675" i="1"/>
  <c r="E1674" i="1"/>
  <c r="D1674" i="1"/>
  <c r="C1674" i="1"/>
  <c r="E1673" i="1"/>
  <c r="D1673" i="1"/>
  <c r="C1673" i="1"/>
  <c r="E1672" i="1"/>
  <c r="D1672" i="1"/>
  <c r="C1672" i="1"/>
  <c r="E1671" i="1"/>
  <c r="B1671" i="1" s="1"/>
  <c r="D1671" i="1"/>
  <c r="C1671" i="1"/>
  <c r="E1670" i="1"/>
  <c r="B1670" i="1" s="1"/>
  <c r="D1670" i="1"/>
  <c r="C1670" i="1"/>
  <c r="E1669" i="1"/>
  <c r="B1669" i="1" s="1"/>
  <c r="D1669" i="1"/>
  <c r="C1669" i="1"/>
  <c r="E1668" i="1"/>
  <c r="D1668" i="1"/>
  <c r="C1668" i="1"/>
  <c r="E1667" i="1"/>
  <c r="B1667" i="1" s="1"/>
  <c r="D1667" i="1"/>
  <c r="C1667" i="1"/>
  <c r="E1666" i="1"/>
  <c r="B1666" i="1" s="1"/>
  <c r="D1666" i="1"/>
  <c r="C1666" i="1"/>
  <c r="E1665" i="1"/>
  <c r="D1665" i="1"/>
  <c r="C1665" i="1"/>
  <c r="E1664" i="1"/>
  <c r="D1664" i="1"/>
  <c r="C1664" i="1"/>
  <c r="E1663" i="1"/>
  <c r="B1663" i="1" s="1"/>
  <c r="D1663" i="1"/>
  <c r="C1663" i="1"/>
  <c r="E1662" i="1"/>
  <c r="B1662" i="1" s="1"/>
  <c r="D1662" i="1"/>
  <c r="C1662" i="1"/>
  <c r="E1661" i="1"/>
  <c r="B1661" i="1" s="1"/>
  <c r="D1661" i="1"/>
  <c r="C1661" i="1"/>
  <c r="E1660" i="1"/>
  <c r="D1660" i="1"/>
  <c r="C1660" i="1"/>
  <c r="E1659" i="1"/>
  <c r="B1659" i="1" s="1"/>
  <c r="D1659" i="1"/>
  <c r="C1659" i="1"/>
  <c r="E1658" i="1"/>
  <c r="B1658" i="1" s="1"/>
  <c r="D1658" i="1"/>
  <c r="C1658" i="1"/>
  <c r="E1657" i="1"/>
  <c r="D1657" i="1"/>
  <c r="C1657" i="1"/>
  <c r="E1656" i="1"/>
  <c r="D1656" i="1"/>
  <c r="C1656" i="1"/>
  <c r="E1655" i="1"/>
  <c r="B1655" i="1" s="1"/>
  <c r="D1655" i="1"/>
  <c r="C1655" i="1"/>
  <c r="E1654" i="1"/>
  <c r="B1654" i="1" s="1"/>
  <c r="D1654" i="1"/>
  <c r="C1654" i="1"/>
  <c r="E1653" i="1"/>
  <c r="B1653" i="1" s="1"/>
  <c r="D1653" i="1"/>
  <c r="C1653" i="1"/>
  <c r="E1652" i="1"/>
  <c r="D1652" i="1"/>
  <c r="C1652" i="1"/>
  <c r="E1651" i="1"/>
  <c r="B1651" i="1" s="1"/>
  <c r="D1651" i="1"/>
  <c r="C1651" i="1"/>
  <c r="E1650" i="1"/>
  <c r="B1650" i="1" s="1"/>
  <c r="D1650" i="1"/>
  <c r="C1650" i="1"/>
  <c r="E1649" i="1"/>
  <c r="D1649" i="1"/>
  <c r="C1649" i="1"/>
  <c r="E1648" i="1"/>
  <c r="D1648" i="1"/>
  <c r="C1648" i="1"/>
  <c r="E1647" i="1"/>
  <c r="B1647" i="1" s="1"/>
  <c r="D1647" i="1"/>
  <c r="C1647" i="1"/>
  <c r="E1646" i="1"/>
  <c r="B1646" i="1" s="1"/>
  <c r="D1646" i="1"/>
  <c r="C1646" i="1"/>
  <c r="E1645" i="1"/>
  <c r="B1645" i="1" s="1"/>
  <c r="D1645" i="1"/>
  <c r="C1645" i="1"/>
  <c r="E1644" i="1"/>
  <c r="D1644" i="1"/>
  <c r="C1644" i="1"/>
  <c r="E1643" i="1"/>
  <c r="B1643" i="1" s="1"/>
  <c r="D1643" i="1"/>
  <c r="C1643" i="1"/>
  <c r="E1642" i="1"/>
  <c r="B1642" i="1" s="1"/>
  <c r="D1642" i="1"/>
  <c r="C1642" i="1"/>
  <c r="E1641" i="1"/>
  <c r="D1641" i="1"/>
  <c r="C1641" i="1"/>
  <c r="E1640" i="1"/>
  <c r="D1640" i="1"/>
  <c r="C1640" i="1"/>
  <c r="E1639" i="1"/>
  <c r="B1639" i="1" s="1"/>
  <c r="D1639" i="1"/>
  <c r="C1639" i="1"/>
  <c r="E1638" i="1"/>
  <c r="B1638" i="1" s="1"/>
  <c r="D1638" i="1"/>
  <c r="C1638" i="1"/>
  <c r="E1637" i="1"/>
  <c r="B1637" i="1" s="1"/>
  <c r="D1637" i="1"/>
  <c r="C1637" i="1"/>
  <c r="E1636" i="1"/>
  <c r="D1636" i="1"/>
  <c r="C1636" i="1"/>
  <c r="E1635" i="1"/>
  <c r="B1635" i="1" s="1"/>
  <c r="D1635" i="1"/>
  <c r="C1635" i="1"/>
  <c r="E1634" i="1"/>
  <c r="B1634" i="1" s="1"/>
  <c r="D1634" i="1"/>
  <c r="C1634" i="1"/>
  <c r="E1633" i="1"/>
  <c r="D1633" i="1"/>
  <c r="C1633" i="1"/>
  <c r="E1632" i="1"/>
  <c r="D1632" i="1"/>
  <c r="C1632" i="1"/>
  <c r="E1631" i="1"/>
  <c r="B1631" i="1" s="1"/>
  <c r="D1631" i="1"/>
  <c r="C1631" i="1"/>
  <c r="E1630" i="1"/>
  <c r="B1630" i="1" s="1"/>
  <c r="D1630" i="1"/>
  <c r="C1630" i="1"/>
  <c r="E1629" i="1"/>
  <c r="D1629" i="1"/>
  <c r="C1629" i="1"/>
  <c r="E1628" i="1"/>
  <c r="D1628" i="1"/>
  <c r="C1628" i="1"/>
  <c r="E1627" i="1"/>
  <c r="B1627" i="1" s="1"/>
  <c r="D1627" i="1"/>
  <c r="C1627" i="1"/>
  <c r="E1626" i="1"/>
  <c r="B1626" i="1" s="1"/>
  <c r="D1626" i="1"/>
  <c r="C1626" i="1"/>
  <c r="E1625" i="1"/>
  <c r="D1625" i="1"/>
  <c r="C1625" i="1"/>
  <c r="E1624" i="1"/>
  <c r="D1624" i="1"/>
  <c r="C1624" i="1"/>
  <c r="E1623" i="1"/>
  <c r="B1623" i="1" s="1"/>
  <c r="D1623" i="1"/>
  <c r="C1623" i="1"/>
  <c r="E1622" i="1"/>
  <c r="B1622" i="1" s="1"/>
  <c r="D1622" i="1"/>
  <c r="C1622" i="1"/>
  <c r="E1621" i="1"/>
  <c r="B1621" i="1" s="1"/>
  <c r="D1621" i="1"/>
  <c r="C1621" i="1"/>
  <c r="E1620" i="1"/>
  <c r="D1620" i="1"/>
  <c r="C1620" i="1"/>
  <c r="E1619" i="1"/>
  <c r="B1619" i="1" s="1"/>
  <c r="D1619" i="1"/>
  <c r="C1619" i="1"/>
  <c r="E1618" i="1"/>
  <c r="B1618" i="1" s="1"/>
  <c r="D1618" i="1"/>
  <c r="C1618" i="1"/>
  <c r="E1617" i="1"/>
  <c r="D1617" i="1"/>
  <c r="C1617" i="1"/>
  <c r="E1616" i="1"/>
  <c r="D1616" i="1"/>
  <c r="C1616" i="1"/>
  <c r="E1615" i="1"/>
  <c r="B1615" i="1" s="1"/>
  <c r="D1615" i="1"/>
  <c r="C1615" i="1"/>
  <c r="E1614" i="1"/>
  <c r="D1614" i="1"/>
  <c r="C1614" i="1"/>
  <c r="E1613" i="1"/>
  <c r="B1613" i="1" s="1"/>
  <c r="D1613" i="1"/>
  <c r="C1613" i="1"/>
  <c r="E1612" i="1"/>
  <c r="D1612" i="1"/>
  <c r="C1612" i="1"/>
  <c r="E1611" i="1"/>
  <c r="B1611" i="1" s="1"/>
  <c r="D1611" i="1"/>
  <c r="C1611" i="1"/>
  <c r="E1610" i="1"/>
  <c r="B1610" i="1" s="1"/>
  <c r="D1610" i="1"/>
  <c r="C1610" i="1"/>
  <c r="E1609" i="1"/>
  <c r="D1609" i="1"/>
  <c r="C1609" i="1"/>
  <c r="E1608" i="1"/>
  <c r="D1608" i="1"/>
  <c r="C1608" i="1"/>
  <c r="E1607" i="1"/>
  <c r="B1607" i="1" s="1"/>
  <c r="D1607" i="1"/>
  <c r="C1607" i="1"/>
  <c r="E1606" i="1"/>
  <c r="D1606" i="1"/>
  <c r="C1606" i="1"/>
  <c r="E1605" i="1"/>
  <c r="D1605" i="1"/>
  <c r="C1605" i="1"/>
  <c r="E1604" i="1"/>
  <c r="D1604" i="1"/>
  <c r="C1604" i="1"/>
  <c r="E1603" i="1"/>
  <c r="B1603" i="1" s="1"/>
  <c r="D1603" i="1"/>
  <c r="C1603" i="1"/>
  <c r="E1602" i="1"/>
  <c r="B1602" i="1" s="1"/>
  <c r="D1602" i="1"/>
  <c r="C1602" i="1"/>
  <c r="E1601" i="1"/>
  <c r="D1601" i="1"/>
  <c r="C1601" i="1"/>
  <c r="E1600" i="1"/>
  <c r="D1600" i="1"/>
  <c r="C1600" i="1"/>
  <c r="E1599" i="1"/>
  <c r="B1599" i="1" s="1"/>
  <c r="D1599" i="1"/>
  <c r="C1599" i="1"/>
  <c r="E1598" i="1"/>
  <c r="D1598" i="1"/>
  <c r="C1598" i="1"/>
  <c r="E1597" i="1"/>
  <c r="D1597" i="1"/>
  <c r="C1597" i="1"/>
  <c r="E1596" i="1"/>
  <c r="D1596" i="1"/>
  <c r="C1596" i="1"/>
  <c r="E1595" i="1"/>
  <c r="B1595" i="1" s="1"/>
  <c r="D1595" i="1"/>
  <c r="C1595" i="1"/>
  <c r="E1594" i="1"/>
  <c r="B1594" i="1" s="1"/>
  <c r="D1594" i="1"/>
  <c r="C1594" i="1"/>
  <c r="E1593" i="1"/>
  <c r="D1593" i="1"/>
  <c r="C1593" i="1"/>
  <c r="E1592" i="1"/>
  <c r="D1592" i="1"/>
  <c r="C1592" i="1"/>
  <c r="E1591" i="1"/>
  <c r="B1591" i="1" s="1"/>
  <c r="D1591" i="1"/>
  <c r="C1591" i="1"/>
  <c r="E1590" i="1"/>
  <c r="D1590" i="1"/>
  <c r="C1590" i="1"/>
  <c r="E1589" i="1"/>
  <c r="D1589" i="1"/>
  <c r="C1589" i="1"/>
  <c r="E1588" i="1"/>
  <c r="D1588" i="1"/>
  <c r="C1588" i="1"/>
  <c r="E1587" i="1"/>
  <c r="B1587" i="1" s="1"/>
  <c r="D1587" i="1"/>
  <c r="C1587" i="1"/>
  <c r="E1586" i="1"/>
  <c r="B1586" i="1" s="1"/>
  <c r="D1586" i="1"/>
  <c r="C1586" i="1"/>
  <c r="E1585" i="1"/>
  <c r="D1585" i="1"/>
  <c r="C1585" i="1"/>
  <c r="E1584" i="1"/>
  <c r="D1584" i="1"/>
  <c r="C1584" i="1"/>
  <c r="E1583" i="1"/>
  <c r="B1583" i="1" s="1"/>
  <c r="D1583" i="1"/>
  <c r="C1583" i="1"/>
  <c r="E1582" i="1"/>
  <c r="D1582" i="1"/>
  <c r="C1582" i="1"/>
  <c r="E1581" i="1"/>
  <c r="D1581" i="1"/>
  <c r="C1581" i="1"/>
  <c r="E1580" i="1"/>
  <c r="D1580" i="1"/>
  <c r="C1580" i="1"/>
  <c r="E1579" i="1"/>
  <c r="B1579" i="1" s="1"/>
  <c r="D1579" i="1"/>
  <c r="C1579" i="1"/>
  <c r="E1578" i="1"/>
  <c r="B1578" i="1" s="1"/>
  <c r="D1578" i="1"/>
  <c r="C1578" i="1"/>
  <c r="E1577" i="1"/>
  <c r="D1577" i="1"/>
  <c r="C1577" i="1"/>
  <c r="E1576" i="1"/>
  <c r="D1576" i="1"/>
  <c r="C1576" i="1"/>
  <c r="E1575" i="1"/>
  <c r="B1575" i="1" s="1"/>
  <c r="D1575" i="1"/>
  <c r="C1575" i="1"/>
  <c r="E1574" i="1"/>
  <c r="D1574" i="1"/>
  <c r="C1574" i="1"/>
  <c r="E1573" i="1"/>
  <c r="D1573" i="1"/>
  <c r="C1573" i="1"/>
  <c r="E1572" i="1"/>
  <c r="D1572" i="1"/>
  <c r="C1572" i="1"/>
  <c r="E1571" i="1"/>
  <c r="B1571" i="1" s="1"/>
  <c r="D1571" i="1"/>
  <c r="C1571" i="1"/>
  <c r="E1570" i="1"/>
  <c r="B1570" i="1" s="1"/>
  <c r="D1570" i="1"/>
  <c r="C1570" i="1"/>
  <c r="E1569" i="1"/>
  <c r="D1569" i="1"/>
  <c r="C1569" i="1"/>
  <c r="E1568" i="1"/>
  <c r="D1568" i="1"/>
  <c r="C1568" i="1"/>
  <c r="E1567" i="1"/>
  <c r="B1567" i="1" s="1"/>
  <c r="D1567" i="1"/>
  <c r="C1567" i="1"/>
  <c r="E1566" i="1"/>
  <c r="D1566" i="1"/>
  <c r="C1566" i="1"/>
  <c r="E1565" i="1"/>
  <c r="D1565" i="1"/>
  <c r="C1565" i="1"/>
  <c r="E1564" i="1"/>
  <c r="D1564" i="1"/>
  <c r="C1564" i="1"/>
  <c r="E1563" i="1"/>
  <c r="B1563" i="1" s="1"/>
  <c r="D1563" i="1"/>
  <c r="C1563" i="1"/>
  <c r="E1562" i="1"/>
  <c r="B1562" i="1" s="1"/>
  <c r="D1562" i="1"/>
  <c r="C1562" i="1"/>
  <c r="E1561" i="1"/>
  <c r="D1561" i="1"/>
  <c r="C1561" i="1"/>
  <c r="E1560" i="1"/>
  <c r="D1560" i="1"/>
  <c r="C1560" i="1"/>
  <c r="E1559" i="1"/>
  <c r="B1559" i="1" s="1"/>
  <c r="D1559" i="1"/>
  <c r="C1559" i="1"/>
  <c r="E1558" i="1"/>
  <c r="D1558" i="1"/>
  <c r="C1558" i="1"/>
  <c r="E1557" i="1"/>
  <c r="D1557" i="1"/>
  <c r="C1557" i="1"/>
  <c r="E1556" i="1"/>
  <c r="D1556" i="1"/>
  <c r="C1556" i="1"/>
  <c r="E1555" i="1"/>
  <c r="B1555" i="1" s="1"/>
  <c r="D1555" i="1"/>
  <c r="C1555" i="1"/>
  <c r="E1554" i="1"/>
  <c r="B1554" i="1" s="1"/>
  <c r="D1554" i="1"/>
  <c r="C1554" i="1"/>
  <c r="E1553" i="1"/>
  <c r="D1553" i="1"/>
  <c r="C1553" i="1"/>
  <c r="E1552" i="1"/>
  <c r="D1552" i="1"/>
  <c r="C1552" i="1"/>
  <c r="E1551" i="1"/>
  <c r="B1551" i="1" s="1"/>
  <c r="D1551" i="1"/>
  <c r="C1551" i="1"/>
  <c r="E1550" i="1"/>
  <c r="D1550" i="1"/>
  <c r="C1550" i="1"/>
  <c r="E1549" i="1"/>
  <c r="D1549" i="1"/>
  <c r="C1549" i="1"/>
  <c r="E1548" i="1"/>
  <c r="D1548" i="1"/>
  <c r="C1548" i="1"/>
  <c r="E1547" i="1"/>
  <c r="B1547" i="1" s="1"/>
  <c r="D1547" i="1"/>
  <c r="C1547" i="1"/>
  <c r="E1546" i="1"/>
  <c r="B1546" i="1" s="1"/>
  <c r="D1546" i="1"/>
  <c r="C1546" i="1"/>
  <c r="E1545" i="1"/>
  <c r="D1545" i="1"/>
  <c r="C1545" i="1"/>
  <c r="E1544" i="1"/>
  <c r="D1544" i="1"/>
  <c r="C1544" i="1"/>
  <c r="E1543" i="1"/>
  <c r="B1543" i="1" s="1"/>
  <c r="D1543" i="1"/>
  <c r="C1543" i="1"/>
  <c r="E1542" i="1"/>
  <c r="D1542" i="1"/>
  <c r="C1542" i="1"/>
  <c r="E1541" i="1"/>
  <c r="D1541" i="1"/>
  <c r="C1541" i="1"/>
  <c r="E1540" i="1"/>
  <c r="D1540" i="1"/>
  <c r="C1540" i="1"/>
  <c r="E1539" i="1"/>
  <c r="B1539" i="1" s="1"/>
  <c r="D1539" i="1"/>
  <c r="C1539" i="1"/>
  <c r="E1538" i="1"/>
  <c r="B1538" i="1" s="1"/>
  <c r="D1538" i="1"/>
  <c r="C1538" i="1"/>
  <c r="E1537" i="1"/>
  <c r="D1537" i="1"/>
  <c r="C1537" i="1"/>
  <c r="E1536" i="1"/>
  <c r="D1536" i="1"/>
  <c r="C1536" i="1"/>
  <c r="E1535" i="1"/>
  <c r="B1535" i="1" s="1"/>
  <c r="D1535" i="1"/>
  <c r="C1535" i="1"/>
  <c r="E1534" i="1"/>
  <c r="D1534" i="1"/>
  <c r="C1534" i="1"/>
  <c r="E1533" i="1"/>
  <c r="D1533" i="1"/>
  <c r="C1533" i="1"/>
  <c r="E1532" i="1"/>
  <c r="D1532" i="1"/>
  <c r="C1532" i="1"/>
  <c r="E1531" i="1"/>
  <c r="B1531" i="1" s="1"/>
  <c r="D1531" i="1"/>
  <c r="C1531" i="1"/>
  <c r="E1530" i="1"/>
  <c r="B1530" i="1" s="1"/>
  <c r="D1530" i="1"/>
  <c r="C1530" i="1"/>
  <c r="E1529" i="1"/>
  <c r="D1529" i="1"/>
  <c r="C1529" i="1"/>
  <c r="E1528" i="1"/>
  <c r="D1528" i="1"/>
  <c r="C1528" i="1"/>
  <c r="E1527" i="1"/>
  <c r="B1527" i="1" s="1"/>
  <c r="D1527" i="1"/>
  <c r="C1527" i="1"/>
  <c r="E1526" i="1"/>
  <c r="D1526" i="1"/>
  <c r="C1526" i="1"/>
  <c r="E1525" i="1"/>
  <c r="B1525" i="1" s="1"/>
  <c r="D1525" i="1"/>
  <c r="C1525" i="1"/>
  <c r="E1524" i="1"/>
  <c r="D1524" i="1"/>
  <c r="C1524" i="1"/>
  <c r="E1523" i="1"/>
  <c r="B1523" i="1" s="1"/>
  <c r="D1523" i="1"/>
  <c r="C1523" i="1"/>
  <c r="E1522" i="1"/>
  <c r="B1522" i="1" s="1"/>
  <c r="D1522" i="1"/>
  <c r="C1522" i="1"/>
  <c r="E1521" i="1"/>
  <c r="D1521" i="1"/>
  <c r="C1521" i="1"/>
  <c r="E1520" i="1"/>
  <c r="D1520" i="1"/>
  <c r="C1520" i="1"/>
  <c r="E1519" i="1"/>
  <c r="B1519" i="1" s="1"/>
  <c r="D1519" i="1"/>
  <c r="C1519" i="1"/>
  <c r="E1518" i="1"/>
  <c r="D1518" i="1"/>
  <c r="C1518" i="1"/>
  <c r="E1517" i="1"/>
  <c r="B1517" i="1" s="1"/>
  <c r="D1517" i="1"/>
  <c r="C1517" i="1"/>
  <c r="E1516" i="1"/>
  <c r="D1516" i="1"/>
  <c r="C1516" i="1"/>
  <c r="E1515" i="1"/>
  <c r="B1515" i="1" s="1"/>
  <c r="D1515" i="1"/>
  <c r="C1515" i="1"/>
  <c r="E1514" i="1"/>
  <c r="B1514" i="1" s="1"/>
  <c r="D1514" i="1"/>
  <c r="C1514" i="1"/>
  <c r="E1513" i="1"/>
  <c r="D1513" i="1"/>
  <c r="C1513" i="1"/>
  <c r="E1512" i="1"/>
  <c r="D1512" i="1"/>
  <c r="C1512" i="1"/>
  <c r="E1511" i="1"/>
  <c r="B1511" i="1" s="1"/>
  <c r="D1511" i="1"/>
  <c r="C1511" i="1"/>
  <c r="E1510" i="1"/>
  <c r="B1510" i="1" s="1"/>
  <c r="D1510" i="1"/>
  <c r="C1510" i="1"/>
  <c r="E1509" i="1"/>
  <c r="B1509" i="1" s="1"/>
  <c r="D1509" i="1"/>
  <c r="C1509" i="1"/>
  <c r="E1508" i="1"/>
  <c r="D1508" i="1"/>
  <c r="C1508" i="1"/>
  <c r="E1507" i="1"/>
  <c r="B1507" i="1" s="1"/>
  <c r="D1507" i="1"/>
  <c r="C1507" i="1"/>
  <c r="E1506" i="1"/>
  <c r="B1506" i="1" s="1"/>
  <c r="D1506" i="1"/>
  <c r="C1506" i="1"/>
  <c r="E1505" i="1"/>
  <c r="D1505" i="1"/>
  <c r="C1505" i="1"/>
  <c r="E1504" i="1"/>
  <c r="D1504" i="1"/>
  <c r="C1504" i="1"/>
  <c r="E1503" i="1"/>
  <c r="B1503" i="1" s="1"/>
  <c r="D1503" i="1"/>
  <c r="C1503" i="1"/>
  <c r="E1502" i="1"/>
  <c r="B1502" i="1" s="1"/>
  <c r="D1502" i="1"/>
  <c r="C1502" i="1"/>
  <c r="E1501" i="1"/>
  <c r="B1501" i="1" s="1"/>
  <c r="D1501" i="1"/>
  <c r="C1501" i="1"/>
  <c r="E1500" i="1"/>
  <c r="D1500" i="1"/>
  <c r="C1500" i="1"/>
  <c r="E1499" i="1"/>
  <c r="B1499" i="1" s="1"/>
  <c r="D1499" i="1"/>
  <c r="C1499" i="1"/>
  <c r="E1498" i="1"/>
  <c r="B1498" i="1" s="1"/>
  <c r="D1498" i="1"/>
  <c r="C1498" i="1"/>
  <c r="E1497" i="1"/>
  <c r="D1497" i="1"/>
  <c r="C1497" i="1"/>
  <c r="E1496" i="1"/>
  <c r="D1496" i="1"/>
  <c r="C1496" i="1"/>
  <c r="E1495" i="1"/>
  <c r="B1495" i="1" s="1"/>
  <c r="D1495" i="1"/>
  <c r="C1495" i="1"/>
  <c r="E1494" i="1"/>
  <c r="B1494" i="1" s="1"/>
  <c r="D1494" i="1"/>
  <c r="C1494" i="1"/>
  <c r="E1493" i="1"/>
  <c r="B1493" i="1" s="1"/>
  <c r="D1493" i="1"/>
  <c r="C1493" i="1"/>
  <c r="E1492" i="1"/>
  <c r="D1492" i="1"/>
  <c r="C1492" i="1"/>
  <c r="E1491" i="1"/>
  <c r="B1491" i="1" s="1"/>
  <c r="D1491" i="1"/>
  <c r="C1491" i="1"/>
  <c r="E1490" i="1"/>
  <c r="B1490" i="1" s="1"/>
  <c r="D1490" i="1"/>
  <c r="C1490" i="1"/>
  <c r="E1489" i="1"/>
  <c r="D1489" i="1"/>
  <c r="C1489" i="1"/>
  <c r="E1488" i="1"/>
  <c r="D1488" i="1"/>
  <c r="C1488" i="1"/>
  <c r="E1487" i="1"/>
  <c r="B1487" i="1" s="1"/>
  <c r="D1487" i="1"/>
  <c r="C1487" i="1"/>
  <c r="E1486" i="1"/>
  <c r="D1486" i="1"/>
  <c r="C1486" i="1"/>
  <c r="E1485" i="1"/>
  <c r="B1485" i="1" s="1"/>
  <c r="D1485" i="1"/>
  <c r="C1485" i="1"/>
  <c r="E1484" i="1"/>
  <c r="D1484" i="1"/>
  <c r="C1484" i="1"/>
  <c r="E1483" i="1"/>
  <c r="B1483" i="1" s="1"/>
  <c r="D1483" i="1"/>
  <c r="C1483" i="1"/>
  <c r="E1482" i="1"/>
  <c r="B1482" i="1" s="1"/>
  <c r="D1482" i="1"/>
  <c r="C1482" i="1"/>
  <c r="E1481" i="1"/>
  <c r="D1481" i="1"/>
  <c r="C1481" i="1"/>
  <c r="E1480" i="1"/>
  <c r="D1480" i="1"/>
  <c r="C1480" i="1"/>
  <c r="E1479" i="1"/>
  <c r="B1479" i="1" s="1"/>
  <c r="D1479" i="1"/>
  <c r="C1479" i="1"/>
  <c r="E1478" i="1"/>
  <c r="B1478" i="1" s="1"/>
  <c r="D1478" i="1"/>
  <c r="C1478" i="1"/>
  <c r="E1477" i="1"/>
  <c r="B1477" i="1" s="1"/>
  <c r="D1477" i="1"/>
  <c r="C1477" i="1"/>
  <c r="E1476" i="1"/>
  <c r="D1476" i="1"/>
  <c r="C1476" i="1"/>
  <c r="E1475" i="1"/>
  <c r="B1475" i="1" s="1"/>
  <c r="D1475" i="1"/>
  <c r="C1475" i="1"/>
  <c r="E1474" i="1"/>
  <c r="B1474" i="1" s="1"/>
  <c r="D1474" i="1"/>
  <c r="C1474" i="1"/>
  <c r="E1473" i="1"/>
  <c r="D1473" i="1"/>
  <c r="C1473" i="1"/>
  <c r="E1472" i="1"/>
  <c r="D1472" i="1"/>
  <c r="C1472" i="1"/>
  <c r="E1471" i="1"/>
  <c r="B1471" i="1" s="1"/>
  <c r="D1471" i="1"/>
  <c r="C1471" i="1"/>
  <c r="E1470" i="1"/>
  <c r="B1470" i="1" s="1"/>
  <c r="D1470" i="1"/>
  <c r="C1470" i="1"/>
  <c r="E1469" i="1"/>
  <c r="B1469" i="1" s="1"/>
  <c r="D1469" i="1"/>
  <c r="C1469" i="1"/>
  <c r="E1468" i="1"/>
  <c r="D1468" i="1"/>
  <c r="C1468" i="1"/>
  <c r="E1467" i="1"/>
  <c r="B1467" i="1" s="1"/>
  <c r="D1467" i="1"/>
  <c r="C1467" i="1"/>
  <c r="E1466" i="1"/>
  <c r="B1466" i="1" s="1"/>
  <c r="D1466" i="1"/>
  <c r="C1466" i="1"/>
  <c r="E1465" i="1"/>
  <c r="D1465" i="1"/>
  <c r="C1465" i="1"/>
  <c r="E1464" i="1"/>
  <c r="D1464" i="1"/>
  <c r="C1464" i="1"/>
  <c r="E1463" i="1"/>
  <c r="B1463" i="1" s="1"/>
  <c r="D1463" i="1"/>
  <c r="C1463" i="1"/>
  <c r="E1462" i="1"/>
  <c r="B1462" i="1" s="1"/>
  <c r="D1462" i="1"/>
  <c r="C1462" i="1"/>
  <c r="E1461" i="1"/>
  <c r="B1461" i="1" s="1"/>
  <c r="D1461" i="1"/>
  <c r="C1461" i="1"/>
  <c r="E1460" i="1"/>
  <c r="D1460" i="1"/>
  <c r="C1460" i="1"/>
  <c r="E1459" i="1"/>
  <c r="B1459" i="1" s="1"/>
  <c r="D1459" i="1"/>
  <c r="C1459" i="1"/>
  <c r="E1458" i="1"/>
  <c r="D1458" i="1"/>
  <c r="C1458" i="1"/>
  <c r="E1457" i="1"/>
  <c r="D1457" i="1"/>
  <c r="C1457" i="1"/>
  <c r="E1456" i="1"/>
  <c r="D1456" i="1"/>
  <c r="C1456" i="1"/>
  <c r="E1455" i="1"/>
  <c r="B1455" i="1" s="1"/>
  <c r="D1455" i="1"/>
  <c r="C1455" i="1"/>
  <c r="E1454" i="1"/>
  <c r="D1454" i="1"/>
  <c r="C1454" i="1"/>
  <c r="E1453" i="1"/>
  <c r="B1453" i="1" s="1"/>
  <c r="D1453" i="1"/>
  <c r="C1453" i="1"/>
  <c r="E1452" i="1"/>
  <c r="D1452" i="1"/>
  <c r="C1452" i="1"/>
  <c r="E1451" i="1"/>
  <c r="B1451" i="1" s="1"/>
  <c r="D1451" i="1"/>
  <c r="C1451" i="1"/>
  <c r="E1450" i="1"/>
  <c r="D1450" i="1"/>
  <c r="C1450" i="1"/>
  <c r="E1449" i="1"/>
  <c r="D1449" i="1"/>
  <c r="C1449" i="1"/>
  <c r="E1448" i="1"/>
  <c r="D1448" i="1"/>
  <c r="C1448" i="1"/>
  <c r="E1447" i="1"/>
  <c r="B1447" i="1" s="1"/>
  <c r="D1447" i="1"/>
  <c r="C1447" i="1"/>
  <c r="E1446" i="1"/>
  <c r="D1446" i="1"/>
  <c r="C1446" i="1"/>
  <c r="E1445" i="1"/>
  <c r="B1445" i="1" s="1"/>
  <c r="D1445" i="1"/>
  <c r="C1445" i="1"/>
  <c r="E1444" i="1"/>
  <c r="D1444" i="1"/>
  <c r="C1444" i="1"/>
  <c r="E1443" i="1"/>
  <c r="B1443" i="1" s="1"/>
  <c r="D1443" i="1"/>
  <c r="C1443" i="1"/>
  <c r="E1442" i="1"/>
  <c r="D1442" i="1"/>
  <c r="C1442" i="1"/>
  <c r="E1441" i="1"/>
  <c r="D1441" i="1"/>
  <c r="C1441" i="1"/>
  <c r="E1440" i="1"/>
  <c r="D1440" i="1"/>
  <c r="C1440" i="1"/>
  <c r="E1439" i="1"/>
  <c r="B1439" i="1" s="1"/>
  <c r="D1439" i="1"/>
  <c r="C1439" i="1"/>
  <c r="E1438" i="1"/>
  <c r="D1438" i="1"/>
  <c r="C1438" i="1"/>
  <c r="E1437" i="1"/>
  <c r="B1437" i="1" s="1"/>
  <c r="D1437" i="1"/>
  <c r="C1437" i="1"/>
  <c r="E1436" i="1"/>
  <c r="D1436" i="1"/>
  <c r="C1436" i="1"/>
  <c r="E1435" i="1"/>
  <c r="B1435" i="1" s="1"/>
  <c r="D1435" i="1"/>
  <c r="C1435" i="1"/>
  <c r="E1434" i="1"/>
  <c r="D1434" i="1"/>
  <c r="C1434" i="1"/>
  <c r="E1433" i="1"/>
  <c r="D1433" i="1"/>
  <c r="C1433" i="1"/>
  <c r="E1432" i="1"/>
  <c r="D1432" i="1"/>
  <c r="C1432" i="1"/>
  <c r="E1431" i="1"/>
  <c r="B1431" i="1" s="1"/>
  <c r="D1431" i="1"/>
  <c r="C1431" i="1"/>
  <c r="E1430" i="1"/>
  <c r="D1430" i="1"/>
  <c r="C1430" i="1"/>
  <c r="E1429" i="1"/>
  <c r="B1429" i="1" s="1"/>
  <c r="D1429" i="1"/>
  <c r="C1429" i="1"/>
  <c r="E1428" i="1"/>
  <c r="D1428" i="1"/>
  <c r="C1428" i="1"/>
  <c r="E1427" i="1"/>
  <c r="B1427" i="1" s="1"/>
  <c r="D1427" i="1"/>
  <c r="C1427" i="1"/>
  <c r="E1426" i="1"/>
  <c r="D1426" i="1"/>
  <c r="C1426" i="1"/>
  <c r="E1425" i="1"/>
  <c r="D1425" i="1"/>
  <c r="C1425" i="1"/>
  <c r="E1424" i="1"/>
  <c r="D1424" i="1"/>
  <c r="C1424" i="1"/>
  <c r="E1423" i="1"/>
  <c r="B1423" i="1" s="1"/>
  <c r="D1423" i="1"/>
  <c r="C1423" i="1"/>
  <c r="E1422" i="1"/>
  <c r="D1422" i="1"/>
  <c r="C1422" i="1"/>
  <c r="E1421" i="1"/>
  <c r="B1421" i="1" s="1"/>
  <c r="D1421" i="1"/>
  <c r="C1421" i="1"/>
  <c r="E1420" i="1"/>
  <c r="D1420" i="1"/>
  <c r="C1420" i="1"/>
  <c r="E1419" i="1"/>
  <c r="B1419" i="1" s="1"/>
  <c r="D1419" i="1"/>
  <c r="C1419" i="1"/>
  <c r="E1418" i="1"/>
  <c r="D1418" i="1"/>
  <c r="C1418" i="1"/>
  <c r="E1417" i="1"/>
  <c r="D1417" i="1"/>
  <c r="C1417" i="1"/>
  <c r="E1416" i="1"/>
  <c r="D1416" i="1"/>
  <c r="C1416" i="1"/>
  <c r="E1415" i="1"/>
  <c r="B1415" i="1" s="1"/>
  <c r="D1415" i="1"/>
  <c r="C1415" i="1"/>
  <c r="E1414" i="1"/>
  <c r="D1414" i="1"/>
  <c r="C1414" i="1"/>
  <c r="E1413" i="1"/>
  <c r="B1413" i="1" s="1"/>
  <c r="D1413" i="1"/>
  <c r="C1413" i="1"/>
  <c r="E1412" i="1"/>
  <c r="D1412" i="1"/>
  <c r="C1412" i="1"/>
  <c r="E1411" i="1"/>
  <c r="B1411" i="1" s="1"/>
  <c r="D1411" i="1"/>
  <c r="C1411" i="1"/>
  <c r="E1410" i="1"/>
  <c r="D1410" i="1"/>
  <c r="C1410" i="1"/>
  <c r="E1409" i="1"/>
  <c r="D1409" i="1"/>
  <c r="C1409" i="1"/>
  <c r="E1408" i="1"/>
  <c r="D1408" i="1"/>
  <c r="C1408" i="1"/>
  <c r="E1407" i="1"/>
  <c r="B1407" i="1" s="1"/>
  <c r="D1407" i="1"/>
  <c r="C1407" i="1"/>
  <c r="E1406" i="1"/>
  <c r="D1406" i="1"/>
  <c r="C1406" i="1"/>
  <c r="E1405" i="1"/>
  <c r="B1405" i="1" s="1"/>
  <c r="D1405" i="1"/>
  <c r="C1405" i="1"/>
  <c r="E1404" i="1"/>
  <c r="D1404" i="1"/>
  <c r="C1404" i="1"/>
  <c r="E1403" i="1"/>
  <c r="B1403" i="1" s="1"/>
  <c r="D1403" i="1"/>
  <c r="C1403" i="1"/>
  <c r="E1402" i="1"/>
  <c r="D1402" i="1"/>
  <c r="C1402" i="1"/>
  <c r="E1401" i="1"/>
  <c r="D1401" i="1"/>
  <c r="C1401" i="1"/>
  <c r="E1400" i="1"/>
  <c r="D1400" i="1"/>
  <c r="C1400" i="1"/>
  <c r="E1399" i="1"/>
  <c r="B1399" i="1" s="1"/>
  <c r="D1399" i="1"/>
  <c r="C1399" i="1"/>
  <c r="E1398" i="1"/>
  <c r="D1398" i="1"/>
  <c r="C1398" i="1"/>
  <c r="E1397" i="1"/>
  <c r="B1397" i="1" s="1"/>
  <c r="D1397" i="1"/>
  <c r="C1397" i="1"/>
  <c r="E1396" i="1"/>
  <c r="D1396" i="1"/>
  <c r="C1396" i="1"/>
  <c r="E1395" i="1"/>
  <c r="B1395" i="1" s="1"/>
  <c r="D1395" i="1"/>
  <c r="C1395" i="1"/>
  <c r="E1394" i="1"/>
  <c r="D1394" i="1"/>
  <c r="C1394" i="1"/>
  <c r="E1393" i="1"/>
  <c r="D1393" i="1"/>
  <c r="C1393" i="1"/>
  <c r="E1392" i="1"/>
  <c r="D1392" i="1"/>
  <c r="C1392" i="1"/>
  <c r="E1391" i="1"/>
  <c r="B1391" i="1" s="1"/>
  <c r="D1391" i="1"/>
  <c r="C1391" i="1"/>
  <c r="E1390" i="1"/>
  <c r="D1390" i="1"/>
  <c r="C1390" i="1"/>
  <c r="E1389" i="1"/>
  <c r="B1389" i="1" s="1"/>
  <c r="D1389" i="1"/>
  <c r="C1389" i="1"/>
  <c r="E1388" i="1"/>
  <c r="D1388" i="1"/>
  <c r="C1388" i="1"/>
  <c r="E1387" i="1"/>
  <c r="B1387" i="1" s="1"/>
  <c r="D1387" i="1"/>
  <c r="C1387" i="1"/>
  <c r="E1386" i="1"/>
  <c r="D1386" i="1"/>
  <c r="C1386" i="1"/>
  <c r="E1385" i="1"/>
  <c r="D1385" i="1"/>
  <c r="C1385" i="1"/>
  <c r="E1384" i="1"/>
  <c r="D1384" i="1"/>
  <c r="C1384" i="1"/>
  <c r="E1383" i="1"/>
  <c r="B1383" i="1" s="1"/>
  <c r="D1383" i="1"/>
  <c r="C1383" i="1"/>
  <c r="E1382" i="1"/>
  <c r="D1382" i="1"/>
  <c r="C1382" i="1"/>
  <c r="E1381" i="1"/>
  <c r="B1381" i="1" s="1"/>
  <c r="D1381" i="1"/>
  <c r="C1381" i="1"/>
  <c r="E1380" i="1"/>
  <c r="D1380" i="1"/>
  <c r="C1380" i="1"/>
  <c r="E1379" i="1"/>
  <c r="B1379" i="1" s="1"/>
  <c r="D1379" i="1"/>
  <c r="C1379" i="1"/>
  <c r="E1378" i="1"/>
  <c r="D1378" i="1"/>
  <c r="C1378" i="1"/>
  <c r="E1377" i="1"/>
  <c r="D1377" i="1"/>
  <c r="C1377" i="1"/>
  <c r="E1376" i="1"/>
  <c r="D1376" i="1"/>
  <c r="C1376" i="1"/>
  <c r="E1375" i="1"/>
  <c r="B1375" i="1" s="1"/>
  <c r="D1375" i="1"/>
  <c r="C1375" i="1"/>
  <c r="E1374" i="1"/>
  <c r="D1374" i="1"/>
  <c r="C1374" i="1"/>
  <c r="E1373" i="1"/>
  <c r="B1373" i="1" s="1"/>
  <c r="D1373" i="1"/>
  <c r="C1373" i="1"/>
  <c r="E1372" i="1"/>
  <c r="D1372" i="1"/>
  <c r="C1372" i="1"/>
  <c r="E1371" i="1"/>
  <c r="B1371" i="1" s="1"/>
  <c r="D1371" i="1"/>
  <c r="C1371" i="1"/>
  <c r="E1370" i="1"/>
  <c r="D1370" i="1"/>
  <c r="C1370" i="1"/>
  <c r="E1369" i="1"/>
  <c r="D1369" i="1"/>
  <c r="C1369" i="1"/>
  <c r="E1368" i="1"/>
  <c r="D1368" i="1"/>
  <c r="C1368" i="1"/>
  <c r="E1367" i="1"/>
  <c r="B1367" i="1" s="1"/>
  <c r="D1367" i="1"/>
  <c r="C1367" i="1"/>
  <c r="E1366" i="1"/>
  <c r="D1366" i="1"/>
  <c r="C1366" i="1"/>
  <c r="E1365" i="1"/>
  <c r="B1365" i="1" s="1"/>
  <c r="D1365" i="1"/>
  <c r="C1365" i="1"/>
  <c r="E1364" i="1"/>
  <c r="D1364" i="1"/>
  <c r="C1364" i="1"/>
  <c r="E1363" i="1"/>
  <c r="B1363" i="1" s="1"/>
  <c r="D1363" i="1"/>
  <c r="C1363" i="1"/>
  <c r="E1362" i="1"/>
  <c r="D1362" i="1"/>
  <c r="C1362" i="1"/>
  <c r="E1361" i="1"/>
  <c r="D1361" i="1"/>
  <c r="C1361" i="1"/>
  <c r="E1360" i="1"/>
  <c r="D1360" i="1"/>
  <c r="C1360" i="1"/>
  <c r="E1359" i="1"/>
  <c r="B1359" i="1" s="1"/>
  <c r="D1359" i="1"/>
  <c r="C1359" i="1"/>
  <c r="E1358" i="1"/>
  <c r="D1358" i="1"/>
  <c r="C1358" i="1"/>
  <c r="E1357" i="1"/>
  <c r="B1357" i="1" s="1"/>
  <c r="D1357" i="1"/>
  <c r="C1357" i="1"/>
  <c r="E1356" i="1"/>
  <c r="D1356" i="1"/>
  <c r="C1356" i="1"/>
  <c r="E1355" i="1"/>
  <c r="B1355" i="1" s="1"/>
  <c r="D1355" i="1"/>
  <c r="C1355" i="1"/>
  <c r="E1354" i="1"/>
  <c r="D1354" i="1"/>
  <c r="C1354" i="1"/>
  <c r="E1353" i="1"/>
  <c r="D1353" i="1"/>
  <c r="C1353" i="1"/>
  <c r="E1352" i="1"/>
  <c r="D1352" i="1"/>
  <c r="C1352" i="1"/>
  <c r="E1351" i="1"/>
  <c r="B1351" i="1" s="1"/>
  <c r="D1351" i="1"/>
  <c r="C1351" i="1"/>
  <c r="E1350" i="1"/>
  <c r="D1350" i="1"/>
  <c r="C1350" i="1"/>
  <c r="E1349" i="1"/>
  <c r="B1349" i="1" s="1"/>
  <c r="D1349" i="1"/>
  <c r="C1349" i="1"/>
  <c r="E1348" i="1"/>
  <c r="D1348" i="1"/>
  <c r="C1348" i="1"/>
  <c r="E1347" i="1"/>
  <c r="B1347" i="1" s="1"/>
  <c r="D1347" i="1"/>
  <c r="C1347" i="1"/>
  <c r="E1346" i="1"/>
  <c r="D1346" i="1"/>
  <c r="C1346" i="1"/>
  <c r="E1345" i="1"/>
  <c r="D1345" i="1"/>
  <c r="C1345" i="1"/>
  <c r="E1344" i="1"/>
  <c r="D1344" i="1"/>
  <c r="C1344" i="1"/>
  <c r="E1343" i="1"/>
  <c r="B1343" i="1" s="1"/>
  <c r="D1343" i="1"/>
  <c r="C1343" i="1"/>
  <c r="E1342" i="1"/>
  <c r="D1342" i="1"/>
  <c r="C1342" i="1"/>
  <c r="E1341" i="1"/>
  <c r="B1341" i="1" s="1"/>
  <c r="D1341" i="1"/>
  <c r="C1341" i="1"/>
  <c r="E1340" i="1"/>
  <c r="D1340" i="1"/>
  <c r="C1340" i="1"/>
  <c r="E1339" i="1"/>
  <c r="B1339" i="1" s="1"/>
  <c r="D1339" i="1"/>
  <c r="C1339" i="1"/>
  <c r="E1338" i="1"/>
  <c r="D1338" i="1"/>
  <c r="C1338" i="1"/>
  <c r="E1337" i="1"/>
  <c r="D1337" i="1"/>
  <c r="C1337" i="1"/>
  <c r="E1336" i="1"/>
  <c r="D1336" i="1"/>
  <c r="C1336" i="1"/>
  <c r="E1335" i="1"/>
  <c r="B1335" i="1" s="1"/>
  <c r="D1335" i="1"/>
  <c r="C1335" i="1"/>
  <c r="E1334" i="1"/>
  <c r="D1334" i="1"/>
  <c r="C1334" i="1"/>
  <c r="E1333" i="1"/>
  <c r="B1333" i="1" s="1"/>
  <c r="D1333" i="1"/>
  <c r="C1333" i="1"/>
  <c r="E1332" i="1"/>
  <c r="D1332" i="1"/>
  <c r="C1332" i="1"/>
  <c r="E1331" i="1"/>
  <c r="B1331" i="1" s="1"/>
  <c r="D1331" i="1"/>
  <c r="C1331" i="1"/>
  <c r="E1330" i="1"/>
  <c r="D1330" i="1"/>
  <c r="C1330" i="1"/>
  <c r="E1329" i="1"/>
  <c r="D1329" i="1"/>
  <c r="C1329" i="1"/>
  <c r="E1328" i="1"/>
  <c r="D1328" i="1"/>
  <c r="C1328" i="1"/>
  <c r="E1327" i="1"/>
  <c r="B1327" i="1" s="1"/>
  <c r="D1327" i="1"/>
  <c r="C1327" i="1"/>
  <c r="E1326" i="1"/>
  <c r="D1326" i="1"/>
  <c r="C1326" i="1"/>
  <c r="E1325" i="1"/>
  <c r="B1325" i="1" s="1"/>
  <c r="D1325" i="1"/>
  <c r="C1325" i="1"/>
  <c r="E1324" i="1"/>
  <c r="D1324" i="1"/>
  <c r="C1324" i="1"/>
  <c r="E1323" i="1"/>
  <c r="B1323" i="1" s="1"/>
  <c r="D1323" i="1"/>
  <c r="C1323" i="1"/>
  <c r="E1322" i="1"/>
  <c r="D1322" i="1"/>
  <c r="C1322" i="1"/>
  <c r="E1321" i="1"/>
  <c r="D1321" i="1"/>
  <c r="C1321" i="1"/>
  <c r="E1320" i="1"/>
  <c r="D1320" i="1"/>
  <c r="C1320" i="1"/>
  <c r="E1319" i="1"/>
  <c r="B1319" i="1" s="1"/>
  <c r="D1319" i="1"/>
  <c r="C1319" i="1"/>
  <c r="E1318" i="1"/>
  <c r="D1318" i="1"/>
  <c r="C1318" i="1"/>
  <c r="E1317" i="1"/>
  <c r="B1317" i="1" s="1"/>
  <c r="D1317" i="1"/>
  <c r="C1317" i="1"/>
  <c r="E1316" i="1"/>
  <c r="D1316" i="1"/>
  <c r="C1316" i="1"/>
  <c r="E1315" i="1"/>
  <c r="B1315" i="1" s="1"/>
  <c r="D1315" i="1"/>
  <c r="C1315" i="1"/>
  <c r="E1314" i="1"/>
  <c r="D1314" i="1"/>
  <c r="C1314" i="1"/>
  <c r="E1313" i="1"/>
  <c r="D1313" i="1"/>
  <c r="C1313" i="1"/>
  <c r="E1312" i="1"/>
  <c r="D1312" i="1"/>
  <c r="C1312" i="1"/>
  <c r="E1311" i="1"/>
  <c r="B1311" i="1" s="1"/>
  <c r="D1311" i="1"/>
  <c r="C1311" i="1"/>
  <c r="E1310" i="1"/>
  <c r="D1310" i="1"/>
  <c r="C1310" i="1"/>
  <c r="E1309" i="1"/>
  <c r="B1309" i="1" s="1"/>
  <c r="D1309" i="1"/>
  <c r="C1309" i="1"/>
  <c r="E1308" i="1"/>
  <c r="D1308" i="1"/>
  <c r="C1308" i="1"/>
  <c r="E1307" i="1"/>
  <c r="B1307" i="1" s="1"/>
  <c r="D1307" i="1"/>
  <c r="C1307" i="1"/>
  <c r="E1306" i="1"/>
  <c r="D1306" i="1"/>
  <c r="C1306" i="1"/>
  <c r="E1305" i="1"/>
  <c r="D1305" i="1"/>
  <c r="C1305" i="1"/>
  <c r="E1304" i="1"/>
  <c r="D1304" i="1"/>
  <c r="C1304" i="1"/>
  <c r="E1303" i="1"/>
  <c r="B1303" i="1" s="1"/>
  <c r="D1303" i="1"/>
  <c r="C1303" i="1"/>
  <c r="E1302" i="1"/>
  <c r="D1302" i="1"/>
  <c r="C1302" i="1"/>
  <c r="E1301" i="1"/>
  <c r="B1301" i="1" s="1"/>
  <c r="D1301" i="1"/>
  <c r="C1301" i="1"/>
  <c r="E1300" i="1"/>
  <c r="D1300" i="1"/>
  <c r="C1300" i="1"/>
  <c r="E1299" i="1"/>
  <c r="B1299" i="1" s="1"/>
  <c r="D1299" i="1"/>
  <c r="C1299" i="1"/>
  <c r="E1298" i="1"/>
  <c r="D1298" i="1"/>
  <c r="C1298" i="1"/>
  <c r="E1297" i="1"/>
  <c r="D1297" i="1"/>
  <c r="C1297" i="1"/>
  <c r="E1296" i="1"/>
  <c r="D1296" i="1"/>
  <c r="C1296" i="1"/>
  <c r="E1295" i="1"/>
  <c r="B1295" i="1" s="1"/>
  <c r="D1295" i="1"/>
  <c r="C1295" i="1"/>
  <c r="E1294" i="1"/>
  <c r="B1294" i="1" s="1"/>
  <c r="D1294" i="1"/>
  <c r="C1294" i="1"/>
  <c r="E1293" i="1"/>
  <c r="B1293" i="1" s="1"/>
  <c r="D1293" i="1"/>
  <c r="C1293" i="1"/>
  <c r="E1292" i="1"/>
  <c r="D1292" i="1"/>
  <c r="C1292" i="1"/>
  <c r="E1291" i="1"/>
  <c r="B1291" i="1" s="1"/>
  <c r="D1291" i="1"/>
  <c r="C1291" i="1"/>
  <c r="E1290" i="1"/>
  <c r="D1290" i="1"/>
  <c r="C1290" i="1"/>
  <c r="E1289" i="1"/>
  <c r="D1289" i="1"/>
  <c r="C1289" i="1"/>
  <c r="E1288" i="1"/>
  <c r="D1288" i="1"/>
  <c r="C1288" i="1"/>
  <c r="E1287" i="1"/>
  <c r="B1287" i="1" s="1"/>
  <c r="D1287" i="1"/>
  <c r="C1287" i="1"/>
  <c r="E1286" i="1"/>
  <c r="B1286" i="1" s="1"/>
  <c r="D1286" i="1"/>
  <c r="C1286" i="1"/>
  <c r="E1285" i="1"/>
  <c r="B1285" i="1" s="1"/>
  <c r="D1285" i="1"/>
  <c r="C1285" i="1"/>
  <c r="E1284" i="1"/>
  <c r="D1284" i="1"/>
  <c r="C1284" i="1"/>
  <c r="E1283" i="1"/>
  <c r="B1283" i="1" s="1"/>
  <c r="D1283" i="1"/>
  <c r="C1283" i="1"/>
  <c r="E1282" i="1"/>
  <c r="D1282" i="1"/>
  <c r="C1282" i="1"/>
  <c r="E1281" i="1"/>
  <c r="D1281" i="1"/>
  <c r="C1281" i="1"/>
  <c r="E1280" i="1"/>
  <c r="D1280" i="1"/>
  <c r="C1280" i="1"/>
  <c r="E1279" i="1"/>
  <c r="B1279" i="1" s="1"/>
  <c r="D1279" i="1"/>
  <c r="C1279" i="1"/>
  <c r="E1278" i="1"/>
  <c r="B1278" i="1" s="1"/>
  <c r="D1278" i="1"/>
  <c r="C1278" i="1"/>
  <c r="E1277" i="1"/>
  <c r="B1277" i="1" s="1"/>
  <c r="D1277" i="1"/>
  <c r="C1277" i="1"/>
  <c r="E1276" i="1"/>
  <c r="D1276" i="1"/>
  <c r="C1276" i="1"/>
  <c r="E1275" i="1"/>
  <c r="B1275" i="1" s="1"/>
  <c r="D1275" i="1"/>
  <c r="C1275" i="1"/>
  <c r="E1274" i="1"/>
  <c r="D1274" i="1"/>
  <c r="C1274" i="1"/>
  <c r="E1273" i="1"/>
  <c r="D1273" i="1"/>
  <c r="C1273" i="1"/>
  <c r="E1272" i="1"/>
  <c r="D1272" i="1"/>
  <c r="C1272" i="1"/>
  <c r="E1271" i="1"/>
  <c r="B1271" i="1" s="1"/>
  <c r="D1271" i="1"/>
  <c r="C1271" i="1"/>
  <c r="E1270" i="1"/>
  <c r="B1270" i="1" s="1"/>
  <c r="D1270" i="1"/>
  <c r="C1270" i="1"/>
  <c r="E1269" i="1"/>
  <c r="B1269" i="1" s="1"/>
  <c r="D1269" i="1"/>
  <c r="C1269" i="1"/>
  <c r="E1268" i="1"/>
  <c r="D1268" i="1"/>
  <c r="C1268" i="1"/>
  <c r="E1267" i="1"/>
  <c r="B1267" i="1" s="1"/>
  <c r="D1267" i="1"/>
  <c r="C1267" i="1"/>
  <c r="E1266" i="1"/>
  <c r="D1266" i="1"/>
  <c r="C1266" i="1"/>
  <c r="E1265" i="1"/>
  <c r="D1265" i="1"/>
  <c r="C1265" i="1"/>
  <c r="E1264" i="1"/>
  <c r="D1264" i="1"/>
  <c r="C1264" i="1"/>
  <c r="E1263" i="1"/>
  <c r="B1263" i="1" s="1"/>
  <c r="D1263" i="1"/>
  <c r="C1263" i="1"/>
  <c r="E1262" i="1"/>
  <c r="B1262" i="1" s="1"/>
  <c r="D1262" i="1"/>
  <c r="C1262" i="1"/>
  <c r="E1261" i="1"/>
  <c r="B1261" i="1" s="1"/>
  <c r="D1261" i="1"/>
  <c r="C1261" i="1"/>
  <c r="E1260" i="1"/>
  <c r="D1260" i="1"/>
  <c r="C1260" i="1"/>
  <c r="E1259" i="1"/>
  <c r="B1259" i="1" s="1"/>
  <c r="D1259" i="1"/>
  <c r="C1259" i="1"/>
  <c r="E1258" i="1"/>
  <c r="D1258" i="1"/>
  <c r="C1258" i="1"/>
  <c r="E1257" i="1"/>
  <c r="D1257" i="1"/>
  <c r="C1257" i="1"/>
  <c r="E1256" i="1"/>
  <c r="D1256" i="1"/>
  <c r="C1256" i="1"/>
  <c r="E1255" i="1"/>
  <c r="B1255" i="1" s="1"/>
  <c r="D1255" i="1"/>
  <c r="C1255" i="1"/>
  <c r="E1254" i="1"/>
  <c r="B1254" i="1" s="1"/>
  <c r="D1254" i="1"/>
  <c r="C1254" i="1"/>
  <c r="E1253" i="1"/>
  <c r="B1253" i="1" s="1"/>
  <c r="D1253" i="1"/>
  <c r="C1253" i="1"/>
  <c r="E1252" i="1"/>
  <c r="D1252" i="1"/>
  <c r="C1252" i="1"/>
  <c r="E1251" i="1"/>
  <c r="B1251" i="1" s="1"/>
  <c r="D1251" i="1"/>
  <c r="C1251" i="1"/>
  <c r="E1250" i="1"/>
  <c r="D1250" i="1"/>
  <c r="C1250" i="1"/>
  <c r="E1249" i="1"/>
  <c r="D1249" i="1"/>
  <c r="C1249" i="1"/>
  <c r="E1248" i="1"/>
  <c r="D1248" i="1"/>
  <c r="C1248" i="1"/>
  <c r="E1247" i="1"/>
  <c r="B1247" i="1" s="1"/>
  <c r="D1247" i="1"/>
  <c r="C1247" i="1"/>
  <c r="E1246" i="1"/>
  <c r="B1246" i="1" s="1"/>
  <c r="D1246" i="1"/>
  <c r="C1246" i="1"/>
  <c r="E1245" i="1"/>
  <c r="B1245" i="1" s="1"/>
  <c r="D1245" i="1"/>
  <c r="C1245" i="1"/>
  <c r="E1244" i="1"/>
  <c r="D1244" i="1"/>
  <c r="C1244" i="1"/>
  <c r="E1243" i="1"/>
  <c r="B1243" i="1" s="1"/>
  <c r="D1243" i="1"/>
  <c r="C1243" i="1"/>
  <c r="E1242" i="1"/>
  <c r="D1242" i="1"/>
  <c r="C1242" i="1"/>
  <c r="E1241" i="1"/>
  <c r="D1241" i="1"/>
  <c r="C1241" i="1"/>
  <c r="E1240" i="1"/>
  <c r="D1240" i="1"/>
  <c r="C1240" i="1"/>
  <c r="E1239" i="1"/>
  <c r="B1239" i="1" s="1"/>
  <c r="D1239" i="1"/>
  <c r="C1239" i="1"/>
  <c r="E1238" i="1"/>
  <c r="B1238" i="1" s="1"/>
  <c r="D1238" i="1"/>
  <c r="C1238" i="1"/>
  <c r="E1237" i="1"/>
  <c r="B1237" i="1" s="1"/>
  <c r="D1237" i="1"/>
  <c r="C1237" i="1"/>
  <c r="E1236" i="1"/>
  <c r="D1236" i="1"/>
  <c r="C1236" i="1"/>
  <c r="E1235" i="1"/>
  <c r="B1235" i="1" s="1"/>
  <c r="D1235" i="1"/>
  <c r="C1235" i="1"/>
  <c r="E1234" i="1"/>
  <c r="D1234" i="1"/>
  <c r="C1234" i="1"/>
  <c r="E1233" i="1"/>
  <c r="D1233" i="1"/>
  <c r="C1233" i="1"/>
  <c r="E1232" i="1"/>
  <c r="D1232" i="1"/>
  <c r="C1232" i="1"/>
  <c r="E1231" i="1"/>
  <c r="B1231" i="1" s="1"/>
  <c r="D1231" i="1"/>
  <c r="C1231" i="1"/>
  <c r="E1230" i="1"/>
  <c r="B1230" i="1" s="1"/>
  <c r="D1230" i="1"/>
  <c r="C1230" i="1"/>
  <c r="E1229" i="1"/>
  <c r="B1229" i="1" s="1"/>
  <c r="D1229" i="1"/>
  <c r="C1229" i="1"/>
  <c r="E1228" i="1"/>
  <c r="D1228" i="1"/>
  <c r="C1228" i="1"/>
  <c r="E1227" i="1"/>
  <c r="B1227" i="1" s="1"/>
  <c r="D1227" i="1"/>
  <c r="C1227" i="1"/>
  <c r="E1226" i="1"/>
  <c r="D1226" i="1"/>
  <c r="C1226" i="1"/>
  <c r="E1225" i="1"/>
  <c r="D1225" i="1"/>
  <c r="C1225" i="1"/>
  <c r="E1224" i="1"/>
  <c r="D1224" i="1"/>
  <c r="C1224" i="1"/>
  <c r="E1223" i="1"/>
  <c r="B1223" i="1" s="1"/>
  <c r="D1223" i="1"/>
  <c r="C1223" i="1"/>
  <c r="E1222" i="1"/>
  <c r="B1222" i="1" s="1"/>
  <c r="D1222" i="1"/>
  <c r="C1222" i="1"/>
  <c r="E1221" i="1"/>
  <c r="B1221" i="1" s="1"/>
  <c r="D1221" i="1"/>
  <c r="C1221" i="1"/>
  <c r="E1220" i="1"/>
  <c r="D1220" i="1"/>
  <c r="C1220" i="1"/>
  <c r="E1219" i="1"/>
  <c r="B1219" i="1" s="1"/>
  <c r="D1219" i="1"/>
  <c r="C1219" i="1"/>
  <c r="E1218" i="1"/>
  <c r="D1218" i="1"/>
  <c r="C1218" i="1"/>
  <c r="E1217" i="1"/>
  <c r="D1217" i="1"/>
  <c r="C1217" i="1"/>
  <c r="E1216" i="1"/>
  <c r="D1216" i="1"/>
  <c r="C1216" i="1"/>
  <c r="E1215" i="1"/>
  <c r="B1215" i="1" s="1"/>
  <c r="D1215" i="1"/>
  <c r="C1215" i="1"/>
  <c r="E1214" i="1"/>
  <c r="B1214" i="1" s="1"/>
  <c r="D1214" i="1"/>
  <c r="C1214" i="1"/>
  <c r="E1213" i="1"/>
  <c r="B1213" i="1" s="1"/>
  <c r="D1213" i="1"/>
  <c r="C1213" i="1"/>
  <c r="E1212" i="1"/>
  <c r="D1212" i="1"/>
  <c r="C1212" i="1"/>
  <c r="E1211" i="1"/>
  <c r="B1211" i="1" s="1"/>
  <c r="D1211" i="1"/>
  <c r="C1211" i="1"/>
  <c r="E1210" i="1"/>
  <c r="D1210" i="1"/>
  <c r="C1210" i="1"/>
  <c r="E1209" i="1"/>
  <c r="D1209" i="1"/>
  <c r="C1209" i="1"/>
  <c r="E1208" i="1"/>
  <c r="D1208" i="1"/>
  <c r="C1208" i="1"/>
  <c r="E1207" i="1"/>
  <c r="B1207" i="1" s="1"/>
  <c r="D1207" i="1"/>
  <c r="C1207" i="1"/>
  <c r="E1206" i="1"/>
  <c r="B1206" i="1" s="1"/>
  <c r="D1206" i="1"/>
  <c r="C1206" i="1"/>
  <c r="E1205" i="1"/>
  <c r="B1205" i="1" s="1"/>
  <c r="D1205" i="1"/>
  <c r="C1205" i="1"/>
  <c r="E1204" i="1"/>
  <c r="D1204" i="1"/>
  <c r="C1204" i="1"/>
  <c r="E1203" i="1"/>
  <c r="B1203" i="1" s="1"/>
  <c r="D1203" i="1"/>
  <c r="C1203" i="1"/>
  <c r="E1202" i="1"/>
  <c r="D1202" i="1"/>
  <c r="C1202" i="1"/>
  <c r="E1201" i="1"/>
  <c r="D1201" i="1"/>
  <c r="C1201" i="1"/>
  <c r="E1200" i="1"/>
  <c r="D1200" i="1"/>
  <c r="C1200" i="1"/>
  <c r="E1199" i="1"/>
  <c r="B1199" i="1" s="1"/>
  <c r="D1199" i="1"/>
  <c r="C1199" i="1"/>
  <c r="E1198" i="1"/>
  <c r="B1198" i="1" s="1"/>
  <c r="D1198" i="1"/>
  <c r="C1198" i="1"/>
  <c r="E1197" i="1"/>
  <c r="B1197" i="1" s="1"/>
  <c r="D1197" i="1"/>
  <c r="C1197" i="1"/>
  <c r="E1196" i="1"/>
  <c r="D1196" i="1"/>
  <c r="C1196" i="1"/>
  <c r="E1195" i="1"/>
  <c r="B1195" i="1" s="1"/>
  <c r="D1195" i="1"/>
  <c r="C1195" i="1"/>
  <c r="E1194" i="1"/>
  <c r="D1194" i="1"/>
  <c r="C1194" i="1"/>
  <c r="E1193" i="1"/>
  <c r="D1193" i="1"/>
  <c r="C1193" i="1"/>
  <c r="E1192" i="1"/>
  <c r="D1192" i="1"/>
  <c r="C1192" i="1"/>
  <c r="E1191" i="1"/>
  <c r="B1191" i="1" s="1"/>
  <c r="D1191" i="1"/>
  <c r="C1191" i="1"/>
  <c r="E1190" i="1"/>
  <c r="B1190" i="1" s="1"/>
  <c r="D1190" i="1"/>
  <c r="C1190" i="1"/>
  <c r="E1189" i="1"/>
  <c r="B1189" i="1" s="1"/>
  <c r="D1189" i="1"/>
  <c r="C1189" i="1"/>
  <c r="E1188" i="1"/>
  <c r="D1188" i="1"/>
  <c r="C1188" i="1"/>
  <c r="E1187" i="1"/>
  <c r="B1187" i="1" s="1"/>
  <c r="D1187" i="1"/>
  <c r="C1187" i="1"/>
  <c r="E1186" i="1"/>
  <c r="D1186" i="1"/>
  <c r="C1186" i="1"/>
  <c r="E1185" i="1"/>
  <c r="D1185" i="1"/>
  <c r="C1185" i="1"/>
  <c r="E1184" i="1"/>
  <c r="D1184" i="1"/>
  <c r="C1184" i="1"/>
  <c r="E1183" i="1"/>
  <c r="B1183" i="1" s="1"/>
  <c r="D1183" i="1"/>
  <c r="C1183" i="1"/>
  <c r="E1182" i="1"/>
  <c r="B1182" i="1" s="1"/>
  <c r="D1182" i="1"/>
  <c r="C1182" i="1"/>
  <c r="E1181" i="1"/>
  <c r="B1181" i="1" s="1"/>
  <c r="D1181" i="1"/>
  <c r="C1181" i="1"/>
  <c r="E1180" i="1"/>
  <c r="D1180" i="1"/>
  <c r="C1180" i="1"/>
  <c r="E1179" i="1"/>
  <c r="B1179" i="1" s="1"/>
  <c r="D1179" i="1"/>
  <c r="C1179" i="1"/>
  <c r="E1178" i="1"/>
  <c r="D1178" i="1"/>
  <c r="C1178" i="1"/>
  <c r="E1177" i="1"/>
  <c r="D1177" i="1"/>
  <c r="C1177" i="1"/>
  <c r="E1176" i="1"/>
  <c r="D1176" i="1"/>
  <c r="C1176" i="1"/>
  <c r="E1175" i="1"/>
  <c r="B1175" i="1" s="1"/>
  <c r="D1175" i="1"/>
  <c r="C1175" i="1"/>
  <c r="E1174" i="1"/>
  <c r="B1174" i="1" s="1"/>
  <c r="D1174" i="1"/>
  <c r="C1174" i="1"/>
  <c r="E1173" i="1"/>
  <c r="B1173" i="1" s="1"/>
  <c r="D1173" i="1"/>
  <c r="C1173" i="1"/>
  <c r="E1172" i="1"/>
  <c r="D1172" i="1"/>
  <c r="C1172" i="1"/>
  <c r="E1171" i="1"/>
  <c r="B1171" i="1" s="1"/>
  <c r="D1171" i="1"/>
  <c r="C1171" i="1"/>
  <c r="E1170" i="1"/>
  <c r="D1170" i="1"/>
  <c r="C1170" i="1"/>
  <c r="E1169" i="1"/>
  <c r="D1169" i="1"/>
  <c r="C1169" i="1"/>
  <c r="E1168" i="1"/>
  <c r="D1168" i="1"/>
  <c r="C1168" i="1"/>
  <c r="E1167" i="1"/>
  <c r="B1167" i="1" s="1"/>
  <c r="D1167" i="1"/>
  <c r="C1167" i="1"/>
  <c r="E1166" i="1"/>
  <c r="D1166" i="1"/>
  <c r="C1166" i="1"/>
  <c r="E1165" i="1"/>
  <c r="B1165" i="1" s="1"/>
  <c r="D1165" i="1"/>
  <c r="C1165" i="1"/>
  <c r="E1164" i="1"/>
  <c r="D1164" i="1"/>
  <c r="C1164" i="1"/>
  <c r="E1163" i="1"/>
  <c r="B1163" i="1" s="1"/>
  <c r="D1163" i="1"/>
  <c r="C1163" i="1"/>
  <c r="E1162" i="1"/>
  <c r="D1162" i="1"/>
  <c r="C1162" i="1"/>
  <c r="E1161" i="1"/>
  <c r="D1161" i="1"/>
  <c r="C1161" i="1"/>
  <c r="E1160" i="1"/>
  <c r="D1160" i="1"/>
  <c r="C1160" i="1"/>
  <c r="E1159" i="1"/>
  <c r="B1159" i="1" s="1"/>
  <c r="D1159" i="1"/>
  <c r="C1159" i="1"/>
  <c r="E1158" i="1"/>
  <c r="D1158" i="1"/>
  <c r="C1158" i="1"/>
  <c r="E1157" i="1"/>
  <c r="B1157" i="1" s="1"/>
  <c r="D1157" i="1"/>
  <c r="C1157" i="1"/>
  <c r="E1156" i="1"/>
  <c r="D1156" i="1"/>
  <c r="C1156" i="1"/>
  <c r="E1155" i="1"/>
  <c r="B1155" i="1" s="1"/>
  <c r="D1155" i="1"/>
  <c r="C1155" i="1"/>
  <c r="E1154" i="1"/>
  <c r="D1154" i="1"/>
  <c r="C1154" i="1"/>
  <c r="E1153" i="1"/>
  <c r="D1153" i="1"/>
  <c r="C1153" i="1"/>
  <c r="E1152" i="1"/>
  <c r="D1152" i="1"/>
  <c r="C1152" i="1"/>
  <c r="E1151" i="1"/>
  <c r="B1151" i="1" s="1"/>
  <c r="D1151" i="1"/>
  <c r="C1151" i="1"/>
  <c r="E1150" i="1"/>
  <c r="D1150" i="1"/>
  <c r="C1150" i="1"/>
  <c r="E1149" i="1"/>
  <c r="B1149" i="1" s="1"/>
  <c r="D1149" i="1"/>
  <c r="C1149" i="1"/>
  <c r="E1148" i="1"/>
  <c r="D1148" i="1"/>
  <c r="C1148" i="1"/>
  <c r="E1147" i="1"/>
  <c r="B1147" i="1" s="1"/>
  <c r="D1147" i="1"/>
  <c r="C1147" i="1"/>
  <c r="E1146" i="1"/>
  <c r="D1146" i="1"/>
  <c r="C1146" i="1"/>
  <c r="E1145" i="1"/>
  <c r="D1145" i="1"/>
  <c r="C1145" i="1"/>
  <c r="E1144" i="1"/>
  <c r="D1144" i="1"/>
  <c r="C1144" i="1"/>
  <c r="E1143" i="1"/>
  <c r="B1143" i="1" s="1"/>
  <c r="D1143" i="1"/>
  <c r="C1143" i="1"/>
  <c r="E1142" i="1"/>
  <c r="D1142" i="1"/>
  <c r="C1142" i="1"/>
  <c r="E1141" i="1"/>
  <c r="B1141" i="1" s="1"/>
  <c r="D1141" i="1"/>
  <c r="C1141" i="1"/>
  <c r="E1140" i="1"/>
  <c r="D1140" i="1"/>
  <c r="C1140" i="1"/>
  <c r="E1139" i="1"/>
  <c r="B1139" i="1" s="1"/>
  <c r="D1139" i="1"/>
  <c r="C1139" i="1"/>
  <c r="E1138" i="1"/>
  <c r="D1138" i="1"/>
  <c r="C1138" i="1"/>
  <c r="E1137" i="1"/>
  <c r="D1137" i="1"/>
  <c r="C1137" i="1"/>
  <c r="E1136" i="1"/>
  <c r="D1136" i="1"/>
  <c r="C1136" i="1"/>
  <c r="E1135" i="1"/>
  <c r="B1135" i="1" s="1"/>
  <c r="D1135" i="1"/>
  <c r="C1135" i="1"/>
  <c r="E1134" i="1"/>
  <c r="B1134" i="1" s="1"/>
  <c r="D1134" i="1"/>
  <c r="C1134" i="1"/>
  <c r="E1133" i="1"/>
  <c r="B1133" i="1" s="1"/>
  <c r="D1133" i="1"/>
  <c r="C1133" i="1"/>
  <c r="E1132" i="1"/>
  <c r="D1132" i="1"/>
  <c r="C1132" i="1"/>
  <c r="E1131" i="1"/>
  <c r="B1131" i="1" s="1"/>
  <c r="D1131" i="1"/>
  <c r="C1131" i="1"/>
  <c r="E1130" i="1"/>
  <c r="D1130" i="1"/>
  <c r="C1130" i="1"/>
  <c r="E1129" i="1"/>
  <c r="D1129" i="1"/>
  <c r="C1129" i="1"/>
  <c r="E1128" i="1"/>
  <c r="D1128" i="1"/>
  <c r="C1128" i="1"/>
  <c r="E1127" i="1"/>
  <c r="B1127" i="1" s="1"/>
  <c r="D1127" i="1"/>
  <c r="C1127" i="1"/>
  <c r="E1126" i="1"/>
  <c r="B1126" i="1" s="1"/>
  <c r="D1126" i="1"/>
  <c r="C1126" i="1"/>
  <c r="E1125" i="1"/>
  <c r="B1125" i="1" s="1"/>
  <c r="D1125" i="1"/>
  <c r="C1125" i="1"/>
  <c r="E1124" i="1"/>
  <c r="D1124" i="1"/>
  <c r="C1124" i="1"/>
  <c r="E1123" i="1"/>
  <c r="B1123" i="1" s="1"/>
  <c r="D1123" i="1"/>
  <c r="C1123" i="1"/>
  <c r="E1122" i="1"/>
  <c r="D1122" i="1"/>
  <c r="C1122" i="1"/>
  <c r="E1121" i="1"/>
  <c r="D1121" i="1"/>
  <c r="C1121" i="1"/>
  <c r="E1120" i="1"/>
  <c r="D1120" i="1"/>
  <c r="C1120" i="1"/>
  <c r="E1119" i="1"/>
  <c r="B1119" i="1" s="1"/>
  <c r="D1119" i="1"/>
  <c r="C1119" i="1"/>
  <c r="E1118" i="1"/>
  <c r="D1118" i="1"/>
  <c r="C1118" i="1"/>
  <c r="E1117" i="1"/>
  <c r="B1117" i="1" s="1"/>
  <c r="D1117" i="1"/>
  <c r="C1117" i="1"/>
  <c r="E1116" i="1"/>
  <c r="D1116" i="1"/>
  <c r="C1116" i="1"/>
  <c r="E1115" i="1"/>
  <c r="B1115" i="1" s="1"/>
  <c r="D1115" i="1"/>
  <c r="C1115" i="1"/>
  <c r="E1114" i="1"/>
  <c r="D1114" i="1"/>
  <c r="C1114" i="1"/>
  <c r="E1113" i="1"/>
  <c r="D1113" i="1"/>
  <c r="C1113" i="1"/>
  <c r="E1112" i="1"/>
  <c r="D1112" i="1"/>
  <c r="C1112" i="1"/>
  <c r="E1111" i="1"/>
  <c r="B1111" i="1" s="1"/>
  <c r="D1111" i="1"/>
  <c r="C1111" i="1"/>
  <c r="E1110" i="1"/>
  <c r="D1110" i="1"/>
  <c r="C1110" i="1"/>
  <c r="E1109" i="1"/>
  <c r="B1109" i="1" s="1"/>
  <c r="D1109" i="1"/>
  <c r="C1109" i="1"/>
  <c r="E1108" i="1"/>
  <c r="D1108" i="1"/>
  <c r="C1108" i="1"/>
  <c r="E1107" i="1"/>
  <c r="B1107" i="1" s="1"/>
  <c r="D1107" i="1"/>
  <c r="C1107" i="1"/>
  <c r="E1106" i="1"/>
  <c r="D1106" i="1"/>
  <c r="C1106" i="1"/>
  <c r="E1105" i="1"/>
  <c r="D1105" i="1"/>
  <c r="C1105" i="1"/>
  <c r="E1104" i="1"/>
  <c r="D1104" i="1"/>
  <c r="C1104" i="1"/>
  <c r="E1103" i="1"/>
  <c r="B1103" i="1" s="1"/>
  <c r="D1103" i="1"/>
  <c r="C1103" i="1"/>
  <c r="E1102" i="1"/>
  <c r="B1102" i="1" s="1"/>
  <c r="D1102" i="1"/>
  <c r="C1102" i="1"/>
  <c r="E1101" i="1"/>
  <c r="B1101" i="1" s="1"/>
  <c r="D1101" i="1"/>
  <c r="C1101" i="1"/>
  <c r="E1100" i="1"/>
  <c r="D1100" i="1"/>
  <c r="C1100" i="1"/>
  <c r="E1099" i="1"/>
  <c r="B1099" i="1" s="1"/>
  <c r="D1099" i="1"/>
  <c r="C1099" i="1"/>
  <c r="E1098" i="1"/>
  <c r="D1098" i="1"/>
  <c r="C1098" i="1"/>
  <c r="E1097" i="1"/>
  <c r="D1097" i="1"/>
  <c r="C1097" i="1"/>
  <c r="E1096" i="1"/>
  <c r="D1096" i="1"/>
  <c r="C1096" i="1"/>
  <c r="E1095" i="1"/>
  <c r="B1095" i="1" s="1"/>
  <c r="D1095" i="1"/>
  <c r="C1095" i="1"/>
  <c r="E1094" i="1"/>
  <c r="B1094" i="1" s="1"/>
  <c r="D1094" i="1"/>
  <c r="C1094" i="1"/>
  <c r="E1093" i="1"/>
  <c r="B1093" i="1" s="1"/>
  <c r="D1093" i="1"/>
  <c r="C1093" i="1"/>
  <c r="E1092" i="1"/>
  <c r="D1092" i="1"/>
  <c r="C1092" i="1"/>
  <c r="E1091" i="1"/>
  <c r="B1091" i="1" s="1"/>
  <c r="D1091" i="1"/>
  <c r="C1091" i="1"/>
  <c r="E1090" i="1"/>
  <c r="D1090" i="1"/>
  <c r="C1090" i="1"/>
  <c r="E1089" i="1"/>
  <c r="D1089" i="1"/>
  <c r="C1089" i="1"/>
  <c r="E1088" i="1"/>
  <c r="D1088" i="1"/>
  <c r="C1088" i="1"/>
  <c r="E1087" i="1"/>
  <c r="B1087" i="1" s="1"/>
  <c r="D1087" i="1"/>
  <c r="C1087" i="1"/>
  <c r="E1086" i="1"/>
  <c r="B1086" i="1" s="1"/>
  <c r="D1086" i="1"/>
  <c r="C1086" i="1"/>
  <c r="E1085" i="1"/>
  <c r="B1085" i="1" s="1"/>
  <c r="D1085" i="1"/>
  <c r="C1085" i="1"/>
  <c r="E1084" i="1"/>
  <c r="D1084" i="1"/>
  <c r="C1084" i="1"/>
  <c r="E1083" i="1"/>
  <c r="B1083" i="1" s="1"/>
  <c r="D1083" i="1"/>
  <c r="C1083" i="1"/>
  <c r="E1082" i="1"/>
  <c r="D1082" i="1"/>
  <c r="C1082" i="1"/>
  <c r="E1081" i="1"/>
  <c r="D1081" i="1"/>
  <c r="C1081" i="1"/>
  <c r="E1080" i="1"/>
  <c r="D1080" i="1"/>
  <c r="C1080" i="1"/>
  <c r="E1079" i="1"/>
  <c r="B1079" i="1" s="1"/>
  <c r="D1079" i="1"/>
  <c r="C1079" i="1"/>
  <c r="E1078" i="1"/>
  <c r="B1078" i="1" s="1"/>
  <c r="D1078" i="1"/>
  <c r="C1078" i="1"/>
  <c r="E1077" i="1"/>
  <c r="B1077" i="1" s="1"/>
  <c r="D1077" i="1"/>
  <c r="C1077" i="1"/>
  <c r="E1076" i="1"/>
  <c r="D1076" i="1"/>
  <c r="C1076" i="1"/>
  <c r="E1075" i="1"/>
  <c r="B1075" i="1" s="1"/>
  <c r="D1075" i="1"/>
  <c r="C1075" i="1"/>
  <c r="E1074" i="1"/>
  <c r="D1074" i="1"/>
  <c r="C1074" i="1"/>
  <c r="B1074" i="1"/>
  <c r="E1073" i="1"/>
  <c r="B1073" i="1" s="1"/>
  <c r="D1073" i="1"/>
  <c r="C1073" i="1"/>
  <c r="E1072" i="1"/>
  <c r="B1072" i="1" s="1"/>
  <c r="D1072" i="1"/>
  <c r="C1072" i="1"/>
  <c r="E1071" i="1"/>
  <c r="B1071" i="1" s="1"/>
  <c r="D1071" i="1"/>
  <c r="C1071" i="1"/>
  <c r="E1070" i="1"/>
  <c r="D1070" i="1"/>
  <c r="C1070" i="1"/>
  <c r="B1070" i="1"/>
  <c r="E1069" i="1"/>
  <c r="B1069" i="1" s="1"/>
  <c r="D1069" i="1"/>
  <c r="C1069" i="1"/>
  <c r="E1068" i="1"/>
  <c r="B1068" i="1" s="1"/>
  <c r="D1068" i="1"/>
  <c r="C1068" i="1"/>
  <c r="E1067" i="1"/>
  <c r="B1067" i="1" s="1"/>
  <c r="D1067" i="1"/>
  <c r="C1067" i="1"/>
  <c r="E1066" i="1"/>
  <c r="B1066" i="1" s="1"/>
  <c r="D1066" i="1"/>
  <c r="C1066" i="1"/>
  <c r="E1065" i="1"/>
  <c r="B1065" i="1" s="1"/>
  <c r="D1065" i="1"/>
  <c r="C1065" i="1"/>
  <c r="E1064" i="1"/>
  <c r="B1064" i="1" s="1"/>
  <c r="D1064" i="1"/>
  <c r="C1064" i="1"/>
  <c r="E1063" i="1"/>
  <c r="B1063" i="1" s="1"/>
  <c r="D1063" i="1"/>
  <c r="C1063" i="1"/>
  <c r="E1062" i="1"/>
  <c r="D1062" i="1"/>
  <c r="B1062" i="1" s="1"/>
  <c r="C1062" i="1"/>
  <c r="E1061" i="1"/>
  <c r="D1061" i="1"/>
  <c r="C1061" i="1"/>
  <c r="E1060" i="1"/>
  <c r="D1060" i="1"/>
  <c r="C1060" i="1"/>
  <c r="B1060" i="1"/>
  <c r="E1059" i="1"/>
  <c r="B1059" i="1" s="1"/>
  <c r="D1059" i="1"/>
  <c r="C1059" i="1"/>
  <c r="E1058" i="1"/>
  <c r="D1058" i="1"/>
  <c r="C1058" i="1"/>
  <c r="B1058" i="1"/>
  <c r="E1057" i="1"/>
  <c r="B1057" i="1" s="1"/>
  <c r="D1057" i="1"/>
  <c r="C1057" i="1"/>
  <c r="E1056" i="1"/>
  <c r="B1056" i="1" s="1"/>
  <c r="D1056" i="1"/>
  <c r="C1056" i="1"/>
  <c r="E1055" i="1"/>
  <c r="D1055" i="1"/>
  <c r="C1055" i="1"/>
  <c r="E1054" i="1"/>
  <c r="B1054" i="1" s="1"/>
  <c r="D1054" i="1"/>
  <c r="C1054" i="1"/>
  <c r="E1053" i="1"/>
  <c r="D1053" i="1"/>
  <c r="C1053" i="1"/>
  <c r="E1052" i="1"/>
  <c r="B1052" i="1" s="1"/>
  <c r="D1052" i="1"/>
  <c r="C1052" i="1"/>
  <c r="E1051" i="1"/>
  <c r="B1051" i="1" s="1"/>
  <c r="D1051" i="1"/>
  <c r="C1051" i="1"/>
  <c r="E1050" i="1"/>
  <c r="B1050" i="1" s="1"/>
  <c r="D1050" i="1"/>
  <c r="C1050" i="1"/>
  <c r="E1049" i="1"/>
  <c r="D1049" i="1"/>
  <c r="C1049" i="1"/>
  <c r="E1048" i="1"/>
  <c r="B1048" i="1" s="1"/>
  <c r="D1048" i="1"/>
  <c r="C1048" i="1"/>
  <c r="E1047" i="1"/>
  <c r="B1047" i="1" s="1"/>
  <c r="D1047" i="1"/>
  <c r="C1047" i="1"/>
  <c r="E1046" i="1"/>
  <c r="D1046" i="1"/>
  <c r="B1046" i="1" s="1"/>
  <c r="C1046" i="1"/>
  <c r="E1045" i="1"/>
  <c r="D1045" i="1"/>
  <c r="C1045" i="1"/>
  <c r="E1044" i="1"/>
  <c r="D1044" i="1"/>
  <c r="C1044" i="1"/>
  <c r="B1044" i="1"/>
  <c r="E1043" i="1"/>
  <c r="B1043" i="1" s="1"/>
  <c r="D1043" i="1"/>
  <c r="C1043" i="1"/>
  <c r="E1042" i="1"/>
  <c r="D1042" i="1"/>
  <c r="C1042" i="1"/>
  <c r="B1042" i="1"/>
  <c r="E1041" i="1"/>
  <c r="B1041" i="1" s="1"/>
  <c r="D1041" i="1"/>
  <c r="C1041" i="1"/>
  <c r="E1040" i="1"/>
  <c r="B1040" i="1" s="1"/>
  <c r="D1040" i="1"/>
  <c r="C1040" i="1"/>
  <c r="E1039" i="1"/>
  <c r="D1039" i="1"/>
  <c r="C1039" i="1"/>
  <c r="E1038" i="1"/>
  <c r="B1038" i="1" s="1"/>
  <c r="D1038" i="1"/>
  <c r="C1038" i="1"/>
  <c r="E1037" i="1"/>
  <c r="D1037" i="1"/>
  <c r="C1037" i="1"/>
  <c r="E1036" i="1"/>
  <c r="B1036" i="1" s="1"/>
  <c r="D1036" i="1"/>
  <c r="C1036" i="1"/>
  <c r="E1035" i="1"/>
  <c r="B1035" i="1" s="1"/>
  <c r="D1035" i="1"/>
  <c r="C1035" i="1"/>
  <c r="E1034" i="1"/>
  <c r="B1034" i="1" s="1"/>
  <c r="D1034" i="1"/>
  <c r="C1034" i="1"/>
  <c r="E1033" i="1"/>
  <c r="D1033" i="1"/>
  <c r="C1033" i="1"/>
  <c r="E1032" i="1"/>
  <c r="B1032" i="1" s="1"/>
  <c r="D1032" i="1"/>
  <c r="C1032" i="1"/>
  <c r="E1031" i="1"/>
  <c r="B1031" i="1" s="1"/>
  <c r="D1031" i="1"/>
  <c r="C1031" i="1"/>
  <c r="E1030" i="1"/>
  <c r="D1030" i="1"/>
  <c r="B1030" i="1" s="1"/>
  <c r="C1030" i="1"/>
  <c r="E1029" i="1"/>
  <c r="D1029" i="1"/>
  <c r="C1029" i="1"/>
  <c r="E1028" i="1"/>
  <c r="D1028" i="1"/>
  <c r="C1028" i="1"/>
  <c r="B1028" i="1"/>
  <c r="E1027" i="1"/>
  <c r="B1027" i="1" s="1"/>
  <c r="D1027" i="1"/>
  <c r="C1027" i="1"/>
  <c r="E1026" i="1"/>
  <c r="D1026" i="1"/>
  <c r="C1026" i="1"/>
  <c r="B1026" i="1"/>
  <c r="E1025" i="1"/>
  <c r="B1025" i="1" s="1"/>
  <c r="D1025" i="1"/>
  <c r="C1025" i="1"/>
  <c r="E1024" i="1"/>
  <c r="B1024" i="1" s="1"/>
  <c r="D1024" i="1"/>
  <c r="C1024" i="1"/>
  <c r="E1023" i="1"/>
  <c r="B1023" i="1" s="1"/>
  <c r="D1023" i="1"/>
  <c r="C1023" i="1"/>
  <c r="E1022" i="1"/>
  <c r="B1022" i="1" s="1"/>
  <c r="D1022" i="1"/>
  <c r="C1022" i="1"/>
  <c r="E1021" i="1"/>
  <c r="D1021" i="1"/>
  <c r="C1021" i="1"/>
  <c r="E1020" i="1"/>
  <c r="B1020" i="1" s="1"/>
  <c r="D1020" i="1"/>
  <c r="C1020" i="1"/>
  <c r="E1019" i="1"/>
  <c r="B1019" i="1" s="1"/>
  <c r="D1019" i="1"/>
  <c r="C1019" i="1"/>
  <c r="E1018" i="1"/>
  <c r="D1018" i="1"/>
  <c r="B1018" i="1" s="1"/>
  <c r="C1018" i="1"/>
  <c r="E1017" i="1"/>
  <c r="D1017" i="1"/>
  <c r="C1017" i="1"/>
  <c r="E1016" i="1"/>
  <c r="B1016" i="1" s="1"/>
  <c r="D1016" i="1"/>
  <c r="C1016" i="1"/>
  <c r="E1015" i="1"/>
  <c r="B1015" i="1" s="1"/>
  <c r="D1015" i="1"/>
  <c r="C1015" i="1"/>
  <c r="E1014" i="1"/>
  <c r="D1014" i="1"/>
  <c r="C1014" i="1"/>
  <c r="B1014" i="1"/>
  <c r="E1013" i="1"/>
  <c r="D1013" i="1"/>
  <c r="C1013" i="1"/>
  <c r="E1012" i="1"/>
  <c r="D1012" i="1"/>
  <c r="C1012" i="1"/>
  <c r="B1012" i="1"/>
  <c r="E1011" i="1"/>
  <c r="B1011" i="1" s="1"/>
  <c r="D1011" i="1"/>
  <c r="C1011" i="1"/>
  <c r="E1010" i="1"/>
  <c r="D1010" i="1"/>
  <c r="C1010" i="1"/>
  <c r="B1010" i="1"/>
  <c r="E1009" i="1"/>
  <c r="D1009" i="1"/>
  <c r="C1009" i="1"/>
  <c r="E1008" i="1"/>
  <c r="B1008" i="1" s="1"/>
  <c r="D1008" i="1"/>
  <c r="C1008" i="1"/>
  <c r="E1007" i="1"/>
  <c r="B1007" i="1" s="1"/>
  <c r="D1007" i="1"/>
  <c r="C1007" i="1"/>
  <c r="E1006" i="1"/>
  <c r="B1006" i="1" s="1"/>
  <c r="D1006" i="1"/>
  <c r="C1006" i="1"/>
  <c r="E1005" i="1"/>
  <c r="D1005" i="1"/>
  <c r="C1005" i="1"/>
  <c r="E1004" i="1"/>
  <c r="B1004" i="1" s="1"/>
  <c r="D1004" i="1"/>
  <c r="C1004" i="1"/>
  <c r="E1003" i="1"/>
  <c r="B1003" i="1" s="1"/>
  <c r="D1003" i="1"/>
  <c r="C1003" i="1"/>
  <c r="E1002" i="1"/>
  <c r="D1002" i="1"/>
  <c r="B1002" i="1" s="1"/>
  <c r="C1002" i="1"/>
  <c r="E1001" i="1"/>
  <c r="D1001" i="1"/>
  <c r="C1001" i="1"/>
  <c r="B1001" i="1"/>
  <c r="E1000" i="1"/>
  <c r="D1000" i="1"/>
  <c r="B1000" i="1" s="1"/>
  <c r="C1000" i="1"/>
  <c r="E999" i="1"/>
  <c r="D999" i="1"/>
  <c r="C999" i="1"/>
  <c r="B999" i="1"/>
  <c r="E998" i="1"/>
  <c r="D998" i="1"/>
  <c r="B998" i="1" s="1"/>
  <c r="C998" i="1"/>
  <c r="E997" i="1"/>
  <c r="D997" i="1"/>
  <c r="C997" i="1"/>
  <c r="B997" i="1"/>
  <c r="E996" i="1"/>
  <c r="B996" i="1" s="1"/>
  <c r="D996" i="1"/>
  <c r="C996" i="1"/>
  <c r="E995" i="1"/>
  <c r="D995" i="1"/>
  <c r="C995" i="1"/>
  <c r="B995" i="1"/>
  <c r="E994" i="1"/>
  <c r="B994" i="1" s="1"/>
  <c r="D994" i="1"/>
  <c r="C994" i="1"/>
  <c r="E993" i="1"/>
  <c r="D993" i="1"/>
  <c r="C993" i="1"/>
  <c r="B993" i="1"/>
  <c r="E992" i="1"/>
  <c r="B992" i="1" s="1"/>
  <c r="D992" i="1"/>
  <c r="C992" i="1"/>
  <c r="E991" i="1"/>
  <c r="D991" i="1"/>
  <c r="C991" i="1"/>
  <c r="B991" i="1"/>
  <c r="E990" i="1"/>
  <c r="B990" i="1" s="1"/>
  <c r="D990" i="1"/>
  <c r="C990" i="1"/>
  <c r="E989" i="1"/>
  <c r="D989" i="1"/>
  <c r="C989" i="1"/>
  <c r="B989" i="1"/>
  <c r="E988" i="1"/>
  <c r="B988" i="1" s="1"/>
  <c r="D988" i="1"/>
  <c r="C988" i="1"/>
  <c r="E987" i="1"/>
  <c r="D987" i="1"/>
  <c r="C987" i="1"/>
  <c r="B987" i="1"/>
  <c r="E986" i="1"/>
  <c r="B986" i="1" s="1"/>
  <c r="D986" i="1"/>
  <c r="C986" i="1"/>
  <c r="E985" i="1"/>
  <c r="D985" i="1"/>
  <c r="C985" i="1"/>
  <c r="B985" i="1"/>
  <c r="E984" i="1"/>
  <c r="B984" i="1" s="1"/>
  <c r="D984" i="1"/>
  <c r="C984" i="1"/>
  <c r="E983" i="1"/>
  <c r="D983" i="1"/>
  <c r="C983" i="1"/>
  <c r="B983" i="1"/>
  <c r="E982" i="1"/>
  <c r="B982" i="1" s="1"/>
  <c r="D982" i="1"/>
  <c r="C982" i="1"/>
  <c r="E981" i="1"/>
  <c r="D981" i="1"/>
  <c r="C981" i="1"/>
  <c r="B981" i="1"/>
  <c r="E980" i="1"/>
  <c r="B980" i="1" s="1"/>
  <c r="D980" i="1"/>
  <c r="C980" i="1"/>
  <c r="E979" i="1"/>
  <c r="D979" i="1"/>
  <c r="C979" i="1"/>
  <c r="B979" i="1"/>
  <c r="E978" i="1"/>
  <c r="B978" i="1" s="1"/>
  <c r="D978" i="1"/>
  <c r="C978" i="1"/>
  <c r="E977" i="1"/>
  <c r="D977" i="1"/>
  <c r="C977" i="1"/>
  <c r="B977" i="1"/>
  <c r="E976" i="1"/>
  <c r="B976" i="1" s="1"/>
  <c r="D976" i="1"/>
  <c r="C976" i="1"/>
  <c r="E975" i="1"/>
  <c r="D975" i="1"/>
  <c r="C975" i="1"/>
  <c r="B975" i="1"/>
  <c r="E974" i="1"/>
  <c r="B974" i="1" s="1"/>
  <c r="D974" i="1"/>
  <c r="C974" i="1"/>
  <c r="E973" i="1"/>
  <c r="D973" i="1"/>
  <c r="C973" i="1"/>
  <c r="B973" i="1"/>
  <c r="E972" i="1"/>
  <c r="B972" i="1" s="1"/>
  <c r="D972" i="1"/>
  <c r="C972" i="1"/>
  <c r="E971" i="1"/>
  <c r="D971" i="1"/>
  <c r="C971" i="1"/>
  <c r="B971" i="1"/>
  <c r="E970" i="1"/>
  <c r="B970" i="1" s="1"/>
  <c r="D970" i="1"/>
  <c r="C970" i="1"/>
  <c r="E969" i="1"/>
  <c r="D969" i="1"/>
  <c r="C969" i="1"/>
  <c r="B969" i="1"/>
  <c r="E968" i="1"/>
  <c r="B968" i="1" s="1"/>
  <c r="D968" i="1"/>
  <c r="C968" i="1"/>
  <c r="E967" i="1"/>
  <c r="D967" i="1"/>
  <c r="C967" i="1"/>
  <c r="B967" i="1"/>
  <c r="E966" i="1"/>
  <c r="B966" i="1" s="1"/>
  <c r="D966" i="1"/>
  <c r="C966" i="1"/>
  <c r="E965" i="1"/>
  <c r="D965" i="1"/>
  <c r="B965" i="1" s="1"/>
  <c r="C965" i="1"/>
  <c r="E964" i="1"/>
  <c r="B964" i="1" s="1"/>
  <c r="D964" i="1"/>
  <c r="C964" i="1"/>
  <c r="E963" i="1"/>
  <c r="D963" i="1"/>
  <c r="B963" i="1" s="1"/>
  <c r="C963" i="1"/>
  <c r="E962" i="1"/>
  <c r="B962" i="1" s="1"/>
  <c r="D962" i="1"/>
  <c r="C962" i="1"/>
  <c r="E961" i="1"/>
  <c r="B961" i="1" s="1"/>
  <c r="D961" i="1"/>
  <c r="C961" i="1"/>
  <c r="E960" i="1"/>
  <c r="B960" i="1" s="1"/>
  <c r="D960" i="1"/>
  <c r="C960" i="1"/>
  <c r="E959" i="1"/>
  <c r="B959" i="1" s="1"/>
  <c r="D959" i="1"/>
  <c r="C959" i="1"/>
  <c r="E958" i="1"/>
  <c r="B958" i="1" s="1"/>
  <c r="D958" i="1"/>
  <c r="C958" i="1"/>
  <c r="E957" i="1"/>
  <c r="B957" i="1" s="1"/>
  <c r="D957" i="1"/>
  <c r="C957" i="1"/>
  <c r="E956" i="1"/>
  <c r="B956" i="1" s="1"/>
  <c r="D956" i="1"/>
  <c r="C956" i="1"/>
  <c r="E955" i="1"/>
  <c r="B955" i="1" s="1"/>
  <c r="D955" i="1"/>
  <c r="C955" i="1"/>
  <c r="E954" i="1"/>
  <c r="D954" i="1"/>
  <c r="C954" i="1"/>
  <c r="E953" i="1"/>
  <c r="B953" i="1" s="1"/>
  <c r="D953" i="1"/>
  <c r="C953" i="1"/>
  <c r="E952" i="1"/>
  <c r="D952" i="1"/>
  <c r="C952" i="1"/>
  <c r="E951" i="1"/>
  <c r="B951" i="1" s="1"/>
  <c r="D951" i="1"/>
  <c r="C951" i="1"/>
  <c r="E950" i="1"/>
  <c r="D950" i="1"/>
  <c r="C950" i="1"/>
  <c r="E949" i="1"/>
  <c r="B949" i="1" s="1"/>
  <c r="D949" i="1"/>
  <c r="C949" i="1"/>
  <c r="E948" i="1"/>
  <c r="B948" i="1" s="1"/>
  <c r="D948" i="1"/>
  <c r="C948" i="1"/>
  <c r="E947" i="1"/>
  <c r="B947" i="1" s="1"/>
  <c r="D947" i="1"/>
  <c r="C947" i="1"/>
  <c r="E946" i="1"/>
  <c r="D946" i="1"/>
  <c r="C946" i="1"/>
  <c r="E945" i="1"/>
  <c r="B945" i="1" s="1"/>
  <c r="D945" i="1"/>
  <c r="C945" i="1"/>
  <c r="E944" i="1"/>
  <c r="D944" i="1"/>
  <c r="C944" i="1"/>
  <c r="E943" i="1"/>
  <c r="B943" i="1" s="1"/>
  <c r="D943" i="1"/>
  <c r="C943" i="1"/>
  <c r="E942" i="1"/>
  <c r="D942" i="1"/>
  <c r="C942" i="1"/>
  <c r="E941" i="1"/>
  <c r="B941" i="1" s="1"/>
  <c r="D941" i="1"/>
  <c r="C941" i="1"/>
  <c r="E940" i="1"/>
  <c r="B940" i="1" s="1"/>
  <c r="D940" i="1"/>
  <c r="C940" i="1"/>
  <c r="E939" i="1"/>
  <c r="B939" i="1" s="1"/>
  <c r="D939" i="1"/>
  <c r="C939" i="1"/>
  <c r="E938" i="1"/>
  <c r="D938" i="1"/>
  <c r="C938" i="1"/>
  <c r="E937" i="1"/>
  <c r="B937" i="1" s="1"/>
  <c r="D937" i="1"/>
  <c r="C937" i="1"/>
  <c r="E936" i="1"/>
  <c r="D936" i="1"/>
  <c r="C936" i="1"/>
  <c r="E935" i="1"/>
  <c r="B935" i="1" s="1"/>
  <c r="D935" i="1"/>
  <c r="C935" i="1"/>
  <c r="E934" i="1"/>
  <c r="D934" i="1"/>
  <c r="C934" i="1"/>
  <c r="E933" i="1"/>
  <c r="B933" i="1" s="1"/>
  <c r="D933" i="1"/>
  <c r="C933" i="1"/>
  <c r="E932" i="1"/>
  <c r="B932" i="1" s="1"/>
  <c r="D932" i="1"/>
  <c r="C932" i="1"/>
  <c r="E931" i="1"/>
  <c r="B931" i="1" s="1"/>
  <c r="D931" i="1"/>
  <c r="C931" i="1"/>
  <c r="E930" i="1"/>
  <c r="D930" i="1"/>
  <c r="C930" i="1"/>
  <c r="E929" i="1"/>
  <c r="B929" i="1" s="1"/>
  <c r="D929" i="1"/>
  <c r="C929" i="1"/>
  <c r="E928" i="1"/>
  <c r="D928" i="1"/>
  <c r="C928" i="1"/>
  <c r="E927" i="1"/>
  <c r="B927" i="1" s="1"/>
  <c r="D927" i="1"/>
  <c r="C927" i="1"/>
  <c r="E926" i="1"/>
  <c r="D926" i="1"/>
  <c r="C926" i="1"/>
  <c r="E925" i="1"/>
  <c r="B925" i="1" s="1"/>
  <c r="D925" i="1"/>
  <c r="C925" i="1"/>
  <c r="E924" i="1"/>
  <c r="B924" i="1" s="1"/>
  <c r="D924" i="1"/>
  <c r="C924" i="1"/>
  <c r="E923" i="1"/>
  <c r="B923" i="1" s="1"/>
  <c r="D923" i="1"/>
  <c r="C923" i="1"/>
  <c r="E922" i="1"/>
  <c r="D922" i="1"/>
  <c r="C922" i="1"/>
  <c r="E921" i="1"/>
  <c r="B921" i="1" s="1"/>
  <c r="D921" i="1"/>
  <c r="C921" i="1"/>
  <c r="E920" i="1"/>
  <c r="D920" i="1"/>
  <c r="C920" i="1"/>
  <c r="E919" i="1"/>
  <c r="B919" i="1" s="1"/>
  <c r="D919" i="1"/>
  <c r="C919" i="1"/>
  <c r="E918" i="1"/>
  <c r="D918" i="1"/>
  <c r="C918" i="1"/>
  <c r="E917" i="1"/>
  <c r="B917" i="1" s="1"/>
  <c r="D917" i="1"/>
  <c r="C917" i="1"/>
  <c r="E916" i="1"/>
  <c r="B916" i="1" s="1"/>
  <c r="D916" i="1"/>
  <c r="C916" i="1"/>
  <c r="E915" i="1"/>
  <c r="B915" i="1" s="1"/>
  <c r="D915" i="1"/>
  <c r="C915" i="1"/>
  <c r="E914" i="1"/>
  <c r="D914" i="1"/>
  <c r="C914" i="1"/>
  <c r="E913" i="1"/>
  <c r="B913" i="1" s="1"/>
  <c r="D913" i="1"/>
  <c r="C913" i="1"/>
  <c r="E912" i="1"/>
  <c r="D912" i="1"/>
  <c r="C912" i="1"/>
  <c r="E911" i="1"/>
  <c r="D911" i="1"/>
  <c r="C911" i="1"/>
  <c r="E910" i="1"/>
  <c r="D910" i="1"/>
  <c r="C910" i="1"/>
  <c r="E909" i="1"/>
  <c r="B909" i="1" s="1"/>
  <c r="D909" i="1"/>
  <c r="C909" i="1"/>
  <c r="E908" i="1"/>
  <c r="B908" i="1" s="1"/>
  <c r="D908" i="1"/>
  <c r="C908" i="1"/>
  <c r="E907" i="1"/>
  <c r="B907" i="1" s="1"/>
  <c r="D907" i="1"/>
  <c r="C907" i="1"/>
  <c r="E906" i="1"/>
  <c r="D906" i="1"/>
  <c r="C906" i="1"/>
  <c r="E905" i="1"/>
  <c r="B905" i="1" s="1"/>
  <c r="D905" i="1"/>
  <c r="C905" i="1"/>
  <c r="E904" i="1"/>
  <c r="D904" i="1"/>
  <c r="C904" i="1"/>
  <c r="E903" i="1"/>
  <c r="D903" i="1"/>
  <c r="C903" i="1"/>
  <c r="E902" i="1"/>
  <c r="D902" i="1"/>
  <c r="C902" i="1"/>
  <c r="E901" i="1"/>
  <c r="B901" i="1" s="1"/>
  <c r="D901" i="1"/>
  <c r="C901" i="1"/>
  <c r="E900" i="1"/>
  <c r="B900" i="1" s="1"/>
  <c r="D900" i="1"/>
  <c r="C900" i="1"/>
  <c r="E899" i="1"/>
  <c r="B899" i="1" s="1"/>
  <c r="D899" i="1"/>
  <c r="C899" i="1"/>
  <c r="E898" i="1"/>
  <c r="D898" i="1"/>
  <c r="C898" i="1"/>
  <c r="E897" i="1"/>
  <c r="B897" i="1" s="1"/>
  <c r="D897" i="1"/>
  <c r="C897" i="1"/>
  <c r="E896" i="1"/>
  <c r="D896" i="1"/>
  <c r="C896" i="1"/>
  <c r="E895" i="1"/>
  <c r="D895" i="1"/>
  <c r="C895" i="1"/>
  <c r="E894" i="1"/>
  <c r="D894" i="1"/>
  <c r="C894" i="1"/>
  <c r="E893" i="1"/>
  <c r="B893" i="1" s="1"/>
  <c r="D893" i="1"/>
  <c r="C893" i="1"/>
  <c r="E892" i="1"/>
  <c r="B892" i="1" s="1"/>
  <c r="D892" i="1"/>
  <c r="C892" i="1"/>
  <c r="E891" i="1"/>
  <c r="B891" i="1" s="1"/>
  <c r="D891" i="1"/>
  <c r="C891" i="1"/>
  <c r="E890" i="1"/>
  <c r="D890" i="1"/>
  <c r="C890" i="1"/>
  <c r="E889" i="1"/>
  <c r="B889" i="1" s="1"/>
  <c r="D889" i="1"/>
  <c r="C889" i="1"/>
  <c r="E888" i="1"/>
  <c r="D888" i="1"/>
  <c r="C888" i="1"/>
  <c r="E887" i="1"/>
  <c r="D887" i="1"/>
  <c r="C887" i="1"/>
  <c r="E886" i="1"/>
  <c r="D886" i="1"/>
  <c r="C886" i="1"/>
  <c r="E885" i="1"/>
  <c r="B885" i="1" s="1"/>
  <c r="D885" i="1"/>
  <c r="C885" i="1"/>
  <c r="E884" i="1"/>
  <c r="B884" i="1" s="1"/>
  <c r="D884" i="1"/>
  <c r="C884" i="1"/>
  <c r="E883" i="1"/>
  <c r="B883" i="1" s="1"/>
  <c r="D883" i="1"/>
  <c r="C883" i="1"/>
  <c r="E882" i="1"/>
  <c r="D882" i="1"/>
  <c r="C882" i="1"/>
  <c r="E881" i="1"/>
  <c r="B881" i="1" s="1"/>
  <c r="D881" i="1"/>
  <c r="C881" i="1"/>
  <c r="E880" i="1"/>
  <c r="D880" i="1"/>
  <c r="C880" i="1"/>
  <c r="E879" i="1"/>
  <c r="D879" i="1"/>
  <c r="C879" i="1"/>
  <c r="E878" i="1"/>
  <c r="D878" i="1"/>
  <c r="C878" i="1"/>
  <c r="E877" i="1"/>
  <c r="B877" i="1" s="1"/>
  <c r="D877" i="1"/>
  <c r="C877" i="1"/>
  <c r="E876" i="1"/>
  <c r="B876" i="1" s="1"/>
  <c r="D876" i="1"/>
  <c r="C876" i="1"/>
  <c r="E875" i="1"/>
  <c r="B875" i="1" s="1"/>
  <c r="D875" i="1"/>
  <c r="C875" i="1"/>
  <c r="E874" i="1"/>
  <c r="D874" i="1"/>
  <c r="C874" i="1"/>
  <c r="E873" i="1"/>
  <c r="B873" i="1" s="1"/>
  <c r="D873" i="1"/>
  <c r="C873" i="1"/>
  <c r="E872" i="1"/>
  <c r="D872" i="1"/>
  <c r="C872" i="1"/>
  <c r="E871" i="1"/>
  <c r="D871" i="1"/>
  <c r="C871" i="1"/>
  <c r="E870" i="1"/>
  <c r="D870" i="1"/>
  <c r="C870" i="1"/>
  <c r="E869" i="1"/>
  <c r="B869" i="1" s="1"/>
  <c r="D869" i="1"/>
  <c r="C869" i="1"/>
  <c r="E868" i="1"/>
  <c r="B868" i="1" s="1"/>
  <c r="D868" i="1"/>
  <c r="C868" i="1"/>
  <c r="E867" i="1"/>
  <c r="B867" i="1" s="1"/>
  <c r="D867" i="1"/>
  <c r="C867" i="1"/>
  <c r="E866" i="1"/>
  <c r="D866" i="1"/>
  <c r="C866" i="1"/>
  <c r="E865" i="1"/>
  <c r="B865" i="1" s="1"/>
  <c r="D865" i="1"/>
  <c r="C865" i="1"/>
  <c r="E864" i="1"/>
  <c r="D864" i="1"/>
  <c r="C864" i="1"/>
  <c r="E863" i="1"/>
  <c r="D863" i="1"/>
  <c r="C863" i="1"/>
  <c r="E862" i="1"/>
  <c r="D862" i="1"/>
  <c r="C862" i="1"/>
  <c r="E861" i="1"/>
  <c r="B861" i="1" s="1"/>
  <c r="D861" i="1"/>
  <c r="C861" i="1"/>
  <c r="E860" i="1"/>
  <c r="B860" i="1" s="1"/>
  <c r="D860" i="1"/>
  <c r="C860" i="1"/>
  <c r="E859" i="1"/>
  <c r="B859" i="1" s="1"/>
  <c r="D859" i="1"/>
  <c r="C859" i="1"/>
  <c r="E858" i="1"/>
  <c r="D858" i="1"/>
  <c r="C858" i="1"/>
  <c r="E857" i="1"/>
  <c r="B857" i="1" s="1"/>
  <c r="D857" i="1"/>
  <c r="C857" i="1"/>
  <c r="E856" i="1"/>
  <c r="D856" i="1"/>
  <c r="C856" i="1"/>
  <c r="E855" i="1"/>
  <c r="D855" i="1"/>
  <c r="C855" i="1"/>
  <c r="E854" i="1"/>
  <c r="D854" i="1"/>
  <c r="C854" i="1"/>
  <c r="E853" i="1"/>
  <c r="B853" i="1" s="1"/>
  <c r="D853" i="1"/>
  <c r="C853" i="1"/>
  <c r="E852" i="1"/>
  <c r="B852" i="1" s="1"/>
  <c r="D852" i="1"/>
  <c r="C852" i="1"/>
  <c r="E851" i="1"/>
  <c r="B851" i="1" s="1"/>
  <c r="D851" i="1"/>
  <c r="C851" i="1"/>
  <c r="E850" i="1"/>
  <c r="D850" i="1"/>
  <c r="C850" i="1"/>
  <c r="E849" i="1"/>
  <c r="B849" i="1" s="1"/>
  <c r="D849" i="1"/>
  <c r="C849" i="1"/>
  <c r="E848" i="1"/>
  <c r="D848" i="1"/>
  <c r="C848" i="1"/>
  <c r="E847" i="1"/>
  <c r="D847" i="1"/>
  <c r="C847" i="1"/>
  <c r="E846" i="1"/>
  <c r="D846" i="1"/>
  <c r="C846" i="1"/>
  <c r="E845" i="1"/>
  <c r="B845" i="1" s="1"/>
  <c r="D845" i="1"/>
  <c r="C845" i="1"/>
  <c r="E844" i="1"/>
  <c r="B844" i="1" s="1"/>
  <c r="D844" i="1"/>
  <c r="C844" i="1"/>
  <c r="E843" i="1"/>
  <c r="B843" i="1" s="1"/>
  <c r="D843" i="1"/>
  <c r="C843" i="1"/>
  <c r="E842" i="1"/>
  <c r="D842" i="1"/>
  <c r="C842" i="1"/>
  <c r="E841" i="1"/>
  <c r="B841" i="1" s="1"/>
  <c r="D841" i="1"/>
  <c r="C841" i="1"/>
  <c r="E840" i="1"/>
  <c r="D840" i="1"/>
  <c r="C840" i="1"/>
  <c r="E839" i="1"/>
  <c r="D839" i="1"/>
  <c r="C839" i="1"/>
  <c r="E838" i="1"/>
  <c r="D838" i="1"/>
  <c r="C838" i="1"/>
  <c r="E837" i="1"/>
  <c r="B837" i="1" s="1"/>
  <c r="D837" i="1"/>
  <c r="C837" i="1"/>
  <c r="E836" i="1"/>
  <c r="B836" i="1" s="1"/>
  <c r="D836" i="1"/>
  <c r="C836" i="1"/>
  <c r="E835" i="1"/>
  <c r="B835" i="1" s="1"/>
  <c r="D835" i="1"/>
  <c r="C835" i="1"/>
  <c r="E834" i="1"/>
  <c r="D834" i="1"/>
  <c r="C834" i="1"/>
  <c r="E833" i="1"/>
  <c r="B833" i="1" s="1"/>
  <c r="D833" i="1"/>
  <c r="C833" i="1"/>
  <c r="E832" i="1"/>
  <c r="D832" i="1"/>
  <c r="C832" i="1"/>
  <c r="E831" i="1"/>
  <c r="D831" i="1"/>
  <c r="C831" i="1"/>
  <c r="E830" i="1"/>
  <c r="D830" i="1"/>
  <c r="C830" i="1"/>
  <c r="E829" i="1"/>
  <c r="B829" i="1" s="1"/>
  <c r="D829" i="1"/>
  <c r="C829" i="1"/>
  <c r="E828" i="1"/>
  <c r="B828" i="1" s="1"/>
  <c r="D828" i="1"/>
  <c r="C828" i="1"/>
  <c r="E827" i="1"/>
  <c r="B827" i="1" s="1"/>
  <c r="D827" i="1"/>
  <c r="C827" i="1"/>
  <c r="E826" i="1"/>
  <c r="D826" i="1"/>
  <c r="C826" i="1"/>
  <c r="E825" i="1"/>
  <c r="B825" i="1" s="1"/>
  <c r="D825" i="1"/>
  <c r="C825" i="1"/>
  <c r="E824" i="1"/>
  <c r="D824" i="1"/>
  <c r="C824" i="1"/>
  <c r="E823" i="1"/>
  <c r="D823" i="1"/>
  <c r="C823" i="1"/>
  <c r="E822" i="1"/>
  <c r="D822" i="1"/>
  <c r="C822" i="1"/>
  <c r="E821" i="1"/>
  <c r="B821" i="1" s="1"/>
  <c r="D821" i="1"/>
  <c r="C821" i="1"/>
  <c r="E820" i="1"/>
  <c r="B820" i="1" s="1"/>
  <c r="D820" i="1"/>
  <c r="C820" i="1"/>
  <c r="E819" i="1"/>
  <c r="B819" i="1" s="1"/>
  <c r="D819" i="1"/>
  <c r="C819" i="1"/>
  <c r="E818" i="1"/>
  <c r="D818" i="1"/>
  <c r="C818" i="1"/>
  <c r="E817" i="1"/>
  <c r="B817" i="1" s="1"/>
  <c r="D817" i="1"/>
  <c r="C817" i="1"/>
  <c r="E816" i="1"/>
  <c r="D816" i="1"/>
  <c r="C816" i="1"/>
  <c r="E815" i="1"/>
  <c r="D815" i="1"/>
  <c r="C815" i="1"/>
  <c r="E814" i="1"/>
  <c r="D814" i="1"/>
  <c r="C814" i="1"/>
  <c r="E813" i="1"/>
  <c r="B813" i="1" s="1"/>
  <c r="D813" i="1"/>
  <c r="C813" i="1"/>
  <c r="E812" i="1"/>
  <c r="B812" i="1" s="1"/>
  <c r="D812" i="1"/>
  <c r="C812" i="1"/>
  <c r="E811" i="1"/>
  <c r="B811" i="1" s="1"/>
  <c r="D811" i="1"/>
  <c r="C811" i="1"/>
  <c r="E810" i="1"/>
  <c r="D810" i="1"/>
  <c r="C810" i="1"/>
  <c r="E809" i="1"/>
  <c r="B809" i="1" s="1"/>
  <c r="D809" i="1"/>
  <c r="C809" i="1"/>
  <c r="E808" i="1"/>
  <c r="D808" i="1"/>
  <c r="C808" i="1"/>
  <c r="E807" i="1"/>
  <c r="D807" i="1"/>
  <c r="C807" i="1"/>
  <c r="E806" i="1"/>
  <c r="D806" i="1"/>
  <c r="C806" i="1"/>
  <c r="E805" i="1"/>
  <c r="B805" i="1" s="1"/>
  <c r="D805" i="1"/>
  <c r="C805" i="1"/>
  <c r="E804" i="1"/>
  <c r="B804" i="1" s="1"/>
  <c r="D804" i="1"/>
  <c r="C804" i="1"/>
  <c r="E803" i="1"/>
  <c r="B803" i="1" s="1"/>
  <c r="D803" i="1"/>
  <c r="C803" i="1"/>
  <c r="E802" i="1"/>
  <c r="D802" i="1"/>
  <c r="C802" i="1"/>
  <c r="E801" i="1"/>
  <c r="B801" i="1" s="1"/>
  <c r="D801" i="1"/>
  <c r="C801" i="1"/>
  <c r="E800" i="1"/>
  <c r="D800" i="1"/>
  <c r="C800" i="1"/>
  <c r="E799" i="1"/>
  <c r="D799" i="1"/>
  <c r="C799" i="1"/>
  <c r="E798" i="1"/>
  <c r="D798" i="1"/>
  <c r="C798" i="1"/>
  <c r="E797" i="1"/>
  <c r="B797" i="1" s="1"/>
  <c r="D797" i="1"/>
  <c r="C797" i="1"/>
  <c r="E796" i="1"/>
  <c r="B796" i="1" s="1"/>
  <c r="D796" i="1"/>
  <c r="C796" i="1"/>
  <c r="E795" i="1"/>
  <c r="B795" i="1" s="1"/>
  <c r="D795" i="1"/>
  <c r="C795" i="1"/>
  <c r="E794" i="1"/>
  <c r="D794" i="1"/>
  <c r="C794" i="1"/>
  <c r="E793" i="1"/>
  <c r="B793" i="1" s="1"/>
  <c r="D793" i="1"/>
  <c r="C793" i="1"/>
  <c r="E792" i="1"/>
  <c r="D792" i="1"/>
  <c r="C792" i="1"/>
  <c r="E791" i="1"/>
  <c r="D791" i="1"/>
  <c r="C791" i="1"/>
  <c r="E790" i="1"/>
  <c r="D790" i="1"/>
  <c r="C790" i="1"/>
  <c r="E789" i="1"/>
  <c r="B789" i="1" s="1"/>
  <c r="D789" i="1"/>
  <c r="C789" i="1"/>
  <c r="E788" i="1"/>
  <c r="B788" i="1" s="1"/>
  <c r="D788" i="1"/>
  <c r="C788" i="1"/>
  <c r="E787" i="1"/>
  <c r="B787" i="1" s="1"/>
  <c r="D787" i="1"/>
  <c r="C787" i="1"/>
  <c r="E786" i="1"/>
  <c r="D786" i="1"/>
  <c r="C786" i="1"/>
  <c r="E785" i="1"/>
  <c r="B785" i="1" s="1"/>
  <c r="D785" i="1"/>
  <c r="C785" i="1"/>
  <c r="E784" i="1"/>
  <c r="D784" i="1"/>
  <c r="C784" i="1"/>
  <c r="E783" i="1"/>
  <c r="D783" i="1"/>
  <c r="C783" i="1"/>
  <c r="E782" i="1"/>
  <c r="D782" i="1"/>
  <c r="C782" i="1"/>
  <c r="E781" i="1"/>
  <c r="B781" i="1" s="1"/>
  <c r="D781" i="1"/>
  <c r="C781" i="1"/>
  <c r="E780" i="1"/>
  <c r="B780" i="1" s="1"/>
  <c r="D780" i="1"/>
  <c r="C780" i="1"/>
  <c r="E779" i="1"/>
  <c r="B779" i="1" s="1"/>
  <c r="D779" i="1"/>
  <c r="C779" i="1"/>
  <c r="E778" i="1"/>
  <c r="D778" i="1"/>
  <c r="C778" i="1"/>
  <c r="E777" i="1"/>
  <c r="B777" i="1" s="1"/>
  <c r="D777" i="1"/>
  <c r="C777" i="1"/>
  <c r="E776" i="1"/>
  <c r="D776" i="1"/>
  <c r="C776" i="1"/>
  <c r="E775" i="1"/>
  <c r="D775" i="1"/>
  <c r="C775" i="1"/>
  <c r="E774" i="1"/>
  <c r="D774" i="1"/>
  <c r="C774" i="1"/>
  <c r="E773" i="1"/>
  <c r="B773" i="1" s="1"/>
  <c r="D773" i="1"/>
  <c r="C773" i="1"/>
  <c r="E772" i="1"/>
  <c r="B772" i="1" s="1"/>
  <c r="D772" i="1"/>
  <c r="C772" i="1"/>
  <c r="E771" i="1"/>
  <c r="B771" i="1" s="1"/>
  <c r="D771" i="1"/>
  <c r="C771" i="1"/>
  <c r="E770" i="1"/>
  <c r="D770" i="1"/>
  <c r="C770" i="1"/>
  <c r="E769" i="1"/>
  <c r="B769" i="1" s="1"/>
  <c r="D769" i="1"/>
  <c r="C769" i="1"/>
  <c r="E768" i="1"/>
  <c r="D768" i="1"/>
  <c r="C768" i="1"/>
  <c r="E767" i="1"/>
  <c r="D767" i="1"/>
  <c r="C767" i="1"/>
  <c r="E766" i="1"/>
  <c r="D766" i="1"/>
  <c r="C766" i="1"/>
  <c r="E765" i="1"/>
  <c r="B765" i="1" s="1"/>
  <c r="D765" i="1"/>
  <c r="C765" i="1"/>
  <c r="E764" i="1"/>
  <c r="B764" i="1" s="1"/>
  <c r="D764" i="1"/>
  <c r="C764" i="1"/>
  <c r="E763" i="1"/>
  <c r="B763" i="1" s="1"/>
  <c r="D763" i="1"/>
  <c r="C763" i="1"/>
  <c r="E762" i="1"/>
  <c r="D762" i="1"/>
  <c r="C762" i="1"/>
  <c r="E761" i="1"/>
  <c r="B761" i="1" s="1"/>
  <c r="D761" i="1"/>
  <c r="C761" i="1"/>
  <c r="E760" i="1"/>
  <c r="D760" i="1"/>
  <c r="C760" i="1"/>
  <c r="E759" i="1"/>
  <c r="D759" i="1"/>
  <c r="C759" i="1"/>
  <c r="E758" i="1"/>
  <c r="D758" i="1"/>
  <c r="C758" i="1"/>
  <c r="E757" i="1"/>
  <c r="B757" i="1" s="1"/>
  <c r="D757" i="1"/>
  <c r="C757" i="1"/>
  <c r="E756" i="1"/>
  <c r="B756" i="1" s="1"/>
  <c r="D756" i="1"/>
  <c r="C756" i="1"/>
  <c r="E755" i="1"/>
  <c r="B755" i="1" s="1"/>
  <c r="D755" i="1"/>
  <c r="C755" i="1"/>
  <c r="E754" i="1"/>
  <c r="D754" i="1"/>
  <c r="C754" i="1"/>
  <c r="E753" i="1"/>
  <c r="B753" i="1" s="1"/>
  <c r="D753" i="1"/>
  <c r="C753" i="1"/>
  <c r="E752" i="1"/>
  <c r="D752" i="1"/>
  <c r="C752" i="1"/>
  <c r="E751" i="1"/>
  <c r="D751" i="1"/>
  <c r="C751" i="1"/>
  <c r="E750" i="1"/>
  <c r="D750" i="1"/>
  <c r="C750" i="1"/>
  <c r="E749" i="1"/>
  <c r="D749" i="1"/>
  <c r="C749" i="1"/>
  <c r="E748" i="1"/>
  <c r="B748" i="1" s="1"/>
  <c r="D748" i="1"/>
  <c r="C748" i="1"/>
  <c r="E747" i="1"/>
  <c r="B747" i="1" s="1"/>
  <c r="D747" i="1"/>
  <c r="C747" i="1"/>
  <c r="E746" i="1"/>
  <c r="B746" i="1" s="1"/>
  <c r="D746" i="1"/>
  <c r="C746" i="1"/>
  <c r="E745" i="1"/>
  <c r="B745" i="1" s="1"/>
  <c r="D745" i="1"/>
  <c r="C745" i="1"/>
  <c r="E744" i="1"/>
  <c r="D744" i="1"/>
  <c r="C744" i="1"/>
  <c r="E743" i="1"/>
  <c r="D743" i="1"/>
  <c r="C743" i="1"/>
  <c r="E742" i="1"/>
  <c r="D742" i="1"/>
  <c r="C742" i="1"/>
  <c r="E741" i="1"/>
  <c r="D741" i="1"/>
  <c r="C741" i="1"/>
  <c r="E740" i="1"/>
  <c r="B740" i="1" s="1"/>
  <c r="D740" i="1"/>
  <c r="C740" i="1"/>
  <c r="E739" i="1"/>
  <c r="B739" i="1" s="1"/>
  <c r="D739" i="1"/>
  <c r="C739" i="1"/>
  <c r="E738" i="1"/>
  <c r="B738" i="1" s="1"/>
  <c r="D738" i="1"/>
  <c r="C738" i="1"/>
  <c r="E737" i="1"/>
  <c r="B737" i="1" s="1"/>
  <c r="D737" i="1"/>
  <c r="C737" i="1"/>
  <c r="E736" i="1"/>
  <c r="D736" i="1"/>
  <c r="C736" i="1"/>
  <c r="E735" i="1"/>
  <c r="D735" i="1"/>
  <c r="C735" i="1"/>
  <c r="E734" i="1"/>
  <c r="D734" i="1"/>
  <c r="C734" i="1"/>
  <c r="E733" i="1"/>
  <c r="D733" i="1"/>
  <c r="C733" i="1"/>
  <c r="E732" i="1"/>
  <c r="B732" i="1" s="1"/>
  <c r="D732" i="1"/>
  <c r="C732" i="1"/>
  <c r="E731" i="1"/>
  <c r="B731" i="1" s="1"/>
  <c r="D731" i="1"/>
  <c r="C731" i="1"/>
  <c r="E730" i="1"/>
  <c r="B730" i="1" s="1"/>
  <c r="D730" i="1"/>
  <c r="C730" i="1"/>
  <c r="E729" i="1"/>
  <c r="B729" i="1" s="1"/>
  <c r="D729" i="1"/>
  <c r="C729" i="1"/>
  <c r="E728" i="1"/>
  <c r="D728" i="1"/>
  <c r="C728" i="1"/>
  <c r="E727" i="1"/>
  <c r="D727" i="1"/>
  <c r="C727" i="1"/>
  <c r="E726" i="1"/>
  <c r="D726" i="1"/>
  <c r="C726" i="1"/>
  <c r="E725" i="1"/>
  <c r="D725" i="1"/>
  <c r="C725" i="1"/>
  <c r="E724" i="1"/>
  <c r="B724" i="1" s="1"/>
  <c r="D724" i="1"/>
  <c r="C724" i="1"/>
  <c r="E723" i="1"/>
  <c r="B723" i="1" s="1"/>
  <c r="D723" i="1"/>
  <c r="C723" i="1"/>
  <c r="E722" i="1"/>
  <c r="B722" i="1" s="1"/>
  <c r="D722" i="1"/>
  <c r="C722" i="1"/>
  <c r="E721" i="1"/>
  <c r="B721" i="1" s="1"/>
  <c r="D721" i="1"/>
  <c r="C721" i="1"/>
  <c r="E720" i="1"/>
  <c r="D720" i="1"/>
  <c r="C720" i="1"/>
  <c r="E719" i="1"/>
  <c r="D719" i="1"/>
  <c r="C719" i="1"/>
  <c r="E718" i="1"/>
  <c r="D718" i="1"/>
  <c r="C718" i="1"/>
  <c r="E717" i="1"/>
  <c r="D717" i="1"/>
  <c r="C717" i="1"/>
  <c r="E716" i="1"/>
  <c r="B716" i="1" s="1"/>
  <c r="D716" i="1"/>
  <c r="C716" i="1"/>
  <c r="E715" i="1"/>
  <c r="B715" i="1" s="1"/>
  <c r="D715" i="1"/>
  <c r="C715" i="1"/>
  <c r="E714" i="1"/>
  <c r="B714" i="1" s="1"/>
  <c r="D714" i="1"/>
  <c r="C714" i="1"/>
  <c r="E713" i="1"/>
  <c r="D713" i="1"/>
  <c r="C713" i="1"/>
  <c r="E712" i="1"/>
  <c r="D712" i="1"/>
  <c r="C712" i="1"/>
  <c r="E711" i="1"/>
  <c r="B711" i="1" s="1"/>
  <c r="D711" i="1"/>
  <c r="C711" i="1"/>
  <c r="E710" i="1"/>
  <c r="B710" i="1" s="1"/>
  <c r="D710" i="1"/>
  <c r="C710" i="1"/>
  <c r="E709" i="1"/>
  <c r="B709" i="1" s="1"/>
  <c r="D709" i="1"/>
  <c r="C709" i="1"/>
  <c r="E708" i="1"/>
  <c r="D708" i="1"/>
  <c r="C708" i="1"/>
  <c r="E707" i="1"/>
  <c r="D707" i="1"/>
  <c r="C707" i="1"/>
  <c r="B707" i="1"/>
  <c r="E706" i="1"/>
  <c r="B706" i="1" s="1"/>
  <c r="D706" i="1"/>
  <c r="C706" i="1"/>
  <c r="E705" i="1"/>
  <c r="B705" i="1" s="1"/>
  <c r="D705" i="1"/>
  <c r="C705" i="1"/>
  <c r="E704" i="1"/>
  <c r="B704" i="1" s="1"/>
  <c r="D704" i="1"/>
  <c r="C704" i="1"/>
  <c r="E703" i="1"/>
  <c r="B703" i="1" s="1"/>
  <c r="D703" i="1"/>
  <c r="C703" i="1"/>
  <c r="E702" i="1"/>
  <c r="D702" i="1"/>
  <c r="C702" i="1"/>
  <c r="E701" i="1"/>
  <c r="D701" i="1"/>
  <c r="B701" i="1" s="1"/>
  <c r="C701" i="1"/>
  <c r="E700" i="1"/>
  <c r="B700" i="1" s="1"/>
  <c r="D700" i="1"/>
  <c r="C700" i="1"/>
  <c r="E699" i="1"/>
  <c r="B699" i="1" s="1"/>
  <c r="D699" i="1"/>
  <c r="C699" i="1"/>
  <c r="E698" i="1"/>
  <c r="D698" i="1"/>
  <c r="C698" i="1"/>
  <c r="E697" i="1"/>
  <c r="D697" i="1"/>
  <c r="C697" i="1"/>
  <c r="B697" i="1"/>
  <c r="E696" i="1"/>
  <c r="D696" i="1"/>
  <c r="C696" i="1"/>
  <c r="E695" i="1"/>
  <c r="B695" i="1" s="1"/>
  <c r="D695" i="1"/>
  <c r="C695" i="1"/>
  <c r="E694" i="1"/>
  <c r="B694" i="1" s="1"/>
  <c r="D694" i="1"/>
  <c r="C694" i="1"/>
  <c r="E693" i="1"/>
  <c r="B693" i="1" s="1"/>
  <c r="D693" i="1"/>
  <c r="C693" i="1"/>
  <c r="E692" i="1"/>
  <c r="D692" i="1"/>
  <c r="C692" i="1"/>
  <c r="E691" i="1"/>
  <c r="D691" i="1"/>
  <c r="C691" i="1"/>
  <c r="B691" i="1"/>
  <c r="E690" i="1"/>
  <c r="B690" i="1" s="1"/>
  <c r="D690" i="1"/>
  <c r="C690" i="1"/>
  <c r="E689" i="1"/>
  <c r="B689" i="1" s="1"/>
  <c r="D689" i="1"/>
  <c r="C689" i="1"/>
  <c r="E688" i="1"/>
  <c r="B688" i="1" s="1"/>
  <c r="D688" i="1"/>
  <c r="C688" i="1"/>
  <c r="E687" i="1"/>
  <c r="B687" i="1" s="1"/>
  <c r="D687" i="1"/>
  <c r="C687" i="1"/>
  <c r="E686" i="1"/>
  <c r="D686" i="1"/>
  <c r="C686" i="1"/>
  <c r="E685" i="1"/>
  <c r="D685" i="1"/>
  <c r="B685" i="1" s="1"/>
  <c r="C685" i="1"/>
  <c r="E684" i="1"/>
  <c r="B684" i="1" s="1"/>
  <c r="D684" i="1"/>
  <c r="C684" i="1"/>
  <c r="E683" i="1"/>
  <c r="B683" i="1" s="1"/>
  <c r="D683" i="1"/>
  <c r="C683" i="1"/>
  <c r="E682" i="1"/>
  <c r="D682" i="1"/>
  <c r="C682" i="1"/>
  <c r="E681" i="1"/>
  <c r="D681" i="1"/>
  <c r="C681" i="1"/>
  <c r="B681" i="1"/>
  <c r="E680" i="1"/>
  <c r="D680" i="1"/>
  <c r="C680" i="1"/>
  <c r="E679" i="1"/>
  <c r="D679" i="1"/>
  <c r="B679" i="1" s="1"/>
  <c r="C679" i="1"/>
  <c r="E678" i="1"/>
  <c r="B678" i="1" s="1"/>
  <c r="D678" i="1"/>
  <c r="C678" i="1"/>
  <c r="E677" i="1"/>
  <c r="B677" i="1" s="1"/>
  <c r="D677" i="1"/>
  <c r="C677" i="1"/>
  <c r="E676" i="1"/>
  <c r="D676" i="1"/>
  <c r="C676" i="1"/>
  <c r="E675" i="1"/>
  <c r="D675" i="1"/>
  <c r="C675" i="1"/>
  <c r="B675" i="1"/>
  <c r="E674" i="1"/>
  <c r="B674" i="1" s="1"/>
  <c r="D674" i="1"/>
  <c r="C674" i="1"/>
  <c r="E673" i="1"/>
  <c r="B673" i="1" s="1"/>
  <c r="D673" i="1"/>
  <c r="C673" i="1"/>
  <c r="E672" i="1"/>
  <c r="B672" i="1" s="1"/>
  <c r="D672" i="1"/>
  <c r="C672" i="1"/>
  <c r="E671" i="1"/>
  <c r="B671" i="1" s="1"/>
  <c r="D671" i="1"/>
  <c r="C671" i="1"/>
  <c r="E670" i="1"/>
  <c r="D670" i="1"/>
  <c r="B670" i="1" s="1"/>
  <c r="C670" i="1"/>
  <c r="E669" i="1"/>
  <c r="B669" i="1" s="1"/>
  <c r="D669" i="1"/>
  <c r="C669" i="1"/>
  <c r="E668" i="1"/>
  <c r="B668" i="1" s="1"/>
  <c r="D668" i="1"/>
  <c r="C668" i="1"/>
  <c r="E667" i="1"/>
  <c r="B667" i="1" s="1"/>
  <c r="D667" i="1"/>
  <c r="C667" i="1"/>
  <c r="E666" i="1"/>
  <c r="B666" i="1" s="1"/>
  <c r="D666" i="1"/>
  <c r="C666" i="1"/>
  <c r="E665" i="1"/>
  <c r="B665" i="1" s="1"/>
  <c r="D665" i="1"/>
  <c r="C665" i="1"/>
  <c r="E664" i="1"/>
  <c r="B664" i="1" s="1"/>
  <c r="D664" i="1"/>
  <c r="C664" i="1"/>
  <c r="E663" i="1"/>
  <c r="B663" i="1" s="1"/>
  <c r="D663" i="1"/>
  <c r="C663" i="1"/>
  <c r="E662" i="1"/>
  <c r="B662" i="1" s="1"/>
  <c r="D662" i="1"/>
  <c r="C662" i="1"/>
  <c r="E661" i="1"/>
  <c r="B661" i="1" s="1"/>
  <c r="D661" i="1"/>
  <c r="C661" i="1"/>
  <c r="E660" i="1"/>
  <c r="B660" i="1" s="1"/>
  <c r="D660" i="1"/>
  <c r="C660" i="1"/>
  <c r="E659" i="1"/>
  <c r="B659" i="1" s="1"/>
  <c r="D659" i="1"/>
  <c r="C659" i="1"/>
  <c r="E658" i="1"/>
  <c r="B658" i="1" s="1"/>
  <c r="D658" i="1"/>
  <c r="C658" i="1"/>
  <c r="E657" i="1"/>
  <c r="B657" i="1" s="1"/>
  <c r="D657" i="1"/>
  <c r="C657" i="1"/>
  <c r="E656" i="1"/>
  <c r="B656" i="1" s="1"/>
  <c r="D656" i="1"/>
  <c r="C656" i="1"/>
  <c r="E655" i="1"/>
  <c r="B655" i="1" s="1"/>
  <c r="D655" i="1"/>
  <c r="C655" i="1"/>
  <c r="E654" i="1"/>
  <c r="B654" i="1" s="1"/>
  <c r="D654" i="1"/>
  <c r="C654" i="1"/>
  <c r="E653" i="1"/>
  <c r="B653" i="1" s="1"/>
  <c r="D653" i="1"/>
  <c r="C653" i="1"/>
  <c r="E652" i="1"/>
  <c r="B652" i="1" s="1"/>
  <c r="D652" i="1"/>
  <c r="C652" i="1"/>
  <c r="E651" i="1"/>
  <c r="B651" i="1" s="1"/>
  <c r="D651" i="1"/>
  <c r="C651" i="1"/>
  <c r="E650" i="1"/>
  <c r="B650" i="1" s="1"/>
  <c r="D650" i="1"/>
  <c r="C650" i="1"/>
  <c r="E649" i="1"/>
  <c r="B649" i="1" s="1"/>
  <c r="D649" i="1"/>
  <c r="C649" i="1"/>
  <c r="E648" i="1"/>
  <c r="B648" i="1" s="1"/>
  <c r="D648" i="1"/>
  <c r="C648" i="1"/>
  <c r="E647" i="1"/>
  <c r="B647" i="1" s="1"/>
  <c r="D647" i="1"/>
  <c r="C647" i="1"/>
  <c r="E646" i="1"/>
  <c r="B646" i="1" s="1"/>
  <c r="D646" i="1"/>
  <c r="C646" i="1"/>
  <c r="E645" i="1"/>
  <c r="B645" i="1" s="1"/>
  <c r="D645" i="1"/>
  <c r="C645" i="1"/>
  <c r="E644" i="1"/>
  <c r="B644" i="1" s="1"/>
  <c r="D644" i="1"/>
  <c r="C644" i="1"/>
  <c r="E643" i="1"/>
  <c r="B643" i="1" s="1"/>
  <c r="D643" i="1"/>
  <c r="C643" i="1"/>
  <c r="E642" i="1"/>
  <c r="B642" i="1" s="1"/>
  <c r="D642" i="1"/>
  <c r="C642" i="1"/>
  <c r="E641" i="1"/>
  <c r="B641" i="1" s="1"/>
  <c r="D641" i="1"/>
  <c r="C641" i="1"/>
  <c r="E640" i="1"/>
  <c r="B640" i="1" s="1"/>
  <c r="D640" i="1"/>
  <c r="C640" i="1"/>
  <c r="E639" i="1"/>
  <c r="B639" i="1" s="1"/>
  <c r="D639" i="1"/>
  <c r="C639" i="1"/>
  <c r="E638" i="1"/>
  <c r="B638" i="1" s="1"/>
  <c r="D638" i="1"/>
  <c r="C638" i="1"/>
  <c r="E637" i="1"/>
  <c r="B637" i="1" s="1"/>
  <c r="D637" i="1"/>
  <c r="C637" i="1"/>
  <c r="E636" i="1"/>
  <c r="B636" i="1" s="1"/>
  <c r="D636" i="1"/>
  <c r="C636" i="1"/>
  <c r="E635" i="1"/>
  <c r="B635" i="1" s="1"/>
  <c r="D635" i="1"/>
  <c r="C635" i="1"/>
  <c r="E634" i="1"/>
  <c r="B634" i="1" s="1"/>
  <c r="D634" i="1"/>
  <c r="C634" i="1"/>
  <c r="E633" i="1"/>
  <c r="B633" i="1" s="1"/>
  <c r="D633" i="1"/>
  <c r="C633" i="1"/>
  <c r="E632" i="1"/>
  <c r="B632" i="1" s="1"/>
  <c r="D632" i="1"/>
  <c r="C632" i="1"/>
  <c r="E631" i="1"/>
  <c r="B631" i="1" s="1"/>
  <c r="D631" i="1"/>
  <c r="C631" i="1"/>
  <c r="E630" i="1"/>
  <c r="B630" i="1" s="1"/>
  <c r="D630" i="1"/>
  <c r="C630" i="1"/>
  <c r="E629" i="1"/>
  <c r="B629" i="1" s="1"/>
  <c r="D629" i="1"/>
  <c r="C629" i="1"/>
  <c r="E628" i="1"/>
  <c r="B628" i="1" s="1"/>
  <c r="D628" i="1"/>
  <c r="C628" i="1"/>
  <c r="E627" i="1"/>
  <c r="B627" i="1" s="1"/>
  <c r="D627" i="1"/>
  <c r="C627" i="1"/>
  <c r="E626" i="1"/>
  <c r="B626" i="1" s="1"/>
  <c r="D626" i="1"/>
  <c r="C626" i="1"/>
  <c r="E625" i="1"/>
  <c r="B625" i="1" s="1"/>
  <c r="D625" i="1"/>
  <c r="C625" i="1"/>
  <c r="E624" i="1"/>
  <c r="B624" i="1" s="1"/>
  <c r="D624" i="1"/>
  <c r="C624" i="1"/>
  <c r="E623" i="1"/>
  <c r="B623" i="1" s="1"/>
  <c r="D623" i="1"/>
  <c r="C623" i="1"/>
  <c r="E622" i="1"/>
  <c r="B622" i="1" s="1"/>
  <c r="D622" i="1"/>
  <c r="C622" i="1"/>
  <c r="E621" i="1"/>
  <c r="B621" i="1" s="1"/>
  <c r="D621" i="1"/>
  <c r="C621" i="1"/>
  <c r="E620" i="1"/>
  <c r="B620" i="1" s="1"/>
  <c r="D620" i="1"/>
  <c r="C620" i="1"/>
  <c r="E619" i="1"/>
  <c r="B619" i="1" s="1"/>
  <c r="D619" i="1"/>
  <c r="C619" i="1"/>
  <c r="E618" i="1"/>
  <c r="D618" i="1"/>
  <c r="C618" i="1"/>
  <c r="E617" i="1"/>
  <c r="B617" i="1" s="1"/>
  <c r="D617" i="1"/>
  <c r="C617" i="1"/>
  <c r="E616" i="1"/>
  <c r="D616" i="1"/>
  <c r="C616" i="1"/>
  <c r="E615" i="1"/>
  <c r="B615" i="1" s="1"/>
  <c r="D615" i="1"/>
  <c r="C615" i="1"/>
  <c r="E614" i="1"/>
  <c r="D614" i="1"/>
  <c r="C614" i="1"/>
  <c r="E613" i="1"/>
  <c r="B613" i="1" s="1"/>
  <c r="D613" i="1"/>
  <c r="C613" i="1"/>
  <c r="E612" i="1"/>
  <c r="D612" i="1"/>
  <c r="C612" i="1"/>
  <c r="E611" i="1"/>
  <c r="B611" i="1" s="1"/>
  <c r="D611" i="1"/>
  <c r="C611" i="1"/>
  <c r="E610" i="1"/>
  <c r="D610" i="1"/>
  <c r="C610" i="1"/>
  <c r="E609" i="1"/>
  <c r="B609" i="1" s="1"/>
  <c r="D609" i="1"/>
  <c r="C609" i="1"/>
  <c r="E608" i="1"/>
  <c r="D608" i="1"/>
  <c r="C608" i="1"/>
  <c r="E607" i="1"/>
  <c r="B607" i="1" s="1"/>
  <c r="D607" i="1"/>
  <c r="C607" i="1"/>
  <c r="E606" i="1"/>
  <c r="D606" i="1"/>
  <c r="C606" i="1"/>
  <c r="E605" i="1"/>
  <c r="B605" i="1" s="1"/>
  <c r="D605" i="1"/>
  <c r="C605" i="1"/>
  <c r="E604" i="1"/>
  <c r="D604" i="1"/>
  <c r="C604" i="1"/>
  <c r="E603" i="1"/>
  <c r="B603" i="1" s="1"/>
  <c r="D603" i="1"/>
  <c r="C603" i="1"/>
  <c r="E602" i="1"/>
  <c r="D602" i="1"/>
  <c r="C602" i="1"/>
  <c r="E601" i="1"/>
  <c r="B601" i="1" s="1"/>
  <c r="D601" i="1"/>
  <c r="C601" i="1"/>
  <c r="E600" i="1"/>
  <c r="D600" i="1"/>
  <c r="C600" i="1"/>
  <c r="E599" i="1"/>
  <c r="B599" i="1" s="1"/>
  <c r="D599" i="1"/>
  <c r="C599" i="1"/>
  <c r="E598" i="1"/>
  <c r="D598" i="1"/>
  <c r="C598" i="1"/>
  <c r="E597" i="1"/>
  <c r="B597" i="1" s="1"/>
  <c r="D597" i="1"/>
  <c r="C597" i="1"/>
  <c r="E596" i="1"/>
  <c r="B596" i="1" s="1"/>
  <c r="D596" i="1"/>
  <c r="C596" i="1"/>
  <c r="E595" i="1"/>
  <c r="B595" i="1" s="1"/>
  <c r="D595" i="1"/>
  <c r="C595" i="1"/>
  <c r="E594" i="1"/>
  <c r="D594" i="1"/>
  <c r="C594" i="1"/>
  <c r="E593" i="1"/>
  <c r="B593" i="1" s="1"/>
  <c r="D593" i="1"/>
  <c r="C593" i="1"/>
  <c r="E592" i="1"/>
  <c r="D592" i="1"/>
  <c r="C592" i="1"/>
  <c r="E591" i="1"/>
  <c r="D591" i="1"/>
  <c r="C591" i="1"/>
  <c r="E590" i="1"/>
  <c r="D590" i="1"/>
  <c r="C590" i="1"/>
  <c r="E589" i="1"/>
  <c r="B589" i="1" s="1"/>
  <c r="D589" i="1"/>
  <c r="C589" i="1"/>
  <c r="E588" i="1"/>
  <c r="B588" i="1" s="1"/>
  <c r="D588" i="1"/>
  <c r="C588" i="1"/>
  <c r="E587" i="1"/>
  <c r="D587" i="1"/>
  <c r="C587" i="1"/>
  <c r="E586" i="1"/>
  <c r="D586" i="1"/>
  <c r="C586" i="1"/>
  <c r="E585" i="1"/>
  <c r="B585" i="1" s="1"/>
  <c r="D585" i="1"/>
  <c r="C585" i="1"/>
  <c r="E584" i="1"/>
  <c r="D584" i="1"/>
  <c r="C584" i="1"/>
  <c r="E583" i="1"/>
  <c r="D583" i="1"/>
  <c r="C583" i="1"/>
  <c r="E582" i="1"/>
  <c r="D582" i="1"/>
  <c r="C582" i="1"/>
  <c r="E581" i="1"/>
  <c r="B581" i="1" s="1"/>
  <c r="D581" i="1"/>
  <c r="C581" i="1"/>
  <c r="E580" i="1"/>
  <c r="B580" i="1" s="1"/>
  <c r="D580" i="1"/>
  <c r="C580" i="1"/>
  <c r="E579" i="1"/>
  <c r="B579" i="1" s="1"/>
  <c r="D579" i="1"/>
  <c r="C579" i="1"/>
  <c r="E578" i="1"/>
  <c r="D578" i="1"/>
  <c r="C578" i="1"/>
  <c r="E577" i="1"/>
  <c r="B577" i="1" s="1"/>
  <c r="D577" i="1"/>
  <c r="C577" i="1"/>
  <c r="E576" i="1"/>
  <c r="D576" i="1"/>
  <c r="C576" i="1"/>
  <c r="E575" i="1"/>
  <c r="D575" i="1"/>
  <c r="C575" i="1"/>
  <c r="E574" i="1"/>
  <c r="D574" i="1"/>
  <c r="C574" i="1"/>
  <c r="E573" i="1"/>
  <c r="B573" i="1" s="1"/>
  <c r="D573" i="1"/>
  <c r="C573" i="1"/>
  <c r="E572" i="1"/>
  <c r="B572" i="1" s="1"/>
  <c r="D572" i="1"/>
  <c r="C572" i="1"/>
  <c r="E571" i="1"/>
  <c r="B571" i="1" s="1"/>
  <c r="D571" i="1"/>
  <c r="C571" i="1"/>
  <c r="E570" i="1"/>
  <c r="D570" i="1"/>
  <c r="C570" i="1"/>
  <c r="E569" i="1"/>
  <c r="B569" i="1" s="1"/>
  <c r="D569" i="1"/>
  <c r="C569" i="1"/>
  <c r="E568" i="1"/>
  <c r="D568" i="1"/>
  <c r="C568" i="1"/>
  <c r="E567" i="1"/>
  <c r="D567" i="1"/>
  <c r="C567" i="1"/>
  <c r="E566" i="1"/>
  <c r="D566" i="1"/>
  <c r="C566" i="1"/>
  <c r="E565" i="1"/>
  <c r="B565" i="1" s="1"/>
  <c r="D565" i="1"/>
  <c r="C565" i="1"/>
  <c r="E564" i="1"/>
  <c r="B564" i="1" s="1"/>
  <c r="D564" i="1"/>
  <c r="C564" i="1"/>
  <c r="E563" i="1"/>
  <c r="B563" i="1" s="1"/>
  <c r="D563" i="1"/>
  <c r="C563" i="1"/>
  <c r="E562" i="1"/>
  <c r="D562" i="1"/>
  <c r="C562" i="1"/>
  <c r="E561" i="1"/>
  <c r="B561" i="1" s="1"/>
  <c r="D561" i="1"/>
  <c r="C561" i="1"/>
  <c r="E560" i="1"/>
  <c r="D560" i="1"/>
  <c r="C560" i="1"/>
  <c r="E559" i="1"/>
  <c r="D559" i="1"/>
  <c r="C559" i="1"/>
  <c r="E558" i="1"/>
  <c r="D558" i="1"/>
  <c r="C558" i="1"/>
  <c r="E557" i="1"/>
  <c r="B557" i="1" s="1"/>
  <c r="D557" i="1"/>
  <c r="C557" i="1"/>
  <c r="E556" i="1"/>
  <c r="B556" i="1" s="1"/>
  <c r="D556" i="1"/>
  <c r="C556" i="1"/>
  <c r="E555" i="1"/>
  <c r="B555" i="1" s="1"/>
  <c r="D555" i="1"/>
  <c r="C555" i="1"/>
  <c r="E554" i="1"/>
  <c r="D554" i="1"/>
  <c r="C554" i="1"/>
  <c r="E553" i="1"/>
  <c r="B553" i="1" s="1"/>
  <c r="D553" i="1"/>
  <c r="C553" i="1"/>
  <c r="E552" i="1"/>
  <c r="D552" i="1"/>
  <c r="C552" i="1"/>
  <c r="E551" i="1"/>
  <c r="D551" i="1"/>
  <c r="C551" i="1"/>
  <c r="E550" i="1"/>
  <c r="D550" i="1"/>
  <c r="C550" i="1"/>
  <c r="E549" i="1"/>
  <c r="B549" i="1" s="1"/>
  <c r="D549" i="1"/>
  <c r="C549" i="1"/>
  <c r="E548" i="1"/>
  <c r="B548" i="1" s="1"/>
  <c r="D548" i="1"/>
  <c r="C548" i="1"/>
  <c r="E547" i="1"/>
  <c r="B547" i="1" s="1"/>
  <c r="D547" i="1"/>
  <c r="C547" i="1"/>
  <c r="E546" i="1"/>
  <c r="D546" i="1"/>
  <c r="C546" i="1"/>
  <c r="E545" i="1"/>
  <c r="B545" i="1" s="1"/>
  <c r="D545" i="1"/>
  <c r="C545" i="1"/>
  <c r="E544" i="1"/>
  <c r="D544" i="1"/>
  <c r="C544" i="1"/>
  <c r="E543" i="1"/>
  <c r="D543" i="1"/>
  <c r="C543" i="1"/>
  <c r="E542" i="1"/>
  <c r="D542" i="1"/>
  <c r="C542" i="1"/>
  <c r="E541" i="1"/>
  <c r="B541" i="1" s="1"/>
  <c r="D541" i="1"/>
  <c r="C541" i="1"/>
  <c r="E540" i="1"/>
  <c r="B540" i="1" s="1"/>
  <c r="D540" i="1"/>
  <c r="C540" i="1"/>
  <c r="E539" i="1"/>
  <c r="B539" i="1" s="1"/>
  <c r="D539" i="1"/>
  <c r="C539" i="1"/>
  <c r="E538" i="1"/>
  <c r="D538" i="1"/>
  <c r="C538" i="1"/>
  <c r="E537" i="1"/>
  <c r="B537" i="1" s="1"/>
  <c r="D537" i="1"/>
  <c r="C537" i="1"/>
  <c r="E536" i="1"/>
  <c r="D536" i="1"/>
  <c r="C536" i="1"/>
  <c r="E535" i="1"/>
  <c r="D535" i="1"/>
  <c r="C535" i="1"/>
  <c r="E534" i="1"/>
  <c r="D534" i="1"/>
  <c r="C534" i="1"/>
  <c r="E533" i="1"/>
  <c r="B533" i="1" s="1"/>
  <c r="D533" i="1"/>
  <c r="C533" i="1"/>
  <c r="E532" i="1"/>
  <c r="B532" i="1" s="1"/>
  <c r="D532" i="1"/>
  <c r="C532" i="1"/>
  <c r="E531" i="1"/>
  <c r="B531" i="1" s="1"/>
  <c r="D531" i="1"/>
  <c r="C531" i="1"/>
  <c r="E530" i="1"/>
  <c r="D530" i="1"/>
  <c r="C530" i="1"/>
  <c r="E529" i="1"/>
  <c r="B529" i="1" s="1"/>
  <c r="D529" i="1"/>
  <c r="C529" i="1"/>
  <c r="E528" i="1"/>
  <c r="D528" i="1"/>
  <c r="C528" i="1"/>
  <c r="E527" i="1"/>
  <c r="D527" i="1"/>
  <c r="C527" i="1"/>
  <c r="E526" i="1"/>
  <c r="D526" i="1"/>
  <c r="C526" i="1"/>
  <c r="E525" i="1"/>
  <c r="B525" i="1" s="1"/>
  <c r="D525" i="1"/>
  <c r="C525" i="1"/>
  <c r="E524" i="1"/>
  <c r="B524" i="1" s="1"/>
  <c r="D524" i="1"/>
  <c r="C524" i="1"/>
  <c r="E523" i="1"/>
  <c r="B523" i="1" s="1"/>
  <c r="D523" i="1"/>
  <c r="C523" i="1"/>
  <c r="E522" i="1"/>
  <c r="D522" i="1"/>
  <c r="C522" i="1"/>
  <c r="E521" i="1"/>
  <c r="B521" i="1" s="1"/>
  <c r="D521" i="1"/>
  <c r="C521" i="1"/>
  <c r="E520" i="1"/>
  <c r="D520" i="1"/>
  <c r="C520" i="1"/>
  <c r="E519" i="1"/>
  <c r="D519" i="1"/>
  <c r="C519" i="1"/>
  <c r="E518" i="1"/>
  <c r="D518" i="1"/>
  <c r="C518" i="1"/>
  <c r="E517" i="1"/>
  <c r="B517" i="1" s="1"/>
  <c r="D517" i="1"/>
  <c r="C517" i="1"/>
  <c r="E516" i="1"/>
  <c r="B516" i="1" s="1"/>
  <c r="D516" i="1"/>
  <c r="C516" i="1"/>
  <c r="E515" i="1"/>
  <c r="B515" i="1" s="1"/>
  <c r="D515" i="1"/>
  <c r="C515" i="1"/>
  <c r="E514" i="1"/>
  <c r="D514" i="1"/>
  <c r="C514" i="1"/>
  <c r="E513" i="1"/>
  <c r="B513" i="1" s="1"/>
  <c r="D513" i="1"/>
  <c r="C513" i="1"/>
  <c r="E512" i="1"/>
  <c r="D512" i="1"/>
  <c r="C512" i="1"/>
  <c r="E511" i="1"/>
  <c r="D511" i="1"/>
  <c r="C511" i="1"/>
  <c r="E510" i="1"/>
  <c r="D510" i="1"/>
  <c r="C510" i="1"/>
  <c r="E509" i="1"/>
  <c r="B509" i="1" s="1"/>
  <c r="D509" i="1"/>
  <c r="C509" i="1"/>
  <c r="E508" i="1"/>
  <c r="B508" i="1" s="1"/>
  <c r="D508" i="1"/>
  <c r="C508" i="1"/>
  <c r="E507" i="1"/>
  <c r="B507" i="1" s="1"/>
  <c r="D507" i="1"/>
  <c r="C507" i="1"/>
  <c r="E506" i="1"/>
  <c r="D506" i="1"/>
  <c r="C506" i="1"/>
  <c r="E505" i="1"/>
  <c r="B505" i="1" s="1"/>
  <c r="D505" i="1"/>
  <c r="C505" i="1"/>
  <c r="E504" i="1"/>
  <c r="D504" i="1"/>
  <c r="C504" i="1"/>
  <c r="E503" i="1"/>
  <c r="D503" i="1"/>
  <c r="C503" i="1"/>
  <c r="E502" i="1"/>
  <c r="D502" i="1"/>
  <c r="C502" i="1"/>
  <c r="E501" i="1"/>
  <c r="B501" i="1" s="1"/>
  <c r="D501" i="1"/>
  <c r="C501" i="1"/>
  <c r="E500" i="1"/>
  <c r="B500" i="1" s="1"/>
  <c r="D500" i="1"/>
  <c r="C500" i="1"/>
  <c r="E499" i="1"/>
  <c r="D499" i="1"/>
  <c r="C499" i="1"/>
  <c r="E498" i="1"/>
  <c r="D498" i="1"/>
  <c r="C498" i="1"/>
  <c r="E497" i="1"/>
  <c r="B497" i="1" s="1"/>
  <c r="D497" i="1"/>
  <c r="C497" i="1"/>
  <c r="E496" i="1"/>
  <c r="D496" i="1"/>
  <c r="C496" i="1"/>
  <c r="E495" i="1"/>
  <c r="D495" i="1"/>
  <c r="C495" i="1"/>
  <c r="E494" i="1"/>
  <c r="D494" i="1"/>
  <c r="C494" i="1"/>
  <c r="E493" i="1"/>
  <c r="B493" i="1" s="1"/>
  <c r="D493" i="1"/>
  <c r="C493" i="1"/>
  <c r="E492" i="1"/>
  <c r="B492" i="1" s="1"/>
  <c r="D492" i="1"/>
  <c r="C492" i="1"/>
  <c r="E491" i="1"/>
  <c r="B491" i="1" s="1"/>
  <c r="D491" i="1"/>
  <c r="C491" i="1"/>
  <c r="E490" i="1"/>
  <c r="D490" i="1"/>
  <c r="C490" i="1"/>
  <c r="E489" i="1"/>
  <c r="B489" i="1" s="1"/>
  <c r="D489" i="1"/>
  <c r="C489" i="1"/>
  <c r="E488" i="1"/>
  <c r="D488" i="1"/>
  <c r="C488" i="1"/>
  <c r="E487" i="1"/>
  <c r="D487" i="1"/>
  <c r="C487" i="1"/>
  <c r="E486" i="1"/>
  <c r="D486" i="1"/>
  <c r="C486" i="1"/>
  <c r="E485" i="1"/>
  <c r="B485" i="1" s="1"/>
  <c r="D485" i="1"/>
  <c r="C485" i="1"/>
  <c r="E484" i="1"/>
  <c r="B484" i="1" s="1"/>
  <c r="D484" i="1"/>
  <c r="C484" i="1"/>
  <c r="E483" i="1"/>
  <c r="B483" i="1" s="1"/>
  <c r="D483" i="1"/>
  <c r="C483" i="1"/>
  <c r="E482" i="1"/>
  <c r="D482" i="1"/>
  <c r="C482" i="1"/>
  <c r="E481" i="1"/>
  <c r="B481" i="1" s="1"/>
  <c r="D481" i="1"/>
  <c r="C481" i="1"/>
  <c r="E480" i="1"/>
  <c r="D480" i="1"/>
  <c r="C480" i="1"/>
  <c r="E479" i="1"/>
  <c r="D479" i="1"/>
  <c r="C479" i="1"/>
  <c r="E478" i="1"/>
  <c r="D478" i="1"/>
  <c r="C478" i="1"/>
  <c r="E477" i="1"/>
  <c r="B477" i="1" s="1"/>
  <c r="D477" i="1"/>
  <c r="C477" i="1"/>
  <c r="E476" i="1"/>
  <c r="B476" i="1" s="1"/>
  <c r="D476" i="1"/>
  <c r="C476" i="1"/>
  <c r="E475" i="1"/>
  <c r="B475" i="1" s="1"/>
  <c r="D475" i="1"/>
  <c r="C475" i="1"/>
  <c r="E474" i="1"/>
  <c r="D474" i="1"/>
  <c r="C474" i="1"/>
  <c r="E473" i="1"/>
  <c r="B473" i="1" s="1"/>
  <c r="D473" i="1"/>
  <c r="C473" i="1"/>
  <c r="E472" i="1"/>
  <c r="D472" i="1"/>
  <c r="C472" i="1"/>
  <c r="E471" i="1"/>
  <c r="D471" i="1"/>
  <c r="C471" i="1"/>
  <c r="E470" i="1"/>
  <c r="D470" i="1"/>
  <c r="C470" i="1"/>
  <c r="E469" i="1"/>
  <c r="B469" i="1" s="1"/>
  <c r="D469" i="1"/>
  <c r="C469" i="1"/>
  <c r="E468" i="1"/>
  <c r="B468" i="1" s="1"/>
  <c r="D468" i="1"/>
  <c r="C468" i="1"/>
  <c r="E467" i="1"/>
  <c r="B467" i="1" s="1"/>
  <c r="D467" i="1"/>
  <c r="C467" i="1"/>
  <c r="E466" i="1"/>
  <c r="D466" i="1"/>
  <c r="C466" i="1"/>
  <c r="E465" i="1"/>
  <c r="B465" i="1" s="1"/>
  <c r="D465" i="1"/>
  <c r="C465" i="1"/>
  <c r="E464" i="1"/>
  <c r="D464" i="1"/>
  <c r="C464" i="1"/>
  <c r="E463" i="1"/>
  <c r="D463" i="1"/>
  <c r="C463" i="1"/>
  <c r="E462" i="1"/>
  <c r="D462" i="1"/>
  <c r="C462" i="1"/>
  <c r="E461" i="1"/>
  <c r="B461" i="1" s="1"/>
  <c r="D461" i="1"/>
  <c r="C461" i="1"/>
  <c r="E460" i="1"/>
  <c r="B460" i="1" s="1"/>
  <c r="D460" i="1"/>
  <c r="C460" i="1"/>
  <c r="E459" i="1"/>
  <c r="B459" i="1" s="1"/>
  <c r="D459" i="1"/>
  <c r="C459" i="1"/>
  <c r="E458" i="1"/>
  <c r="D458" i="1"/>
  <c r="C458" i="1"/>
  <c r="E457" i="1"/>
  <c r="B457" i="1" s="1"/>
  <c r="D457" i="1"/>
  <c r="C457" i="1"/>
  <c r="E456" i="1"/>
  <c r="D456" i="1"/>
  <c r="C456" i="1"/>
  <c r="E455" i="1"/>
  <c r="D455" i="1"/>
  <c r="C455" i="1"/>
  <c r="E454" i="1"/>
  <c r="D454" i="1"/>
  <c r="C454" i="1"/>
  <c r="E453" i="1"/>
  <c r="B453" i="1" s="1"/>
  <c r="D453" i="1"/>
  <c r="C453" i="1"/>
  <c r="E452" i="1"/>
  <c r="B452" i="1" s="1"/>
  <c r="D452" i="1"/>
  <c r="C452" i="1"/>
  <c r="E451" i="1"/>
  <c r="B451" i="1" s="1"/>
  <c r="D451" i="1"/>
  <c r="C451" i="1"/>
  <c r="E450" i="1"/>
  <c r="D450" i="1"/>
  <c r="C450" i="1"/>
  <c r="E449" i="1"/>
  <c r="B449" i="1" s="1"/>
  <c r="D449" i="1"/>
  <c r="C449" i="1"/>
  <c r="E448" i="1"/>
  <c r="D448" i="1"/>
  <c r="C448" i="1"/>
  <c r="E447" i="1"/>
  <c r="D447" i="1"/>
  <c r="C447" i="1"/>
  <c r="E446" i="1"/>
  <c r="D446" i="1"/>
  <c r="C446" i="1"/>
  <c r="E445" i="1"/>
  <c r="B445" i="1" s="1"/>
  <c r="D445" i="1"/>
  <c r="C445" i="1"/>
  <c r="E444" i="1"/>
  <c r="B444" i="1" s="1"/>
  <c r="D444" i="1"/>
  <c r="C444" i="1"/>
  <c r="E443" i="1"/>
  <c r="B443" i="1" s="1"/>
  <c r="D443" i="1"/>
  <c r="C443" i="1"/>
  <c r="E442" i="1"/>
  <c r="D442" i="1"/>
  <c r="C442" i="1"/>
  <c r="E441" i="1"/>
  <c r="B441" i="1" s="1"/>
  <c r="D441" i="1"/>
  <c r="C441" i="1"/>
  <c r="E440" i="1"/>
  <c r="D440" i="1"/>
  <c r="C440" i="1"/>
  <c r="E439" i="1"/>
  <c r="D439" i="1"/>
  <c r="C439" i="1"/>
  <c r="E438" i="1"/>
  <c r="D438" i="1"/>
  <c r="C438" i="1"/>
  <c r="E437" i="1"/>
  <c r="B437" i="1" s="1"/>
  <c r="D437" i="1"/>
  <c r="C437" i="1"/>
  <c r="E436" i="1"/>
  <c r="B436" i="1" s="1"/>
  <c r="D436" i="1"/>
  <c r="C436" i="1"/>
  <c r="E435" i="1"/>
  <c r="B435" i="1" s="1"/>
  <c r="D435" i="1"/>
  <c r="C435" i="1"/>
  <c r="E434" i="1"/>
  <c r="D434" i="1"/>
  <c r="C434" i="1"/>
  <c r="E433" i="1"/>
  <c r="B433" i="1" s="1"/>
  <c r="D433" i="1"/>
  <c r="C433" i="1"/>
  <c r="E432" i="1"/>
  <c r="D432" i="1"/>
  <c r="C432" i="1"/>
  <c r="E431" i="1"/>
  <c r="D431" i="1"/>
  <c r="C431" i="1"/>
  <c r="E430" i="1"/>
  <c r="D430" i="1"/>
  <c r="C430" i="1"/>
  <c r="E429" i="1"/>
  <c r="B429" i="1" s="1"/>
  <c r="D429" i="1"/>
  <c r="C429" i="1"/>
  <c r="E428" i="1"/>
  <c r="B428" i="1" s="1"/>
  <c r="D428" i="1"/>
  <c r="C428" i="1"/>
  <c r="E427" i="1"/>
  <c r="B427" i="1" s="1"/>
  <c r="D427" i="1"/>
  <c r="C427" i="1"/>
  <c r="E426" i="1"/>
  <c r="D426" i="1"/>
  <c r="C426" i="1"/>
  <c r="E425" i="1"/>
  <c r="B425" i="1" s="1"/>
  <c r="D425" i="1"/>
  <c r="C425" i="1"/>
  <c r="E424" i="1"/>
  <c r="D424" i="1"/>
  <c r="C424" i="1"/>
  <c r="E423" i="1"/>
  <c r="B423" i="1" s="1"/>
  <c r="D423" i="1"/>
  <c r="C423" i="1"/>
  <c r="E422" i="1"/>
  <c r="B422" i="1" s="1"/>
  <c r="D422" i="1"/>
  <c r="C422" i="1"/>
  <c r="E421" i="1"/>
  <c r="D421" i="1"/>
  <c r="B421" i="1" s="1"/>
  <c r="C421" i="1"/>
  <c r="E420" i="1"/>
  <c r="D420" i="1"/>
  <c r="C420" i="1"/>
  <c r="E419" i="1"/>
  <c r="D419" i="1"/>
  <c r="C419" i="1"/>
  <c r="B419" i="1"/>
  <c r="E418" i="1"/>
  <c r="B418" i="1" s="1"/>
  <c r="D418" i="1"/>
  <c r="C418" i="1"/>
  <c r="E417" i="1"/>
  <c r="D417" i="1"/>
  <c r="B417" i="1" s="1"/>
  <c r="C417" i="1"/>
  <c r="E416" i="1"/>
  <c r="B416" i="1" s="1"/>
  <c r="D416" i="1"/>
  <c r="C416" i="1"/>
  <c r="E415" i="1"/>
  <c r="B415" i="1" s="1"/>
  <c r="D415" i="1"/>
  <c r="C415" i="1"/>
  <c r="E414" i="1"/>
  <c r="D414" i="1"/>
  <c r="C414" i="1"/>
  <c r="E413" i="1"/>
  <c r="D413" i="1"/>
  <c r="C413" i="1"/>
  <c r="B413" i="1"/>
  <c r="E412" i="1"/>
  <c r="D412" i="1"/>
  <c r="C412" i="1"/>
  <c r="E411" i="1"/>
  <c r="B411" i="1" s="1"/>
  <c r="D411" i="1"/>
  <c r="C411" i="1"/>
  <c r="E410" i="1"/>
  <c r="B410" i="1" s="1"/>
  <c r="D410" i="1"/>
  <c r="C410" i="1"/>
  <c r="E409" i="1"/>
  <c r="B409" i="1" s="1"/>
  <c r="D409" i="1"/>
  <c r="C409" i="1"/>
  <c r="E408" i="1"/>
  <c r="D408" i="1"/>
  <c r="C408" i="1"/>
  <c r="E407" i="1"/>
  <c r="B407" i="1" s="1"/>
  <c r="D407" i="1"/>
  <c r="C407" i="1"/>
  <c r="E406" i="1"/>
  <c r="B406" i="1" s="1"/>
  <c r="D406" i="1"/>
  <c r="C406" i="1"/>
  <c r="E405" i="1"/>
  <c r="D405" i="1"/>
  <c r="B405" i="1" s="1"/>
  <c r="C405" i="1"/>
  <c r="E404" i="1"/>
  <c r="D404" i="1"/>
  <c r="C404" i="1"/>
  <c r="E403" i="1"/>
  <c r="D403" i="1"/>
  <c r="C403" i="1"/>
  <c r="B403" i="1"/>
  <c r="E402" i="1"/>
  <c r="B402" i="1" s="1"/>
  <c r="D402" i="1"/>
  <c r="C402" i="1"/>
  <c r="E401" i="1"/>
  <c r="D401" i="1"/>
  <c r="C401" i="1"/>
  <c r="B401" i="1"/>
  <c r="E400" i="1"/>
  <c r="B400" i="1" s="1"/>
  <c r="D400" i="1"/>
  <c r="C400" i="1"/>
  <c r="E399" i="1"/>
  <c r="D399" i="1"/>
  <c r="C399" i="1"/>
  <c r="B399" i="1"/>
  <c r="E398" i="1"/>
  <c r="B398" i="1" s="1"/>
  <c r="D398" i="1"/>
  <c r="C398" i="1"/>
  <c r="E397" i="1"/>
  <c r="D397" i="1"/>
  <c r="C397" i="1"/>
  <c r="B397" i="1"/>
  <c r="E396" i="1"/>
  <c r="B396" i="1" s="1"/>
  <c r="D396" i="1"/>
  <c r="C396" i="1"/>
  <c r="E395" i="1"/>
  <c r="B395" i="1" s="1"/>
  <c r="D395" i="1"/>
  <c r="C395" i="1"/>
  <c r="E394" i="1"/>
  <c r="B394" i="1" s="1"/>
  <c r="D394" i="1"/>
  <c r="C394" i="1"/>
  <c r="E393" i="1"/>
  <c r="B393" i="1" s="1"/>
  <c r="D393" i="1"/>
  <c r="C393" i="1"/>
  <c r="E392" i="1"/>
  <c r="B392" i="1" s="1"/>
  <c r="D392" i="1"/>
  <c r="C392" i="1"/>
  <c r="E391" i="1"/>
  <c r="B391" i="1" s="1"/>
  <c r="D391" i="1"/>
  <c r="C391" i="1"/>
  <c r="E390" i="1"/>
  <c r="B390" i="1" s="1"/>
  <c r="D390" i="1"/>
  <c r="C390" i="1"/>
  <c r="E389" i="1"/>
  <c r="B389" i="1" s="1"/>
  <c r="D389" i="1"/>
  <c r="C389" i="1"/>
  <c r="E388" i="1"/>
  <c r="B388" i="1" s="1"/>
  <c r="D388" i="1"/>
  <c r="C388" i="1"/>
  <c r="E387" i="1"/>
  <c r="B387" i="1" s="1"/>
  <c r="D387" i="1"/>
  <c r="C387" i="1"/>
  <c r="E386" i="1"/>
  <c r="B386" i="1" s="1"/>
  <c r="D386" i="1"/>
  <c r="C386" i="1"/>
  <c r="E385" i="1"/>
  <c r="B385" i="1" s="1"/>
  <c r="D385" i="1"/>
  <c r="C385" i="1"/>
  <c r="E384" i="1"/>
  <c r="B384" i="1" s="1"/>
  <c r="D384" i="1"/>
  <c r="C384" i="1"/>
  <c r="E383" i="1"/>
  <c r="B383" i="1" s="1"/>
  <c r="D383" i="1"/>
  <c r="C383" i="1"/>
  <c r="E382" i="1"/>
  <c r="B382" i="1" s="1"/>
  <c r="D382" i="1"/>
  <c r="C382" i="1"/>
  <c r="E381" i="1"/>
  <c r="B381" i="1" s="1"/>
  <c r="D381" i="1"/>
  <c r="C381" i="1"/>
  <c r="E380" i="1"/>
  <c r="B380" i="1" s="1"/>
  <c r="D380" i="1"/>
  <c r="C380" i="1"/>
  <c r="E379" i="1"/>
  <c r="B379" i="1" s="1"/>
  <c r="D379" i="1"/>
  <c r="C379" i="1"/>
  <c r="E378" i="1"/>
  <c r="B378" i="1" s="1"/>
  <c r="D378" i="1"/>
  <c r="C378" i="1"/>
  <c r="E377" i="1"/>
  <c r="B377" i="1" s="1"/>
  <c r="D377" i="1"/>
  <c r="C377" i="1"/>
  <c r="E376" i="1"/>
  <c r="B376" i="1" s="1"/>
  <c r="D376" i="1"/>
  <c r="C376" i="1"/>
  <c r="E375" i="1"/>
  <c r="B375" i="1" s="1"/>
  <c r="D375" i="1"/>
  <c r="C375" i="1"/>
  <c r="E374" i="1"/>
  <c r="B374" i="1" s="1"/>
  <c r="D374" i="1"/>
  <c r="C374" i="1"/>
  <c r="E373" i="1"/>
  <c r="B373" i="1" s="1"/>
  <c r="D373" i="1"/>
  <c r="C373" i="1"/>
  <c r="E372" i="1"/>
  <c r="B372" i="1" s="1"/>
  <c r="D372" i="1"/>
  <c r="C372" i="1"/>
  <c r="E371" i="1"/>
  <c r="B371" i="1" s="1"/>
  <c r="D371" i="1"/>
  <c r="C371" i="1"/>
  <c r="E370" i="1"/>
  <c r="B370" i="1" s="1"/>
  <c r="D370" i="1"/>
  <c r="C370" i="1"/>
  <c r="E369" i="1"/>
  <c r="B369" i="1" s="1"/>
  <c r="D369" i="1"/>
  <c r="C369" i="1"/>
  <c r="E368" i="1"/>
  <c r="B368" i="1" s="1"/>
  <c r="D368" i="1"/>
  <c r="C368" i="1"/>
  <c r="E367" i="1"/>
  <c r="B367" i="1" s="1"/>
  <c r="D367" i="1"/>
  <c r="C367" i="1"/>
  <c r="E366" i="1"/>
  <c r="B366" i="1" s="1"/>
  <c r="D366" i="1"/>
  <c r="C366" i="1"/>
  <c r="E365" i="1"/>
  <c r="B365" i="1" s="1"/>
  <c r="D365" i="1"/>
  <c r="C365" i="1"/>
  <c r="E364" i="1"/>
  <c r="B364" i="1" s="1"/>
  <c r="D364" i="1"/>
  <c r="C364" i="1"/>
  <c r="E363" i="1"/>
  <c r="B363" i="1" s="1"/>
  <c r="D363" i="1"/>
  <c r="C363" i="1"/>
  <c r="E362" i="1"/>
  <c r="B362" i="1" s="1"/>
  <c r="D362" i="1"/>
  <c r="C362" i="1"/>
  <c r="E361" i="1"/>
  <c r="B361" i="1" s="1"/>
  <c r="D361" i="1"/>
  <c r="C361" i="1"/>
  <c r="E360" i="1"/>
  <c r="B360" i="1" s="1"/>
  <c r="D360" i="1"/>
  <c r="C360" i="1"/>
  <c r="E359" i="1"/>
  <c r="B359" i="1" s="1"/>
  <c r="D359" i="1"/>
  <c r="C359" i="1"/>
  <c r="E358" i="1"/>
  <c r="B358" i="1" s="1"/>
  <c r="D358" i="1"/>
  <c r="C358" i="1"/>
  <c r="E357" i="1"/>
  <c r="B357" i="1" s="1"/>
  <c r="D357" i="1"/>
  <c r="C357" i="1"/>
  <c r="E356" i="1"/>
  <c r="B356" i="1" s="1"/>
  <c r="D356" i="1"/>
  <c r="C356" i="1"/>
  <c r="E355" i="1"/>
  <c r="B355" i="1" s="1"/>
  <c r="D355" i="1"/>
  <c r="C355" i="1"/>
  <c r="E354" i="1"/>
  <c r="B354" i="1" s="1"/>
  <c r="D354" i="1"/>
  <c r="C354" i="1"/>
  <c r="E353" i="1"/>
  <c r="B353" i="1" s="1"/>
  <c r="D353" i="1"/>
  <c r="C353" i="1"/>
  <c r="E352" i="1"/>
  <c r="B352" i="1" s="1"/>
  <c r="D352" i="1"/>
  <c r="C352" i="1"/>
  <c r="E351" i="1"/>
  <c r="B351" i="1" s="1"/>
  <c r="D351" i="1"/>
  <c r="C351" i="1"/>
  <c r="E350" i="1"/>
  <c r="B350" i="1" s="1"/>
  <c r="D350" i="1"/>
  <c r="C350" i="1"/>
  <c r="E349" i="1"/>
  <c r="B349" i="1" s="1"/>
  <c r="D349" i="1"/>
  <c r="C349" i="1"/>
  <c r="E348" i="1"/>
  <c r="B348" i="1" s="1"/>
  <c r="D348" i="1"/>
  <c r="C348" i="1"/>
  <c r="E347" i="1"/>
  <c r="B347" i="1" s="1"/>
  <c r="D347" i="1"/>
  <c r="C347" i="1"/>
  <c r="E346" i="1"/>
  <c r="B346" i="1" s="1"/>
  <c r="D346" i="1"/>
  <c r="C346" i="1"/>
  <c r="E345" i="1"/>
  <c r="B345" i="1" s="1"/>
  <c r="D345" i="1"/>
  <c r="C345" i="1"/>
  <c r="E344" i="1"/>
  <c r="B344" i="1" s="1"/>
  <c r="D344" i="1"/>
  <c r="C344" i="1"/>
  <c r="E343" i="1"/>
  <c r="B343" i="1" s="1"/>
  <c r="D343" i="1"/>
  <c r="C343" i="1"/>
  <c r="E342" i="1"/>
  <c r="B342" i="1" s="1"/>
  <c r="D342" i="1"/>
  <c r="C342" i="1"/>
  <c r="E341" i="1"/>
  <c r="B341" i="1" s="1"/>
  <c r="D341" i="1"/>
  <c r="C341" i="1"/>
  <c r="E340" i="1"/>
  <c r="B340" i="1" s="1"/>
  <c r="D340" i="1"/>
  <c r="C340" i="1"/>
  <c r="E339" i="1"/>
  <c r="B339" i="1" s="1"/>
  <c r="D339" i="1"/>
  <c r="C339" i="1"/>
  <c r="E338" i="1"/>
  <c r="B338" i="1" s="1"/>
  <c r="D338" i="1"/>
  <c r="C338" i="1"/>
  <c r="E337" i="1"/>
  <c r="B337" i="1" s="1"/>
  <c r="D337" i="1"/>
  <c r="C337" i="1"/>
  <c r="E336" i="1"/>
  <c r="B336" i="1" s="1"/>
  <c r="D336" i="1"/>
  <c r="C336" i="1"/>
  <c r="E335" i="1"/>
  <c r="B335" i="1" s="1"/>
  <c r="D335" i="1"/>
  <c r="C335" i="1"/>
  <c r="E334" i="1"/>
  <c r="B334" i="1" s="1"/>
  <c r="D334" i="1"/>
  <c r="C334" i="1"/>
  <c r="E333" i="1"/>
  <c r="B333" i="1" s="1"/>
  <c r="D333" i="1"/>
  <c r="C333" i="1"/>
  <c r="E332" i="1"/>
  <c r="B332" i="1" s="1"/>
  <c r="D332" i="1"/>
  <c r="C332" i="1"/>
  <c r="E331" i="1"/>
  <c r="B331" i="1" s="1"/>
  <c r="D331" i="1"/>
  <c r="C331" i="1"/>
  <c r="E330" i="1"/>
  <c r="B330" i="1" s="1"/>
  <c r="D330" i="1"/>
  <c r="C330" i="1"/>
  <c r="E329" i="1"/>
  <c r="B329" i="1" s="1"/>
  <c r="D329" i="1"/>
  <c r="C329" i="1"/>
  <c r="E328" i="1"/>
  <c r="B328" i="1" s="1"/>
  <c r="D328" i="1"/>
  <c r="C328" i="1"/>
  <c r="E327" i="1"/>
  <c r="B327" i="1" s="1"/>
  <c r="D327" i="1"/>
  <c r="C327" i="1"/>
  <c r="E326" i="1"/>
  <c r="B326" i="1" s="1"/>
  <c r="D326" i="1"/>
  <c r="C326" i="1"/>
  <c r="E325" i="1"/>
  <c r="B325" i="1" s="1"/>
  <c r="D325" i="1"/>
  <c r="C325" i="1"/>
  <c r="E324" i="1"/>
  <c r="B324" i="1" s="1"/>
  <c r="D324" i="1"/>
  <c r="C324" i="1"/>
  <c r="E323" i="1"/>
  <c r="B323" i="1" s="1"/>
  <c r="D323" i="1"/>
  <c r="C323" i="1"/>
  <c r="E322" i="1"/>
  <c r="B322" i="1" s="1"/>
  <c r="D322" i="1"/>
  <c r="C322" i="1"/>
  <c r="E321" i="1"/>
  <c r="B321" i="1" s="1"/>
  <c r="D321" i="1"/>
  <c r="C321" i="1"/>
  <c r="E320" i="1"/>
  <c r="B320" i="1" s="1"/>
  <c r="D320" i="1"/>
  <c r="C320" i="1"/>
  <c r="E319" i="1"/>
  <c r="B319" i="1" s="1"/>
  <c r="D319" i="1"/>
  <c r="C319" i="1"/>
  <c r="E318" i="1"/>
  <c r="B318" i="1" s="1"/>
  <c r="D318" i="1"/>
  <c r="C318" i="1"/>
  <c r="E317" i="1"/>
  <c r="B317" i="1" s="1"/>
  <c r="D317" i="1"/>
  <c r="C317" i="1"/>
  <c r="E316" i="1"/>
  <c r="B316" i="1" s="1"/>
  <c r="D316" i="1"/>
  <c r="C316" i="1"/>
  <c r="E315" i="1"/>
  <c r="B315" i="1" s="1"/>
  <c r="D315" i="1"/>
  <c r="C315" i="1"/>
  <c r="E314" i="1"/>
  <c r="B314" i="1" s="1"/>
  <c r="D314" i="1"/>
  <c r="C314" i="1"/>
  <c r="E313" i="1"/>
  <c r="B313" i="1" s="1"/>
  <c r="D313" i="1"/>
  <c r="C313" i="1"/>
  <c r="E312" i="1"/>
  <c r="B312" i="1" s="1"/>
  <c r="D312" i="1"/>
  <c r="C312" i="1"/>
  <c r="E311" i="1"/>
  <c r="B311" i="1" s="1"/>
  <c r="D311" i="1"/>
  <c r="C311" i="1"/>
  <c r="E310" i="1"/>
  <c r="B310" i="1" s="1"/>
  <c r="D310" i="1"/>
  <c r="C310" i="1"/>
  <c r="E309" i="1"/>
  <c r="B309" i="1" s="1"/>
  <c r="D309" i="1"/>
  <c r="C309" i="1"/>
  <c r="E308" i="1"/>
  <c r="B308" i="1" s="1"/>
  <c r="D308" i="1"/>
  <c r="C308" i="1"/>
  <c r="E307" i="1"/>
  <c r="B307" i="1" s="1"/>
  <c r="D307" i="1"/>
  <c r="C307" i="1"/>
  <c r="E306" i="1"/>
  <c r="B306" i="1" s="1"/>
  <c r="D306" i="1"/>
  <c r="C306" i="1"/>
  <c r="E305" i="1"/>
  <c r="D305" i="1"/>
  <c r="C305" i="1"/>
  <c r="E304" i="1"/>
  <c r="D304" i="1"/>
  <c r="C304" i="1"/>
  <c r="E303" i="1"/>
  <c r="D303" i="1"/>
  <c r="C303" i="1"/>
  <c r="E302" i="1"/>
  <c r="B302" i="1" s="1"/>
  <c r="D302" i="1"/>
  <c r="C302" i="1"/>
  <c r="E301" i="1"/>
  <c r="B301" i="1" s="1"/>
  <c r="D301" i="1"/>
  <c r="C301" i="1"/>
  <c r="E300" i="1"/>
  <c r="B300" i="1" s="1"/>
  <c r="D300" i="1"/>
  <c r="C300" i="1"/>
  <c r="E299" i="1"/>
  <c r="D299" i="1"/>
  <c r="C299" i="1"/>
  <c r="E298" i="1"/>
  <c r="B298" i="1" s="1"/>
  <c r="D298" i="1"/>
  <c r="C298" i="1"/>
  <c r="E297" i="1"/>
  <c r="D297" i="1"/>
  <c r="C297" i="1"/>
  <c r="E296" i="1"/>
  <c r="D296" i="1"/>
  <c r="C296" i="1"/>
  <c r="E295" i="1"/>
  <c r="D295" i="1"/>
  <c r="C295" i="1"/>
  <c r="E294" i="1"/>
  <c r="B294" i="1" s="1"/>
  <c r="D294" i="1"/>
  <c r="C294" i="1"/>
  <c r="E293" i="1"/>
  <c r="B293" i="1" s="1"/>
  <c r="D293" i="1"/>
  <c r="C293" i="1"/>
  <c r="E292" i="1"/>
  <c r="B292" i="1" s="1"/>
  <c r="D292" i="1"/>
  <c r="C292" i="1"/>
  <c r="E291" i="1"/>
  <c r="D291" i="1"/>
  <c r="C291" i="1"/>
  <c r="E290" i="1"/>
  <c r="B290" i="1" s="1"/>
  <c r="D290" i="1"/>
  <c r="C290" i="1"/>
  <c r="E289" i="1"/>
  <c r="D289" i="1"/>
  <c r="C289" i="1"/>
  <c r="E288" i="1"/>
  <c r="D288" i="1"/>
  <c r="C288" i="1"/>
  <c r="E287" i="1"/>
  <c r="D287" i="1"/>
  <c r="C287" i="1"/>
  <c r="E286" i="1"/>
  <c r="B286" i="1" s="1"/>
  <c r="D286" i="1"/>
  <c r="C286" i="1"/>
  <c r="E285" i="1"/>
  <c r="B285" i="1" s="1"/>
  <c r="D285" i="1"/>
  <c r="C285" i="1"/>
  <c r="E284" i="1"/>
  <c r="B284" i="1" s="1"/>
  <c r="D284" i="1"/>
  <c r="C284" i="1"/>
  <c r="E283" i="1"/>
  <c r="B283" i="1" s="1"/>
  <c r="D283" i="1"/>
  <c r="C283" i="1"/>
  <c r="E282" i="1"/>
  <c r="B282" i="1" s="1"/>
  <c r="D282" i="1"/>
  <c r="C282" i="1"/>
  <c r="E281" i="1"/>
  <c r="D281" i="1"/>
  <c r="C281" i="1"/>
  <c r="E280" i="1"/>
  <c r="D280" i="1"/>
  <c r="C280" i="1"/>
  <c r="E279" i="1"/>
  <c r="D279" i="1"/>
  <c r="C279" i="1"/>
  <c r="E278" i="1"/>
  <c r="B278" i="1" s="1"/>
  <c r="D278" i="1"/>
  <c r="C278" i="1"/>
  <c r="E277" i="1"/>
  <c r="B277" i="1" s="1"/>
  <c r="D277" i="1"/>
  <c r="C277" i="1"/>
  <c r="E276" i="1"/>
  <c r="B276" i="1" s="1"/>
  <c r="D276" i="1"/>
  <c r="C276" i="1"/>
  <c r="E275" i="1"/>
  <c r="D275" i="1"/>
  <c r="C275" i="1"/>
  <c r="E274" i="1"/>
  <c r="B274" i="1" s="1"/>
  <c r="D274" i="1"/>
  <c r="C274" i="1"/>
  <c r="E273" i="1"/>
  <c r="D273" i="1"/>
  <c r="C273" i="1"/>
  <c r="E272" i="1"/>
  <c r="D272" i="1"/>
  <c r="C272" i="1"/>
  <c r="E271" i="1"/>
  <c r="D271" i="1"/>
  <c r="C271" i="1"/>
  <c r="E270" i="1"/>
  <c r="B270" i="1" s="1"/>
  <c r="D270" i="1"/>
  <c r="C270" i="1"/>
  <c r="E269" i="1"/>
  <c r="B269" i="1" s="1"/>
  <c r="D269" i="1"/>
  <c r="C269" i="1"/>
  <c r="E268" i="1"/>
  <c r="B268" i="1" s="1"/>
  <c r="D268" i="1"/>
  <c r="C268" i="1"/>
  <c r="E267" i="1"/>
  <c r="D267" i="1"/>
  <c r="C267" i="1"/>
  <c r="E266" i="1"/>
  <c r="B266" i="1" s="1"/>
  <c r="D266" i="1"/>
  <c r="C266" i="1"/>
  <c r="E265" i="1"/>
  <c r="D265" i="1"/>
  <c r="C265" i="1"/>
  <c r="E264" i="1"/>
  <c r="D264" i="1"/>
  <c r="C264" i="1"/>
  <c r="E263" i="1"/>
  <c r="D263" i="1"/>
  <c r="C263" i="1"/>
  <c r="E262" i="1"/>
  <c r="B262" i="1" s="1"/>
  <c r="D262" i="1"/>
  <c r="C262" i="1"/>
  <c r="E261" i="1"/>
  <c r="B261" i="1" s="1"/>
  <c r="D261" i="1"/>
  <c r="C261" i="1"/>
  <c r="E260" i="1"/>
  <c r="B260" i="1" s="1"/>
  <c r="D260" i="1"/>
  <c r="C260" i="1"/>
  <c r="E259" i="1"/>
  <c r="B259" i="1" s="1"/>
  <c r="D259" i="1"/>
  <c r="C259" i="1"/>
  <c r="E258" i="1"/>
  <c r="B258" i="1" s="1"/>
  <c r="D258" i="1"/>
  <c r="C258" i="1"/>
  <c r="E257" i="1"/>
  <c r="D257" i="1"/>
  <c r="C257" i="1"/>
  <c r="E256" i="1"/>
  <c r="D256" i="1"/>
  <c r="C256" i="1"/>
  <c r="E255" i="1"/>
  <c r="D255" i="1"/>
  <c r="C255" i="1"/>
  <c r="E254" i="1"/>
  <c r="B254" i="1" s="1"/>
  <c r="D254" i="1"/>
  <c r="C254" i="1"/>
  <c r="E253" i="1"/>
  <c r="B253" i="1" s="1"/>
  <c r="D253" i="1"/>
  <c r="C253" i="1"/>
  <c r="E252" i="1"/>
  <c r="B252" i="1" s="1"/>
  <c r="D252" i="1"/>
  <c r="C252" i="1"/>
  <c r="E251" i="1"/>
  <c r="D251" i="1"/>
  <c r="C251" i="1"/>
  <c r="E250" i="1"/>
  <c r="B250" i="1" s="1"/>
  <c r="D250" i="1"/>
  <c r="C250" i="1"/>
  <c r="E249" i="1"/>
  <c r="D249" i="1"/>
  <c r="C249" i="1"/>
  <c r="E248" i="1"/>
  <c r="D248" i="1"/>
  <c r="C248" i="1"/>
  <c r="E247" i="1"/>
  <c r="D247" i="1"/>
  <c r="C247" i="1"/>
  <c r="E246" i="1"/>
  <c r="B246" i="1" s="1"/>
  <c r="D246" i="1"/>
  <c r="C246" i="1"/>
  <c r="E245" i="1"/>
  <c r="B245" i="1" s="1"/>
  <c r="D245" i="1"/>
  <c r="C245" i="1"/>
  <c r="E244" i="1"/>
  <c r="B244" i="1" s="1"/>
  <c r="D244" i="1"/>
  <c r="C244" i="1"/>
  <c r="E243" i="1"/>
  <c r="B243" i="1" s="1"/>
  <c r="D243" i="1"/>
  <c r="C243" i="1"/>
  <c r="E242" i="1"/>
  <c r="D242" i="1"/>
  <c r="C242" i="1"/>
  <c r="E241" i="1"/>
  <c r="D241" i="1"/>
  <c r="C241" i="1"/>
  <c r="E240" i="1"/>
  <c r="D240" i="1"/>
  <c r="C240" i="1"/>
  <c r="E239" i="1"/>
  <c r="D239" i="1"/>
  <c r="C239" i="1"/>
  <c r="E238" i="1"/>
  <c r="B238" i="1" s="1"/>
  <c r="D238" i="1"/>
  <c r="C238" i="1"/>
  <c r="E237" i="1"/>
  <c r="B237" i="1" s="1"/>
  <c r="D237" i="1"/>
  <c r="C237" i="1"/>
  <c r="E236" i="1"/>
  <c r="B236" i="1" s="1"/>
  <c r="D236" i="1"/>
  <c r="C236" i="1"/>
  <c r="E235" i="1"/>
  <c r="B235" i="1" s="1"/>
  <c r="D235" i="1"/>
  <c r="C235" i="1"/>
  <c r="E234" i="1"/>
  <c r="D234" i="1"/>
  <c r="C234" i="1"/>
  <c r="E233" i="1"/>
  <c r="D233" i="1"/>
  <c r="C233" i="1"/>
  <c r="E232" i="1"/>
  <c r="D232" i="1"/>
  <c r="C232" i="1"/>
  <c r="E231" i="1"/>
  <c r="D231" i="1"/>
  <c r="C231" i="1"/>
  <c r="E230" i="1"/>
  <c r="B230" i="1" s="1"/>
  <c r="D230" i="1"/>
  <c r="C230" i="1"/>
  <c r="E229" i="1"/>
  <c r="B229" i="1" s="1"/>
  <c r="D229" i="1"/>
  <c r="C229" i="1"/>
  <c r="E228" i="1"/>
  <c r="B228" i="1" s="1"/>
  <c r="D228" i="1"/>
  <c r="C228" i="1"/>
  <c r="E227" i="1"/>
  <c r="B227" i="1" s="1"/>
  <c r="D227" i="1"/>
  <c r="C227" i="1"/>
  <c r="E226" i="1"/>
  <c r="D226" i="1"/>
  <c r="C226" i="1"/>
  <c r="E225" i="1"/>
  <c r="D225" i="1"/>
  <c r="C225" i="1"/>
  <c r="E224" i="1"/>
  <c r="D224" i="1"/>
  <c r="C224" i="1"/>
  <c r="E223" i="1"/>
  <c r="D223" i="1"/>
  <c r="C223" i="1"/>
  <c r="E222" i="1"/>
  <c r="B222" i="1" s="1"/>
  <c r="D222" i="1"/>
  <c r="C222" i="1"/>
  <c r="E221" i="1"/>
  <c r="B221" i="1" s="1"/>
  <c r="D221" i="1"/>
  <c r="C221" i="1"/>
  <c r="E220" i="1"/>
  <c r="B220" i="1" s="1"/>
  <c r="D220" i="1"/>
  <c r="C220" i="1"/>
  <c r="E219" i="1"/>
  <c r="B219" i="1" s="1"/>
  <c r="D219" i="1"/>
  <c r="C219" i="1"/>
  <c r="E218" i="1"/>
  <c r="B218" i="1" s="1"/>
  <c r="D218" i="1"/>
  <c r="C218" i="1"/>
  <c r="E217" i="1"/>
  <c r="D217" i="1"/>
  <c r="C217" i="1"/>
  <c r="E216" i="1"/>
  <c r="D216" i="1"/>
  <c r="C216" i="1"/>
  <c r="E215" i="1"/>
  <c r="D215" i="1"/>
  <c r="C215" i="1"/>
  <c r="E214" i="1"/>
  <c r="B214" i="1" s="1"/>
  <c r="D214" i="1"/>
  <c r="C214" i="1"/>
  <c r="E213" i="1"/>
  <c r="B213" i="1" s="1"/>
  <c r="D213" i="1"/>
  <c r="C213" i="1"/>
  <c r="E212" i="1"/>
  <c r="B212" i="1" s="1"/>
  <c r="D212" i="1"/>
  <c r="C212" i="1"/>
  <c r="E211" i="1"/>
  <c r="B211" i="1" s="1"/>
  <c r="D211" i="1"/>
  <c r="C211" i="1"/>
  <c r="E210" i="1"/>
  <c r="B210" i="1" s="1"/>
  <c r="D210" i="1"/>
  <c r="C210" i="1"/>
  <c r="E209" i="1"/>
  <c r="D209" i="1"/>
  <c r="C209" i="1"/>
  <c r="E208" i="1"/>
  <c r="D208" i="1"/>
  <c r="C208" i="1"/>
  <c r="E207" i="1"/>
  <c r="D207" i="1"/>
  <c r="C207" i="1"/>
  <c r="E206" i="1"/>
  <c r="B206" i="1" s="1"/>
  <c r="D206" i="1"/>
  <c r="C206" i="1"/>
  <c r="E205" i="1"/>
  <c r="B205" i="1" s="1"/>
  <c r="D205" i="1"/>
  <c r="C205" i="1"/>
  <c r="E204" i="1"/>
  <c r="B204" i="1" s="1"/>
  <c r="D204" i="1"/>
  <c r="C204" i="1"/>
  <c r="E203" i="1"/>
  <c r="B203" i="1" s="1"/>
  <c r="D203" i="1"/>
  <c r="C203" i="1"/>
  <c r="E202" i="1"/>
  <c r="B202" i="1" s="1"/>
  <c r="D202" i="1"/>
  <c r="C202" i="1"/>
  <c r="E201" i="1"/>
  <c r="D201" i="1"/>
  <c r="C201" i="1"/>
  <c r="E200" i="1"/>
  <c r="D200" i="1"/>
  <c r="C200" i="1"/>
  <c r="E199" i="1"/>
  <c r="D199" i="1"/>
  <c r="C199" i="1"/>
  <c r="E198" i="1"/>
  <c r="B198" i="1" s="1"/>
  <c r="D198" i="1"/>
  <c r="C198" i="1"/>
  <c r="E197" i="1"/>
  <c r="B197" i="1" s="1"/>
  <c r="D197" i="1"/>
  <c r="C197" i="1"/>
  <c r="E196" i="1"/>
  <c r="B196" i="1" s="1"/>
  <c r="D196" i="1"/>
  <c r="C196" i="1"/>
  <c r="E195" i="1"/>
  <c r="B195" i="1" s="1"/>
  <c r="D195" i="1"/>
  <c r="C195" i="1"/>
  <c r="E194" i="1"/>
  <c r="B194" i="1" s="1"/>
  <c r="D194" i="1"/>
  <c r="C194" i="1"/>
  <c r="E193" i="1"/>
  <c r="D193" i="1"/>
  <c r="C193" i="1"/>
  <c r="E192" i="1"/>
  <c r="D192" i="1"/>
  <c r="C192" i="1"/>
  <c r="E191" i="1"/>
  <c r="D191" i="1"/>
  <c r="C191" i="1"/>
  <c r="E190" i="1"/>
  <c r="B190" i="1" s="1"/>
  <c r="D190" i="1"/>
  <c r="C190" i="1"/>
  <c r="E189" i="1"/>
  <c r="B189" i="1" s="1"/>
  <c r="D189" i="1"/>
  <c r="C189" i="1"/>
  <c r="E188" i="1"/>
  <c r="B188" i="1" s="1"/>
  <c r="D188" i="1"/>
  <c r="C188" i="1"/>
  <c r="E187" i="1"/>
  <c r="B187" i="1" s="1"/>
  <c r="D187" i="1"/>
  <c r="C187" i="1"/>
  <c r="E186" i="1"/>
  <c r="D186" i="1"/>
  <c r="C186" i="1"/>
  <c r="E185" i="1"/>
  <c r="D185" i="1"/>
  <c r="C185" i="1"/>
  <c r="B185" i="1"/>
  <c r="E184" i="1"/>
  <c r="B184" i="1" s="1"/>
  <c r="D184" i="1"/>
  <c r="C184" i="1"/>
  <c r="E183" i="1"/>
  <c r="B183" i="1" s="1"/>
  <c r="D183" i="1"/>
  <c r="C183" i="1"/>
  <c r="E182" i="1"/>
  <c r="B182" i="1" s="1"/>
  <c r="D182" i="1"/>
  <c r="C182" i="1"/>
  <c r="E181" i="1"/>
  <c r="B181" i="1" s="1"/>
  <c r="D181" i="1"/>
  <c r="C181" i="1"/>
  <c r="E180" i="1"/>
  <c r="D180" i="1"/>
  <c r="C180" i="1"/>
  <c r="E179" i="1"/>
  <c r="D179" i="1"/>
  <c r="B179" i="1" s="1"/>
  <c r="C179" i="1"/>
  <c r="E178" i="1"/>
  <c r="B178" i="1" s="1"/>
  <c r="D178" i="1"/>
  <c r="C178" i="1"/>
  <c r="E177" i="1"/>
  <c r="D177" i="1"/>
  <c r="C177" i="1"/>
  <c r="B177" i="1"/>
  <c r="E176" i="1"/>
  <c r="B176" i="1" s="1"/>
  <c r="D176" i="1"/>
  <c r="C176" i="1"/>
  <c r="E175" i="1"/>
  <c r="B175" i="1" s="1"/>
  <c r="D175" i="1"/>
  <c r="C175" i="1"/>
  <c r="E174" i="1"/>
  <c r="D174" i="1"/>
  <c r="C174" i="1"/>
  <c r="E173" i="1"/>
  <c r="B173" i="1" s="1"/>
  <c r="D173" i="1"/>
  <c r="C173" i="1"/>
  <c r="E172" i="1"/>
  <c r="B172" i="1" s="1"/>
  <c r="D172" i="1"/>
  <c r="C172" i="1"/>
  <c r="E171" i="1"/>
  <c r="B171" i="1" s="1"/>
  <c r="D171" i="1"/>
  <c r="C171" i="1"/>
  <c r="E170" i="1"/>
  <c r="D170" i="1"/>
  <c r="C170" i="1"/>
  <c r="E169" i="1"/>
  <c r="D169" i="1"/>
  <c r="C169" i="1"/>
  <c r="B169" i="1"/>
  <c r="E168" i="1"/>
  <c r="D168" i="1"/>
  <c r="C168" i="1"/>
  <c r="E167" i="1"/>
  <c r="B167" i="1" s="1"/>
  <c r="D167" i="1"/>
  <c r="C167" i="1"/>
  <c r="E166" i="1"/>
  <c r="B166" i="1" s="1"/>
  <c r="D166" i="1"/>
  <c r="C166" i="1"/>
  <c r="E165" i="1"/>
  <c r="B165" i="1" s="1"/>
  <c r="D165" i="1"/>
  <c r="C165" i="1"/>
  <c r="E164" i="1"/>
  <c r="D164" i="1"/>
  <c r="C164" i="1"/>
  <c r="E163" i="1"/>
  <c r="D163" i="1"/>
  <c r="B163" i="1" s="1"/>
  <c r="C163" i="1"/>
  <c r="E162" i="1"/>
  <c r="B162" i="1" s="1"/>
  <c r="D162" i="1"/>
  <c r="C162" i="1"/>
  <c r="E161" i="1"/>
  <c r="D161" i="1"/>
  <c r="C161" i="1"/>
  <c r="B161" i="1"/>
  <c r="E160" i="1"/>
  <c r="B160" i="1" s="1"/>
  <c r="D160" i="1"/>
  <c r="C160" i="1"/>
  <c r="E159" i="1"/>
  <c r="B159" i="1" s="1"/>
  <c r="D159" i="1"/>
  <c r="C159" i="1"/>
  <c r="E158" i="1"/>
  <c r="D158" i="1"/>
  <c r="C158" i="1"/>
  <c r="E157" i="1"/>
  <c r="B157" i="1" s="1"/>
  <c r="D157" i="1"/>
  <c r="C157" i="1"/>
  <c r="E156" i="1"/>
  <c r="B156" i="1" s="1"/>
  <c r="D156" i="1"/>
  <c r="C156" i="1"/>
  <c r="E155" i="1"/>
  <c r="B155" i="1" s="1"/>
  <c r="D155" i="1"/>
  <c r="C155" i="1"/>
  <c r="E154" i="1"/>
  <c r="D154" i="1"/>
  <c r="C154" i="1"/>
  <c r="E153" i="1"/>
  <c r="D153" i="1"/>
  <c r="C153" i="1"/>
  <c r="B153" i="1"/>
  <c r="E152" i="1"/>
  <c r="D152" i="1"/>
  <c r="C152" i="1"/>
  <c r="E151" i="1"/>
  <c r="B151" i="1" s="1"/>
  <c r="D151" i="1"/>
  <c r="C151" i="1"/>
  <c r="E150" i="1"/>
  <c r="B150" i="1" s="1"/>
  <c r="D150" i="1"/>
  <c r="C150" i="1"/>
  <c r="E149" i="1"/>
  <c r="B149" i="1" s="1"/>
  <c r="D149" i="1"/>
  <c r="C149" i="1"/>
  <c r="E148" i="1"/>
  <c r="D148" i="1"/>
  <c r="C148" i="1"/>
  <c r="E147" i="1"/>
  <c r="D147" i="1"/>
  <c r="B147" i="1" s="1"/>
  <c r="C147" i="1"/>
  <c r="E146" i="1"/>
  <c r="B146" i="1" s="1"/>
  <c r="D146" i="1"/>
  <c r="C146" i="1"/>
  <c r="E145" i="1"/>
  <c r="D145" i="1"/>
  <c r="C145" i="1"/>
  <c r="B145" i="1"/>
  <c r="E144" i="1"/>
  <c r="B144" i="1" s="1"/>
  <c r="D144" i="1"/>
  <c r="C144" i="1"/>
  <c r="E143" i="1"/>
  <c r="B143" i="1" s="1"/>
  <c r="D143" i="1"/>
  <c r="C143" i="1"/>
  <c r="E142" i="1"/>
  <c r="D142" i="1"/>
  <c r="C142" i="1"/>
  <c r="E141" i="1"/>
  <c r="D141" i="1"/>
  <c r="B141" i="1" s="1"/>
  <c r="C141" i="1"/>
  <c r="E140" i="1"/>
  <c r="B140" i="1" s="1"/>
  <c r="D140" i="1"/>
  <c r="C140" i="1"/>
  <c r="E139" i="1"/>
  <c r="B139" i="1" s="1"/>
  <c r="D139" i="1"/>
  <c r="C139" i="1"/>
  <c r="E138" i="1"/>
  <c r="D138" i="1"/>
  <c r="C138" i="1"/>
  <c r="E137" i="1"/>
  <c r="D137" i="1"/>
  <c r="C137" i="1"/>
  <c r="B137" i="1"/>
  <c r="E136" i="1"/>
  <c r="D136" i="1"/>
  <c r="C136" i="1"/>
  <c r="E135" i="1"/>
  <c r="B135" i="1" s="1"/>
  <c r="D135" i="1"/>
  <c r="C135" i="1"/>
  <c r="E134" i="1"/>
  <c r="B134" i="1" s="1"/>
  <c r="D134" i="1"/>
  <c r="C134" i="1"/>
  <c r="E133" i="1"/>
  <c r="B133" i="1" s="1"/>
  <c r="D133" i="1"/>
  <c r="C133" i="1"/>
  <c r="E132" i="1"/>
  <c r="D132" i="1"/>
  <c r="C132" i="1"/>
  <c r="E131" i="1"/>
  <c r="D131" i="1"/>
  <c r="B131" i="1" s="1"/>
  <c r="C131" i="1"/>
  <c r="E130" i="1"/>
  <c r="B130" i="1" s="1"/>
  <c r="D130" i="1"/>
  <c r="C130" i="1"/>
  <c r="E129" i="1"/>
  <c r="D129" i="1"/>
  <c r="C129" i="1"/>
  <c r="B129" i="1"/>
  <c r="E128" i="1"/>
  <c r="B128" i="1" s="1"/>
  <c r="D128" i="1"/>
  <c r="C128" i="1"/>
  <c r="E127" i="1"/>
  <c r="B127" i="1" s="1"/>
  <c r="D127" i="1"/>
  <c r="C127" i="1"/>
  <c r="E126" i="1"/>
  <c r="D126" i="1"/>
  <c r="C126" i="1"/>
  <c r="E125" i="1"/>
  <c r="B125" i="1" s="1"/>
  <c r="D125" i="1"/>
  <c r="C125" i="1"/>
  <c r="E124" i="1"/>
  <c r="B124" i="1" s="1"/>
  <c r="D124" i="1"/>
  <c r="C124" i="1"/>
  <c r="E123" i="1"/>
  <c r="B123" i="1" s="1"/>
  <c r="D123" i="1"/>
  <c r="C123" i="1"/>
  <c r="E122" i="1"/>
  <c r="D122" i="1"/>
  <c r="C122" i="1"/>
  <c r="E121" i="1"/>
  <c r="D121" i="1"/>
  <c r="C121" i="1"/>
  <c r="B121" i="1"/>
  <c r="E120" i="1"/>
  <c r="D120" i="1"/>
  <c r="C120" i="1"/>
  <c r="E119" i="1"/>
  <c r="B119" i="1" s="1"/>
  <c r="D119" i="1"/>
  <c r="C119" i="1"/>
  <c r="E118" i="1"/>
  <c r="B118" i="1" s="1"/>
  <c r="D118" i="1"/>
  <c r="C118" i="1"/>
  <c r="E117" i="1"/>
  <c r="B117" i="1" s="1"/>
  <c r="D117" i="1"/>
  <c r="C117" i="1"/>
  <c r="E116" i="1"/>
  <c r="B116" i="1" s="1"/>
  <c r="D116" i="1"/>
  <c r="C116" i="1"/>
  <c r="E115" i="1"/>
  <c r="B115" i="1" s="1"/>
  <c r="D115" i="1"/>
  <c r="C115" i="1"/>
  <c r="E114" i="1"/>
  <c r="B114" i="1" s="1"/>
  <c r="D114" i="1"/>
  <c r="C114" i="1"/>
  <c r="E113" i="1"/>
  <c r="B113" i="1" s="1"/>
  <c r="D113" i="1"/>
  <c r="C113" i="1"/>
  <c r="E112" i="1"/>
  <c r="B112" i="1" s="1"/>
  <c r="D112" i="1"/>
  <c r="C112" i="1"/>
  <c r="E111" i="1"/>
  <c r="B111" i="1" s="1"/>
  <c r="D111" i="1"/>
  <c r="C111" i="1"/>
  <c r="E110" i="1"/>
  <c r="B110" i="1" s="1"/>
  <c r="D110" i="1"/>
  <c r="C110" i="1"/>
  <c r="E109" i="1"/>
  <c r="B109" i="1" s="1"/>
  <c r="D109" i="1"/>
  <c r="C109" i="1"/>
  <c r="E108" i="1"/>
  <c r="B108" i="1" s="1"/>
  <c r="D108" i="1"/>
  <c r="C108" i="1"/>
  <c r="E107" i="1"/>
  <c r="B107" i="1" s="1"/>
  <c r="D107" i="1"/>
  <c r="C107" i="1"/>
  <c r="E106" i="1"/>
  <c r="B106" i="1" s="1"/>
  <c r="D106" i="1"/>
  <c r="C106" i="1"/>
  <c r="E105" i="1"/>
  <c r="B105" i="1" s="1"/>
  <c r="D105" i="1"/>
  <c r="C105" i="1"/>
  <c r="E104" i="1"/>
  <c r="B104" i="1" s="1"/>
  <c r="D104" i="1"/>
  <c r="C104" i="1"/>
  <c r="E103" i="1"/>
  <c r="B103" i="1" s="1"/>
  <c r="D103" i="1"/>
  <c r="C103" i="1"/>
  <c r="E102" i="1"/>
  <c r="B102" i="1" s="1"/>
  <c r="D102" i="1"/>
  <c r="C102" i="1"/>
  <c r="E101" i="1"/>
  <c r="B101" i="1" s="1"/>
  <c r="D101" i="1"/>
  <c r="C101" i="1"/>
  <c r="E100" i="1"/>
  <c r="B100" i="1" s="1"/>
  <c r="D100" i="1"/>
  <c r="C100" i="1"/>
  <c r="E99" i="1"/>
  <c r="B99" i="1" s="1"/>
  <c r="D99" i="1"/>
  <c r="C99" i="1"/>
  <c r="E98" i="1"/>
  <c r="B98" i="1" s="1"/>
  <c r="D98" i="1"/>
  <c r="C98" i="1"/>
  <c r="E97" i="1"/>
  <c r="B97" i="1" s="1"/>
  <c r="D97" i="1"/>
  <c r="C97" i="1"/>
  <c r="E96" i="1"/>
  <c r="B96" i="1" s="1"/>
  <c r="D96" i="1"/>
  <c r="C96" i="1"/>
  <c r="E95" i="1"/>
  <c r="B95" i="1" s="1"/>
  <c r="D95" i="1"/>
  <c r="C95" i="1"/>
  <c r="E94" i="1"/>
  <c r="B94" i="1" s="1"/>
  <c r="D94" i="1"/>
  <c r="C94" i="1"/>
  <c r="E93" i="1"/>
  <c r="B93" i="1" s="1"/>
  <c r="D93" i="1"/>
  <c r="C93" i="1"/>
  <c r="E92" i="1"/>
  <c r="B92" i="1" s="1"/>
  <c r="D92" i="1"/>
  <c r="C92" i="1"/>
  <c r="E91" i="1"/>
  <c r="B91" i="1" s="1"/>
  <c r="D91" i="1"/>
  <c r="C91" i="1"/>
  <c r="E90" i="1"/>
  <c r="B90" i="1" s="1"/>
  <c r="D90" i="1"/>
  <c r="C90" i="1"/>
  <c r="E89" i="1"/>
  <c r="B89" i="1" s="1"/>
  <c r="D89" i="1"/>
  <c r="C89" i="1"/>
  <c r="E88" i="1"/>
  <c r="B88" i="1" s="1"/>
  <c r="D88" i="1"/>
  <c r="C88" i="1"/>
  <c r="E87" i="1"/>
  <c r="B87" i="1" s="1"/>
  <c r="D87" i="1"/>
  <c r="C87" i="1"/>
  <c r="E86" i="1"/>
  <c r="B86" i="1" s="1"/>
  <c r="D86" i="1"/>
  <c r="C86" i="1"/>
  <c r="E85" i="1"/>
  <c r="B85" i="1" s="1"/>
  <c r="D85" i="1"/>
  <c r="C85" i="1"/>
  <c r="E84" i="1"/>
  <c r="B84" i="1" s="1"/>
  <c r="D84" i="1"/>
  <c r="C84" i="1"/>
  <c r="E83" i="1"/>
  <c r="B83" i="1" s="1"/>
  <c r="D83" i="1"/>
  <c r="C83" i="1"/>
  <c r="E82" i="1"/>
  <c r="B82" i="1" s="1"/>
  <c r="D82" i="1"/>
  <c r="C82" i="1"/>
  <c r="E81" i="1"/>
  <c r="B81" i="1" s="1"/>
  <c r="D81" i="1"/>
  <c r="C81" i="1"/>
  <c r="E80" i="1"/>
  <c r="B80" i="1" s="1"/>
  <c r="D80" i="1"/>
  <c r="C80" i="1"/>
  <c r="E79" i="1"/>
  <c r="B79" i="1" s="1"/>
  <c r="D79" i="1"/>
  <c r="C79" i="1"/>
  <c r="E78" i="1"/>
  <c r="B78" i="1" s="1"/>
  <c r="D78" i="1"/>
  <c r="C78" i="1"/>
  <c r="E77" i="1"/>
  <c r="B77" i="1" s="1"/>
  <c r="D77" i="1"/>
  <c r="C77" i="1"/>
  <c r="E76" i="1"/>
  <c r="B76" i="1" s="1"/>
  <c r="D76" i="1"/>
  <c r="C76" i="1"/>
  <c r="E75" i="1"/>
  <c r="B75" i="1" s="1"/>
  <c r="D75" i="1"/>
  <c r="C75" i="1"/>
  <c r="E74" i="1"/>
  <c r="B74" i="1" s="1"/>
  <c r="D74" i="1"/>
  <c r="C74" i="1"/>
  <c r="E73" i="1"/>
  <c r="B73" i="1" s="1"/>
  <c r="D73" i="1"/>
  <c r="C73" i="1"/>
  <c r="E72" i="1"/>
  <c r="B72" i="1" s="1"/>
  <c r="D72" i="1"/>
  <c r="C72" i="1"/>
  <c r="E71" i="1"/>
  <c r="B71" i="1" s="1"/>
  <c r="D71" i="1"/>
  <c r="C71" i="1"/>
  <c r="E70" i="1"/>
  <c r="B70" i="1" s="1"/>
  <c r="D70" i="1"/>
  <c r="C70" i="1"/>
  <c r="E69" i="1"/>
  <c r="B69" i="1" s="1"/>
  <c r="D69" i="1"/>
  <c r="C69" i="1"/>
  <c r="E68" i="1"/>
  <c r="B68" i="1" s="1"/>
  <c r="D68" i="1"/>
  <c r="C68" i="1"/>
  <c r="E67" i="1"/>
  <c r="B67" i="1" s="1"/>
  <c r="D67" i="1"/>
  <c r="C67" i="1"/>
  <c r="E66" i="1"/>
  <c r="B66" i="1" s="1"/>
  <c r="D66" i="1"/>
  <c r="C66" i="1"/>
  <c r="E65" i="1"/>
  <c r="B65" i="1" s="1"/>
  <c r="D65" i="1"/>
  <c r="C65" i="1"/>
  <c r="E64" i="1"/>
  <c r="B64" i="1" s="1"/>
  <c r="D64" i="1"/>
  <c r="C64" i="1"/>
  <c r="E63" i="1"/>
  <c r="B63" i="1" s="1"/>
  <c r="D63" i="1"/>
  <c r="C63" i="1"/>
  <c r="E62" i="1"/>
  <c r="B62" i="1" s="1"/>
  <c r="D62" i="1"/>
  <c r="C62" i="1"/>
  <c r="E61" i="1"/>
  <c r="B61" i="1" s="1"/>
  <c r="D61" i="1"/>
  <c r="C61" i="1"/>
  <c r="E60" i="1"/>
  <c r="B60" i="1" s="1"/>
  <c r="D60" i="1"/>
  <c r="C60" i="1"/>
  <c r="E59" i="1"/>
  <c r="B59" i="1" s="1"/>
  <c r="D59" i="1"/>
  <c r="C59" i="1"/>
  <c r="E58" i="1"/>
  <c r="B58" i="1" s="1"/>
  <c r="D58" i="1"/>
  <c r="C58" i="1"/>
  <c r="E57" i="1"/>
  <c r="B57" i="1" s="1"/>
  <c r="D57" i="1"/>
  <c r="C57" i="1"/>
  <c r="E56" i="1"/>
  <c r="B56" i="1" s="1"/>
  <c r="D56" i="1"/>
  <c r="C56" i="1"/>
  <c r="E55" i="1"/>
  <c r="B55" i="1" s="1"/>
  <c r="D55" i="1"/>
  <c r="C55" i="1"/>
  <c r="E54" i="1"/>
  <c r="B54" i="1" s="1"/>
  <c r="D54" i="1"/>
  <c r="C54" i="1"/>
  <c r="E53" i="1"/>
  <c r="B53" i="1" s="1"/>
  <c r="D53" i="1"/>
  <c r="C53" i="1"/>
  <c r="E52" i="1"/>
  <c r="B52" i="1" s="1"/>
  <c r="D52" i="1"/>
  <c r="C52" i="1"/>
  <c r="E51" i="1"/>
  <c r="B51" i="1" s="1"/>
  <c r="D51" i="1"/>
  <c r="C51" i="1"/>
  <c r="E50" i="1"/>
  <c r="B50" i="1" s="1"/>
  <c r="D50" i="1"/>
  <c r="C50" i="1"/>
  <c r="E49" i="1"/>
  <c r="B49" i="1" s="1"/>
  <c r="D49" i="1"/>
  <c r="C49" i="1"/>
  <c r="E48" i="1"/>
  <c r="B48" i="1" s="1"/>
  <c r="D48" i="1"/>
  <c r="C48" i="1"/>
  <c r="E47" i="1"/>
  <c r="B47" i="1" s="1"/>
  <c r="D47" i="1"/>
  <c r="C47" i="1"/>
  <c r="E46" i="1"/>
  <c r="B46" i="1" s="1"/>
  <c r="D46" i="1"/>
  <c r="C46" i="1"/>
  <c r="E45" i="1"/>
  <c r="B45" i="1" s="1"/>
  <c r="D45" i="1"/>
  <c r="C45" i="1"/>
  <c r="E44" i="1"/>
  <c r="B44" i="1" s="1"/>
  <c r="D44" i="1"/>
  <c r="C44" i="1"/>
  <c r="E43" i="1"/>
  <c r="B43" i="1" s="1"/>
  <c r="D43" i="1"/>
  <c r="C43" i="1"/>
  <c r="E42" i="1"/>
  <c r="B42" i="1" s="1"/>
  <c r="D42" i="1"/>
  <c r="C42" i="1"/>
  <c r="E41" i="1"/>
  <c r="B41" i="1" s="1"/>
  <c r="D41" i="1"/>
  <c r="C41" i="1"/>
  <c r="E40" i="1"/>
  <c r="B40" i="1" s="1"/>
  <c r="D40" i="1"/>
  <c r="C40" i="1"/>
  <c r="E39" i="1"/>
  <c r="B39" i="1" s="1"/>
  <c r="D39" i="1"/>
  <c r="C39" i="1"/>
  <c r="E38" i="1"/>
  <c r="B38" i="1" s="1"/>
  <c r="D38" i="1"/>
  <c r="C38" i="1"/>
  <c r="E37" i="1"/>
  <c r="B37" i="1" s="1"/>
  <c r="D37" i="1"/>
  <c r="C37" i="1"/>
  <c r="E36" i="1"/>
  <c r="B36" i="1" s="1"/>
  <c r="D36" i="1"/>
  <c r="C36" i="1"/>
  <c r="E35" i="1"/>
  <c r="B35" i="1" s="1"/>
  <c r="D35" i="1"/>
  <c r="C35" i="1"/>
  <c r="E34" i="1"/>
  <c r="B34" i="1" s="1"/>
  <c r="D34" i="1"/>
  <c r="C34" i="1"/>
  <c r="E33" i="1"/>
  <c r="B33" i="1" s="1"/>
  <c r="D33" i="1"/>
  <c r="C33" i="1"/>
  <c r="E32" i="1"/>
  <c r="B32" i="1" s="1"/>
  <c r="D32" i="1"/>
  <c r="C32" i="1"/>
  <c r="E31" i="1"/>
  <c r="B31" i="1" s="1"/>
  <c r="D31" i="1"/>
  <c r="C31" i="1"/>
  <c r="E30" i="1"/>
  <c r="B30" i="1" s="1"/>
  <c r="D30" i="1"/>
  <c r="C30" i="1"/>
  <c r="E29" i="1"/>
  <c r="B29" i="1" s="1"/>
  <c r="D29" i="1"/>
  <c r="C29" i="1"/>
  <c r="E28" i="1"/>
  <c r="B28" i="1" s="1"/>
  <c r="D28" i="1"/>
  <c r="C28" i="1"/>
  <c r="E27" i="1"/>
  <c r="B27" i="1" s="1"/>
  <c r="D27" i="1"/>
  <c r="C27" i="1"/>
  <c r="E26" i="1"/>
  <c r="B26" i="1" s="1"/>
  <c r="D26" i="1"/>
  <c r="C26" i="1"/>
  <c r="E25" i="1"/>
  <c r="B25" i="1" s="1"/>
  <c r="D25" i="1"/>
  <c r="C25" i="1"/>
  <c r="E24" i="1"/>
  <c r="B24" i="1" s="1"/>
  <c r="D24" i="1"/>
  <c r="C24" i="1"/>
  <c r="E23" i="1"/>
  <c r="B23" i="1" s="1"/>
  <c r="D23" i="1"/>
  <c r="C23" i="1"/>
  <c r="E22" i="1"/>
  <c r="B22" i="1" s="1"/>
  <c r="D22" i="1"/>
  <c r="C22" i="1"/>
  <c r="E21" i="1"/>
  <c r="B21" i="1" s="1"/>
  <c r="D21" i="1"/>
  <c r="C21" i="1"/>
  <c r="E20" i="1"/>
  <c r="B20" i="1" s="1"/>
  <c r="D20" i="1"/>
  <c r="C20" i="1"/>
  <c r="E19" i="1"/>
  <c r="B19" i="1" s="1"/>
  <c r="D19" i="1"/>
  <c r="C19" i="1"/>
  <c r="E18" i="1"/>
  <c r="B18" i="1" s="1"/>
  <c r="D18" i="1"/>
  <c r="C18" i="1"/>
  <c r="E17" i="1"/>
  <c r="B17" i="1" s="1"/>
  <c r="D17" i="1"/>
  <c r="C17" i="1"/>
  <c r="E16" i="1"/>
  <c r="B16" i="1" s="1"/>
  <c r="D16" i="1"/>
  <c r="C16" i="1"/>
  <c r="E15" i="1"/>
  <c r="B15" i="1" s="1"/>
  <c r="D15" i="1"/>
  <c r="C15" i="1"/>
  <c r="E14" i="1"/>
  <c r="B14" i="1" s="1"/>
  <c r="D14" i="1"/>
  <c r="C14" i="1"/>
  <c r="E13" i="1"/>
  <c r="B13" i="1" s="1"/>
  <c r="D13" i="1"/>
  <c r="C13" i="1"/>
  <c r="E12" i="1"/>
  <c r="B12" i="1" s="1"/>
  <c r="D12" i="1"/>
  <c r="C12" i="1"/>
  <c r="E11" i="1"/>
  <c r="B11" i="1" s="1"/>
  <c r="D11" i="1"/>
  <c r="C11" i="1"/>
  <c r="E10" i="1"/>
  <c r="B10" i="1" s="1"/>
  <c r="D10" i="1"/>
  <c r="C10" i="1"/>
  <c r="E9" i="1"/>
  <c r="B9" i="1" s="1"/>
  <c r="D9" i="1"/>
  <c r="C9" i="1"/>
  <c r="E8" i="1"/>
  <c r="B8" i="1" s="1"/>
  <c r="D8" i="1"/>
  <c r="C8" i="1"/>
  <c r="E7" i="1"/>
  <c r="B7" i="1" s="1"/>
  <c r="D7" i="1"/>
  <c r="C7" i="1"/>
  <c r="E6" i="1"/>
  <c r="B6" i="1" s="1"/>
  <c r="D6" i="1"/>
  <c r="C6" i="1"/>
  <c r="E5" i="1"/>
  <c r="B5" i="1" s="1"/>
  <c r="D5" i="1"/>
  <c r="C5" i="1"/>
  <c r="E4" i="1"/>
  <c r="B4" i="1" s="1"/>
  <c r="D4" i="1"/>
  <c r="C4" i="1"/>
  <c r="E3" i="1"/>
  <c r="B3" i="1" s="1"/>
  <c r="D3" i="1"/>
  <c r="C3" i="1"/>
  <c r="B132" i="1" l="1"/>
  <c r="B148" i="1"/>
  <c r="B164" i="1"/>
  <c r="B180" i="1"/>
  <c r="B192" i="1"/>
  <c r="B200" i="1"/>
  <c r="B208" i="1"/>
  <c r="B216" i="1"/>
  <c r="B224" i="1"/>
  <c r="B232" i="1"/>
  <c r="B240" i="1"/>
  <c r="B248" i="1"/>
  <c r="B256" i="1"/>
  <c r="B264" i="1"/>
  <c r="B272" i="1"/>
  <c r="B280" i="1"/>
  <c r="B288" i="1"/>
  <c r="B296" i="1"/>
  <c r="B304" i="1"/>
  <c r="B251" i="1"/>
  <c r="B267" i="1"/>
  <c r="B275" i="1"/>
  <c r="B291" i="1"/>
  <c r="B299" i="1"/>
  <c r="B126" i="1"/>
  <c r="B142" i="1"/>
  <c r="B158" i="1"/>
  <c r="B174" i="1"/>
  <c r="B193" i="1"/>
  <c r="B201" i="1"/>
  <c r="B209" i="1"/>
  <c r="B217" i="1"/>
  <c r="B225" i="1"/>
  <c r="B233" i="1"/>
  <c r="B241" i="1"/>
  <c r="B249" i="1"/>
  <c r="B257" i="1"/>
  <c r="B265" i="1"/>
  <c r="B273" i="1"/>
  <c r="B281" i="1"/>
  <c r="B289" i="1"/>
  <c r="B297" i="1"/>
  <c r="B305" i="1"/>
  <c r="B122" i="1"/>
  <c r="B138" i="1"/>
  <c r="B154" i="1"/>
  <c r="B170" i="1"/>
  <c r="B186" i="1"/>
  <c r="B191" i="1"/>
  <c r="B199" i="1"/>
  <c r="B207" i="1"/>
  <c r="B215" i="1"/>
  <c r="B223" i="1"/>
  <c r="B231" i="1"/>
  <c r="B239" i="1"/>
  <c r="B247" i="1"/>
  <c r="B255" i="1"/>
  <c r="B263" i="1"/>
  <c r="B271" i="1"/>
  <c r="B279" i="1"/>
  <c r="B287" i="1"/>
  <c r="B295" i="1"/>
  <c r="B303" i="1"/>
  <c r="B120" i="1"/>
  <c r="B136" i="1"/>
  <c r="B152" i="1"/>
  <c r="B168" i="1"/>
  <c r="B226" i="1"/>
  <c r="B234" i="1"/>
  <c r="B242" i="1"/>
  <c r="B404" i="1"/>
  <c r="B420" i="1"/>
  <c r="B430" i="1"/>
  <c r="B438" i="1"/>
  <c r="B446" i="1"/>
  <c r="B454" i="1"/>
  <c r="B462" i="1"/>
  <c r="B470" i="1"/>
  <c r="B478" i="1"/>
  <c r="B486" i="1"/>
  <c r="B494" i="1"/>
  <c r="B502" i="1"/>
  <c r="B510" i="1"/>
  <c r="B518" i="1"/>
  <c r="B526" i="1"/>
  <c r="B534" i="1"/>
  <c r="B542" i="1"/>
  <c r="B550" i="1"/>
  <c r="B558" i="1"/>
  <c r="B566" i="1"/>
  <c r="B574" i="1"/>
  <c r="B582" i="1"/>
  <c r="B590" i="1"/>
  <c r="B598" i="1"/>
  <c r="B606" i="1"/>
  <c r="B614" i="1"/>
  <c r="B604" i="1"/>
  <c r="B612" i="1"/>
  <c r="B414" i="1"/>
  <c r="B431" i="1"/>
  <c r="B439" i="1"/>
  <c r="B447" i="1"/>
  <c r="B455" i="1"/>
  <c r="B463" i="1"/>
  <c r="B471" i="1"/>
  <c r="B479" i="1"/>
  <c r="B487" i="1"/>
  <c r="B495" i="1"/>
  <c r="B503" i="1"/>
  <c r="B511" i="1"/>
  <c r="B519" i="1"/>
  <c r="B527" i="1"/>
  <c r="B535" i="1"/>
  <c r="B543" i="1"/>
  <c r="B551" i="1"/>
  <c r="B559" i="1"/>
  <c r="B567" i="1"/>
  <c r="B575" i="1"/>
  <c r="B583" i="1"/>
  <c r="B591" i="1"/>
  <c r="B412" i="1"/>
  <c r="B426" i="1"/>
  <c r="B434" i="1"/>
  <c r="B442" i="1"/>
  <c r="B450" i="1"/>
  <c r="B458" i="1"/>
  <c r="B466" i="1"/>
  <c r="B474" i="1"/>
  <c r="B482" i="1"/>
  <c r="B490" i="1"/>
  <c r="B498" i="1"/>
  <c r="B506" i="1"/>
  <c r="B514" i="1"/>
  <c r="B522" i="1"/>
  <c r="B530" i="1"/>
  <c r="B538" i="1"/>
  <c r="B546" i="1"/>
  <c r="B554" i="1"/>
  <c r="B562" i="1"/>
  <c r="B570" i="1"/>
  <c r="B578" i="1"/>
  <c r="B586" i="1"/>
  <c r="B594" i="1"/>
  <c r="B602" i="1"/>
  <c r="B610" i="1"/>
  <c r="B618" i="1"/>
  <c r="B408" i="1"/>
  <c r="B424" i="1"/>
  <c r="B432" i="1"/>
  <c r="B440" i="1"/>
  <c r="B448" i="1"/>
  <c r="B456" i="1"/>
  <c r="B464" i="1"/>
  <c r="B472" i="1"/>
  <c r="B480" i="1"/>
  <c r="B488" i="1"/>
  <c r="B496" i="1"/>
  <c r="B504" i="1"/>
  <c r="B512" i="1"/>
  <c r="B520" i="1"/>
  <c r="B528" i="1"/>
  <c r="B536" i="1"/>
  <c r="B544" i="1"/>
  <c r="B552" i="1"/>
  <c r="B560" i="1"/>
  <c r="B568" i="1"/>
  <c r="B576" i="1"/>
  <c r="B584" i="1"/>
  <c r="B592" i="1"/>
  <c r="B600" i="1"/>
  <c r="B608" i="1"/>
  <c r="B616" i="1"/>
  <c r="B499" i="1"/>
  <c r="B587" i="1"/>
  <c r="B686" i="1"/>
  <c r="B702" i="1"/>
  <c r="B719" i="1"/>
  <c r="B727" i="1"/>
  <c r="B735" i="1"/>
  <c r="B743" i="1"/>
  <c r="B751" i="1"/>
  <c r="B759" i="1"/>
  <c r="B767" i="1"/>
  <c r="B775" i="1"/>
  <c r="B783" i="1"/>
  <c r="B791" i="1"/>
  <c r="B799" i="1"/>
  <c r="B807" i="1"/>
  <c r="B815" i="1"/>
  <c r="B823" i="1"/>
  <c r="B831" i="1"/>
  <c r="B839" i="1"/>
  <c r="B847" i="1"/>
  <c r="B855" i="1"/>
  <c r="B863" i="1"/>
  <c r="B871" i="1"/>
  <c r="B879" i="1"/>
  <c r="B887" i="1"/>
  <c r="B895" i="1"/>
  <c r="B903" i="1"/>
  <c r="B911" i="1"/>
  <c r="B754" i="1"/>
  <c r="B762" i="1"/>
  <c r="B770" i="1"/>
  <c r="B778" i="1"/>
  <c r="B786" i="1"/>
  <c r="B794" i="1"/>
  <c r="B802" i="1"/>
  <c r="B810" i="1"/>
  <c r="B818" i="1"/>
  <c r="B826" i="1"/>
  <c r="B834" i="1"/>
  <c r="B842" i="1"/>
  <c r="B850" i="1"/>
  <c r="B858" i="1"/>
  <c r="B866" i="1"/>
  <c r="B874" i="1"/>
  <c r="B882" i="1"/>
  <c r="B890" i="1"/>
  <c r="B898" i="1"/>
  <c r="B906" i="1"/>
  <c r="B914" i="1"/>
  <c r="B922" i="1"/>
  <c r="B930" i="1"/>
  <c r="B938" i="1"/>
  <c r="B946" i="1"/>
  <c r="B954" i="1"/>
  <c r="B682" i="1"/>
  <c r="B698" i="1"/>
  <c r="B717" i="1"/>
  <c r="B725" i="1"/>
  <c r="B733" i="1"/>
  <c r="B741" i="1"/>
  <c r="B749" i="1"/>
  <c r="B680" i="1"/>
  <c r="B696" i="1"/>
  <c r="B712" i="1"/>
  <c r="B720" i="1"/>
  <c r="B728" i="1"/>
  <c r="B736" i="1"/>
  <c r="B744" i="1"/>
  <c r="B752" i="1"/>
  <c r="B760" i="1"/>
  <c r="B768" i="1"/>
  <c r="B776" i="1"/>
  <c r="B784" i="1"/>
  <c r="B792" i="1"/>
  <c r="B800" i="1"/>
  <c r="B808" i="1"/>
  <c r="B816" i="1"/>
  <c r="B824" i="1"/>
  <c r="B832" i="1"/>
  <c r="B840" i="1"/>
  <c r="B848" i="1"/>
  <c r="B856" i="1"/>
  <c r="B864" i="1"/>
  <c r="B872" i="1"/>
  <c r="B880" i="1"/>
  <c r="B888" i="1"/>
  <c r="B896" i="1"/>
  <c r="B904" i="1"/>
  <c r="B912" i="1"/>
  <c r="B920" i="1"/>
  <c r="B928" i="1"/>
  <c r="B936" i="1"/>
  <c r="B944" i="1"/>
  <c r="B952" i="1"/>
  <c r="B676" i="1"/>
  <c r="B692" i="1"/>
  <c r="B708" i="1"/>
  <c r="B718" i="1"/>
  <c r="B726" i="1"/>
  <c r="B734" i="1"/>
  <c r="B742" i="1"/>
  <c r="B750" i="1"/>
  <c r="B758" i="1"/>
  <c r="B766" i="1"/>
  <c r="B774" i="1"/>
  <c r="B782" i="1"/>
  <c r="B790" i="1"/>
  <c r="B798" i="1"/>
  <c r="B806" i="1"/>
  <c r="B814" i="1"/>
  <c r="B822" i="1"/>
  <c r="B830" i="1"/>
  <c r="B838" i="1"/>
  <c r="B846" i="1"/>
  <c r="B854" i="1"/>
  <c r="B862" i="1"/>
  <c r="B870" i="1"/>
  <c r="B878" i="1"/>
  <c r="B886" i="1"/>
  <c r="B894" i="1"/>
  <c r="B902" i="1"/>
  <c r="B910" i="1"/>
  <c r="B918" i="1"/>
  <c r="B926" i="1"/>
  <c r="B934" i="1"/>
  <c r="B942" i="1"/>
  <c r="B950" i="1"/>
  <c r="B713" i="1"/>
  <c r="B1013" i="1"/>
  <c r="B1029" i="1"/>
  <c r="B1045" i="1"/>
  <c r="B1061" i="1"/>
  <c r="B1009" i="1"/>
  <c r="B1039" i="1"/>
  <c r="B1055" i="1"/>
  <c r="B1081" i="1"/>
  <c r="B1005" i="1"/>
  <c r="B1021" i="1"/>
  <c r="B1037" i="1"/>
  <c r="B1053" i="1"/>
  <c r="B1017" i="1"/>
  <c r="B1033" i="1"/>
  <c r="B1049" i="1"/>
  <c r="B1080" i="1"/>
  <c r="B1088" i="1"/>
  <c r="B1096" i="1"/>
  <c r="B1104" i="1"/>
  <c r="B1112" i="1"/>
  <c r="B1120" i="1"/>
  <c r="B1128" i="1"/>
  <c r="B1136" i="1"/>
  <c r="B1144" i="1"/>
  <c r="B1152" i="1"/>
  <c r="B1160" i="1"/>
  <c r="B1168" i="1"/>
  <c r="B1176" i="1"/>
  <c r="B1184" i="1"/>
  <c r="B1192" i="1"/>
  <c r="B1200" i="1"/>
  <c r="B1208" i="1"/>
  <c r="B1216" i="1"/>
  <c r="B1224" i="1"/>
  <c r="B1232" i="1"/>
  <c r="B1240" i="1"/>
  <c r="B1248" i="1"/>
  <c r="B1256" i="1"/>
  <c r="B1264" i="1"/>
  <c r="B1272" i="1"/>
  <c r="B1280" i="1"/>
  <c r="B1288" i="1"/>
  <c r="B1296" i="1"/>
  <c r="B1304" i="1"/>
  <c r="B1312" i="1"/>
  <c r="B1320" i="1"/>
  <c r="B1328" i="1"/>
  <c r="B1336" i="1"/>
  <c r="B1344" i="1"/>
  <c r="B1352" i="1"/>
  <c r="B1360" i="1"/>
  <c r="B1368" i="1"/>
  <c r="B1376" i="1"/>
  <c r="B1384" i="1"/>
  <c r="B1392" i="1"/>
  <c r="B1400" i="1"/>
  <c r="B1408" i="1"/>
  <c r="B1416" i="1"/>
  <c r="B1424" i="1"/>
  <c r="B1432" i="1"/>
  <c r="B1440" i="1"/>
  <c r="B1448" i="1"/>
  <c r="B1110" i="1"/>
  <c r="B1118" i="1"/>
  <c r="B1142" i="1"/>
  <c r="B1150" i="1"/>
  <c r="B1158" i="1"/>
  <c r="B1166" i="1"/>
  <c r="B1302" i="1"/>
  <c r="B1310" i="1"/>
  <c r="B1318" i="1"/>
  <c r="B1326" i="1"/>
  <c r="B1334" i="1"/>
  <c r="B1342" i="1"/>
  <c r="B1350" i="1"/>
  <c r="B1358" i="1"/>
  <c r="B1366" i="1"/>
  <c r="B1374" i="1"/>
  <c r="B1382" i="1"/>
  <c r="B1390" i="1"/>
  <c r="B1398" i="1"/>
  <c r="B1406" i="1"/>
  <c r="B1414" i="1"/>
  <c r="B1422" i="1"/>
  <c r="B1430" i="1"/>
  <c r="B1438" i="1"/>
  <c r="B1446" i="1"/>
  <c r="B1454" i="1"/>
  <c r="B1486" i="1"/>
  <c r="B1089" i="1"/>
  <c r="B1097" i="1"/>
  <c r="B1105" i="1"/>
  <c r="B1113" i="1"/>
  <c r="B1121" i="1"/>
  <c r="B1129" i="1"/>
  <c r="B1137" i="1"/>
  <c r="B1145" i="1"/>
  <c r="B1153" i="1"/>
  <c r="B1161" i="1"/>
  <c r="B1169" i="1"/>
  <c r="B1177" i="1"/>
  <c r="B1185" i="1"/>
  <c r="B1193" i="1"/>
  <c r="B1201" i="1"/>
  <c r="B1209" i="1"/>
  <c r="B1217" i="1"/>
  <c r="B1225" i="1"/>
  <c r="B1233" i="1"/>
  <c r="B1241" i="1"/>
  <c r="B1249" i="1"/>
  <c r="B1257" i="1"/>
  <c r="B1265" i="1"/>
  <c r="B1273" i="1"/>
  <c r="B1281" i="1"/>
  <c r="B1289" i="1"/>
  <c r="B1297" i="1"/>
  <c r="B1305" i="1"/>
  <c r="B1313" i="1"/>
  <c r="B1321" i="1"/>
  <c r="B1329" i="1"/>
  <c r="B1337" i="1"/>
  <c r="B1345" i="1"/>
  <c r="B1353" i="1"/>
  <c r="B1361" i="1"/>
  <c r="B1369" i="1"/>
  <c r="B1377" i="1"/>
  <c r="B1385" i="1"/>
  <c r="B1393" i="1"/>
  <c r="B1401" i="1"/>
  <c r="B1409" i="1"/>
  <c r="B1417" i="1"/>
  <c r="B1425" i="1"/>
  <c r="B1433" i="1"/>
  <c r="B1441" i="1"/>
  <c r="B1449" i="1"/>
  <c r="B1457" i="1"/>
  <c r="B1076" i="1"/>
  <c r="B1084" i="1"/>
  <c r="B1092" i="1"/>
  <c r="B1100" i="1"/>
  <c r="B1108" i="1"/>
  <c r="B1116" i="1"/>
  <c r="B1124" i="1"/>
  <c r="B1132" i="1"/>
  <c r="B1140" i="1"/>
  <c r="B1148" i="1"/>
  <c r="B1156" i="1"/>
  <c r="B1164" i="1"/>
  <c r="B1172" i="1"/>
  <c r="B1180" i="1"/>
  <c r="B1188" i="1"/>
  <c r="B1196" i="1"/>
  <c r="B1204" i="1"/>
  <c r="B1212" i="1"/>
  <c r="B1220" i="1"/>
  <c r="B1228" i="1"/>
  <c r="B1236" i="1"/>
  <c r="B1244" i="1"/>
  <c r="B1252" i="1"/>
  <c r="B1260" i="1"/>
  <c r="B1268" i="1"/>
  <c r="B1276" i="1"/>
  <c r="B1284" i="1"/>
  <c r="B1292" i="1"/>
  <c r="B1300" i="1"/>
  <c r="B1308" i="1"/>
  <c r="B1316" i="1"/>
  <c r="B1324" i="1"/>
  <c r="B1332" i="1"/>
  <c r="B1340" i="1"/>
  <c r="B1348" i="1"/>
  <c r="B1356" i="1"/>
  <c r="B1364" i="1"/>
  <c r="B1372" i="1"/>
  <c r="B1380" i="1"/>
  <c r="B1388" i="1"/>
  <c r="B1396" i="1"/>
  <c r="B1404" i="1"/>
  <c r="B1412" i="1"/>
  <c r="B1420" i="1"/>
  <c r="B1428" i="1"/>
  <c r="B1436" i="1"/>
  <c r="B1444" i="1"/>
  <c r="B1452" i="1"/>
  <c r="B1082" i="1"/>
  <c r="B1090" i="1"/>
  <c r="B1098" i="1"/>
  <c r="B1106" i="1"/>
  <c r="B1114" i="1"/>
  <c r="B1122" i="1"/>
  <c r="B1130" i="1"/>
  <c r="B1138" i="1"/>
  <c r="B1146" i="1"/>
  <c r="B1154" i="1"/>
  <c r="B1162" i="1"/>
  <c r="B1170" i="1"/>
  <c r="B1178" i="1"/>
  <c r="B1186" i="1"/>
  <c r="B1194" i="1"/>
  <c r="B1202" i="1"/>
  <c r="B1210" i="1"/>
  <c r="B1218" i="1"/>
  <c r="B1226" i="1"/>
  <c r="B1234" i="1"/>
  <c r="B1242" i="1"/>
  <c r="B1250" i="1"/>
  <c r="B1258" i="1"/>
  <c r="B1266" i="1"/>
  <c r="B1274" i="1"/>
  <c r="B1282" i="1"/>
  <c r="B1290" i="1"/>
  <c r="B1298" i="1"/>
  <c r="B1306" i="1"/>
  <c r="B1314" i="1"/>
  <c r="B1322" i="1"/>
  <c r="B1330" i="1"/>
  <c r="B1338" i="1"/>
  <c r="B1346" i="1"/>
  <c r="B1354" i="1"/>
  <c r="B1362" i="1"/>
  <c r="B1370" i="1"/>
  <c r="B1378" i="1"/>
  <c r="B1386" i="1"/>
  <c r="B1394" i="1"/>
  <c r="B1402" i="1"/>
  <c r="B1410" i="1"/>
  <c r="B1418" i="1"/>
  <c r="B1426" i="1"/>
  <c r="B1434" i="1"/>
  <c r="B1442" i="1"/>
  <c r="B1450" i="1"/>
  <c r="B1458" i="1"/>
  <c r="B1456" i="1"/>
  <c r="B1464" i="1"/>
  <c r="B1472" i="1"/>
  <c r="B1480" i="1"/>
  <c r="B1488" i="1"/>
  <c r="B1496" i="1"/>
  <c r="B1504" i="1"/>
  <c r="B1512" i="1"/>
  <c r="B1520" i="1"/>
  <c r="B1528" i="1"/>
  <c r="B1536" i="1"/>
  <c r="B1544" i="1"/>
  <c r="B1552" i="1"/>
  <c r="B1560" i="1"/>
  <c r="B1568" i="1"/>
  <c r="B1576" i="1"/>
  <c r="B1584" i="1"/>
  <c r="B1592" i="1"/>
  <c r="B1600" i="1"/>
  <c r="B1608" i="1"/>
  <c r="B1616" i="1"/>
  <c r="B1624" i="1"/>
  <c r="B1632" i="1"/>
  <c r="B1640" i="1"/>
  <c r="B1648" i="1"/>
  <c r="B1656" i="1"/>
  <c r="B1664" i="1"/>
  <c r="B1672" i="1"/>
  <c r="B1680" i="1"/>
  <c r="B1688" i="1"/>
  <c r="B1696" i="1"/>
  <c r="B1704" i="1"/>
  <c r="B1712" i="1"/>
  <c r="B1720" i="1"/>
  <c r="B1728" i="1"/>
  <c r="B1736" i="1"/>
  <c r="B1744" i="1"/>
  <c r="B1752" i="1"/>
  <c r="B1760" i="1"/>
  <c r="B1768" i="1"/>
  <c r="B1776" i="1"/>
  <c r="B1784" i="1"/>
  <c r="B1792" i="1"/>
  <c r="B1800" i="1"/>
  <c r="B1808" i="1"/>
  <c r="B1816" i="1"/>
  <c r="B1824" i="1"/>
  <c r="B1832" i="1"/>
  <c r="B1840" i="1"/>
  <c r="B1848" i="1"/>
  <c r="B1856" i="1"/>
  <c r="B1864" i="1"/>
  <c r="B1872" i="1"/>
  <c r="B1880" i="1"/>
  <c r="B1888" i="1"/>
  <c r="B1896" i="1"/>
  <c r="B1904" i="1"/>
  <c r="B1912" i="1"/>
  <c r="B1920" i="1"/>
  <c r="B1928" i="1"/>
  <c r="B1936" i="1"/>
  <c r="B1944" i="1"/>
  <c r="B1952" i="1"/>
  <c r="B1960" i="1"/>
  <c r="B1968" i="1"/>
  <c r="B1976" i="1"/>
  <c r="B1984" i="1"/>
  <c r="B1992" i="1"/>
  <c r="B2000" i="1"/>
  <c r="B2008" i="1"/>
  <c r="B2016" i="1"/>
  <c r="B2024" i="1"/>
  <c r="B2032" i="1"/>
  <c r="B2040" i="1"/>
  <c r="B2048" i="1"/>
  <c r="B2056" i="1"/>
  <c r="B2064" i="1"/>
  <c r="B2072" i="1"/>
  <c r="B2080" i="1"/>
  <c r="B2088" i="1"/>
  <c r="B2096" i="1"/>
  <c r="B2104" i="1"/>
  <c r="B2112" i="1"/>
  <c r="B2120" i="1"/>
  <c r="B1518" i="1"/>
  <c r="B1526" i="1"/>
  <c r="B1534" i="1"/>
  <c r="B1542" i="1"/>
  <c r="B1550" i="1"/>
  <c r="B1558" i="1"/>
  <c r="B1566" i="1"/>
  <c r="B1574" i="1"/>
  <c r="B1582" i="1"/>
  <c r="B1590" i="1"/>
  <c r="B1598" i="1"/>
  <c r="B1606" i="1"/>
  <c r="B1614" i="1"/>
  <c r="B1465" i="1"/>
  <c r="B1473" i="1"/>
  <c r="B1481" i="1"/>
  <c r="B1489" i="1"/>
  <c r="B1497" i="1"/>
  <c r="B1505" i="1"/>
  <c r="B1513" i="1"/>
  <c r="B1521" i="1"/>
  <c r="B1529" i="1"/>
  <c r="B1537" i="1"/>
  <c r="B1545" i="1"/>
  <c r="B1553" i="1"/>
  <c r="B1561" i="1"/>
  <c r="B1569" i="1"/>
  <c r="B1577" i="1"/>
  <c r="B1585" i="1"/>
  <c r="B1593" i="1"/>
  <c r="B1601" i="1"/>
  <c r="B1609" i="1"/>
  <c r="B1617" i="1"/>
  <c r="B1625" i="1"/>
  <c r="B1633" i="1"/>
  <c r="B1641" i="1"/>
  <c r="B1649" i="1"/>
  <c r="B1657" i="1"/>
  <c r="B1665" i="1"/>
  <c r="B1673" i="1"/>
  <c r="B1681" i="1"/>
  <c r="B1689" i="1"/>
  <c r="B1697" i="1"/>
  <c r="B1705" i="1"/>
  <c r="B1713" i="1"/>
  <c r="B1721" i="1"/>
  <c r="B1729" i="1"/>
  <c r="B1737" i="1"/>
  <c r="B1745" i="1"/>
  <c r="B1753" i="1"/>
  <c r="B1761" i="1"/>
  <c r="B1769" i="1"/>
  <c r="B1777" i="1"/>
  <c r="B1785" i="1"/>
  <c r="B1793" i="1"/>
  <c r="B1801" i="1"/>
  <c r="B1809" i="1"/>
  <c r="B1817" i="1"/>
  <c r="B1825" i="1"/>
  <c r="B1833" i="1"/>
  <c r="B1841" i="1"/>
  <c r="B1849" i="1"/>
  <c r="B1857" i="1"/>
  <c r="B1865" i="1"/>
  <c r="B1873" i="1"/>
  <c r="B1881" i="1"/>
  <c r="B1889" i="1"/>
  <c r="B1897" i="1"/>
  <c r="B1905" i="1"/>
  <c r="B1913" i="1"/>
  <c r="B1921" i="1"/>
  <c r="B1929" i="1"/>
  <c r="B1937" i="1"/>
  <c r="B1945" i="1"/>
  <c r="B1953" i="1"/>
  <c r="B1961" i="1"/>
  <c r="B1969" i="1"/>
  <c r="B1977" i="1"/>
  <c r="B1985" i="1"/>
  <c r="B1993" i="1"/>
  <c r="B2001" i="1"/>
  <c r="B2009" i="1"/>
  <c r="B2017" i="1"/>
  <c r="B2025" i="1"/>
  <c r="B2033" i="1"/>
  <c r="B2041" i="1"/>
  <c r="B2049" i="1"/>
  <c r="B2057" i="1"/>
  <c r="B2065" i="1"/>
  <c r="B2073" i="1"/>
  <c r="B2081" i="1"/>
  <c r="B2089" i="1"/>
  <c r="B2097" i="1"/>
  <c r="B2105" i="1"/>
  <c r="B2113" i="1"/>
  <c r="B2121" i="1"/>
  <c r="B2129" i="1"/>
  <c r="B2137" i="1"/>
  <c r="B1460" i="1"/>
  <c r="B1468" i="1"/>
  <c r="B1476" i="1"/>
  <c r="B1484" i="1"/>
  <c r="B1492" i="1"/>
  <c r="B1500" i="1"/>
  <c r="B1508" i="1"/>
  <c r="B1516" i="1"/>
  <c r="B1524" i="1"/>
  <c r="B1532" i="1"/>
  <c r="B1540" i="1"/>
  <c r="B1548" i="1"/>
  <c r="B1556" i="1"/>
  <c r="B1564" i="1"/>
  <c r="B1572" i="1"/>
  <c r="B1580" i="1"/>
  <c r="B1588" i="1"/>
  <c r="B1596" i="1"/>
  <c r="B1604" i="1"/>
  <c r="B1612" i="1"/>
  <c r="B1620" i="1"/>
  <c r="B1628" i="1"/>
  <c r="B1636" i="1"/>
  <c r="B1644" i="1"/>
  <c r="B1652" i="1"/>
  <c r="B1660" i="1"/>
  <c r="B1668" i="1"/>
  <c r="B1676" i="1"/>
  <c r="B1684" i="1"/>
  <c r="B1692" i="1"/>
  <c r="B1700" i="1"/>
  <c r="B1708" i="1"/>
  <c r="B1716" i="1"/>
  <c r="B1724" i="1"/>
  <c r="B1732" i="1"/>
  <c r="B1740" i="1"/>
  <c r="B1748" i="1"/>
  <c r="B1756" i="1"/>
  <c r="B1764" i="1"/>
  <c r="B1772" i="1"/>
  <c r="B1780" i="1"/>
  <c r="B1788" i="1"/>
  <c r="B1796" i="1"/>
  <c r="B1804" i="1"/>
  <c r="B1812" i="1"/>
  <c r="B1820" i="1"/>
  <c r="B1828" i="1"/>
  <c r="B1836" i="1"/>
  <c r="B1844" i="1"/>
  <c r="B1852" i="1"/>
  <c r="B1860" i="1"/>
  <c r="B1868" i="1"/>
  <c r="B1876" i="1"/>
  <c r="B1884" i="1"/>
  <c r="B1892" i="1"/>
  <c r="B1900" i="1"/>
  <c r="B1908" i="1"/>
  <c r="B1916" i="1"/>
  <c r="B1924" i="1"/>
  <c r="B1932" i="1"/>
  <c r="B1940" i="1"/>
  <c r="B1948" i="1"/>
  <c r="B1956" i="1"/>
  <c r="B1964" i="1"/>
  <c r="B1972" i="1"/>
  <c r="B1980" i="1"/>
  <c r="B1988" i="1"/>
  <c r="B1996" i="1"/>
  <c r="B2004" i="1"/>
  <c r="B2012" i="1"/>
  <c r="B2020" i="1"/>
  <c r="B2028" i="1"/>
  <c r="B2036" i="1"/>
  <c r="B2044" i="1"/>
  <c r="B2052" i="1"/>
  <c r="B2060" i="1"/>
  <c r="B2068" i="1"/>
  <c r="B2076" i="1"/>
  <c r="B2084" i="1"/>
  <c r="B2092" i="1"/>
  <c r="B2100" i="1"/>
  <c r="B2108" i="1"/>
  <c r="B2116" i="1"/>
  <c r="B1674" i="1"/>
  <c r="B1738" i="1"/>
  <c r="B1746" i="1"/>
  <c r="B1754" i="1"/>
  <c r="B1762" i="1"/>
  <c r="B1770" i="1"/>
  <c r="B1778" i="1"/>
  <c r="B1786" i="1"/>
  <c r="B1794" i="1"/>
  <c r="B1802" i="1"/>
  <c r="B1810" i="1"/>
  <c r="B1818" i="1"/>
  <c r="B1826" i="1"/>
  <c r="B1834" i="1"/>
  <c r="B1842" i="1"/>
  <c r="B1850" i="1"/>
  <c r="B1858" i="1"/>
  <c r="B1866" i="1"/>
  <c r="B1874" i="1"/>
  <c r="B1882" i="1"/>
  <c r="B1890" i="1"/>
  <c r="B1898" i="1"/>
  <c r="B1906" i="1"/>
  <c r="B1914" i="1"/>
  <c r="B1922" i="1"/>
  <c r="B1930" i="1"/>
  <c r="B1938" i="1"/>
  <c r="B1946" i="1"/>
  <c r="B1954" i="1"/>
  <c r="B1962" i="1"/>
  <c r="B1970" i="1"/>
  <c r="B1978" i="1"/>
  <c r="B1986" i="1"/>
  <c r="B1994" i="1"/>
  <c r="B2002" i="1"/>
  <c r="B2010" i="1"/>
  <c r="B2018" i="1"/>
  <c r="B2026" i="1"/>
  <c r="B2034" i="1"/>
  <c r="B2042" i="1"/>
  <c r="B2050" i="1"/>
  <c r="B2058" i="1"/>
  <c r="B2066" i="1"/>
  <c r="B2074" i="1"/>
  <c r="B2082" i="1"/>
  <c r="B2090" i="1"/>
  <c r="B2098" i="1"/>
  <c r="B2106" i="1"/>
  <c r="B2114" i="1"/>
  <c r="B2122" i="1"/>
  <c r="B1533" i="1"/>
  <c r="B1541" i="1"/>
  <c r="B1549" i="1"/>
  <c r="B1557" i="1"/>
  <c r="B1565" i="1"/>
  <c r="B1573" i="1"/>
  <c r="B1581" i="1"/>
  <c r="B1589" i="1"/>
  <c r="B1597" i="1"/>
  <c r="B1605" i="1"/>
  <c r="B1629" i="1"/>
  <c r="B2117" i="1"/>
  <c r="B2125" i="1"/>
  <c r="B2133" i="1"/>
  <c r="B2437" i="1"/>
  <c r="B2453" i="1"/>
  <c r="B2469" i="1"/>
  <c r="B2486" i="1"/>
  <c r="B2494" i="1"/>
  <c r="B2502" i="1"/>
  <c r="B2510" i="1"/>
  <c r="B2518" i="1"/>
  <c r="B2526" i="1"/>
  <c r="B2534" i="1"/>
  <c r="B2542" i="1"/>
  <c r="B2550" i="1"/>
  <c r="B2558" i="1"/>
  <c r="B2566" i="1"/>
  <c r="B2574" i="1"/>
  <c r="B2582" i="1"/>
  <c r="B2590" i="1"/>
  <c r="B2598" i="1"/>
  <c r="B2606" i="1"/>
  <c r="B2614" i="1"/>
  <c r="B2622" i="1"/>
  <c r="B2630" i="1"/>
  <c r="B2638" i="1"/>
  <c r="B2646" i="1"/>
  <c r="B2654" i="1"/>
  <c r="B2662" i="1"/>
  <c r="B2670" i="1"/>
  <c r="B2678" i="1"/>
  <c r="B2686" i="1"/>
  <c r="B2449" i="1"/>
  <c r="B2465" i="1"/>
  <c r="B2484" i="1"/>
  <c r="B2492" i="1"/>
  <c r="B2500" i="1"/>
  <c r="B2508" i="1"/>
  <c r="B2516" i="1"/>
  <c r="B2524" i="1"/>
  <c r="B2532" i="1"/>
  <c r="B2540" i="1"/>
  <c r="B2548" i="1"/>
  <c r="B2556" i="1"/>
  <c r="B2564" i="1"/>
  <c r="B2572" i="1"/>
  <c r="B2580" i="1"/>
  <c r="B2588" i="1"/>
  <c r="B2596" i="1"/>
  <c r="B2604" i="1"/>
  <c r="B2612" i="1"/>
  <c r="B2620" i="1"/>
  <c r="B2628" i="1"/>
  <c r="B2636" i="1"/>
  <c r="B2644" i="1"/>
  <c r="B2652" i="1"/>
  <c r="B2660" i="1"/>
  <c r="B2668" i="1"/>
  <c r="B2676" i="1"/>
  <c r="B2684" i="1"/>
  <c r="B2692" i="1"/>
  <c r="B2487" i="1"/>
  <c r="B2495" i="1"/>
  <c r="B2445" i="1"/>
  <c r="B2461" i="1"/>
  <c r="B2477" i="1"/>
  <c r="B2482" i="1"/>
  <c r="B2490" i="1"/>
  <c r="B2498" i="1"/>
  <c r="B2506" i="1"/>
  <c r="B2514" i="1"/>
  <c r="B2522" i="1"/>
  <c r="B2530" i="1"/>
  <c r="B2538" i="1"/>
  <c r="B2546" i="1"/>
  <c r="B2554" i="1"/>
  <c r="B2562" i="1"/>
  <c r="B2570" i="1"/>
  <c r="B2578" i="1"/>
  <c r="B2586" i="1"/>
  <c r="B2594" i="1"/>
  <c r="B2602" i="1"/>
  <c r="B2610" i="1"/>
  <c r="B2618" i="1"/>
  <c r="B2626" i="1"/>
  <c r="B2634" i="1"/>
  <c r="B2642" i="1"/>
  <c r="B2650" i="1"/>
  <c r="B2658" i="1"/>
  <c r="B2666" i="1"/>
  <c r="B2674" i="1"/>
  <c r="B2682" i="1"/>
  <c r="B2690" i="1"/>
  <c r="B2441" i="1"/>
  <c r="B2457" i="1"/>
  <c r="B2473" i="1"/>
  <c r="B2480" i="1"/>
  <c r="B2488" i="1"/>
  <c r="B2496" i="1"/>
  <c r="B2504" i="1"/>
  <c r="B2512" i="1"/>
  <c r="B2520" i="1"/>
  <c r="B2528" i="1"/>
  <c r="B2536" i="1"/>
  <c r="B2544" i="1"/>
  <c r="B2552" i="1"/>
  <c r="B2560" i="1"/>
  <c r="B2568" i="1"/>
  <c r="B2576" i="1"/>
  <c r="B2584" i="1"/>
  <c r="B2592" i="1"/>
  <c r="B2600" i="1"/>
  <c r="B2608" i="1"/>
  <c r="B2616" i="1"/>
  <c r="B2624" i="1"/>
  <c r="B2632" i="1"/>
  <c r="B2640" i="1"/>
  <c r="B2648" i="1"/>
  <c r="B2656" i="1"/>
  <c r="B2664" i="1"/>
  <c r="B2672" i="1"/>
  <c r="B2680" i="1"/>
  <c r="B2688" i="1"/>
  <c r="B2838" i="1"/>
  <c r="B2846" i="1"/>
  <c r="B2854" i="1"/>
  <c r="B2862" i="1"/>
  <c r="B2870" i="1"/>
  <c r="B2878" i="1"/>
  <c r="B2886" i="1"/>
  <c r="B2918" i="1"/>
  <c r="B2966" i="1"/>
  <c r="B3014" i="1"/>
  <c r="B3054" i="1"/>
  <c r="B3062" i="1"/>
  <c r="B3070" i="1"/>
  <c r="B3078" i="1"/>
  <c r="B3086" i="1"/>
  <c r="B3102" i="1"/>
  <c r="B3118" i="1"/>
  <c r="B3126" i="1"/>
  <c r="B3134" i="1"/>
  <c r="B3142" i="1"/>
  <c r="B3150" i="1"/>
  <c r="B3158" i="1"/>
  <c r="B3166" i="1"/>
  <c r="B3174" i="1"/>
  <c r="B3182" i="1"/>
  <c r="B3190" i="1"/>
  <c r="B3198" i="1"/>
  <c r="B3206" i="1"/>
  <c r="B3214" i="1"/>
  <c r="B2713" i="1"/>
  <c r="B2729" i="1"/>
  <c r="B2745" i="1"/>
  <c r="B2761" i="1"/>
  <c r="B2777" i="1"/>
  <c r="B2793" i="1"/>
  <c r="B2801" i="1"/>
  <c r="B2809" i="1"/>
  <c r="B2817" i="1"/>
  <c r="B2825" i="1"/>
  <c r="B2833" i="1"/>
  <c r="B2841" i="1"/>
  <c r="B2849" i="1"/>
  <c r="B2857" i="1"/>
  <c r="B2865" i="1"/>
  <c r="B2873" i="1"/>
  <c r="B2881" i="1"/>
  <c r="B2889" i="1"/>
  <c r="B2897" i="1"/>
  <c r="B2905" i="1"/>
  <c r="B2913" i="1"/>
  <c r="B2921" i="1"/>
  <c r="B2929" i="1"/>
  <c r="B2937" i="1"/>
  <c r="B2945" i="1"/>
  <c r="B2953" i="1"/>
  <c r="B2961" i="1"/>
  <c r="B2969" i="1"/>
  <c r="B2977" i="1"/>
  <c r="B2985" i="1"/>
  <c r="B2993" i="1"/>
  <c r="B3001" i="1"/>
  <c r="B3009" i="1"/>
  <c r="B3017" i="1"/>
  <c r="B3025" i="1"/>
  <c r="B3033" i="1"/>
  <c r="B3041" i="1"/>
  <c r="B3049" i="1"/>
  <c r="B3057" i="1"/>
  <c r="B3065" i="1"/>
  <c r="B3073" i="1"/>
  <c r="B3081" i="1"/>
  <c r="B3089" i="1"/>
  <c r="B3097" i="1"/>
  <c r="B3105" i="1"/>
  <c r="B3113" i="1"/>
  <c r="B3121" i="1"/>
  <c r="B3129" i="1"/>
  <c r="B3137" i="1"/>
  <c r="B3145" i="1"/>
  <c r="B3153" i="1"/>
  <c r="B3161" i="1"/>
  <c r="B3169" i="1"/>
  <c r="B3177" i="1"/>
  <c r="B2711" i="1"/>
  <c r="B2727" i="1"/>
  <c r="B2743" i="1"/>
  <c r="B2759" i="1"/>
  <c r="B2775" i="1"/>
  <c r="B2791" i="1"/>
  <c r="B2796" i="1"/>
  <c r="B2804" i="1"/>
  <c r="B2812" i="1"/>
  <c r="B2820" i="1"/>
  <c r="B2828" i="1"/>
  <c r="B2836" i="1"/>
  <c r="B2844" i="1"/>
  <c r="B2852" i="1"/>
  <c r="B2860" i="1"/>
  <c r="B2868" i="1"/>
  <c r="B2876" i="1"/>
  <c r="B2884" i="1"/>
  <c r="B2892" i="1"/>
  <c r="B2900" i="1"/>
  <c r="B2908" i="1"/>
  <c r="B2916" i="1"/>
  <c r="B2924" i="1"/>
  <c r="B2932" i="1"/>
  <c r="B2940" i="1"/>
  <c r="B3076" i="1"/>
  <c r="B3084" i="1"/>
  <c r="B3092" i="1"/>
  <c r="B3100" i="1"/>
  <c r="B3108" i="1"/>
  <c r="B3116" i="1"/>
  <c r="B3124" i="1"/>
  <c r="B3132" i="1"/>
  <c r="B3140" i="1"/>
  <c r="B3148" i="1"/>
  <c r="B3156" i="1"/>
  <c r="B3164" i="1"/>
  <c r="B3172" i="1"/>
  <c r="B3180" i="1"/>
  <c r="B3188" i="1"/>
  <c r="B3196" i="1"/>
  <c r="B3204" i="1"/>
  <c r="B3212" i="1"/>
  <c r="B2707" i="1"/>
  <c r="B2723" i="1"/>
  <c r="B2739" i="1"/>
  <c r="B2755" i="1"/>
  <c r="B2771" i="1"/>
  <c r="B2787" i="1"/>
  <c r="B2794" i="1"/>
  <c r="B2802" i="1"/>
  <c r="B2810" i="1"/>
  <c r="B2818" i="1"/>
  <c r="B2826" i="1"/>
  <c r="B2834" i="1"/>
  <c r="B2842" i="1"/>
  <c r="B2850" i="1"/>
  <c r="B2858" i="1"/>
  <c r="B2866" i="1"/>
  <c r="B2874" i="1"/>
  <c r="B2882" i="1"/>
  <c r="B2890" i="1"/>
  <c r="B2898" i="1"/>
  <c r="B2906" i="1"/>
  <c r="B2914" i="1"/>
  <c r="B2922" i="1"/>
  <c r="B2930" i="1"/>
  <c r="B2938" i="1"/>
  <c r="B2946" i="1"/>
  <c r="B2954" i="1"/>
  <c r="B2962" i="1"/>
  <c r="B2970" i="1"/>
  <c r="B2978" i="1"/>
  <c r="B2986" i="1"/>
  <c r="B2994" i="1"/>
  <c r="B3002" i="1"/>
  <c r="B3010" i="1"/>
  <c r="B3018" i="1"/>
  <c r="B3026" i="1"/>
  <c r="B3034" i="1"/>
  <c r="B3042" i="1"/>
  <c r="B3050" i="1"/>
  <c r="B3058" i="1"/>
  <c r="B3066" i="1"/>
  <c r="B3074" i="1"/>
  <c r="B3082" i="1"/>
  <c r="B3090" i="1"/>
  <c r="B3098" i="1"/>
  <c r="B3106" i="1"/>
  <c r="B3114" i="1"/>
  <c r="B3122" i="1"/>
  <c r="B3130" i="1"/>
  <c r="B3138" i="1"/>
  <c r="B3146" i="1"/>
  <c r="B3154" i="1"/>
  <c r="B3162" i="1"/>
  <c r="B3170" i="1"/>
  <c r="B3178" i="1"/>
  <c r="B3186" i="1"/>
  <c r="B3194" i="1"/>
  <c r="B3202" i="1"/>
  <c r="B3210" i="1"/>
  <c r="B2705" i="1"/>
  <c r="B2721" i="1"/>
  <c r="B2737" i="1"/>
  <c r="B2753" i="1"/>
  <c r="B2769" i="1"/>
  <c r="B2785" i="1"/>
  <c r="B2797" i="1"/>
  <c r="B2805" i="1"/>
  <c r="B2813" i="1"/>
  <c r="B2821" i="1"/>
  <c r="B2829" i="1"/>
  <c r="B2837" i="1"/>
  <c r="B2845" i="1"/>
  <c r="B2853" i="1"/>
  <c r="B2861" i="1"/>
  <c r="B2869" i="1"/>
  <c r="B2877" i="1"/>
  <c r="B2885" i="1"/>
  <c r="B2917" i="1"/>
  <c r="B2925" i="1"/>
  <c r="B2933" i="1"/>
  <c r="B2941" i="1"/>
  <c r="B2949" i="1"/>
  <c r="B3205" i="1"/>
  <c r="B3213" i="1"/>
  <c r="B2952" i="1"/>
  <c r="B2960" i="1"/>
  <c r="B2968" i="1"/>
  <c r="B2976" i="1"/>
  <c r="B2984" i="1"/>
  <c r="B2992" i="1"/>
  <c r="B3000" i="1"/>
  <c r="B3008" i="1"/>
  <c r="B3016" i="1"/>
  <c r="B3024" i="1"/>
  <c r="B3032" i="1"/>
  <c r="B3040" i="1"/>
  <c r="B3048" i="1"/>
  <c r="B3056" i="1"/>
  <c r="B3064" i="1"/>
  <c r="B3072" i="1"/>
  <c r="B3080" i="1"/>
  <c r="B3088" i="1"/>
  <c r="B3096" i="1"/>
  <c r="B3104" i="1"/>
  <c r="B3112" i="1"/>
  <c r="B3120" i="1"/>
  <c r="B3128" i="1"/>
  <c r="B3152" i="1"/>
  <c r="B3160" i="1"/>
  <c r="B3168" i="1"/>
  <c r="B3176" i="1"/>
  <c r="B3184" i="1"/>
  <c r="B3192" i="1"/>
  <c r="B3200" i="1"/>
  <c r="B3208" i="1"/>
  <c r="B3358" i="1"/>
  <c r="B3374" i="1"/>
  <c r="B3390" i="1"/>
  <c r="B3404" i="1"/>
  <c r="B3412" i="1"/>
  <c r="B3420" i="1"/>
  <c r="B3428" i="1"/>
  <c r="B3436" i="1"/>
  <c r="B3444" i="1"/>
  <c r="B3452" i="1"/>
  <c r="B3460" i="1"/>
  <c r="B3468" i="1"/>
  <c r="B3476" i="1"/>
  <c r="B3484" i="1"/>
  <c r="B3492" i="1"/>
  <c r="B3500" i="1"/>
  <c r="B3508" i="1"/>
  <c r="B3516" i="1"/>
  <c r="B3524" i="1"/>
  <c r="B3532" i="1"/>
  <c r="B3540" i="1"/>
  <c r="B3548" i="1"/>
  <c r="B3556" i="1"/>
  <c r="B3564" i="1"/>
  <c r="B3572" i="1"/>
  <c r="B3580" i="1"/>
  <c r="B3588" i="1"/>
  <c r="B3596" i="1"/>
  <c r="B3604" i="1"/>
  <c r="B3612" i="1"/>
  <c r="B3620" i="1"/>
  <c r="B3628" i="1"/>
  <c r="B3636" i="1"/>
  <c r="B3644" i="1"/>
  <c r="B3652" i="1"/>
  <c r="B3660" i="1"/>
  <c r="B3668" i="1"/>
  <c r="B3676" i="1"/>
  <c r="B3684" i="1"/>
  <c r="B3692" i="1"/>
  <c r="B3700" i="1"/>
  <c r="B3708" i="1"/>
  <c r="B3716" i="1"/>
  <c r="B3724" i="1"/>
  <c r="B3732" i="1"/>
  <c r="B3740" i="1"/>
  <c r="B3748" i="1"/>
  <c r="B3756" i="1"/>
  <c r="B3764" i="1"/>
  <c r="B3772" i="1"/>
  <c r="B3780" i="1"/>
  <c r="B3788" i="1"/>
  <c r="B3796" i="1"/>
  <c r="B3804" i="1"/>
  <c r="B3812" i="1"/>
  <c r="B3820" i="1"/>
  <c r="B3828" i="1"/>
  <c r="B3836" i="1"/>
  <c r="B3844" i="1"/>
  <c r="B3852" i="1"/>
  <c r="B3839" i="1"/>
  <c r="B3847" i="1"/>
  <c r="B3855" i="1"/>
  <c r="B3863" i="1"/>
  <c r="B3871" i="1"/>
  <c r="B3618" i="1"/>
  <c r="B3350" i="1"/>
  <c r="B3366" i="1"/>
  <c r="B3382" i="1"/>
  <c r="B3398" i="1"/>
  <c r="B3408" i="1"/>
  <c r="B3416" i="1"/>
  <c r="B3424" i="1"/>
  <c r="B3432" i="1"/>
  <c r="B3440" i="1"/>
  <c r="B3448" i="1"/>
  <c r="B3456" i="1"/>
  <c r="B3464" i="1"/>
  <c r="B3472" i="1"/>
  <c r="B3480" i="1"/>
  <c r="B3488" i="1"/>
  <c r="B3496" i="1"/>
  <c r="B3504" i="1"/>
  <c r="B3512" i="1"/>
  <c r="B3520" i="1"/>
  <c r="B3528" i="1"/>
  <c r="B3536" i="1"/>
  <c r="B3544" i="1"/>
  <c r="B3552" i="1"/>
  <c r="B3560" i="1"/>
  <c r="B3568" i="1"/>
  <c r="B3576" i="1"/>
  <c r="B3584" i="1"/>
  <c r="B3592" i="1"/>
  <c r="B3600" i="1"/>
  <c r="B3608" i="1"/>
  <c r="B3616" i="1"/>
  <c r="B3624" i="1"/>
  <c r="B3632" i="1"/>
  <c r="B3640" i="1"/>
  <c r="B3648" i="1"/>
  <c r="B3656" i="1"/>
  <c r="B3664" i="1"/>
  <c r="B3672" i="1"/>
  <c r="B3680" i="1"/>
  <c r="B3688" i="1"/>
  <c r="B3696" i="1"/>
  <c r="B3704" i="1"/>
  <c r="B3712" i="1"/>
  <c r="B3720" i="1"/>
  <c r="B3728" i="1"/>
  <c r="B3736" i="1"/>
  <c r="B3744" i="1"/>
  <c r="B3752" i="1"/>
  <c r="B3760" i="1"/>
  <c r="B3768" i="1"/>
  <c r="B3776" i="1"/>
  <c r="B3784" i="1"/>
  <c r="B3792" i="1"/>
  <c r="B3800" i="1"/>
  <c r="B3808" i="1"/>
  <c r="B3816" i="1"/>
  <c r="B3824" i="1"/>
  <c r="B3832" i="1"/>
  <c r="B3840" i="1"/>
  <c r="B3848" i="1"/>
  <c r="B3856" i="1"/>
  <c r="B3348" i="1"/>
  <c r="B3364" i="1"/>
  <c r="B3380" i="1"/>
  <c r="B3396" i="1"/>
  <c r="B3403" i="1"/>
  <c r="B3411" i="1"/>
  <c r="B3419" i="1"/>
  <c r="B3427" i="1"/>
  <c r="B3435" i="1"/>
  <c r="B3443" i="1"/>
  <c r="B3451" i="1"/>
  <c r="B3459" i="1"/>
  <c r="B3467" i="1"/>
  <c r="B3475" i="1"/>
  <c r="B3483" i="1"/>
  <c r="B3491" i="1"/>
  <c r="B3499" i="1"/>
  <c r="B3507" i="1"/>
  <c r="B3515" i="1"/>
  <c r="B3523" i="1"/>
  <c r="B3531" i="1"/>
  <c r="B3539" i="1"/>
  <c r="B3547" i="1"/>
  <c r="B3555" i="1"/>
  <c r="B3563" i="1"/>
  <c r="B3571" i="1"/>
  <c r="B3579" i="1"/>
  <c r="B3587" i="1"/>
  <c r="B3595" i="1"/>
  <c r="B3603" i="1"/>
  <c r="B3611" i="1"/>
  <c r="B3619" i="1"/>
  <c r="B3627" i="1"/>
  <c r="B3635" i="1"/>
  <c r="B3643" i="1"/>
  <c r="B3651" i="1"/>
  <c r="B3659" i="1"/>
  <c r="B3667" i="1"/>
  <c r="B3675" i="1"/>
  <c r="B3683" i="1"/>
  <c r="B3691" i="1"/>
  <c r="B3699" i="1"/>
  <c r="B3707" i="1"/>
  <c r="B3715" i="1"/>
  <c r="B3723" i="1"/>
  <c r="B3731" i="1"/>
  <c r="B3739" i="1"/>
  <c r="B3747" i="1"/>
  <c r="B3755" i="1"/>
  <c r="B3763" i="1"/>
  <c r="B3771" i="1"/>
  <c r="B3779" i="1"/>
  <c r="B3787" i="1"/>
  <c r="B3795" i="1"/>
  <c r="B3803" i="1"/>
  <c r="B3811" i="1"/>
  <c r="B3819" i="1"/>
  <c r="B3827" i="1"/>
  <c r="B3835" i="1"/>
  <c r="B3843" i="1"/>
  <c r="B3851" i="1"/>
  <c r="B3859" i="1"/>
  <c r="B3867" i="1"/>
  <c r="B3875" i="1"/>
  <c r="B3553" i="1"/>
  <c r="B3561" i="1"/>
  <c r="B3569" i="1"/>
  <c r="B3577" i="1"/>
  <c r="B3585" i="1"/>
  <c r="B3593" i="1"/>
  <c r="B3601" i="1"/>
  <c r="B3609" i="1"/>
  <c r="B3617" i="1"/>
  <c r="B3625" i="1"/>
  <c r="B3633" i="1"/>
  <c r="B3641" i="1"/>
  <c r="B3649" i="1"/>
  <c r="B3657" i="1"/>
  <c r="B3665" i="1"/>
  <c r="B3673" i="1"/>
  <c r="B3681" i="1"/>
  <c r="B3689" i="1"/>
  <c r="B3697" i="1"/>
  <c r="B3705" i="1"/>
  <c r="B3713" i="1"/>
  <c r="B3721" i="1"/>
  <c r="B3729" i="1"/>
  <c r="B3737" i="1"/>
  <c r="B3745" i="1"/>
  <c r="B3793" i="1"/>
  <c r="B4010" i="1"/>
  <c r="B4026" i="1"/>
  <c r="B4104" i="1"/>
  <c r="B4112" i="1"/>
  <c r="B4120" i="1"/>
  <c r="B4008" i="1"/>
  <c r="B4024" i="1"/>
  <c r="B4040" i="1"/>
  <c r="B4056" i="1"/>
  <c r="B4072" i="1"/>
  <c r="B4088" i="1"/>
  <c r="B4107" i="1"/>
  <c r="B4115" i="1"/>
  <c r="B4123" i="1"/>
  <c r="B4131" i="1"/>
  <c r="B4129" i="1"/>
  <c r="B4016" i="1"/>
  <c r="B4032" i="1"/>
  <c r="B4048" i="1"/>
  <c r="B4064" i="1"/>
  <c r="B4080" i="1"/>
  <c r="B4096" i="1"/>
  <c r="B4103" i="1"/>
  <c r="B4111" i="1"/>
  <c r="B4119" i="1"/>
  <c r="B4127" i="1"/>
  <c r="B4012" i="1"/>
  <c r="B4028" i="1"/>
  <c r="B4044" i="1"/>
  <c r="B4060" i="1"/>
  <c r="B4076" i="1"/>
  <c r="B4092" i="1"/>
  <c r="B4109" i="1"/>
  <c r="B4117" i="1"/>
  <c r="B4125" i="1"/>
  <c r="B4160" i="1"/>
  <c r="B4176" i="1"/>
  <c r="B4186" i="1"/>
  <c r="B4194" i="1"/>
  <c r="B4202" i="1"/>
  <c r="B4210" i="1"/>
  <c r="B4218" i="1"/>
  <c r="B4226" i="1"/>
  <c r="B4234" i="1"/>
  <c r="B4242" i="1"/>
  <c r="B4250" i="1"/>
  <c r="B4258" i="1"/>
  <c r="B4266" i="1"/>
  <c r="B4274" i="1"/>
  <c r="B4158" i="1"/>
  <c r="B4174" i="1"/>
  <c r="B4181" i="1"/>
  <c r="B4189" i="1"/>
  <c r="B4245" i="1"/>
  <c r="B4253" i="1"/>
  <c r="B4261" i="1"/>
  <c r="B4269" i="1"/>
  <c r="B4277" i="1"/>
  <c r="B4154" i="1"/>
  <c r="B4170" i="1"/>
  <c r="B4187" i="1"/>
  <c r="B4195" i="1"/>
  <c r="B4203" i="1"/>
  <c r="B4211" i="1"/>
  <c r="B4219" i="1"/>
  <c r="B4227" i="1"/>
  <c r="B4235" i="1"/>
  <c r="B4243" i="1"/>
  <c r="B4267" i="1"/>
  <c r="B4168" i="1"/>
  <c r="B4182" i="1"/>
  <c r="B4206" i="1"/>
  <c r="B4214" i="1"/>
  <c r="B4222" i="1"/>
  <c r="B4230" i="1"/>
  <c r="B4238" i="1"/>
  <c r="B4246" i="1"/>
  <c r="B4254" i="1"/>
  <c r="B4262" i="1"/>
  <c r="B4270" i="1"/>
  <c r="B4164" i="1"/>
  <c r="B4180" i="1"/>
  <c r="B4188" i="1"/>
  <c r="B4196" i="1"/>
  <c r="B4244" i="1"/>
  <c r="B4286" i="1"/>
  <c r="B4302" i="1"/>
  <c r="B4318" i="1"/>
  <c r="B4334" i="1"/>
  <c r="B4351" i="1"/>
  <c r="B4359" i="1"/>
  <c r="B4367" i="1"/>
  <c r="B4375" i="1"/>
  <c r="B4383" i="1"/>
  <c r="B4391" i="1"/>
  <c r="B4399" i="1"/>
  <c r="B4407" i="1"/>
  <c r="B4415" i="1"/>
  <c r="B4423" i="1"/>
  <c r="B4431" i="1"/>
  <c r="B4439" i="1"/>
  <c r="B4447" i="1"/>
  <c r="B4455" i="1"/>
  <c r="B4463" i="1"/>
  <c r="B4471" i="1"/>
  <c r="B4479" i="1"/>
  <c r="B4487" i="1"/>
  <c r="B4495" i="1"/>
  <c r="B4503" i="1"/>
  <c r="B4511" i="1"/>
  <c r="B4519" i="1"/>
  <c r="B4527" i="1"/>
  <c r="B4535" i="1"/>
  <c r="B4543" i="1"/>
  <c r="B4551" i="1"/>
  <c r="B4559" i="1"/>
  <c r="B4567" i="1"/>
  <c r="B4575" i="1"/>
  <c r="B4583" i="1"/>
  <c r="B4284" i="1"/>
  <c r="B4300" i="1"/>
  <c r="B4316" i="1"/>
  <c r="B4332" i="1"/>
  <c r="B4346" i="1"/>
  <c r="B4354" i="1"/>
  <c r="B4362" i="1"/>
  <c r="B4370" i="1"/>
  <c r="B4378" i="1"/>
  <c r="B4386" i="1"/>
  <c r="B4394" i="1"/>
  <c r="B4402" i="1"/>
  <c r="B4410" i="1"/>
  <c r="B4418" i="1"/>
  <c r="B4426" i="1"/>
  <c r="B4434" i="1"/>
  <c r="B4442" i="1"/>
  <c r="B4450" i="1"/>
  <c r="B4458" i="1"/>
  <c r="B4466" i="1"/>
  <c r="B4474" i="1"/>
  <c r="B4482" i="1"/>
  <c r="B4490" i="1"/>
  <c r="B4498" i="1"/>
  <c r="B4506" i="1"/>
  <c r="B4514" i="1"/>
  <c r="B4522" i="1"/>
  <c r="B4530" i="1"/>
  <c r="B4538" i="1"/>
  <c r="B4546" i="1"/>
  <c r="B4554" i="1"/>
  <c r="B4517" i="1"/>
  <c r="B4294" i="1"/>
  <c r="B4310" i="1"/>
  <c r="B4326" i="1"/>
  <c r="B4342" i="1"/>
  <c r="B4347" i="1"/>
  <c r="B4355" i="1"/>
  <c r="B4363" i="1"/>
  <c r="B4371" i="1"/>
  <c r="B4379" i="1"/>
  <c r="B4387" i="1"/>
  <c r="B4395" i="1"/>
  <c r="B4403" i="1"/>
  <c r="B4411" i="1"/>
  <c r="B4419" i="1"/>
  <c r="B4427" i="1"/>
  <c r="B4435" i="1"/>
  <c r="B4443" i="1"/>
  <c r="B4451" i="1"/>
  <c r="B4459" i="1"/>
  <c r="B4467" i="1"/>
  <c r="B4475" i="1"/>
  <c r="B4483" i="1"/>
  <c r="B4491" i="1"/>
  <c r="B4499" i="1"/>
  <c r="B4507" i="1"/>
  <c r="B4515" i="1"/>
  <c r="B4523" i="1"/>
  <c r="B4531" i="1"/>
  <c r="B4539" i="1"/>
  <c r="B4547" i="1"/>
  <c r="B4555" i="1"/>
  <c r="B4563" i="1"/>
  <c r="B4571" i="1"/>
  <c r="B4579" i="1"/>
  <c r="B4587" i="1"/>
  <c r="B4292" i="1"/>
  <c r="B4308" i="1"/>
  <c r="B4324" i="1"/>
  <c r="B4340" i="1"/>
  <c r="B4350" i="1"/>
  <c r="B4358" i="1"/>
  <c r="B4366" i="1"/>
  <c r="B4374" i="1"/>
  <c r="B4382" i="1"/>
  <c r="B4390" i="1"/>
  <c r="B4398" i="1"/>
  <c r="B4406" i="1"/>
  <c r="B4414" i="1"/>
  <c r="B4422" i="1"/>
  <c r="B4430" i="1"/>
  <c r="B4438" i="1"/>
  <c r="B4446" i="1"/>
  <c r="B4454" i="1"/>
  <c r="B4462" i="1"/>
  <c r="B4470" i="1"/>
  <c r="B4478" i="1"/>
  <c r="B4486" i="1"/>
  <c r="B4494" i="1"/>
  <c r="B4502" i="1"/>
  <c r="B4510" i="1"/>
  <c r="B4518" i="1"/>
  <c r="B4526" i="1"/>
  <c r="B4534" i="1"/>
  <c r="B4542" i="1"/>
  <c r="B4550" i="1"/>
  <c r="B4558" i="1"/>
  <c r="B4290" i="1"/>
  <c r="B4306" i="1"/>
  <c r="B4433" i="1"/>
  <c r="B4505" i="1"/>
  <c r="B4513" i="1"/>
  <c r="B4521" i="1"/>
  <c r="B4529" i="1"/>
  <c r="B4553" i="1"/>
  <c r="B4672" i="1"/>
  <c r="B4688" i="1"/>
  <c r="B4704" i="1"/>
  <c r="B4720" i="1"/>
  <c r="B4736" i="1"/>
  <c r="B4752" i="1"/>
  <c r="B4768" i="1"/>
  <c r="B4784" i="1"/>
  <c r="B4794" i="1"/>
  <c r="B4802" i="1"/>
  <c r="B4810" i="1"/>
  <c r="B4818" i="1"/>
  <c r="B4826" i="1"/>
  <c r="B4834" i="1"/>
  <c r="B4842" i="1"/>
  <c r="B4850" i="1"/>
  <c r="B4858" i="1"/>
  <c r="B4866" i="1"/>
  <c r="B4874" i="1"/>
  <c r="B4882" i="1"/>
  <c r="B4890" i="1"/>
  <c r="B4898" i="1"/>
  <c r="B4906" i="1"/>
  <c r="B4914" i="1"/>
  <c r="B4686" i="1"/>
  <c r="B4702" i="1"/>
  <c r="B4718" i="1"/>
  <c r="B4734" i="1"/>
  <c r="B4750" i="1"/>
  <c r="B4782" i="1"/>
  <c r="B4789" i="1"/>
  <c r="B4797" i="1"/>
  <c r="B4668" i="1"/>
  <c r="B4684" i="1"/>
  <c r="B4700" i="1"/>
  <c r="B4716" i="1"/>
  <c r="B4732" i="1"/>
  <c r="B4748" i="1"/>
  <c r="B4764" i="1"/>
  <c r="B4780" i="1"/>
  <c r="B4792" i="1"/>
  <c r="B4800" i="1"/>
  <c r="B4808" i="1"/>
  <c r="B4816" i="1"/>
  <c r="B4824" i="1"/>
  <c r="B4832" i="1"/>
  <c r="B4840" i="1"/>
  <c r="B4848" i="1"/>
  <c r="B4856" i="1"/>
  <c r="B4864" i="1"/>
  <c r="B4872" i="1"/>
  <c r="B4880" i="1"/>
  <c r="B4888" i="1"/>
  <c r="B4896" i="1"/>
  <c r="B4904" i="1"/>
  <c r="B4912" i="1"/>
  <c r="B4910" i="1"/>
  <c r="B4678" i="1"/>
  <c r="B4694" i="1"/>
  <c r="B4710" i="1"/>
  <c r="B4726" i="1"/>
  <c r="B4742" i="1"/>
  <c r="B4758" i="1"/>
  <c r="B4774" i="1"/>
  <c r="B4793" i="1"/>
  <c r="B4801" i="1"/>
  <c r="B4809" i="1"/>
  <c r="B4817" i="1"/>
  <c r="B4825" i="1"/>
  <c r="B4833" i="1"/>
  <c r="B4841" i="1"/>
  <c r="B4849" i="1"/>
  <c r="B4857" i="1"/>
  <c r="B4865" i="1"/>
  <c r="B4873" i="1"/>
  <c r="B4881" i="1"/>
  <c r="B4889" i="1"/>
  <c r="B4897" i="1"/>
  <c r="B4905" i="1"/>
  <c r="B4913" i="1"/>
  <c r="B5005" i="1"/>
  <c r="B5021" i="1"/>
  <c r="B5037" i="1"/>
  <c r="B5053" i="1"/>
  <c r="B5069" i="1"/>
  <c r="B5085" i="1"/>
  <c r="B5140" i="1"/>
  <c r="B5019" i="1"/>
  <c r="B5035" i="1"/>
  <c r="B5051" i="1"/>
  <c r="B5067" i="1"/>
  <c r="B5083" i="1"/>
  <c r="B5001" i="1"/>
  <c r="B4999" i="1"/>
  <c r="B5015" i="1"/>
  <c r="B5031" i="1"/>
  <c r="B5047" i="1"/>
  <c r="B5063" i="1"/>
  <c r="B5079" i="1"/>
  <c r="B5156" i="1"/>
  <c r="B4995" i="1"/>
  <c r="B5011" i="1"/>
  <c r="B5027" i="1"/>
  <c r="B5043" i="1"/>
  <c r="B5059" i="1"/>
  <c r="B5075" i="1"/>
  <c r="B4993" i="1"/>
  <c r="B5009" i="1"/>
  <c r="B5025" i="1"/>
  <c r="B5041" i="1"/>
  <c r="B5057" i="1"/>
  <c r="B5073" i="1"/>
  <c r="B5089" i="1"/>
  <c r="B5139" i="1"/>
  <c r="B5155" i="1"/>
  <c r="B5171" i="1"/>
  <c r="B5187" i="1"/>
  <c r="B5203" i="1"/>
  <c r="B5219" i="1"/>
  <c r="B5235" i="1"/>
  <c r="B5251" i="1"/>
  <c r="B5267" i="1"/>
  <c r="B5137" i="1"/>
  <c r="B5153" i="1"/>
  <c r="B5169" i="1"/>
  <c r="B5185" i="1"/>
  <c r="B5201" i="1"/>
  <c r="B5217" i="1"/>
  <c r="B5233" i="1"/>
  <c r="B5249" i="1"/>
  <c r="B5265" i="1"/>
  <c r="B5147" i="1"/>
  <c r="B5163" i="1"/>
  <c r="B5179" i="1"/>
  <c r="B5195" i="1"/>
  <c r="B5211" i="1"/>
  <c r="B5227" i="1"/>
  <c r="B5243" i="1"/>
  <c r="B5259" i="1"/>
  <c r="B5145" i="1"/>
  <c r="B5161" i="1"/>
  <c r="B5177" i="1"/>
  <c r="B5193" i="1"/>
  <c r="B5209" i="1"/>
  <c r="B5225" i="1"/>
  <c r="B5241" i="1"/>
  <c r="B5257" i="1"/>
  <c r="B5141" i="1"/>
  <c r="B5157" i="1"/>
  <c r="B5173" i="1"/>
  <c r="B5189" i="1"/>
  <c r="B5205" i="1"/>
  <c r="B5221" i="1"/>
  <c r="B5237" i="1"/>
  <c r="B5253" i="1"/>
  <c r="B5269" i="1"/>
  <c r="B5272" i="1"/>
  <c r="B5280" i="1"/>
  <c r="B5288" i="1"/>
  <c r="B5296" i="1"/>
  <c r="B5304" i="1"/>
  <c r="B5312" i="1"/>
  <c r="B5320" i="1"/>
  <c r="B5328" i="1"/>
  <c r="B5336" i="1"/>
  <c r="B5344" i="1"/>
  <c r="B5352" i="1"/>
  <c r="B5360" i="1"/>
  <c r="B5428" i="1"/>
  <c r="B5270" i="1"/>
  <c r="B5275" i="1"/>
  <c r="B5283" i="1"/>
  <c r="B5291" i="1"/>
  <c r="B5299" i="1"/>
  <c r="B5307" i="1"/>
  <c r="B5315" i="1"/>
  <c r="B5323" i="1"/>
  <c r="B5331" i="1"/>
  <c r="B5339" i="1"/>
  <c r="B5355" i="1"/>
  <c r="B5363" i="1"/>
  <c r="B5371" i="1"/>
  <c r="B5273" i="1"/>
  <c r="B5281" i="1"/>
  <c r="B5289" i="1"/>
  <c r="B5297" i="1"/>
  <c r="B5305" i="1"/>
  <c r="B5313" i="1"/>
  <c r="B5321" i="1"/>
  <c r="B5329" i="1"/>
  <c r="B5337" i="1"/>
  <c r="B5345" i="1"/>
  <c r="B5353" i="1"/>
  <c r="B5361" i="1"/>
  <c r="B5369" i="1"/>
  <c r="B5377" i="1"/>
  <c r="B5385" i="1"/>
  <c r="B5393" i="1"/>
  <c r="B5401" i="1"/>
  <c r="B5444" i="1"/>
  <c r="B5274" i="1"/>
  <c r="B5282" i="1"/>
  <c r="B5290" i="1"/>
  <c r="B5298" i="1"/>
  <c r="B5306" i="1"/>
  <c r="B5314" i="1"/>
  <c r="B5322" i="1"/>
  <c r="B5330" i="1"/>
  <c r="B5338" i="1"/>
  <c r="B5346" i="1"/>
  <c r="B5354" i="1"/>
  <c r="B5460" i="1"/>
  <c r="B5569" i="1"/>
  <c r="B5409" i="1"/>
  <c r="B5425" i="1"/>
  <c r="B5441" i="1"/>
  <c r="B5457" i="1"/>
  <c r="B5476" i="1"/>
  <c r="B5484" i="1"/>
  <c r="B5492" i="1"/>
  <c r="B5500" i="1"/>
  <c r="B5508" i="1"/>
  <c r="B5516" i="1"/>
  <c r="B5524" i="1"/>
  <c r="B5532" i="1"/>
  <c r="B5540" i="1"/>
  <c r="B5548" i="1"/>
  <c r="B5556" i="1"/>
  <c r="B5535" i="1"/>
  <c r="B5543" i="1"/>
  <c r="B5551" i="1"/>
  <c r="B5559" i="1"/>
  <c r="B5567" i="1"/>
  <c r="B5538" i="1"/>
  <c r="B5546" i="1"/>
  <c r="B5554" i="1"/>
  <c r="B5419" i="1"/>
  <c r="B5435" i="1"/>
  <c r="B5451" i="1"/>
  <c r="B5467" i="1"/>
  <c r="B5477" i="1"/>
  <c r="B5485" i="1"/>
  <c r="B5493" i="1"/>
  <c r="B5501" i="1"/>
  <c r="B5509" i="1"/>
  <c r="B5517" i="1"/>
  <c r="B5525" i="1"/>
  <c r="B5533" i="1"/>
  <c r="B5541" i="1"/>
  <c r="B5549" i="1"/>
  <c r="B5557" i="1"/>
  <c r="B5565" i="1"/>
  <c r="B5417" i="1"/>
  <c r="B5433" i="1"/>
  <c r="B5449" i="1"/>
  <c r="B5465" i="1"/>
  <c r="B5472" i="1"/>
  <c r="B5480" i="1"/>
  <c r="B5488" i="1"/>
  <c r="B5496" i="1"/>
  <c r="B5504" i="1"/>
  <c r="B5512" i="1"/>
  <c r="B5520" i="1"/>
  <c r="B5528" i="1"/>
  <c r="B5539" i="1"/>
  <c r="B5555" i="1"/>
  <c r="B5563" i="1"/>
  <c r="B5413" i="1"/>
  <c r="B5429" i="1"/>
  <c r="B5445" i="1"/>
  <c r="B5461" i="1"/>
  <c r="B5478" i="1"/>
  <c r="B5486" i="1"/>
  <c r="B5494" i="1"/>
  <c r="B5502" i="1"/>
  <c r="B5510" i="1"/>
  <c r="B5518" i="1"/>
  <c r="B5526" i="1"/>
  <c r="B5534" i="1"/>
  <c r="B5566" i="1"/>
</calcChain>
</file>

<file path=xl/sharedStrings.xml><?xml version="1.0" encoding="utf-8"?>
<sst xmlns="http://schemas.openxmlformats.org/spreadsheetml/2006/main" count="6" uniqueCount="6">
  <si>
    <t>Análise da margem [0 - 30] - Brasil</t>
  </si>
  <si>
    <t>Código</t>
  </si>
  <si>
    <t>Nome</t>
  </si>
  <si>
    <t>Região</t>
  </si>
  <si>
    <t>Estado</t>
  </si>
  <si>
    <t>Município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</si>
</sst>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 applyAlignment="1">
      <alignment horizontal="center"/>
    </xf>
    <xf numFmtId="0" fontId="1" fillId="3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2" fontId="0" fillId="0" borderId="0" xfId="0" applyNumberFormat="1" applyAlignment="1">
      <alignment horizontal="center" wrapText="1"/>
    </xf>
    <xf numFmtId="2" fontId="0" fillId="0" borderId="0" xfId="0" applyNumberFormat="1" applyAlignment="1">
      <alignment horizontal="left"/>
    </xf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1"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91BBE0AD28847ADC/Documentos/Dados%20IC.xlsx" TargetMode="External"/><Relationship Id="rId1" Type="http://schemas.openxmlformats.org/officeDocument/2006/relationships/externalLinkPath" Target="/91BBE0AD28847ADC/Documentos/Dados%20IC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shboard Análise"/>
      <sheetName val="16 - 19 -22"/>
      <sheetName val="Dados 2016-2022 "/>
      <sheetName val="Gráficos "/>
      <sheetName val="Dados por cluster"/>
      <sheetName val="Brasil"/>
      <sheetName val="Nordeste"/>
      <sheetName val="Norte"/>
      <sheetName val="Centro-Oeste"/>
      <sheetName val="Sudeste"/>
      <sheetName val="Sul"/>
      <sheetName val="Muncípios   0 a 30 "/>
      <sheetName val="Muncípios   30 a 40 "/>
      <sheetName val="Muncípios   40 a 50  "/>
      <sheetName val="Muncípios   50 a 60 "/>
      <sheetName val="Muncípios   60 a 100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D4B440-5F28-4678-9B72-417FF88EEA04}">
  <dimension ref="A1:L5574"/>
  <sheetViews>
    <sheetView tabSelected="1" workbookViewId="0">
      <selection activeCell="N6" sqref="N6"/>
    </sheetView>
  </sheetViews>
  <sheetFormatPr defaultRowHeight="15" x14ac:dyDescent="0.25"/>
  <sheetData>
    <row r="1" spans="1:1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3">
        <v>2016</v>
      </c>
      <c r="G2" s="3">
        <v>2017</v>
      </c>
      <c r="H2" s="3">
        <v>2018</v>
      </c>
      <c r="I2" s="3">
        <v>2019</v>
      </c>
      <c r="J2" s="3">
        <v>2020</v>
      </c>
      <c r="K2" s="3">
        <v>2021</v>
      </c>
      <c r="L2" s="3">
        <v>2022</v>
      </c>
    </row>
    <row r="3" spans="1:12" x14ac:dyDescent="0.25">
      <c r="A3">
        <v>2202026</v>
      </c>
      <c r="B3" t="str">
        <f>_xlfn.CONCAT(E3, ", ", D3, ", Brasil")</f>
        <v>BURITI DOS MONTES, PI, Brasil</v>
      </c>
      <c r="C3" s="4" t="str">
        <f>_xlfn.XLOOKUP(A3,[1]!DadosGHD[CD_GEOCMU],[1]!DadosGHD[Região])</f>
        <v>NE</v>
      </c>
      <c r="D3" s="4" t="str">
        <f>_xlfn.XLOOKUP(A3,[1]!DadosGHD[CD_GEOCMU],[1]!DadosGHD[uf])</f>
        <v>PI</v>
      </c>
      <c r="E3" s="5" t="str">
        <f>_xlfn.XLOOKUP(A3,[1]!DadosGHD[CD_GEOCMU],[1]!DadosGHD[MUNICIPIO])</f>
        <v>BURITI DOS MONTES</v>
      </c>
      <c r="F3" s="6">
        <v>28.832521438598601</v>
      </c>
      <c r="G3" s="6">
        <v>28.907878875732401</v>
      </c>
      <c r="H3" s="6">
        <v>28.942651748657202</v>
      </c>
      <c r="I3" s="6">
        <v>28.925045013427699</v>
      </c>
      <c r="J3" s="6">
        <v>28.9409065246582</v>
      </c>
      <c r="K3" s="6">
        <v>28.9686679840088</v>
      </c>
      <c r="L3" s="6">
        <v>26.2798957824707</v>
      </c>
    </row>
    <row r="4" spans="1:12" x14ac:dyDescent="0.25">
      <c r="A4">
        <v>2409209</v>
      </c>
      <c r="B4" t="str">
        <f t="shared" ref="B4:B67" si="0">_xlfn.CONCAT(E4, ", ", D4, ", Brasil")</f>
        <v>PASSAGEM, RN, Brasil</v>
      </c>
      <c r="C4" s="4" t="str">
        <f>_xlfn.XLOOKUP(A4,[1]!DadosGHD[CD_GEOCMU],[1]!DadosGHD[Região])</f>
        <v>NE</v>
      </c>
      <c r="D4" s="4" t="str">
        <f>_xlfn.XLOOKUP(A4,[1]!DadosGHD[CD_GEOCMU],[1]!DadosGHD[uf])</f>
        <v>RN</v>
      </c>
      <c r="E4" s="5" t="str">
        <f>_xlfn.XLOOKUP(A4,[1]!DadosGHD[CD_GEOCMU],[1]!DadosGHD[MUNICIPIO])</f>
        <v>PASSAGEM</v>
      </c>
      <c r="F4" s="6">
        <v>28.832521438598601</v>
      </c>
      <c r="G4" s="6">
        <v>28.907878875732401</v>
      </c>
      <c r="H4" s="6">
        <v>28.942651748657202</v>
      </c>
      <c r="I4" s="6">
        <v>28.925045013427699</v>
      </c>
      <c r="J4" s="6">
        <v>33.832023620605497</v>
      </c>
      <c r="K4" s="6">
        <v>33.851448059082003</v>
      </c>
      <c r="L4" s="6">
        <v>44.075935363769503</v>
      </c>
    </row>
    <row r="5" spans="1:12" x14ac:dyDescent="0.25">
      <c r="A5">
        <v>2508109</v>
      </c>
      <c r="B5" t="str">
        <f t="shared" si="0"/>
        <v>LAGOA, PB, Brasil</v>
      </c>
      <c r="C5" s="4" t="str">
        <f>_xlfn.XLOOKUP(A5,[1]!DadosGHD[CD_GEOCMU],[1]!DadosGHD[Região])</f>
        <v>NE</v>
      </c>
      <c r="D5" s="4" t="str">
        <f>_xlfn.XLOOKUP(A5,[1]!DadosGHD[CD_GEOCMU],[1]!DadosGHD[uf])</f>
        <v>PB</v>
      </c>
      <c r="E5" s="5" t="str">
        <f>_xlfn.XLOOKUP(A5,[1]!DadosGHD[CD_GEOCMU],[1]!DadosGHD[MUNICIPIO])</f>
        <v>LAGOA</v>
      </c>
      <c r="F5" s="6">
        <v>28.832521438598601</v>
      </c>
      <c r="G5" s="6">
        <v>28.907878875732401</v>
      </c>
      <c r="H5" s="6">
        <v>28.942651748657202</v>
      </c>
      <c r="I5" s="6">
        <v>28.925045013427699</v>
      </c>
      <c r="J5" s="6">
        <v>28.9409065246582</v>
      </c>
      <c r="K5" s="6">
        <v>28.9686679840088</v>
      </c>
      <c r="L5" s="6">
        <v>26.2798957824707</v>
      </c>
    </row>
    <row r="6" spans="1:12" x14ac:dyDescent="0.25">
      <c r="A6">
        <v>2501153</v>
      </c>
      <c r="B6" t="str">
        <f t="shared" si="0"/>
        <v>AREIA DE BARAUNAS, PB, Brasil</v>
      </c>
      <c r="C6" s="4" t="str">
        <f>_xlfn.XLOOKUP(A6,[1]!DadosGHD[CD_GEOCMU],[1]!DadosGHD[Região])</f>
        <v>NE</v>
      </c>
      <c r="D6" s="4" t="str">
        <f>_xlfn.XLOOKUP(A6,[1]!DadosGHD[CD_GEOCMU],[1]!DadosGHD[uf])</f>
        <v>PB</v>
      </c>
      <c r="E6" s="5" t="str">
        <f>_xlfn.XLOOKUP(A6,[1]!DadosGHD[CD_GEOCMU],[1]!DadosGHD[MUNICIPIO])</f>
        <v>AREIA DE BARAUNAS</v>
      </c>
      <c r="F6" s="6">
        <v>28.832521438598601</v>
      </c>
      <c r="G6" s="6">
        <v>28.907878875732401</v>
      </c>
      <c r="H6" s="6">
        <v>28.942651748657202</v>
      </c>
      <c r="I6" s="6">
        <v>28.925045013427699</v>
      </c>
      <c r="J6" s="6">
        <v>28.9409065246582</v>
      </c>
      <c r="K6" s="6">
        <v>28.9686679840088</v>
      </c>
      <c r="L6" s="6">
        <v>26.2798957824707</v>
      </c>
    </row>
    <row r="7" spans="1:12" x14ac:dyDescent="0.25">
      <c r="A7">
        <v>2500734</v>
      </c>
      <c r="B7" t="str">
        <f t="shared" si="0"/>
        <v>AMPARO, PB, Brasil</v>
      </c>
      <c r="C7" s="4" t="str">
        <f>_xlfn.XLOOKUP(A7,[1]!DadosGHD[CD_GEOCMU],[1]!DadosGHD[Região])</f>
        <v>NE</v>
      </c>
      <c r="D7" s="4" t="str">
        <f>_xlfn.XLOOKUP(A7,[1]!DadosGHD[CD_GEOCMU],[1]!DadosGHD[uf])</f>
        <v>PB</v>
      </c>
      <c r="E7" s="5" t="str">
        <f>_xlfn.XLOOKUP(A7,[1]!DadosGHD[CD_GEOCMU],[1]!DadosGHD[MUNICIPIO])</f>
        <v>AMPARO</v>
      </c>
      <c r="F7" s="6">
        <v>28.832521438598601</v>
      </c>
      <c r="G7" s="6">
        <v>28.907878875732401</v>
      </c>
      <c r="H7" s="6">
        <v>28.942651748657202</v>
      </c>
      <c r="I7" s="6">
        <v>28.925045013427699</v>
      </c>
      <c r="J7" s="6">
        <v>28.9409065246582</v>
      </c>
      <c r="K7" s="6">
        <v>28.9686679840088</v>
      </c>
      <c r="L7" s="6">
        <v>26.2798957824707</v>
      </c>
    </row>
    <row r="8" spans="1:12" x14ac:dyDescent="0.25">
      <c r="A8">
        <v>2208650</v>
      </c>
      <c r="B8" t="str">
        <f t="shared" si="0"/>
        <v>QUEIMADA NOVA, PI, Brasil</v>
      </c>
      <c r="C8" s="4" t="str">
        <f>_xlfn.XLOOKUP(A8,[1]!DadosGHD[CD_GEOCMU],[1]!DadosGHD[Região])</f>
        <v>NE</v>
      </c>
      <c r="D8" s="4" t="str">
        <f>_xlfn.XLOOKUP(A8,[1]!DadosGHD[CD_GEOCMU],[1]!DadosGHD[uf])</f>
        <v>PI</v>
      </c>
      <c r="E8" s="5" t="str">
        <f>_xlfn.XLOOKUP(A8,[1]!DadosGHD[CD_GEOCMU],[1]!DadosGHD[MUNICIPIO])</f>
        <v>QUEIMADA NOVA</v>
      </c>
      <c r="F8" s="6">
        <v>28.832521438598601</v>
      </c>
      <c r="G8" s="6">
        <v>28.907878875732401</v>
      </c>
      <c r="H8" s="6">
        <v>28.942651748657202</v>
      </c>
      <c r="I8" s="6">
        <v>28.925045013427699</v>
      </c>
      <c r="J8" s="6">
        <v>28.9409065246582</v>
      </c>
      <c r="K8" s="6">
        <v>28.9686679840088</v>
      </c>
      <c r="L8" s="6">
        <v>26.2798957824707</v>
      </c>
    </row>
    <row r="9" spans="1:12" x14ac:dyDescent="0.25">
      <c r="A9">
        <v>2409605</v>
      </c>
      <c r="B9" t="str">
        <f t="shared" si="0"/>
        <v>PEDRA PRETA, RN, Brasil</v>
      </c>
      <c r="C9" s="4" t="str">
        <f>_xlfn.XLOOKUP(A9,[1]!DadosGHD[CD_GEOCMU],[1]!DadosGHD[Região])</f>
        <v>NE</v>
      </c>
      <c r="D9" s="4" t="str">
        <f>_xlfn.XLOOKUP(A9,[1]!DadosGHD[CD_GEOCMU],[1]!DadosGHD[uf])</f>
        <v>RN</v>
      </c>
      <c r="E9" s="5" t="str">
        <f>_xlfn.XLOOKUP(A9,[1]!DadosGHD[CD_GEOCMU],[1]!DadosGHD[MUNICIPIO])</f>
        <v>PEDRA PRETA</v>
      </c>
      <c r="F9" s="6">
        <v>28.832521438598601</v>
      </c>
      <c r="G9" s="6">
        <v>28.907878875732401</v>
      </c>
      <c r="H9" s="6">
        <v>28.942651748657202</v>
      </c>
      <c r="I9" s="6">
        <v>28.925045013427699</v>
      </c>
      <c r="J9" s="6">
        <v>28.9409065246582</v>
      </c>
      <c r="K9" s="6">
        <v>28.9686679840088</v>
      </c>
      <c r="L9" s="6">
        <v>30.6847820281982</v>
      </c>
    </row>
    <row r="10" spans="1:12" x14ac:dyDescent="0.25">
      <c r="A10">
        <v>2514552</v>
      </c>
      <c r="B10" t="str">
        <f t="shared" si="0"/>
        <v>SAO JOSE DE PRINCESA, PB, Brasil</v>
      </c>
      <c r="C10" s="4" t="str">
        <f>_xlfn.XLOOKUP(A10,[1]!DadosGHD[CD_GEOCMU],[1]!DadosGHD[Região])</f>
        <v>NE</v>
      </c>
      <c r="D10" s="4" t="str">
        <f>_xlfn.XLOOKUP(A10,[1]!DadosGHD[CD_GEOCMU],[1]!DadosGHD[uf])</f>
        <v>PB</v>
      </c>
      <c r="E10" s="5" t="str">
        <f>_xlfn.XLOOKUP(A10,[1]!DadosGHD[CD_GEOCMU],[1]!DadosGHD[MUNICIPIO])</f>
        <v>SAO JOSE DE PRINCESA</v>
      </c>
      <c r="F10" s="6">
        <v>28.832521438598601</v>
      </c>
      <c r="G10" s="6">
        <v>28.907878875732401</v>
      </c>
      <c r="H10" s="6">
        <v>28.942651748657202</v>
      </c>
      <c r="I10" s="6">
        <v>28.925045013427699</v>
      </c>
      <c r="J10" s="6">
        <v>28.9409065246582</v>
      </c>
      <c r="K10" s="6">
        <v>28.9686679840088</v>
      </c>
      <c r="L10" s="6">
        <v>26.280012130737301</v>
      </c>
    </row>
    <row r="11" spans="1:12" x14ac:dyDescent="0.25">
      <c r="A11">
        <v>2513653</v>
      </c>
      <c r="B11" t="str">
        <f t="shared" si="0"/>
        <v>JOCA CLAUDINO, PB, Brasil</v>
      </c>
      <c r="C11" s="4" t="str">
        <f>_xlfn.XLOOKUP(A11,[1]!DadosGHD[CD_GEOCMU],[1]!DadosGHD[Região])</f>
        <v>NE</v>
      </c>
      <c r="D11" s="4" t="str">
        <f>_xlfn.XLOOKUP(A11,[1]!DadosGHD[CD_GEOCMU],[1]!DadosGHD[uf])</f>
        <v>PB</v>
      </c>
      <c r="E11" s="5" t="str">
        <f>_xlfn.XLOOKUP(A11,[1]!DadosGHD[CD_GEOCMU],[1]!DadosGHD[MUNICIPIO])</f>
        <v>JOCA CLAUDINO</v>
      </c>
      <c r="F11" s="6">
        <v>28.832521438598601</v>
      </c>
      <c r="G11" s="6">
        <v>43.764579772949197</v>
      </c>
      <c r="H11" s="6">
        <v>43.8044242858887</v>
      </c>
      <c r="I11" s="6">
        <v>43.769863128662102</v>
      </c>
      <c r="J11" s="6">
        <v>43.788299560546903</v>
      </c>
      <c r="K11" s="6">
        <v>33.883583068847699</v>
      </c>
      <c r="L11" s="6">
        <v>39.602260589599602</v>
      </c>
    </row>
    <row r="12" spans="1:12" x14ac:dyDescent="0.25">
      <c r="A12">
        <v>3164803</v>
      </c>
      <c r="B12" t="str">
        <f t="shared" si="0"/>
        <v>SAO SEBASTIAO DO RIO PRETO, MG, Brasil</v>
      </c>
      <c r="C12" s="4" t="str">
        <f>_xlfn.XLOOKUP(A12,[1]!DadosGHD[CD_GEOCMU],[1]!DadosGHD[Região])</f>
        <v>SD</v>
      </c>
      <c r="D12" s="4" t="str">
        <f>_xlfn.XLOOKUP(A12,[1]!DadosGHD[CD_GEOCMU],[1]!DadosGHD[uf])</f>
        <v>MG</v>
      </c>
      <c r="E12" s="5" t="str">
        <f>_xlfn.XLOOKUP(A12,[1]!DadosGHD[CD_GEOCMU],[1]!DadosGHD[MUNICIPIO])</f>
        <v>SAO SEBASTIAO DO RIO PRETO</v>
      </c>
      <c r="F12" s="6">
        <v>28.832521438598601</v>
      </c>
      <c r="G12" s="6">
        <v>28.9212036132813</v>
      </c>
      <c r="H12" s="6">
        <v>28.952865600585898</v>
      </c>
      <c r="I12" s="6">
        <v>28.933565139770501</v>
      </c>
      <c r="J12" s="6">
        <v>28.948945999145501</v>
      </c>
      <c r="K12" s="6">
        <v>28.986030578613299</v>
      </c>
      <c r="L12" s="6">
        <v>30.714502334594702</v>
      </c>
    </row>
    <row r="13" spans="1:12" x14ac:dyDescent="0.25">
      <c r="A13">
        <v>1502509</v>
      </c>
      <c r="B13" t="str">
        <f t="shared" si="0"/>
        <v>CHAVES, PA, Brasil</v>
      </c>
      <c r="C13" s="4" t="str">
        <f>_xlfn.XLOOKUP(A13,[1]!DadosGHD[CD_GEOCMU],[1]!DadosGHD[Região])</f>
        <v>NO</v>
      </c>
      <c r="D13" s="4" t="str">
        <f>_xlfn.XLOOKUP(A13,[1]!DadosGHD[CD_GEOCMU],[1]!DadosGHD[uf])</f>
        <v>PA</v>
      </c>
      <c r="E13" s="5" t="str">
        <f>_xlfn.XLOOKUP(A13,[1]!DadosGHD[CD_GEOCMU],[1]!DadosGHD[MUNICIPIO])</f>
        <v>CHAVES</v>
      </c>
      <c r="F13" s="6">
        <v>28.832521438598601</v>
      </c>
      <c r="G13" s="6">
        <v>28.907878875732401</v>
      </c>
      <c r="H13" s="6">
        <v>28.942651748657202</v>
      </c>
      <c r="I13" s="6">
        <v>28.925045013427699</v>
      </c>
      <c r="J13" s="6">
        <v>28.9409065246582</v>
      </c>
      <c r="K13" s="6">
        <v>28.9686679840088</v>
      </c>
      <c r="L13" s="6">
        <v>26.2798957824707</v>
      </c>
    </row>
    <row r="14" spans="1:12" x14ac:dyDescent="0.25">
      <c r="A14">
        <v>2509370</v>
      </c>
      <c r="B14" t="str">
        <f t="shared" si="0"/>
        <v>MATO GROSSO, PB, Brasil</v>
      </c>
      <c r="C14" s="4" t="str">
        <f>_xlfn.XLOOKUP(A14,[1]!DadosGHD[CD_GEOCMU],[1]!DadosGHD[Região])</f>
        <v>NE</v>
      </c>
      <c r="D14" s="4" t="str">
        <f>_xlfn.XLOOKUP(A14,[1]!DadosGHD[CD_GEOCMU],[1]!DadosGHD[uf])</f>
        <v>PB</v>
      </c>
      <c r="E14" s="5" t="str">
        <f>_xlfn.XLOOKUP(A14,[1]!DadosGHD[CD_GEOCMU],[1]!DadosGHD[MUNICIPIO])</f>
        <v>MATO GROSSO</v>
      </c>
      <c r="F14" s="6">
        <v>28.832521438598601</v>
      </c>
      <c r="G14" s="6">
        <v>28.907878875732401</v>
      </c>
      <c r="H14" s="6">
        <v>28.942651748657202</v>
      </c>
      <c r="I14" s="6">
        <v>28.925045013427699</v>
      </c>
      <c r="J14" s="6">
        <v>28.9409065246582</v>
      </c>
      <c r="K14" s="6">
        <v>28.9686679840088</v>
      </c>
      <c r="L14" s="6">
        <v>30.6870307922363</v>
      </c>
    </row>
    <row r="15" spans="1:12" x14ac:dyDescent="0.25">
      <c r="A15">
        <v>2406304</v>
      </c>
      <c r="B15" t="str">
        <f t="shared" si="0"/>
        <v>LAGOA DE PEDRAS, RN, Brasil</v>
      </c>
      <c r="C15" s="4" t="str">
        <f>_xlfn.XLOOKUP(A15,[1]!DadosGHD[CD_GEOCMU],[1]!DadosGHD[Região])</f>
        <v>NE</v>
      </c>
      <c r="D15" s="4" t="str">
        <f>_xlfn.XLOOKUP(A15,[1]!DadosGHD[CD_GEOCMU],[1]!DadosGHD[uf])</f>
        <v>RN</v>
      </c>
      <c r="E15" s="5" t="str">
        <f>_xlfn.XLOOKUP(A15,[1]!DadosGHD[CD_GEOCMU],[1]!DadosGHD[MUNICIPIO])</f>
        <v>LAGOA DE PEDRAS</v>
      </c>
      <c r="F15" s="6">
        <v>28.832521438598601</v>
      </c>
      <c r="G15" s="6">
        <v>28.907878875732401</v>
      </c>
      <c r="H15" s="6">
        <v>28.942651748657202</v>
      </c>
      <c r="I15" s="6">
        <v>28.925045013427699</v>
      </c>
      <c r="J15" s="6">
        <v>28.9409065246582</v>
      </c>
      <c r="K15" s="6">
        <v>28.9686679840088</v>
      </c>
      <c r="L15" s="6">
        <v>26.282024383544901</v>
      </c>
    </row>
    <row r="16" spans="1:12" x14ac:dyDescent="0.25">
      <c r="A16">
        <v>1304401</v>
      </c>
      <c r="B16" t="str">
        <f t="shared" si="0"/>
        <v>URUCURITUBA, AM, Brasil</v>
      </c>
      <c r="C16" s="4" t="str">
        <f>_xlfn.XLOOKUP(A16,[1]!DadosGHD[CD_GEOCMU],[1]!DadosGHD[Região])</f>
        <v>NO</v>
      </c>
      <c r="D16" s="4" t="str">
        <f>_xlfn.XLOOKUP(A16,[1]!DadosGHD[CD_GEOCMU],[1]!DadosGHD[uf])</f>
        <v>AM</v>
      </c>
      <c r="E16" s="5" t="str">
        <f>_xlfn.XLOOKUP(A16,[1]!DadosGHD[CD_GEOCMU],[1]!DadosGHD[MUNICIPIO])</f>
        <v>URUCURITUBA</v>
      </c>
      <c r="F16" s="6">
        <v>28.832521438598601</v>
      </c>
      <c r="G16" s="6">
        <v>28.907878875732401</v>
      </c>
      <c r="H16" s="6">
        <v>28.942651748657202</v>
      </c>
      <c r="I16" s="6">
        <v>28.925045013427699</v>
      </c>
      <c r="J16" s="6">
        <v>28.9409065246582</v>
      </c>
      <c r="K16" s="6">
        <v>28.9686679840088</v>
      </c>
      <c r="L16" s="6">
        <v>44.075931549072301</v>
      </c>
    </row>
    <row r="17" spans="1:12" x14ac:dyDescent="0.25">
      <c r="A17">
        <v>2112456</v>
      </c>
      <c r="B17" t="str">
        <f t="shared" si="0"/>
        <v>TURILANDIA, MA, Brasil</v>
      </c>
      <c r="C17" s="4" t="str">
        <f>_xlfn.XLOOKUP(A17,[1]!DadosGHD[CD_GEOCMU],[1]!DadosGHD[Região])</f>
        <v>NE</v>
      </c>
      <c r="D17" s="4" t="str">
        <f>_xlfn.XLOOKUP(A17,[1]!DadosGHD[CD_GEOCMU],[1]!DadosGHD[uf])</f>
        <v>MA</v>
      </c>
      <c r="E17" s="5" t="str">
        <f>_xlfn.XLOOKUP(A17,[1]!DadosGHD[CD_GEOCMU],[1]!DadosGHD[MUNICIPIO])</f>
        <v>TURILANDIA</v>
      </c>
      <c r="F17" s="6">
        <v>28.832521438598601</v>
      </c>
      <c r="G17" s="6">
        <v>28.907878875732401</v>
      </c>
      <c r="H17" s="6">
        <v>28.942651748657202</v>
      </c>
      <c r="I17" s="6">
        <v>28.925045013427699</v>
      </c>
      <c r="J17" s="6">
        <v>28.9409065246582</v>
      </c>
      <c r="K17" s="6">
        <v>28.9686679840088</v>
      </c>
      <c r="L17" s="6">
        <v>26.2798957824707</v>
      </c>
    </row>
    <row r="18" spans="1:12" x14ac:dyDescent="0.25">
      <c r="A18">
        <v>5201207</v>
      </c>
      <c r="B18" t="str">
        <f t="shared" si="0"/>
        <v>ANHANGUERA, GO, Brasil</v>
      </c>
      <c r="C18" s="4" t="str">
        <f>_xlfn.XLOOKUP(A18,[1]!DadosGHD[CD_GEOCMU],[1]!DadosGHD[Região])</f>
        <v>CO</v>
      </c>
      <c r="D18" s="4" t="str">
        <f>_xlfn.XLOOKUP(A18,[1]!DadosGHD[CD_GEOCMU],[1]!DadosGHD[uf])</f>
        <v>GO</v>
      </c>
      <c r="E18" s="5" t="str">
        <f>_xlfn.XLOOKUP(A18,[1]!DadosGHD[CD_GEOCMU],[1]!DadosGHD[MUNICIPIO])</f>
        <v>ANHANGUERA</v>
      </c>
      <c r="F18" s="6">
        <v>28.832521438598601</v>
      </c>
      <c r="G18" s="6">
        <v>28.927019119262699</v>
      </c>
      <c r="H18" s="6">
        <v>33.814632415771499</v>
      </c>
      <c r="I18" s="6">
        <v>33.7966117858887</v>
      </c>
      <c r="J18" s="6">
        <v>38.8272514343262</v>
      </c>
      <c r="K18" s="6">
        <v>38.8368110656738</v>
      </c>
      <c r="L18" s="6">
        <v>39.574466705322301</v>
      </c>
    </row>
    <row r="19" spans="1:12" x14ac:dyDescent="0.25">
      <c r="A19">
        <v>2405207</v>
      </c>
      <c r="B19" t="str">
        <f t="shared" si="0"/>
        <v>JANDUIS, RN, Brasil</v>
      </c>
      <c r="C19" s="4" t="str">
        <f>_xlfn.XLOOKUP(A19,[1]!DadosGHD[CD_GEOCMU],[1]!DadosGHD[Região])</f>
        <v>NE</v>
      </c>
      <c r="D19" s="4" t="str">
        <f>_xlfn.XLOOKUP(A19,[1]!DadosGHD[CD_GEOCMU],[1]!DadosGHD[uf])</f>
        <v>RN</v>
      </c>
      <c r="E19" s="5" t="str">
        <f>_xlfn.XLOOKUP(A19,[1]!DadosGHD[CD_GEOCMU],[1]!DadosGHD[MUNICIPIO])</f>
        <v>JANDUIS</v>
      </c>
      <c r="F19" s="6">
        <v>28.832521438598601</v>
      </c>
      <c r="G19" s="6">
        <v>28.907878875732401</v>
      </c>
      <c r="H19" s="6">
        <v>28.942651748657202</v>
      </c>
      <c r="I19" s="6">
        <v>28.925045013427699</v>
      </c>
      <c r="J19" s="6">
        <v>28.9409065246582</v>
      </c>
      <c r="K19" s="6">
        <v>28.9686679840088</v>
      </c>
      <c r="L19" s="6">
        <v>30.696943283081101</v>
      </c>
    </row>
    <row r="20" spans="1:12" x14ac:dyDescent="0.25">
      <c r="A20">
        <v>1712454</v>
      </c>
      <c r="B20" t="str">
        <f t="shared" si="0"/>
        <v>LUZINOPOLIS, TO, Brasil</v>
      </c>
      <c r="C20" s="4" t="str">
        <f>_xlfn.XLOOKUP(A20,[1]!DadosGHD[CD_GEOCMU],[1]!DadosGHD[Região])</f>
        <v>NO</v>
      </c>
      <c r="D20" s="4" t="str">
        <f>_xlfn.XLOOKUP(A20,[1]!DadosGHD[CD_GEOCMU],[1]!DadosGHD[uf])</f>
        <v>TO</v>
      </c>
      <c r="E20" s="5" t="str">
        <f>_xlfn.XLOOKUP(A20,[1]!DadosGHD[CD_GEOCMU],[1]!DadosGHD[MUNICIPIO])</f>
        <v>LUZINOPOLIS</v>
      </c>
      <c r="F20" s="6">
        <v>28.832521438598601</v>
      </c>
      <c r="G20" s="6">
        <v>28.907878875732401</v>
      </c>
      <c r="H20" s="6">
        <v>28.942651748657202</v>
      </c>
      <c r="I20" s="6">
        <v>28.925045013427699</v>
      </c>
      <c r="J20" s="6">
        <v>28.9409065246582</v>
      </c>
      <c r="K20" s="6">
        <v>28.9686679840088</v>
      </c>
      <c r="L20" s="6">
        <v>26.2798957824707</v>
      </c>
    </row>
    <row r="21" spans="1:12" x14ac:dyDescent="0.25">
      <c r="A21">
        <v>2207108</v>
      </c>
      <c r="B21" t="str">
        <f t="shared" si="0"/>
        <v>OLHO D'AGUA DO PIAUI, PI, Brasil</v>
      </c>
      <c r="C21" s="4" t="str">
        <f>_xlfn.XLOOKUP(A21,[1]!DadosGHD[CD_GEOCMU],[1]!DadosGHD[Região])</f>
        <v>NE</v>
      </c>
      <c r="D21" s="4" t="str">
        <f>_xlfn.XLOOKUP(A21,[1]!DadosGHD[CD_GEOCMU],[1]!DadosGHD[uf])</f>
        <v>PI</v>
      </c>
      <c r="E21" s="5" t="str">
        <f>_xlfn.XLOOKUP(A21,[1]!DadosGHD[CD_GEOCMU],[1]!DadosGHD[MUNICIPIO])</f>
        <v>OLHO D'AGUA DO PIAUI</v>
      </c>
      <c r="F21" s="6">
        <v>28.832521438598601</v>
      </c>
      <c r="G21" s="6">
        <v>28.907878875732401</v>
      </c>
      <c r="H21" s="6">
        <v>28.942651748657202</v>
      </c>
      <c r="I21" s="6">
        <v>28.925045013427699</v>
      </c>
      <c r="J21" s="6">
        <v>28.9409065246582</v>
      </c>
      <c r="K21" s="6">
        <v>28.9686679840088</v>
      </c>
      <c r="L21" s="6">
        <v>26.2798957824707</v>
      </c>
    </row>
    <row r="22" spans="1:12" x14ac:dyDescent="0.25">
      <c r="A22">
        <v>1704105</v>
      </c>
      <c r="B22" t="str">
        <f t="shared" si="0"/>
        <v>CENTENARIO, TO, Brasil</v>
      </c>
      <c r="C22" s="4" t="str">
        <f>_xlfn.XLOOKUP(A22,[1]!DadosGHD[CD_GEOCMU],[1]!DadosGHD[Região])</f>
        <v>NO</v>
      </c>
      <c r="D22" s="4" t="str">
        <f>_xlfn.XLOOKUP(A22,[1]!DadosGHD[CD_GEOCMU],[1]!DadosGHD[uf])</f>
        <v>TO</v>
      </c>
      <c r="E22" s="5" t="str">
        <f>_xlfn.XLOOKUP(A22,[1]!DadosGHD[CD_GEOCMU],[1]!DadosGHD[MUNICIPIO])</f>
        <v>CENTENARIO</v>
      </c>
      <c r="F22" s="6">
        <v>28.832521438598601</v>
      </c>
      <c r="G22" s="6">
        <v>28.907878875732401</v>
      </c>
      <c r="H22" s="6">
        <v>28.942651748657202</v>
      </c>
      <c r="I22" s="6">
        <v>28.925045013427699</v>
      </c>
      <c r="J22" s="6">
        <v>28.9409065246582</v>
      </c>
      <c r="K22" s="6">
        <v>28.9686679840088</v>
      </c>
      <c r="L22" s="6">
        <v>26.2798957824707</v>
      </c>
    </row>
    <row r="23" spans="1:12" x14ac:dyDescent="0.25">
      <c r="A23">
        <v>3114907</v>
      </c>
      <c r="B23" t="str">
        <f t="shared" si="0"/>
        <v>CASA GRANDE, MG, Brasil</v>
      </c>
      <c r="C23" s="4" t="str">
        <f>_xlfn.XLOOKUP(A23,[1]!DadosGHD[CD_GEOCMU],[1]!DadosGHD[Região])</f>
        <v>SD</v>
      </c>
      <c r="D23" s="4" t="str">
        <f>_xlfn.XLOOKUP(A23,[1]!DadosGHD[CD_GEOCMU],[1]!DadosGHD[uf])</f>
        <v>MG</v>
      </c>
      <c r="E23" s="5" t="str">
        <f>_xlfn.XLOOKUP(A23,[1]!DadosGHD[CD_GEOCMU],[1]!DadosGHD[MUNICIPIO])</f>
        <v>CASA GRANDE</v>
      </c>
      <c r="F23" s="6">
        <v>28.832521438598601</v>
      </c>
      <c r="G23" s="6">
        <v>28.907878875732401</v>
      </c>
      <c r="H23" s="6">
        <v>28.942651748657202</v>
      </c>
      <c r="I23" s="6">
        <v>33.807777404785199</v>
      </c>
      <c r="J23" s="6">
        <v>33.872066497802699</v>
      </c>
      <c r="K23" s="6">
        <v>33.901153564453097</v>
      </c>
      <c r="L23" s="6">
        <v>39.570915222167997</v>
      </c>
    </row>
    <row r="24" spans="1:12" x14ac:dyDescent="0.25">
      <c r="A24">
        <v>1501105</v>
      </c>
      <c r="B24" t="str">
        <f t="shared" si="0"/>
        <v>BAGRE, PA, Brasil</v>
      </c>
      <c r="C24" s="4" t="str">
        <f>_xlfn.XLOOKUP(A24,[1]!DadosGHD[CD_GEOCMU],[1]!DadosGHD[Região])</f>
        <v>NO</v>
      </c>
      <c r="D24" s="4" t="str">
        <f>_xlfn.XLOOKUP(A24,[1]!DadosGHD[CD_GEOCMU],[1]!DadosGHD[uf])</f>
        <v>PA</v>
      </c>
      <c r="E24" s="5" t="str">
        <f>_xlfn.XLOOKUP(A24,[1]!DadosGHD[CD_GEOCMU],[1]!DadosGHD[MUNICIPIO])</f>
        <v>BAGRE</v>
      </c>
      <c r="F24" s="6">
        <v>28.832521438598601</v>
      </c>
      <c r="G24" s="6">
        <v>28.907878875732401</v>
      </c>
      <c r="H24" s="6">
        <v>28.942651748657202</v>
      </c>
      <c r="I24" s="6">
        <v>28.925045013427699</v>
      </c>
      <c r="J24" s="6">
        <v>28.9409065246582</v>
      </c>
      <c r="K24" s="6">
        <v>28.9686679840088</v>
      </c>
      <c r="L24" s="6">
        <v>26.2798957824707</v>
      </c>
    </row>
    <row r="25" spans="1:12" x14ac:dyDescent="0.25">
      <c r="A25">
        <v>4300002</v>
      </c>
      <c r="B25" t="str">
        <f t="shared" si="0"/>
        <v>LAGOA DOS PATOS, RS, Brasil</v>
      </c>
      <c r="C25" s="4" t="str">
        <f>_xlfn.XLOOKUP(A25,[1]!DadosGHD[CD_GEOCMU],[1]!DadosGHD[Região])</f>
        <v>SL</v>
      </c>
      <c r="D25" s="4" t="str">
        <f>_xlfn.XLOOKUP(A25,[1]!DadosGHD[CD_GEOCMU],[1]!DadosGHD[uf])</f>
        <v>RS</v>
      </c>
      <c r="E25" s="5" t="str">
        <f>_xlfn.XLOOKUP(A25,[1]!DadosGHD[CD_GEOCMU],[1]!DadosGHD[MUNICIPIO])</f>
        <v>LAGOA DOS PATOS</v>
      </c>
      <c r="F25" s="6">
        <v>28.832521438598601</v>
      </c>
      <c r="G25" s="6">
        <v>28.907878875732401</v>
      </c>
      <c r="H25" s="6">
        <v>28.942651748657202</v>
      </c>
      <c r="I25" s="6">
        <v>28.925045013427699</v>
      </c>
      <c r="J25" s="6">
        <v>28.9409065246582</v>
      </c>
      <c r="K25" s="6">
        <v>28.9686679840088</v>
      </c>
      <c r="L25" s="6">
        <v>26.2798957824707</v>
      </c>
    </row>
    <row r="26" spans="1:12" x14ac:dyDescent="0.25">
      <c r="A26">
        <v>2102036</v>
      </c>
      <c r="B26" t="str">
        <f t="shared" si="0"/>
        <v>BOM JESUS DAS SELVAS, MA, Brasil</v>
      </c>
      <c r="C26" s="4" t="str">
        <f>_xlfn.XLOOKUP(A26,[1]!DadosGHD[CD_GEOCMU],[1]!DadosGHD[Região])</f>
        <v>NE</v>
      </c>
      <c r="D26" s="4" t="str">
        <f>_xlfn.XLOOKUP(A26,[1]!DadosGHD[CD_GEOCMU],[1]!DadosGHD[uf])</f>
        <v>MA</v>
      </c>
      <c r="E26" s="5" t="str">
        <f>_xlfn.XLOOKUP(A26,[1]!DadosGHD[CD_GEOCMU],[1]!DadosGHD[MUNICIPIO])</f>
        <v>BOM JESUS DAS SELVAS</v>
      </c>
      <c r="F26" s="6">
        <v>28.832521438598601</v>
      </c>
      <c r="G26" s="6">
        <v>28.907878875732401</v>
      </c>
      <c r="H26" s="6">
        <v>28.942651748657202</v>
      </c>
      <c r="I26" s="6">
        <v>28.925045013427699</v>
      </c>
      <c r="J26" s="6">
        <v>28.9409065246582</v>
      </c>
      <c r="K26" s="6">
        <v>28.9686679840088</v>
      </c>
      <c r="L26" s="6">
        <v>26.2798957824707</v>
      </c>
    </row>
    <row r="27" spans="1:12" x14ac:dyDescent="0.25">
      <c r="A27">
        <v>2406205</v>
      </c>
      <c r="B27" t="str">
        <f t="shared" si="0"/>
        <v>LAGOA D'ANTA, RN, Brasil</v>
      </c>
      <c r="C27" s="4" t="str">
        <f>_xlfn.XLOOKUP(A27,[1]!DadosGHD[CD_GEOCMU],[1]!DadosGHD[Região])</f>
        <v>NE</v>
      </c>
      <c r="D27" s="4" t="str">
        <f>_xlfn.XLOOKUP(A27,[1]!DadosGHD[CD_GEOCMU],[1]!DadosGHD[uf])</f>
        <v>RN</v>
      </c>
      <c r="E27" s="5" t="str">
        <f>_xlfn.XLOOKUP(A27,[1]!DadosGHD[CD_GEOCMU],[1]!DadosGHD[MUNICIPIO])</f>
        <v>LAGOA D'ANTA</v>
      </c>
      <c r="F27" s="6">
        <v>28.832521438598601</v>
      </c>
      <c r="G27" s="6">
        <v>28.907878875732401</v>
      </c>
      <c r="H27" s="6">
        <v>28.942827224731399</v>
      </c>
      <c r="I27" s="6">
        <v>28.925045013427699</v>
      </c>
      <c r="J27" s="6">
        <v>28.9409065246582</v>
      </c>
      <c r="K27" s="6">
        <v>28.9686679840088</v>
      </c>
      <c r="L27" s="6">
        <v>26.2798957824707</v>
      </c>
    </row>
    <row r="28" spans="1:12" x14ac:dyDescent="0.25">
      <c r="A28">
        <v>5200209</v>
      </c>
      <c r="B28" t="str">
        <f t="shared" si="0"/>
        <v>AGUA LIMPA, GO, Brasil</v>
      </c>
      <c r="C28" s="4" t="str">
        <f>_xlfn.XLOOKUP(A28,[1]!DadosGHD[CD_GEOCMU],[1]!DadosGHD[Região])</f>
        <v>CO</v>
      </c>
      <c r="D28" s="4" t="str">
        <f>_xlfn.XLOOKUP(A28,[1]!DadosGHD[CD_GEOCMU],[1]!DadosGHD[uf])</f>
        <v>GO</v>
      </c>
      <c r="E28" s="5" t="str">
        <f>_xlfn.XLOOKUP(A28,[1]!DadosGHD[CD_GEOCMU],[1]!DadosGHD[MUNICIPIO])</f>
        <v>AGUA LIMPA</v>
      </c>
      <c r="F28" s="6">
        <v>28.832521438598601</v>
      </c>
      <c r="G28" s="6">
        <v>38.743099212646499</v>
      </c>
      <c r="H28" s="6">
        <v>38.792404174804702</v>
      </c>
      <c r="I28" s="6">
        <v>38.7606201171875</v>
      </c>
      <c r="J28" s="6">
        <v>38.780086517333999</v>
      </c>
      <c r="K28" s="6">
        <v>38.834632873535199</v>
      </c>
      <c r="L28" s="6">
        <v>30.7209358215332</v>
      </c>
    </row>
    <row r="29" spans="1:12" x14ac:dyDescent="0.25">
      <c r="A29">
        <v>2802502</v>
      </c>
      <c r="B29" t="str">
        <f t="shared" si="0"/>
        <v>GENERAL MAYNARD, SE, Brasil</v>
      </c>
      <c r="C29" s="4" t="str">
        <f>_xlfn.XLOOKUP(A29,[1]!DadosGHD[CD_GEOCMU],[1]!DadosGHD[Região])</f>
        <v>NE</v>
      </c>
      <c r="D29" s="4" t="str">
        <f>_xlfn.XLOOKUP(A29,[1]!DadosGHD[CD_GEOCMU],[1]!DadosGHD[uf])</f>
        <v>SE</v>
      </c>
      <c r="E29" s="5" t="str">
        <f>_xlfn.XLOOKUP(A29,[1]!DadosGHD[CD_GEOCMU],[1]!DadosGHD[MUNICIPIO])</f>
        <v>GENERAL MAYNARD</v>
      </c>
      <c r="F29" s="6">
        <v>28.832521438598601</v>
      </c>
      <c r="G29" s="6">
        <v>28.907878875732401</v>
      </c>
      <c r="H29" s="6">
        <v>33.812633514404297</v>
      </c>
      <c r="I29" s="6">
        <v>28.925045013427699</v>
      </c>
      <c r="J29" s="6">
        <v>28.9409065246582</v>
      </c>
      <c r="K29" s="6">
        <v>28.9686679840088</v>
      </c>
      <c r="L29" s="6">
        <v>30.719724655151399</v>
      </c>
    </row>
    <row r="30" spans="1:12" x14ac:dyDescent="0.25">
      <c r="A30">
        <v>4311239</v>
      </c>
      <c r="B30" t="str">
        <f t="shared" si="0"/>
        <v>LAGOA BONITA DO SUL, RS, Brasil</v>
      </c>
      <c r="C30" s="4" t="str">
        <f>_xlfn.XLOOKUP(A30,[1]!DadosGHD[CD_GEOCMU],[1]!DadosGHD[Região])</f>
        <v>SL</v>
      </c>
      <c r="D30" s="4" t="str">
        <f>_xlfn.XLOOKUP(A30,[1]!DadosGHD[CD_GEOCMU],[1]!DadosGHD[uf])</f>
        <v>RS</v>
      </c>
      <c r="E30" s="5" t="str">
        <f>_xlfn.XLOOKUP(A30,[1]!DadosGHD[CD_GEOCMU],[1]!DadosGHD[MUNICIPIO])</f>
        <v>LAGOA BONITA DO SUL</v>
      </c>
      <c r="F30" s="6">
        <v>28.832521438598601</v>
      </c>
      <c r="G30" s="6">
        <v>38.710929870605497</v>
      </c>
      <c r="H30" s="6">
        <v>38.752468109130902</v>
      </c>
      <c r="I30" s="6">
        <v>38.726364135742202</v>
      </c>
      <c r="J30" s="6">
        <v>38.743358612060597</v>
      </c>
      <c r="K30" s="6">
        <v>33.9311332702637</v>
      </c>
      <c r="L30" s="6">
        <v>35.142295837402301</v>
      </c>
    </row>
    <row r="31" spans="1:12" x14ac:dyDescent="0.25">
      <c r="A31">
        <v>2101350</v>
      </c>
      <c r="B31" t="str">
        <f t="shared" si="0"/>
        <v>BACURITUBA, MA, Brasil</v>
      </c>
      <c r="C31" s="4" t="str">
        <f>_xlfn.XLOOKUP(A31,[1]!DadosGHD[CD_GEOCMU],[1]!DadosGHD[Região])</f>
        <v>NE</v>
      </c>
      <c r="D31" s="4" t="str">
        <f>_xlfn.XLOOKUP(A31,[1]!DadosGHD[CD_GEOCMU],[1]!DadosGHD[uf])</f>
        <v>MA</v>
      </c>
      <c r="E31" s="5" t="str">
        <f>_xlfn.XLOOKUP(A31,[1]!DadosGHD[CD_GEOCMU],[1]!DadosGHD[MUNICIPIO])</f>
        <v>BACURITUBA</v>
      </c>
      <c r="F31" s="6">
        <v>28.832521438598601</v>
      </c>
      <c r="G31" s="6">
        <v>28.907878875732401</v>
      </c>
      <c r="H31" s="6">
        <v>28.942651748657202</v>
      </c>
      <c r="I31" s="6">
        <v>28.925045013427699</v>
      </c>
      <c r="J31" s="6">
        <v>28.9409065246582</v>
      </c>
      <c r="K31" s="6">
        <v>28.9686679840088</v>
      </c>
      <c r="L31" s="6">
        <v>26.2798957824707</v>
      </c>
    </row>
    <row r="32" spans="1:12" x14ac:dyDescent="0.25">
      <c r="A32">
        <v>2201002</v>
      </c>
      <c r="B32" t="str">
        <f t="shared" si="0"/>
        <v>ARRAIAL, PI, Brasil</v>
      </c>
      <c r="C32" s="4" t="str">
        <f>_xlfn.XLOOKUP(A32,[1]!DadosGHD[CD_GEOCMU],[1]!DadosGHD[Região])</f>
        <v>NE</v>
      </c>
      <c r="D32" s="4" t="str">
        <f>_xlfn.XLOOKUP(A32,[1]!DadosGHD[CD_GEOCMU],[1]!DadosGHD[uf])</f>
        <v>PI</v>
      </c>
      <c r="E32" s="5" t="str">
        <f>_xlfn.XLOOKUP(A32,[1]!DadosGHD[CD_GEOCMU],[1]!DadosGHD[MUNICIPIO])</f>
        <v>ARRAIAL</v>
      </c>
      <c r="F32" s="6">
        <v>28.832521438598601</v>
      </c>
      <c r="G32" s="6">
        <v>28.907878875732401</v>
      </c>
      <c r="H32" s="6">
        <v>28.942651748657202</v>
      </c>
      <c r="I32" s="6">
        <v>28.925045013427699</v>
      </c>
      <c r="J32" s="6">
        <v>28.9409065246582</v>
      </c>
      <c r="K32" s="6">
        <v>28.9686679840088</v>
      </c>
      <c r="L32" s="6">
        <v>26.2798957824707</v>
      </c>
    </row>
    <row r="33" spans="1:12" x14ac:dyDescent="0.25">
      <c r="A33">
        <v>2205151</v>
      </c>
      <c r="B33" t="str">
        <f t="shared" si="0"/>
        <v>JACOBINA DO PIAUI, PI, Brasil</v>
      </c>
      <c r="C33" s="4" t="str">
        <f>_xlfn.XLOOKUP(A33,[1]!DadosGHD[CD_GEOCMU],[1]!DadosGHD[Região])</f>
        <v>NE</v>
      </c>
      <c r="D33" s="4" t="str">
        <f>_xlfn.XLOOKUP(A33,[1]!DadosGHD[CD_GEOCMU],[1]!DadosGHD[uf])</f>
        <v>PI</v>
      </c>
      <c r="E33" s="5" t="str">
        <f>_xlfn.XLOOKUP(A33,[1]!DadosGHD[CD_GEOCMU],[1]!DadosGHD[MUNICIPIO])</f>
        <v>JACOBINA DO PIAUI</v>
      </c>
      <c r="F33" s="6">
        <v>28.832521438598601</v>
      </c>
      <c r="G33" s="6">
        <v>28.907878875732401</v>
      </c>
      <c r="H33" s="6">
        <v>33.855552673339801</v>
      </c>
      <c r="I33" s="6">
        <v>28.935224533081101</v>
      </c>
      <c r="J33" s="6">
        <v>28.9409065246582</v>
      </c>
      <c r="K33" s="6">
        <v>33.8428764343262</v>
      </c>
      <c r="L33" s="6">
        <v>35.148120880127003</v>
      </c>
    </row>
    <row r="34" spans="1:12" x14ac:dyDescent="0.25">
      <c r="A34">
        <v>1705102</v>
      </c>
      <c r="B34" t="str">
        <f t="shared" si="0"/>
        <v>CHAPADA DA NATIVIDADE, TO, Brasil</v>
      </c>
      <c r="C34" s="4" t="str">
        <f>_xlfn.XLOOKUP(A34,[1]!DadosGHD[CD_GEOCMU],[1]!DadosGHD[Região])</f>
        <v>NO</v>
      </c>
      <c r="D34" s="4" t="str">
        <f>_xlfn.XLOOKUP(A34,[1]!DadosGHD[CD_GEOCMU],[1]!DadosGHD[uf])</f>
        <v>TO</v>
      </c>
      <c r="E34" s="5" t="str">
        <f>_xlfn.XLOOKUP(A34,[1]!DadosGHD[CD_GEOCMU],[1]!DadosGHD[MUNICIPIO])</f>
        <v>CHAPADA DA NATIVIDADE</v>
      </c>
      <c r="F34" s="6">
        <v>28.832521438598601</v>
      </c>
      <c r="G34" s="6">
        <v>28.907878875732401</v>
      </c>
      <c r="H34" s="6">
        <v>28.942651748657202</v>
      </c>
      <c r="I34" s="6">
        <v>28.925045013427699</v>
      </c>
      <c r="J34" s="6">
        <v>28.9409065246582</v>
      </c>
      <c r="K34" s="6">
        <v>28.9686679840088</v>
      </c>
      <c r="L34" s="6">
        <v>26.2845973968506</v>
      </c>
    </row>
    <row r="35" spans="1:12" x14ac:dyDescent="0.25">
      <c r="A35">
        <v>4311429</v>
      </c>
      <c r="B35" t="str">
        <f t="shared" si="0"/>
        <v>LAJEADO DO BUGRE, RS, Brasil</v>
      </c>
      <c r="C35" s="4" t="str">
        <f>_xlfn.XLOOKUP(A35,[1]!DadosGHD[CD_GEOCMU],[1]!DadosGHD[Região])</f>
        <v>SL</v>
      </c>
      <c r="D35" s="4" t="str">
        <f>_xlfn.XLOOKUP(A35,[1]!DadosGHD[CD_GEOCMU],[1]!DadosGHD[uf])</f>
        <v>RS</v>
      </c>
      <c r="E35" s="5" t="str">
        <f>_xlfn.XLOOKUP(A35,[1]!DadosGHD[CD_GEOCMU],[1]!DadosGHD[MUNICIPIO])</f>
        <v>LAJEADO DO BUGRE</v>
      </c>
      <c r="F35" s="6">
        <v>28.832521438598601</v>
      </c>
      <c r="G35" s="6">
        <v>38.739280700683601</v>
      </c>
      <c r="H35" s="6">
        <v>38.790393829345703</v>
      </c>
      <c r="I35" s="6">
        <v>38.7800903320313</v>
      </c>
      <c r="J35" s="6">
        <v>38.823074340820298</v>
      </c>
      <c r="K35" s="6">
        <v>38.886459350585902</v>
      </c>
      <c r="L35" s="6">
        <v>39.605747222900398</v>
      </c>
    </row>
    <row r="36" spans="1:12" x14ac:dyDescent="0.25">
      <c r="A36">
        <v>2401651</v>
      </c>
      <c r="B36" t="str">
        <f t="shared" si="0"/>
        <v>BODO, RN, Brasil</v>
      </c>
      <c r="C36" s="4" t="str">
        <f>_xlfn.XLOOKUP(A36,[1]!DadosGHD[CD_GEOCMU],[1]!DadosGHD[Região])</f>
        <v>NE</v>
      </c>
      <c r="D36" s="4" t="str">
        <f>_xlfn.XLOOKUP(A36,[1]!DadosGHD[CD_GEOCMU],[1]!DadosGHD[uf])</f>
        <v>RN</v>
      </c>
      <c r="E36" s="5" t="str">
        <f>_xlfn.XLOOKUP(A36,[1]!DadosGHD[CD_GEOCMU],[1]!DadosGHD[MUNICIPIO])</f>
        <v>BODO</v>
      </c>
      <c r="F36" s="6">
        <v>28.832521438598601</v>
      </c>
      <c r="G36" s="6">
        <v>28.907878875732401</v>
      </c>
      <c r="H36" s="6">
        <v>28.9525547027588</v>
      </c>
      <c r="I36" s="6">
        <v>28.944452285766602</v>
      </c>
      <c r="J36" s="6">
        <v>33.8157348632813</v>
      </c>
      <c r="K36" s="6">
        <v>33.847614288330099</v>
      </c>
      <c r="L36" s="6">
        <v>39.575759887695298</v>
      </c>
    </row>
    <row r="37" spans="1:12" x14ac:dyDescent="0.25">
      <c r="A37">
        <v>1718659</v>
      </c>
      <c r="B37" t="str">
        <f t="shared" si="0"/>
        <v>RIO DA CONCEICAO, TO, Brasil</v>
      </c>
      <c r="C37" s="4" t="str">
        <f>_xlfn.XLOOKUP(A37,[1]!DadosGHD[CD_GEOCMU],[1]!DadosGHD[Região])</f>
        <v>NO</v>
      </c>
      <c r="D37" s="4" t="str">
        <f>_xlfn.XLOOKUP(A37,[1]!DadosGHD[CD_GEOCMU],[1]!DadosGHD[uf])</f>
        <v>TO</v>
      </c>
      <c r="E37" s="5" t="str">
        <f>_xlfn.XLOOKUP(A37,[1]!DadosGHD[CD_GEOCMU],[1]!DadosGHD[MUNICIPIO])</f>
        <v>RIO DA CONCEICAO</v>
      </c>
      <c r="F37" s="6">
        <v>28.832521438598601</v>
      </c>
      <c r="G37" s="6">
        <v>28.907878875732401</v>
      </c>
      <c r="H37" s="6">
        <v>28.942651748657202</v>
      </c>
      <c r="I37" s="6">
        <v>28.925045013427699</v>
      </c>
      <c r="J37" s="6">
        <v>28.9409065246582</v>
      </c>
      <c r="K37" s="6">
        <v>28.9686679840088</v>
      </c>
      <c r="L37" s="6">
        <v>26.2798957824707</v>
      </c>
    </row>
    <row r="38" spans="1:12" x14ac:dyDescent="0.25">
      <c r="A38">
        <v>2513984</v>
      </c>
      <c r="B38" t="str">
        <f t="shared" si="0"/>
        <v>SAO FRANCISCO, PB, Brasil</v>
      </c>
      <c r="C38" s="4" t="str">
        <f>_xlfn.XLOOKUP(A38,[1]!DadosGHD[CD_GEOCMU],[1]!DadosGHD[Região])</f>
        <v>NE</v>
      </c>
      <c r="D38" s="4" t="str">
        <f>_xlfn.XLOOKUP(A38,[1]!DadosGHD[CD_GEOCMU],[1]!DadosGHD[uf])</f>
        <v>PB</v>
      </c>
      <c r="E38" s="5" t="str">
        <f>_xlfn.XLOOKUP(A38,[1]!DadosGHD[CD_GEOCMU],[1]!DadosGHD[MUNICIPIO])</f>
        <v>SAO FRANCISCO</v>
      </c>
      <c r="F38" s="6">
        <v>28.832521438598601</v>
      </c>
      <c r="G38" s="6">
        <v>28.907878875732401</v>
      </c>
      <c r="H38" s="6">
        <v>28.942651748657202</v>
      </c>
      <c r="I38" s="6">
        <v>28.925045013427699</v>
      </c>
      <c r="J38" s="6">
        <v>28.9409065246582</v>
      </c>
      <c r="K38" s="6">
        <v>28.9686679840088</v>
      </c>
      <c r="L38" s="6">
        <v>30.683525085449201</v>
      </c>
    </row>
    <row r="39" spans="1:12" x14ac:dyDescent="0.25">
      <c r="A39">
        <v>4315149</v>
      </c>
      <c r="B39" t="str">
        <f t="shared" si="0"/>
        <v>PRESIDENTE LUCENA, RS, Brasil</v>
      </c>
      <c r="C39" s="4" t="str">
        <f>_xlfn.XLOOKUP(A39,[1]!DadosGHD[CD_GEOCMU],[1]!DadosGHD[Região])</f>
        <v>SL</v>
      </c>
      <c r="D39" s="4" t="str">
        <f>_xlfn.XLOOKUP(A39,[1]!DadosGHD[CD_GEOCMU],[1]!DadosGHD[uf])</f>
        <v>RS</v>
      </c>
      <c r="E39" s="5" t="str">
        <f>_xlfn.XLOOKUP(A39,[1]!DadosGHD[CD_GEOCMU],[1]!DadosGHD[MUNICIPIO])</f>
        <v>PRESIDENTE LUCENA</v>
      </c>
      <c r="F39" s="6">
        <v>28.832521438598601</v>
      </c>
      <c r="G39" s="6">
        <v>43.676948547363303</v>
      </c>
      <c r="H39" s="6">
        <v>43.793529510498097</v>
      </c>
      <c r="I39" s="6">
        <v>53.710647583007798</v>
      </c>
      <c r="J39" s="6">
        <v>53.7920112609863</v>
      </c>
      <c r="K39" s="6">
        <v>53.841049194335902</v>
      </c>
      <c r="L39" s="6">
        <v>57.564613342285199</v>
      </c>
    </row>
    <row r="40" spans="1:12" x14ac:dyDescent="0.25">
      <c r="A40">
        <v>1504752</v>
      </c>
      <c r="B40" t="str">
        <f t="shared" si="0"/>
        <v>MOJUI DOS CAMPOS, PA, Brasil</v>
      </c>
      <c r="C40" s="4" t="str">
        <f>_xlfn.XLOOKUP(A40,[1]!DadosGHD[CD_GEOCMU],[1]!DadosGHD[Região])</f>
        <v>NO</v>
      </c>
      <c r="D40" s="4" t="str">
        <f>_xlfn.XLOOKUP(A40,[1]!DadosGHD[CD_GEOCMU],[1]!DadosGHD[uf])</f>
        <v>PA</v>
      </c>
      <c r="E40" s="5" t="str">
        <f>_xlfn.XLOOKUP(A40,[1]!DadosGHD[CD_GEOCMU],[1]!DadosGHD[MUNICIPIO])</f>
        <v>MOJUI DOS CAMPOS</v>
      </c>
      <c r="F40" s="6">
        <v>28.832521438598601</v>
      </c>
      <c r="G40" s="6">
        <v>28.907878875732401</v>
      </c>
      <c r="H40" s="6">
        <v>28.942651748657202</v>
      </c>
      <c r="I40" s="6">
        <v>28.9312858581543</v>
      </c>
      <c r="J40" s="6">
        <v>33.839317321777301</v>
      </c>
      <c r="K40" s="6">
        <v>33.862903594970703</v>
      </c>
      <c r="L40" s="6">
        <v>26.280458450317401</v>
      </c>
    </row>
    <row r="41" spans="1:12" x14ac:dyDescent="0.25">
      <c r="A41">
        <v>1504901</v>
      </c>
      <c r="B41" t="str">
        <f t="shared" si="0"/>
        <v>MUANA, PA, Brasil</v>
      </c>
      <c r="C41" s="4" t="str">
        <f>_xlfn.XLOOKUP(A41,[1]!DadosGHD[CD_GEOCMU],[1]!DadosGHD[Região])</f>
        <v>NO</v>
      </c>
      <c r="D41" s="4" t="str">
        <f>_xlfn.XLOOKUP(A41,[1]!DadosGHD[CD_GEOCMU],[1]!DadosGHD[uf])</f>
        <v>PA</v>
      </c>
      <c r="E41" s="5" t="str">
        <f>_xlfn.XLOOKUP(A41,[1]!DadosGHD[CD_GEOCMU],[1]!DadosGHD[MUNICIPIO])</f>
        <v>MUANA</v>
      </c>
      <c r="F41" s="6">
        <v>28.832521438598601</v>
      </c>
      <c r="G41" s="6">
        <v>28.907878875732401</v>
      </c>
      <c r="H41" s="6">
        <v>28.942651748657202</v>
      </c>
      <c r="I41" s="6">
        <v>28.925045013427699</v>
      </c>
      <c r="J41" s="6">
        <v>28.9409065246582</v>
      </c>
      <c r="K41" s="6">
        <v>28.9686679840088</v>
      </c>
      <c r="L41" s="6">
        <v>26.2798957824707</v>
      </c>
    </row>
    <row r="42" spans="1:12" x14ac:dyDescent="0.25">
      <c r="A42">
        <v>1713957</v>
      </c>
      <c r="B42" t="str">
        <f t="shared" si="0"/>
        <v>MURICILANDIA, TO, Brasil</v>
      </c>
      <c r="C42" s="4" t="str">
        <f>_xlfn.XLOOKUP(A42,[1]!DadosGHD[CD_GEOCMU],[1]!DadosGHD[Região])</f>
        <v>NO</v>
      </c>
      <c r="D42" s="4" t="str">
        <f>_xlfn.XLOOKUP(A42,[1]!DadosGHD[CD_GEOCMU],[1]!DadosGHD[uf])</f>
        <v>TO</v>
      </c>
      <c r="E42" s="5" t="str">
        <f>_xlfn.XLOOKUP(A42,[1]!DadosGHD[CD_GEOCMU],[1]!DadosGHD[MUNICIPIO])</f>
        <v>MURICILANDIA</v>
      </c>
      <c r="F42" s="6">
        <v>28.832521438598601</v>
      </c>
      <c r="G42" s="6">
        <v>28.907878875732401</v>
      </c>
      <c r="H42" s="6">
        <v>28.942651748657202</v>
      </c>
      <c r="I42" s="6">
        <v>28.925045013427699</v>
      </c>
      <c r="J42" s="6">
        <v>28.9409065246582</v>
      </c>
      <c r="K42" s="6">
        <v>28.9686679840088</v>
      </c>
      <c r="L42" s="6">
        <v>26.2798957824707</v>
      </c>
    </row>
    <row r="43" spans="1:12" x14ac:dyDescent="0.25">
      <c r="A43">
        <v>2210359</v>
      </c>
      <c r="B43" t="str">
        <f t="shared" si="0"/>
        <v>SAO LOURENCO DO PIAUI, PI, Brasil</v>
      </c>
      <c r="C43" s="4" t="str">
        <f>_xlfn.XLOOKUP(A43,[1]!DadosGHD[CD_GEOCMU],[1]!DadosGHD[Região])</f>
        <v>NE</v>
      </c>
      <c r="D43" s="4" t="str">
        <f>_xlfn.XLOOKUP(A43,[1]!DadosGHD[CD_GEOCMU],[1]!DadosGHD[uf])</f>
        <v>PI</v>
      </c>
      <c r="E43" s="5" t="str">
        <f>_xlfn.XLOOKUP(A43,[1]!DadosGHD[CD_GEOCMU],[1]!DadosGHD[MUNICIPIO])</f>
        <v>SAO LOURENCO DO PIAUI</v>
      </c>
      <c r="F43" s="6">
        <v>28.832521438598601</v>
      </c>
      <c r="G43" s="6">
        <v>28.907878875732401</v>
      </c>
      <c r="H43" s="6">
        <v>28.942651748657202</v>
      </c>
      <c r="I43" s="6">
        <v>28.925045013427699</v>
      </c>
      <c r="J43" s="6">
        <v>28.9409065246582</v>
      </c>
      <c r="K43" s="6">
        <v>28.9686679840088</v>
      </c>
      <c r="L43" s="6">
        <v>26.280555725097699</v>
      </c>
    </row>
    <row r="44" spans="1:12" x14ac:dyDescent="0.25">
      <c r="A44">
        <v>1720002</v>
      </c>
      <c r="B44" t="str">
        <f t="shared" si="0"/>
        <v>SANTA TEREZINHA DO TOCANTINS, TO, Brasil</v>
      </c>
      <c r="C44" s="4" t="str">
        <f>_xlfn.XLOOKUP(A44,[1]!DadosGHD[CD_GEOCMU],[1]!DadosGHD[Região])</f>
        <v>NO</v>
      </c>
      <c r="D44" s="4" t="str">
        <f>_xlfn.XLOOKUP(A44,[1]!DadosGHD[CD_GEOCMU],[1]!DadosGHD[uf])</f>
        <v>TO</v>
      </c>
      <c r="E44" s="5" t="str">
        <f>_xlfn.XLOOKUP(A44,[1]!DadosGHD[CD_GEOCMU],[1]!DadosGHD[MUNICIPIO])</f>
        <v>SANTA TEREZINHA DO TOCANTINS</v>
      </c>
      <c r="F44" s="6">
        <v>28.832521438598601</v>
      </c>
      <c r="G44" s="6">
        <v>28.907878875732401</v>
      </c>
      <c r="H44" s="6">
        <v>28.942651748657202</v>
      </c>
      <c r="I44" s="6">
        <v>28.925045013427699</v>
      </c>
      <c r="J44" s="6">
        <v>28.9409065246582</v>
      </c>
      <c r="K44" s="6">
        <v>28.9686679840088</v>
      </c>
      <c r="L44" s="6">
        <v>26.2798957824707</v>
      </c>
    </row>
    <row r="45" spans="1:12" x14ac:dyDescent="0.25">
      <c r="A45">
        <v>2500577</v>
      </c>
      <c r="B45" t="str">
        <f t="shared" si="0"/>
        <v>ALGODAO DE JANDAIRA, PB, Brasil</v>
      </c>
      <c r="C45" s="4" t="str">
        <f>_xlfn.XLOOKUP(A45,[1]!DadosGHD[CD_GEOCMU],[1]!DadosGHD[Região])</f>
        <v>NE</v>
      </c>
      <c r="D45" s="4" t="str">
        <f>_xlfn.XLOOKUP(A45,[1]!DadosGHD[CD_GEOCMU],[1]!DadosGHD[uf])</f>
        <v>PB</v>
      </c>
      <c r="E45" s="5" t="str">
        <f>_xlfn.XLOOKUP(A45,[1]!DadosGHD[CD_GEOCMU],[1]!DadosGHD[MUNICIPIO])</f>
        <v>ALGODAO DE JANDAIRA</v>
      </c>
      <c r="F45" s="6">
        <v>28.832521438598601</v>
      </c>
      <c r="G45" s="6">
        <v>28.907878875732401</v>
      </c>
      <c r="H45" s="6">
        <v>28.942651748657202</v>
      </c>
      <c r="I45" s="6">
        <v>28.925045013427699</v>
      </c>
      <c r="J45" s="6">
        <v>28.9409065246582</v>
      </c>
      <c r="K45" s="6">
        <v>28.9686679840088</v>
      </c>
      <c r="L45" s="6">
        <v>26.290378570556602</v>
      </c>
    </row>
    <row r="46" spans="1:12" x14ac:dyDescent="0.25">
      <c r="A46">
        <v>2202075</v>
      </c>
      <c r="B46" t="str">
        <f t="shared" si="0"/>
        <v>CAJAZEIRAS DO PIAUI, PI, Brasil</v>
      </c>
      <c r="C46" s="4" t="str">
        <f>_xlfn.XLOOKUP(A46,[1]!DadosGHD[CD_GEOCMU],[1]!DadosGHD[Região])</f>
        <v>NE</v>
      </c>
      <c r="D46" s="4" t="str">
        <f>_xlfn.XLOOKUP(A46,[1]!DadosGHD[CD_GEOCMU],[1]!DadosGHD[uf])</f>
        <v>PI</v>
      </c>
      <c r="E46" s="5" t="str">
        <f>_xlfn.XLOOKUP(A46,[1]!DadosGHD[CD_GEOCMU],[1]!DadosGHD[MUNICIPIO])</f>
        <v>CAJAZEIRAS DO PIAUI</v>
      </c>
      <c r="F46" s="6">
        <v>28.832521438598601</v>
      </c>
      <c r="G46" s="6">
        <v>28.907878875732401</v>
      </c>
      <c r="H46" s="6">
        <v>28.942651748657202</v>
      </c>
      <c r="I46" s="6">
        <v>28.925045013427699</v>
      </c>
      <c r="J46" s="6">
        <v>28.9409065246582</v>
      </c>
      <c r="K46" s="6">
        <v>28.9686679840088</v>
      </c>
      <c r="L46" s="6">
        <v>26.2798957824707</v>
      </c>
    </row>
    <row r="47" spans="1:12" x14ac:dyDescent="0.25">
      <c r="A47">
        <v>2107258</v>
      </c>
      <c r="B47" t="str">
        <f t="shared" si="0"/>
        <v>NOVA COLINAS, MA, Brasil</v>
      </c>
      <c r="C47" s="4" t="str">
        <f>_xlfn.XLOOKUP(A47,[1]!DadosGHD[CD_GEOCMU],[1]!DadosGHD[Região])</f>
        <v>NE</v>
      </c>
      <c r="D47" s="4" t="str">
        <f>_xlfn.XLOOKUP(A47,[1]!DadosGHD[CD_GEOCMU],[1]!DadosGHD[uf])</f>
        <v>MA</v>
      </c>
      <c r="E47" s="5" t="str">
        <f>_xlfn.XLOOKUP(A47,[1]!DadosGHD[CD_GEOCMU],[1]!DadosGHD[MUNICIPIO])</f>
        <v>NOVA COLINAS</v>
      </c>
      <c r="F47" s="6">
        <v>28.832521438598601</v>
      </c>
      <c r="G47" s="6">
        <v>28.907878875732401</v>
      </c>
      <c r="H47" s="6">
        <v>28.942651748657202</v>
      </c>
      <c r="I47" s="6">
        <v>28.925045013427699</v>
      </c>
      <c r="J47" s="6">
        <v>28.9409065246582</v>
      </c>
      <c r="K47" s="6">
        <v>28.9686679840088</v>
      </c>
      <c r="L47" s="6">
        <v>26.2798957824707</v>
      </c>
    </row>
    <row r="48" spans="1:12" x14ac:dyDescent="0.25">
      <c r="A48">
        <v>2706208</v>
      </c>
      <c r="B48" t="str">
        <f t="shared" si="0"/>
        <v>PALESTINA, AL, Brasil</v>
      </c>
      <c r="C48" s="4" t="str">
        <f>_xlfn.XLOOKUP(A48,[1]!DadosGHD[CD_GEOCMU],[1]!DadosGHD[Região])</f>
        <v>NE</v>
      </c>
      <c r="D48" s="4" t="str">
        <f>_xlfn.XLOOKUP(A48,[1]!DadosGHD[CD_GEOCMU],[1]!DadosGHD[uf])</f>
        <v>AL</v>
      </c>
      <c r="E48" s="5" t="str">
        <f>_xlfn.XLOOKUP(A48,[1]!DadosGHD[CD_GEOCMU],[1]!DadosGHD[MUNICIPIO])</f>
        <v>PALESTINA</v>
      </c>
      <c r="F48" s="6">
        <v>28.832521438598601</v>
      </c>
      <c r="G48" s="6">
        <v>28.907878875732401</v>
      </c>
      <c r="H48" s="6">
        <v>28.942651748657202</v>
      </c>
      <c r="I48" s="6">
        <v>28.925045013427699</v>
      </c>
      <c r="J48" s="6">
        <v>28.9409065246582</v>
      </c>
      <c r="K48" s="6">
        <v>28.9686679840088</v>
      </c>
      <c r="L48" s="6">
        <v>26.2798957824707</v>
      </c>
    </row>
    <row r="49" spans="1:12" x14ac:dyDescent="0.25">
      <c r="A49">
        <v>2202251</v>
      </c>
      <c r="B49" t="str">
        <f t="shared" si="0"/>
        <v>CANAVIEIRA, PI, Brasil</v>
      </c>
      <c r="C49" s="4" t="str">
        <f>_xlfn.XLOOKUP(A49,[1]!DadosGHD[CD_GEOCMU],[1]!DadosGHD[Região])</f>
        <v>NE</v>
      </c>
      <c r="D49" s="4" t="str">
        <f>_xlfn.XLOOKUP(A49,[1]!DadosGHD[CD_GEOCMU],[1]!DadosGHD[uf])</f>
        <v>PI</v>
      </c>
      <c r="E49" s="5" t="str">
        <f>_xlfn.XLOOKUP(A49,[1]!DadosGHD[CD_GEOCMU],[1]!DadosGHD[MUNICIPIO])</f>
        <v>CANAVIEIRA</v>
      </c>
      <c r="F49" s="6">
        <v>28.832521438598601</v>
      </c>
      <c r="G49" s="6">
        <v>28.907878875732401</v>
      </c>
      <c r="H49" s="6">
        <v>28.942651748657202</v>
      </c>
      <c r="I49" s="6">
        <v>28.925045013427699</v>
      </c>
      <c r="J49" s="6">
        <v>28.9409065246582</v>
      </c>
      <c r="K49" s="6">
        <v>28.9686679840088</v>
      </c>
      <c r="L49" s="6">
        <v>26.2798957824707</v>
      </c>
    </row>
    <row r="50" spans="1:12" x14ac:dyDescent="0.25">
      <c r="A50">
        <v>2509339</v>
      </c>
      <c r="B50" t="str">
        <f t="shared" si="0"/>
        <v>MATINHAS, PB, Brasil</v>
      </c>
      <c r="C50" s="4" t="str">
        <f>_xlfn.XLOOKUP(A50,[1]!DadosGHD[CD_GEOCMU],[1]!DadosGHD[Região])</f>
        <v>NE</v>
      </c>
      <c r="D50" s="4" t="str">
        <f>_xlfn.XLOOKUP(A50,[1]!DadosGHD[CD_GEOCMU],[1]!DadosGHD[uf])</f>
        <v>PB</v>
      </c>
      <c r="E50" s="5" t="str">
        <f>_xlfn.XLOOKUP(A50,[1]!DadosGHD[CD_GEOCMU],[1]!DadosGHD[MUNICIPIO])</f>
        <v>MATINHAS</v>
      </c>
      <c r="F50" s="6">
        <v>28.832521438598601</v>
      </c>
      <c r="G50" s="6">
        <v>28.907878875732401</v>
      </c>
      <c r="H50" s="6">
        <v>28.942651748657202</v>
      </c>
      <c r="I50" s="6">
        <v>28.925045013427699</v>
      </c>
      <c r="J50" s="6">
        <v>28.9409065246582</v>
      </c>
      <c r="K50" s="6">
        <v>28.9686679840088</v>
      </c>
      <c r="L50" s="6">
        <v>26.2798957824707</v>
      </c>
    </row>
    <row r="51" spans="1:12" x14ac:dyDescent="0.25">
      <c r="A51">
        <v>3106101</v>
      </c>
      <c r="B51" t="str">
        <f t="shared" si="0"/>
        <v>BELMIRO BRAGA, MG, Brasil</v>
      </c>
      <c r="C51" s="4" t="str">
        <f>_xlfn.XLOOKUP(A51,[1]!DadosGHD[CD_GEOCMU],[1]!DadosGHD[Região])</f>
        <v>SD</v>
      </c>
      <c r="D51" s="4" t="str">
        <f>_xlfn.XLOOKUP(A51,[1]!DadosGHD[CD_GEOCMU],[1]!DadosGHD[uf])</f>
        <v>MG</v>
      </c>
      <c r="E51" s="5" t="str">
        <f>_xlfn.XLOOKUP(A51,[1]!DadosGHD[CD_GEOCMU],[1]!DadosGHD[MUNICIPIO])</f>
        <v>BELMIRO BRAGA</v>
      </c>
      <c r="F51" s="6">
        <v>28.832521438598601</v>
      </c>
      <c r="G51" s="6">
        <v>28.907878875732401</v>
      </c>
      <c r="H51" s="6">
        <v>28.942651748657202</v>
      </c>
      <c r="I51" s="6">
        <v>28.950130462646499</v>
      </c>
      <c r="J51" s="6">
        <v>28.9409065246582</v>
      </c>
      <c r="K51" s="6">
        <v>28.9686679840088</v>
      </c>
      <c r="L51" s="6">
        <v>26.2798957824707</v>
      </c>
    </row>
    <row r="52" spans="1:12" x14ac:dyDescent="0.25">
      <c r="A52">
        <v>2202455</v>
      </c>
      <c r="B52" t="str">
        <f t="shared" si="0"/>
        <v>CAPITAO GERVASIO OLIVEIRA, PI, Brasil</v>
      </c>
      <c r="C52" s="4" t="str">
        <f>_xlfn.XLOOKUP(A52,[1]!DadosGHD[CD_GEOCMU],[1]!DadosGHD[Região])</f>
        <v>NE</v>
      </c>
      <c r="D52" s="4" t="str">
        <f>_xlfn.XLOOKUP(A52,[1]!DadosGHD[CD_GEOCMU],[1]!DadosGHD[uf])</f>
        <v>PI</v>
      </c>
      <c r="E52" s="5" t="str">
        <f>_xlfn.XLOOKUP(A52,[1]!DadosGHD[CD_GEOCMU],[1]!DadosGHD[MUNICIPIO])</f>
        <v>CAPITAO GERVASIO OLIVEIRA</v>
      </c>
      <c r="F52" s="6">
        <v>28.832521438598601</v>
      </c>
      <c r="G52" s="6">
        <v>28.907878875732401</v>
      </c>
      <c r="H52" s="6">
        <v>28.942651748657202</v>
      </c>
      <c r="I52" s="6">
        <v>28.925045013427699</v>
      </c>
      <c r="J52" s="6">
        <v>28.9409065246582</v>
      </c>
      <c r="K52" s="6">
        <v>28.9686679840088</v>
      </c>
      <c r="L52" s="6">
        <v>26.2798957824707</v>
      </c>
    </row>
    <row r="53" spans="1:12" x14ac:dyDescent="0.25">
      <c r="A53">
        <v>2410009</v>
      </c>
      <c r="B53" t="str">
        <f t="shared" si="0"/>
        <v>PILOES, RN, Brasil</v>
      </c>
      <c r="C53" s="4" t="str">
        <f>_xlfn.XLOOKUP(A53,[1]!DadosGHD[CD_GEOCMU],[1]!DadosGHD[Região])</f>
        <v>NE</v>
      </c>
      <c r="D53" s="4" t="str">
        <f>_xlfn.XLOOKUP(A53,[1]!DadosGHD[CD_GEOCMU],[1]!DadosGHD[uf])</f>
        <v>RN</v>
      </c>
      <c r="E53" s="5" t="str">
        <f>_xlfn.XLOOKUP(A53,[1]!DadosGHD[CD_GEOCMU],[1]!DadosGHD[MUNICIPIO])</f>
        <v>PILOES</v>
      </c>
      <c r="F53" s="6">
        <v>28.832521438598601</v>
      </c>
      <c r="G53" s="6">
        <v>28.917768478393601</v>
      </c>
      <c r="H53" s="6">
        <v>28.962572097778299</v>
      </c>
      <c r="I53" s="6">
        <v>28.925045013427699</v>
      </c>
      <c r="J53" s="6">
        <v>28.9409065246582</v>
      </c>
      <c r="K53" s="6">
        <v>28.9686679840088</v>
      </c>
      <c r="L53" s="6">
        <v>30.7198181152344</v>
      </c>
    </row>
    <row r="54" spans="1:12" x14ac:dyDescent="0.25">
      <c r="A54">
        <v>2411106</v>
      </c>
      <c r="B54" t="str">
        <f t="shared" si="0"/>
        <v>RUY BARBOSA, RN, Brasil</v>
      </c>
      <c r="C54" s="4" t="str">
        <f>_xlfn.XLOOKUP(A54,[1]!DadosGHD[CD_GEOCMU],[1]!DadosGHD[Região])</f>
        <v>NE</v>
      </c>
      <c r="D54" s="4" t="str">
        <f>_xlfn.XLOOKUP(A54,[1]!DadosGHD[CD_GEOCMU],[1]!DadosGHD[uf])</f>
        <v>RN</v>
      </c>
      <c r="E54" s="5" t="str">
        <f>_xlfn.XLOOKUP(A54,[1]!DadosGHD[CD_GEOCMU],[1]!DadosGHD[MUNICIPIO])</f>
        <v>RUY BARBOSA</v>
      </c>
      <c r="F54" s="6">
        <v>28.832521438598601</v>
      </c>
      <c r="G54" s="6">
        <v>28.907878875732401</v>
      </c>
      <c r="H54" s="6">
        <v>28.942651748657202</v>
      </c>
      <c r="I54" s="6">
        <v>28.926973342895501</v>
      </c>
      <c r="J54" s="6">
        <v>28.9409065246582</v>
      </c>
      <c r="K54" s="6">
        <v>28.970193862915</v>
      </c>
      <c r="L54" s="6">
        <v>30.717231750488299</v>
      </c>
    </row>
    <row r="55" spans="1:12" x14ac:dyDescent="0.25">
      <c r="A55">
        <v>2204600</v>
      </c>
      <c r="B55" t="str">
        <f t="shared" si="0"/>
        <v>HUGO NAPOLEAO, PI, Brasil</v>
      </c>
      <c r="C55" s="4" t="str">
        <f>_xlfn.XLOOKUP(A55,[1]!DadosGHD[CD_GEOCMU],[1]!DadosGHD[Região])</f>
        <v>NE</v>
      </c>
      <c r="D55" s="4" t="str">
        <f>_xlfn.XLOOKUP(A55,[1]!DadosGHD[CD_GEOCMU],[1]!DadosGHD[uf])</f>
        <v>PI</v>
      </c>
      <c r="E55" s="5" t="str">
        <f>_xlfn.XLOOKUP(A55,[1]!DadosGHD[CD_GEOCMU],[1]!DadosGHD[MUNICIPIO])</f>
        <v>HUGO NAPOLEAO</v>
      </c>
      <c r="F55" s="6">
        <v>28.832521438598601</v>
      </c>
      <c r="G55" s="6">
        <v>28.907878875732401</v>
      </c>
      <c r="H55" s="6">
        <v>28.942651748657202</v>
      </c>
      <c r="I55" s="6">
        <v>28.925045013427699</v>
      </c>
      <c r="J55" s="6">
        <v>28.9409065246582</v>
      </c>
      <c r="K55" s="6">
        <v>28.9686679840088</v>
      </c>
      <c r="L55" s="6">
        <v>30.684486389160199</v>
      </c>
    </row>
    <row r="56" spans="1:12" x14ac:dyDescent="0.25">
      <c r="A56">
        <v>2202851</v>
      </c>
      <c r="B56" t="str">
        <f t="shared" si="0"/>
        <v>CORONEL JOSE DIAS, PI, Brasil</v>
      </c>
      <c r="C56" s="4" t="str">
        <f>_xlfn.XLOOKUP(A56,[1]!DadosGHD[CD_GEOCMU],[1]!DadosGHD[Região])</f>
        <v>NE</v>
      </c>
      <c r="D56" s="4" t="str">
        <f>_xlfn.XLOOKUP(A56,[1]!DadosGHD[CD_GEOCMU],[1]!DadosGHD[uf])</f>
        <v>PI</v>
      </c>
      <c r="E56" s="5" t="str">
        <f>_xlfn.XLOOKUP(A56,[1]!DadosGHD[CD_GEOCMU],[1]!DadosGHD[MUNICIPIO])</f>
        <v>CORONEL JOSE DIAS</v>
      </c>
      <c r="F56" s="6">
        <v>28.832521438598601</v>
      </c>
      <c r="G56" s="6">
        <v>28.907878875732401</v>
      </c>
      <c r="H56" s="6">
        <v>28.942651748657202</v>
      </c>
      <c r="I56" s="6">
        <v>28.925045013427699</v>
      </c>
      <c r="J56" s="6">
        <v>28.9409065246582</v>
      </c>
      <c r="K56" s="6">
        <v>28.9686679840088</v>
      </c>
      <c r="L56" s="6">
        <v>30.7035217285156</v>
      </c>
    </row>
    <row r="57" spans="1:12" x14ac:dyDescent="0.25">
      <c r="A57">
        <v>3145703</v>
      </c>
      <c r="B57" t="str">
        <f t="shared" si="0"/>
        <v>OLIVEIRA FORTES, MG, Brasil</v>
      </c>
      <c r="C57" s="4" t="str">
        <f>_xlfn.XLOOKUP(A57,[1]!DadosGHD[CD_GEOCMU],[1]!DadosGHD[Região])</f>
        <v>SD</v>
      </c>
      <c r="D57" s="4" t="str">
        <f>_xlfn.XLOOKUP(A57,[1]!DadosGHD[CD_GEOCMU],[1]!DadosGHD[uf])</f>
        <v>MG</v>
      </c>
      <c r="E57" s="5" t="str">
        <f>_xlfn.XLOOKUP(A57,[1]!DadosGHD[CD_GEOCMU],[1]!DadosGHD[MUNICIPIO])</f>
        <v>OLIVEIRA FORTES</v>
      </c>
      <c r="F57" s="6">
        <v>28.832521438598601</v>
      </c>
      <c r="G57" s="6">
        <v>28.907878875732401</v>
      </c>
      <c r="H57" s="6">
        <v>28.942651748657202</v>
      </c>
      <c r="I57" s="6">
        <v>28.954780578613299</v>
      </c>
      <c r="J57" s="6">
        <v>28.971897125244102</v>
      </c>
      <c r="K57" s="6">
        <v>29.003252029418899</v>
      </c>
      <c r="L57" s="6">
        <v>30.6899738311768</v>
      </c>
    </row>
    <row r="58" spans="1:12" x14ac:dyDescent="0.25">
      <c r="A58">
        <v>1718899</v>
      </c>
      <c r="B58" t="str">
        <f t="shared" si="0"/>
        <v>SANTA RITA DO TOCANTINS, TO, Brasil</v>
      </c>
      <c r="C58" s="4" t="str">
        <f>_xlfn.XLOOKUP(A58,[1]!DadosGHD[CD_GEOCMU],[1]!DadosGHD[Região])</f>
        <v>NO</v>
      </c>
      <c r="D58" s="4" t="str">
        <f>_xlfn.XLOOKUP(A58,[1]!DadosGHD[CD_GEOCMU],[1]!DadosGHD[uf])</f>
        <v>TO</v>
      </c>
      <c r="E58" s="5" t="str">
        <f>_xlfn.XLOOKUP(A58,[1]!DadosGHD[CD_GEOCMU],[1]!DadosGHD[MUNICIPIO])</f>
        <v>SANTA RITA DO TOCANTINS</v>
      </c>
      <c r="F58" s="6">
        <v>28.832521438598601</v>
      </c>
      <c r="G58" s="6">
        <v>28.907878875732401</v>
      </c>
      <c r="H58" s="6">
        <v>28.942651748657202</v>
      </c>
      <c r="I58" s="6">
        <v>28.925045013427699</v>
      </c>
      <c r="J58" s="6">
        <v>28.9409065246582</v>
      </c>
      <c r="K58" s="6">
        <v>28.9686679840088</v>
      </c>
      <c r="L58" s="6">
        <v>26.2798957824707</v>
      </c>
    </row>
    <row r="59" spans="1:12" x14ac:dyDescent="0.25">
      <c r="A59">
        <v>5106455</v>
      </c>
      <c r="B59" t="str">
        <f t="shared" si="0"/>
        <v>PLANALTO DA SERRA, MT, Brasil</v>
      </c>
      <c r="C59" s="4" t="str">
        <f>_xlfn.XLOOKUP(A59,[1]!DadosGHD[CD_GEOCMU],[1]!DadosGHD[Região])</f>
        <v>CO</v>
      </c>
      <c r="D59" s="4" t="str">
        <f>_xlfn.XLOOKUP(A59,[1]!DadosGHD[CD_GEOCMU],[1]!DadosGHD[uf])</f>
        <v>MT</v>
      </c>
      <c r="E59" s="5" t="str">
        <f>_xlfn.XLOOKUP(A59,[1]!DadosGHD[CD_GEOCMU],[1]!DadosGHD[MUNICIPIO])</f>
        <v>PLANALTO DA SERRA</v>
      </c>
      <c r="F59" s="6">
        <v>28.832521438598601</v>
      </c>
      <c r="G59" s="6">
        <v>28.907878875732401</v>
      </c>
      <c r="H59" s="6">
        <v>28.942651748657202</v>
      </c>
      <c r="I59" s="6">
        <v>28.927915573120099</v>
      </c>
      <c r="J59" s="6">
        <v>28.960680007934599</v>
      </c>
      <c r="K59" s="6">
        <v>28.982069015502901</v>
      </c>
      <c r="L59" s="6">
        <v>30.719057083129901</v>
      </c>
    </row>
    <row r="60" spans="1:12" x14ac:dyDescent="0.25">
      <c r="A60">
        <v>2203255</v>
      </c>
      <c r="B60" t="str">
        <f t="shared" si="0"/>
        <v>CURRALINHOS, PI, Brasil</v>
      </c>
      <c r="C60" s="4" t="str">
        <f>_xlfn.XLOOKUP(A60,[1]!DadosGHD[CD_GEOCMU],[1]!DadosGHD[Região])</f>
        <v>NE</v>
      </c>
      <c r="D60" s="4" t="str">
        <f>_xlfn.XLOOKUP(A60,[1]!DadosGHD[CD_GEOCMU],[1]!DadosGHD[uf])</f>
        <v>PI</v>
      </c>
      <c r="E60" s="5" t="str">
        <f>_xlfn.XLOOKUP(A60,[1]!DadosGHD[CD_GEOCMU],[1]!DadosGHD[MUNICIPIO])</f>
        <v>CURRALINHOS</v>
      </c>
      <c r="F60" s="6">
        <v>28.832521438598601</v>
      </c>
      <c r="G60" s="6">
        <v>28.907878875732401</v>
      </c>
      <c r="H60" s="6">
        <v>28.942651748657202</v>
      </c>
      <c r="I60" s="6">
        <v>28.925045013427699</v>
      </c>
      <c r="J60" s="6">
        <v>28.9409065246582</v>
      </c>
      <c r="K60" s="6">
        <v>28.9686679840088</v>
      </c>
      <c r="L60" s="6">
        <v>26.2798957824707</v>
      </c>
    </row>
    <row r="61" spans="1:12" x14ac:dyDescent="0.25">
      <c r="A61">
        <v>5215801</v>
      </c>
      <c r="B61" t="str">
        <f t="shared" si="0"/>
        <v>PALMELO, GO, Brasil</v>
      </c>
      <c r="C61" s="4" t="str">
        <f>_xlfn.XLOOKUP(A61,[1]!DadosGHD[CD_GEOCMU],[1]!DadosGHD[Região])</f>
        <v>CO</v>
      </c>
      <c r="D61" s="4" t="str">
        <f>_xlfn.XLOOKUP(A61,[1]!DadosGHD[CD_GEOCMU],[1]!DadosGHD[uf])</f>
        <v>GO</v>
      </c>
      <c r="E61" s="5" t="str">
        <f>_xlfn.XLOOKUP(A61,[1]!DadosGHD[CD_GEOCMU],[1]!DadosGHD[MUNICIPIO])</f>
        <v>PALMELO</v>
      </c>
      <c r="F61" s="6">
        <v>28.832521438598601</v>
      </c>
      <c r="G61" s="6">
        <v>28.907878875732401</v>
      </c>
      <c r="H61" s="6">
        <v>28.9570198059082</v>
      </c>
      <c r="I61" s="6">
        <v>28.949689865112301</v>
      </c>
      <c r="J61" s="6">
        <v>33.831451416015597</v>
      </c>
      <c r="K61" s="6">
        <v>33.858448028564503</v>
      </c>
      <c r="L61" s="6">
        <v>30.721132278442401</v>
      </c>
    </row>
    <row r="62" spans="1:12" x14ac:dyDescent="0.25">
      <c r="A62">
        <v>2111672</v>
      </c>
      <c r="B62" t="str">
        <f t="shared" si="0"/>
        <v>SAO ROBERTO, MA, Brasil</v>
      </c>
      <c r="C62" s="4" t="str">
        <f>_xlfn.XLOOKUP(A62,[1]!DadosGHD[CD_GEOCMU],[1]!DadosGHD[Região])</f>
        <v>NE</v>
      </c>
      <c r="D62" s="4" t="str">
        <f>_xlfn.XLOOKUP(A62,[1]!DadosGHD[CD_GEOCMU],[1]!DadosGHD[uf])</f>
        <v>MA</v>
      </c>
      <c r="E62" s="5" t="str">
        <f>_xlfn.XLOOKUP(A62,[1]!DadosGHD[CD_GEOCMU],[1]!DadosGHD[MUNICIPIO])</f>
        <v>SAO ROBERTO</v>
      </c>
      <c r="F62" s="6">
        <v>28.832521438598601</v>
      </c>
      <c r="G62" s="6">
        <v>28.907878875732401</v>
      </c>
      <c r="H62" s="6">
        <v>28.942651748657202</v>
      </c>
      <c r="I62" s="6">
        <v>28.925045013427699</v>
      </c>
      <c r="J62" s="6">
        <v>28.9409065246582</v>
      </c>
      <c r="K62" s="6">
        <v>28.9686679840088</v>
      </c>
      <c r="L62" s="6">
        <v>26.2798957824707</v>
      </c>
    </row>
    <row r="63" spans="1:12" x14ac:dyDescent="0.25">
      <c r="A63">
        <v>5106273</v>
      </c>
      <c r="B63" t="str">
        <f t="shared" si="0"/>
        <v>NOVO HORIZONTE DO NORTE, MT, Brasil</v>
      </c>
      <c r="C63" s="4" t="str">
        <f>_xlfn.XLOOKUP(A63,[1]!DadosGHD[CD_GEOCMU],[1]!DadosGHD[Região])</f>
        <v>CO</v>
      </c>
      <c r="D63" s="4" t="str">
        <f>_xlfn.XLOOKUP(A63,[1]!DadosGHD[CD_GEOCMU],[1]!DadosGHD[uf])</f>
        <v>MT</v>
      </c>
      <c r="E63" s="5" t="str">
        <f>_xlfn.XLOOKUP(A63,[1]!DadosGHD[CD_GEOCMU],[1]!DadosGHD[MUNICIPIO])</f>
        <v>NOVO HORIZONTE DO NORTE</v>
      </c>
      <c r="F63" s="6">
        <v>28.832521438598601</v>
      </c>
      <c r="G63" s="6">
        <v>38.700725555419901</v>
      </c>
      <c r="H63" s="6">
        <v>33.891807556152301</v>
      </c>
      <c r="I63" s="6">
        <v>33.866226196289098</v>
      </c>
      <c r="J63" s="6">
        <v>33.869285583496101</v>
      </c>
      <c r="K63" s="6">
        <v>33.905719757080099</v>
      </c>
      <c r="L63" s="6">
        <v>35.125942230224602</v>
      </c>
    </row>
    <row r="64" spans="1:12" x14ac:dyDescent="0.25">
      <c r="A64">
        <v>4310579</v>
      </c>
      <c r="B64" t="str">
        <f t="shared" si="0"/>
        <v>ITAPUCA, RS, Brasil</v>
      </c>
      <c r="C64" s="4" t="str">
        <f>_xlfn.XLOOKUP(A64,[1]!DadosGHD[CD_GEOCMU],[1]!DadosGHD[Região])</f>
        <v>SL</v>
      </c>
      <c r="D64" s="4" t="str">
        <f>_xlfn.XLOOKUP(A64,[1]!DadosGHD[CD_GEOCMU],[1]!DadosGHD[uf])</f>
        <v>RS</v>
      </c>
      <c r="E64" s="5" t="str">
        <f>_xlfn.XLOOKUP(A64,[1]!DadosGHD[CD_GEOCMU],[1]!DadosGHD[MUNICIPIO])</f>
        <v>ITAPUCA</v>
      </c>
      <c r="F64" s="6">
        <v>28.832521438598601</v>
      </c>
      <c r="G64" s="6">
        <v>38.719383239746101</v>
      </c>
      <c r="H64" s="6">
        <v>38.775192260742202</v>
      </c>
      <c r="I64" s="6">
        <v>38.772266387939503</v>
      </c>
      <c r="J64" s="6">
        <v>38.789405822753899</v>
      </c>
      <c r="K64" s="6">
        <v>38.798622131347699</v>
      </c>
      <c r="L64" s="6">
        <v>30.7020263671875</v>
      </c>
    </row>
    <row r="65" spans="1:12" x14ac:dyDescent="0.25">
      <c r="A65">
        <v>2410256</v>
      </c>
      <c r="B65" t="str">
        <f t="shared" si="0"/>
        <v>PORTO DO MANGUE, RN, Brasil</v>
      </c>
      <c r="C65" s="4" t="str">
        <f>_xlfn.XLOOKUP(A65,[1]!DadosGHD[CD_GEOCMU],[1]!DadosGHD[Região])</f>
        <v>NE</v>
      </c>
      <c r="D65" s="4" t="str">
        <f>_xlfn.XLOOKUP(A65,[1]!DadosGHD[CD_GEOCMU],[1]!DadosGHD[uf])</f>
        <v>RN</v>
      </c>
      <c r="E65" s="5" t="str">
        <f>_xlfn.XLOOKUP(A65,[1]!DadosGHD[CD_GEOCMU],[1]!DadosGHD[MUNICIPIO])</f>
        <v>PORTO DO MANGUE</v>
      </c>
      <c r="F65" s="6">
        <v>28.832521438598601</v>
      </c>
      <c r="G65" s="6">
        <v>28.907878875732401</v>
      </c>
      <c r="H65" s="6">
        <v>28.942651748657202</v>
      </c>
      <c r="I65" s="6">
        <v>28.925045013427699</v>
      </c>
      <c r="J65" s="6">
        <v>28.9409065246582</v>
      </c>
      <c r="K65" s="6">
        <v>28.9686679840088</v>
      </c>
      <c r="L65" s="6">
        <v>26.2870388031006</v>
      </c>
    </row>
    <row r="66" spans="1:12" x14ac:dyDescent="0.25">
      <c r="A66">
        <v>2201176</v>
      </c>
      <c r="B66" t="str">
        <f t="shared" si="0"/>
        <v>BARRA D'ALCANTARA, PI, Brasil</v>
      </c>
      <c r="C66" s="4" t="str">
        <f>_xlfn.XLOOKUP(A66,[1]!DadosGHD[CD_GEOCMU],[1]!DadosGHD[Região])</f>
        <v>NE</v>
      </c>
      <c r="D66" s="4" t="str">
        <f>_xlfn.XLOOKUP(A66,[1]!DadosGHD[CD_GEOCMU],[1]!DadosGHD[uf])</f>
        <v>PI</v>
      </c>
      <c r="E66" s="5" t="str">
        <f>_xlfn.XLOOKUP(A66,[1]!DadosGHD[CD_GEOCMU],[1]!DadosGHD[MUNICIPIO])</f>
        <v>BARRA D'ALCANTARA</v>
      </c>
      <c r="F66" s="6">
        <v>28.832521438598601</v>
      </c>
      <c r="G66" s="6">
        <v>28.907878875732401</v>
      </c>
      <c r="H66" s="6">
        <v>28.942651748657202</v>
      </c>
      <c r="I66" s="6">
        <v>28.9306125640869</v>
      </c>
      <c r="J66" s="6">
        <v>28.9628810882568</v>
      </c>
      <c r="K66" s="6">
        <v>28.9686679840088</v>
      </c>
      <c r="L66" s="6">
        <v>30.690187454223601</v>
      </c>
    </row>
    <row r="67" spans="1:12" x14ac:dyDescent="0.25">
      <c r="A67">
        <v>3149002</v>
      </c>
      <c r="B67" t="str">
        <f t="shared" si="0"/>
        <v>PEDRA DOURADA, MG, Brasil</v>
      </c>
      <c r="C67" s="4" t="str">
        <f>_xlfn.XLOOKUP(A67,[1]!DadosGHD[CD_GEOCMU],[1]!DadosGHD[Região])</f>
        <v>SD</v>
      </c>
      <c r="D67" s="4" t="str">
        <f>_xlfn.XLOOKUP(A67,[1]!DadosGHD[CD_GEOCMU],[1]!DadosGHD[uf])</f>
        <v>MG</v>
      </c>
      <c r="E67" s="5" t="str">
        <f>_xlfn.XLOOKUP(A67,[1]!DadosGHD[CD_GEOCMU],[1]!DadosGHD[MUNICIPIO])</f>
        <v>PEDRA DOURADA</v>
      </c>
      <c r="F67" s="6">
        <v>28.832521438598601</v>
      </c>
      <c r="G67" s="6">
        <v>28.907878875732401</v>
      </c>
      <c r="H67" s="6">
        <v>28.942651748657202</v>
      </c>
      <c r="I67" s="6">
        <v>28.925045013427699</v>
      </c>
      <c r="J67" s="6">
        <v>33.8095703125</v>
      </c>
      <c r="K67" s="6">
        <v>33.874160766601598</v>
      </c>
      <c r="L67" s="6">
        <v>39.566795349121101</v>
      </c>
    </row>
    <row r="68" spans="1:12" x14ac:dyDescent="0.25">
      <c r="A68">
        <v>5220702</v>
      </c>
      <c r="B68" t="str">
        <f t="shared" ref="B68:B131" si="1">_xlfn.CONCAT(E68, ", ", D68, ", Brasil")</f>
        <v>SITIO D'ABADIA, GO, Brasil</v>
      </c>
      <c r="C68" s="4" t="str">
        <f>_xlfn.XLOOKUP(A68,[1]!DadosGHD[CD_GEOCMU],[1]!DadosGHD[Região])</f>
        <v>CO</v>
      </c>
      <c r="D68" s="4" t="str">
        <f>_xlfn.XLOOKUP(A68,[1]!DadosGHD[CD_GEOCMU],[1]!DadosGHD[uf])</f>
        <v>GO</v>
      </c>
      <c r="E68" s="5" t="str">
        <f>_xlfn.XLOOKUP(A68,[1]!DadosGHD[CD_GEOCMU],[1]!DadosGHD[MUNICIPIO])</f>
        <v>SITIO D'ABADIA</v>
      </c>
      <c r="F68" s="6">
        <v>28.832521438598601</v>
      </c>
      <c r="G68" s="6">
        <v>28.907878875732401</v>
      </c>
      <c r="H68" s="6">
        <v>28.942651748657202</v>
      </c>
      <c r="I68" s="6">
        <v>28.925045013427699</v>
      </c>
      <c r="J68" s="6">
        <v>28.9409065246582</v>
      </c>
      <c r="K68" s="6">
        <v>28.9686679840088</v>
      </c>
      <c r="L68" s="6">
        <v>26.2798957824707</v>
      </c>
    </row>
    <row r="69" spans="1:12" x14ac:dyDescent="0.25">
      <c r="A69">
        <v>3140407</v>
      </c>
      <c r="B69" t="str">
        <f t="shared" si="1"/>
        <v>MARMELOPOLIS, MG, Brasil</v>
      </c>
      <c r="C69" s="4" t="str">
        <f>_xlfn.XLOOKUP(A69,[1]!DadosGHD[CD_GEOCMU],[1]!DadosGHD[Região])</f>
        <v>SD</v>
      </c>
      <c r="D69" s="4" t="str">
        <f>_xlfn.XLOOKUP(A69,[1]!DadosGHD[CD_GEOCMU],[1]!DadosGHD[uf])</f>
        <v>MG</v>
      </c>
      <c r="E69" s="5" t="str">
        <f>_xlfn.XLOOKUP(A69,[1]!DadosGHD[CD_GEOCMU],[1]!DadosGHD[MUNICIPIO])</f>
        <v>MARMELOPOLIS</v>
      </c>
      <c r="F69" s="6">
        <v>28.832521438598601</v>
      </c>
      <c r="G69" s="6">
        <v>48.660133361816399</v>
      </c>
      <c r="H69" s="6">
        <v>48.719093322753899</v>
      </c>
      <c r="I69" s="6">
        <v>48.6853218078613</v>
      </c>
      <c r="J69" s="6">
        <v>48.741733551025398</v>
      </c>
      <c r="K69" s="6">
        <v>48.813388824462898</v>
      </c>
      <c r="L69" s="6">
        <v>35.157905578613303</v>
      </c>
    </row>
    <row r="70" spans="1:12" x14ac:dyDescent="0.25">
      <c r="A70">
        <v>1303205</v>
      </c>
      <c r="B70" t="str">
        <f t="shared" si="1"/>
        <v>NOVO AIRAO, AM, Brasil</v>
      </c>
      <c r="C70" s="4" t="str">
        <f>_xlfn.XLOOKUP(A70,[1]!DadosGHD[CD_GEOCMU],[1]!DadosGHD[Região])</f>
        <v>NO</v>
      </c>
      <c r="D70" s="4" t="str">
        <f>_xlfn.XLOOKUP(A70,[1]!DadosGHD[CD_GEOCMU],[1]!DadosGHD[uf])</f>
        <v>AM</v>
      </c>
      <c r="E70" s="5" t="str">
        <f>_xlfn.XLOOKUP(A70,[1]!DadosGHD[CD_GEOCMU],[1]!DadosGHD[MUNICIPIO])</f>
        <v>NOVO AIRAO</v>
      </c>
      <c r="F70" s="6">
        <v>28.832521438598601</v>
      </c>
      <c r="G70" s="6">
        <v>28.907878875732401</v>
      </c>
      <c r="H70" s="6">
        <v>28.942651748657202</v>
      </c>
      <c r="I70" s="6">
        <v>28.925045013427699</v>
      </c>
      <c r="J70" s="6">
        <v>28.9409065246582</v>
      </c>
      <c r="K70" s="6">
        <v>28.970029830932599</v>
      </c>
      <c r="L70" s="6">
        <v>57.582725524902301</v>
      </c>
    </row>
    <row r="71" spans="1:12" x14ac:dyDescent="0.25">
      <c r="A71">
        <v>3111150</v>
      </c>
      <c r="B71" t="str">
        <f t="shared" si="1"/>
        <v>CAMPO AZUL, MG, Brasil</v>
      </c>
      <c r="C71" s="4" t="str">
        <f>_xlfn.XLOOKUP(A71,[1]!DadosGHD[CD_GEOCMU],[1]!DadosGHD[Região])</f>
        <v>SD</v>
      </c>
      <c r="D71" s="4" t="str">
        <f>_xlfn.XLOOKUP(A71,[1]!DadosGHD[CD_GEOCMU],[1]!DadosGHD[uf])</f>
        <v>MG</v>
      </c>
      <c r="E71" s="5" t="str">
        <f>_xlfn.XLOOKUP(A71,[1]!DadosGHD[CD_GEOCMU],[1]!DadosGHD[MUNICIPIO])</f>
        <v>CAMPO AZUL</v>
      </c>
      <c r="F71" s="6">
        <v>28.832521438598601</v>
      </c>
      <c r="G71" s="6">
        <v>28.907878875732401</v>
      </c>
      <c r="H71" s="6">
        <v>28.942651748657202</v>
      </c>
      <c r="I71" s="6">
        <v>28.925045013427699</v>
      </c>
      <c r="J71" s="6">
        <v>28.9409065246582</v>
      </c>
      <c r="K71" s="6">
        <v>28.9686679840088</v>
      </c>
      <c r="L71" s="6">
        <v>26.2798957824707</v>
      </c>
    </row>
    <row r="72" spans="1:12" x14ac:dyDescent="0.25">
      <c r="A72">
        <v>2206357</v>
      </c>
      <c r="B72" t="str">
        <f t="shared" si="1"/>
        <v>MILTON BRANDAO, PI, Brasil</v>
      </c>
      <c r="C72" s="4" t="str">
        <f>_xlfn.XLOOKUP(A72,[1]!DadosGHD[CD_GEOCMU],[1]!DadosGHD[Região])</f>
        <v>NE</v>
      </c>
      <c r="D72" s="4" t="str">
        <f>_xlfn.XLOOKUP(A72,[1]!DadosGHD[CD_GEOCMU],[1]!DadosGHD[uf])</f>
        <v>PI</v>
      </c>
      <c r="E72" s="5" t="str">
        <f>_xlfn.XLOOKUP(A72,[1]!DadosGHD[CD_GEOCMU],[1]!DadosGHD[MUNICIPIO])</f>
        <v>MILTON BRANDAO</v>
      </c>
      <c r="F72" s="6">
        <v>28.832521438598601</v>
      </c>
      <c r="G72" s="6">
        <v>28.907878875732401</v>
      </c>
      <c r="H72" s="6">
        <v>28.942651748657202</v>
      </c>
      <c r="I72" s="6">
        <v>28.925045013427699</v>
      </c>
      <c r="J72" s="6">
        <v>28.9409065246582</v>
      </c>
      <c r="K72" s="6">
        <v>28.9686679840088</v>
      </c>
      <c r="L72" s="6">
        <v>26.2798957824707</v>
      </c>
    </row>
    <row r="73" spans="1:12" x14ac:dyDescent="0.25">
      <c r="A73">
        <v>2210631</v>
      </c>
      <c r="B73" t="str">
        <f t="shared" si="1"/>
        <v>SEBASTIAO LEAL, PI, Brasil</v>
      </c>
      <c r="C73" s="4" t="str">
        <f>_xlfn.XLOOKUP(A73,[1]!DadosGHD[CD_GEOCMU],[1]!DadosGHD[Região])</f>
        <v>NE</v>
      </c>
      <c r="D73" s="4" t="str">
        <f>_xlfn.XLOOKUP(A73,[1]!DadosGHD[CD_GEOCMU],[1]!DadosGHD[uf])</f>
        <v>PI</v>
      </c>
      <c r="E73" s="5" t="str">
        <f>_xlfn.XLOOKUP(A73,[1]!DadosGHD[CD_GEOCMU],[1]!DadosGHD[MUNICIPIO])</f>
        <v>SEBASTIAO LEAL</v>
      </c>
      <c r="F73" s="6">
        <v>28.832521438598601</v>
      </c>
      <c r="G73" s="6">
        <v>28.907878875732401</v>
      </c>
      <c r="H73" s="6">
        <v>28.942651748657202</v>
      </c>
      <c r="I73" s="6">
        <v>28.925045013427699</v>
      </c>
      <c r="J73" s="6">
        <v>28.9409065246582</v>
      </c>
      <c r="K73" s="6">
        <v>28.9686679840088</v>
      </c>
      <c r="L73" s="6">
        <v>26.289699554443398</v>
      </c>
    </row>
    <row r="74" spans="1:12" x14ac:dyDescent="0.25">
      <c r="A74">
        <v>2210623</v>
      </c>
      <c r="B74" t="str">
        <f t="shared" si="1"/>
        <v>SEBASTIAO BARROS, PI, Brasil</v>
      </c>
      <c r="C74" s="4" t="str">
        <f>_xlfn.XLOOKUP(A74,[1]!DadosGHD[CD_GEOCMU],[1]!DadosGHD[Região])</f>
        <v>NE</v>
      </c>
      <c r="D74" s="4" t="str">
        <f>_xlfn.XLOOKUP(A74,[1]!DadosGHD[CD_GEOCMU],[1]!DadosGHD[uf])</f>
        <v>PI</v>
      </c>
      <c r="E74" s="5" t="str">
        <f>_xlfn.XLOOKUP(A74,[1]!DadosGHD[CD_GEOCMU],[1]!DadosGHD[MUNICIPIO])</f>
        <v>SEBASTIAO BARROS</v>
      </c>
      <c r="F74" s="6">
        <v>28.832521438598601</v>
      </c>
      <c r="G74" s="6">
        <v>28.907878875732401</v>
      </c>
      <c r="H74" s="6">
        <v>28.942651748657202</v>
      </c>
      <c r="I74" s="6">
        <v>28.925045013427699</v>
      </c>
      <c r="J74" s="6">
        <v>28.9409065246582</v>
      </c>
      <c r="K74" s="6">
        <v>28.9686679840088</v>
      </c>
      <c r="L74" s="6">
        <v>26.2798957824707</v>
      </c>
    </row>
    <row r="75" spans="1:12" x14ac:dyDescent="0.25">
      <c r="A75">
        <v>2210391</v>
      </c>
      <c r="B75" t="str">
        <f t="shared" si="1"/>
        <v>SAO MIGUEL DO FIDALGO, PI, Brasil</v>
      </c>
      <c r="C75" s="4" t="str">
        <f>_xlfn.XLOOKUP(A75,[1]!DadosGHD[CD_GEOCMU],[1]!DadosGHD[Região])</f>
        <v>NE</v>
      </c>
      <c r="D75" s="4" t="str">
        <f>_xlfn.XLOOKUP(A75,[1]!DadosGHD[CD_GEOCMU],[1]!DadosGHD[uf])</f>
        <v>PI</v>
      </c>
      <c r="E75" s="5" t="str">
        <f>_xlfn.XLOOKUP(A75,[1]!DadosGHD[CD_GEOCMU],[1]!DadosGHD[MUNICIPIO])</f>
        <v>SAO MIGUEL DO FIDALGO</v>
      </c>
      <c r="F75" s="6">
        <v>28.832521438598601</v>
      </c>
      <c r="G75" s="6">
        <v>28.907878875732401</v>
      </c>
      <c r="H75" s="6">
        <v>28.942651748657202</v>
      </c>
      <c r="I75" s="6">
        <v>28.925045013427699</v>
      </c>
      <c r="J75" s="6">
        <v>28.9409065246582</v>
      </c>
      <c r="K75" s="6">
        <v>28.9686679840088</v>
      </c>
      <c r="L75" s="6">
        <v>26.2798957824707</v>
      </c>
    </row>
    <row r="76" spans="1:12" x14ac:dyDescent="0.25">
      <c r="A76">
        <v>3144201</v>
      </c>
      <c r="B76" t="str">
        <f t="shared" si="1"/>
        <v>NACIP RAYDAN, MG, Brasil</v>
      </c>
      <c r="C76" s="4" t="str">
        <f>_xlfn.XLOOKUP(A76,[1]!DadosGHD[CD_GEOCMU],[1]!DadosGHD[Região])</f>
        <v>SD</v>
      </c>
      <c r="D76" s="4" t="str">
        <f>_xlfn.XLOOKUP(A76,[1]!DadosGHD[CD_GEOCMU],[1]!DadosGHD[uf])</f>
        <v>MG</v>
      </c>
      <c r="E76" s="5" t="str">
        <f>_xlfn.XLOOKUP(A76,[1]!DadosGHD[CD_GEOCMU],[1]!DadosGHD[MUNICIPIO])</f>
        <v>NACIP RAYDAN</v>
      </c>
      <c r="F76" s="6">
        <v>28.832521438598601</v>
      </c>
      <c r="G76" s="6">
        <v>28.907878875732401</v>
      </c>
      <c r="H76" s="6">
        <v>28.942651748657202</v>
      </c>
      <c r="I76" s="6">
        <v>28.925045013427699</v>
      </c>
      <c r="J76" s="6">
        <v>28.9409065246582</v>
      </c>
      <c r="K76" s="6">
        <v>28.9686679840088</v>
      </c>
      <c r="L76" s="6">
        <v>30.702053070068398</v>
      </c>
    </row>
    <row r="77" spans="1:12" x14ac:dyDescent="0.25">
      <c r="A77">
        <v>2514453</v>
      </c>
      <c r="B77" t="str">
        <f t="shared" si="1"/>
        <v>SAO JOSE DOS RAMOS, PB, Brasil</v>
      </c>
      <c r="C77" s="4" t="str">
        <f>_xlfn.XLOOKUP(A77,[1]!DadosGHD[CD_GEOCMU],[1]!DadosGHD[Região])</f>
        <v>NE</v>
      </c>
      <c r="D77" s="4" t="str">
        <f>_xlfn.XLOOKUP(A77,[1]!DadosGHD[CD_GEOCMU],[1]!DadosGHD[uf])</f>
        <v>PB</v>
      </c>
      <c r="E77" s="5" t="str">
        <f>_xlfn.XLOOKUP(A77,[1]!DadosGHD[CD_GEOCMU],[1]!DadosGHD[MUNICIPIO])</f>
        <v>SAO JOSE DOS RAMOS</v>
      </c>
      <c r="F77" s="6">
        <v>28.832521438598601</v>
      </c>
      <c r="G77" s="6">
        <v>28.907878875732401</v>
      </c>
      <c r="H77" s="6">
        <v>28.942651748657202</v>
      </c>
      <c r="I77" s="6">
        <v>28.925045013427699</v>
      </c>
      <c r="J77" s="6">
        <v>28.9409065246582</v>
      </c>
      <c r="K77" s="6">
        <v>28.9686679840088</v>
      </c>
      <c r="L77" s="6">
        <v>26.291885375976602</v>
      </c>
    </row>
    <row r="78" spans="1:12" x14ac:dyDescent="0.25">
      <c r="A78">
        <v>2209450</v>
      </c>
      <c r="B78" t="str">
        <f t="shared" si="1"/>
        <v>SANTO ANTONIO DOS MILAGRES, PI, Brasil</v>
      </c>
      <c r="C78" s="4" t="str">
        <f>_xlfn.XLOOKUP(A78,[1]!DadosGHD[CD_GEOCMU],[1]!DadosGHD[Região])</f>
        <v>NE</v>
      </c>
      <c r="D78" s="4" t="str">
        <f>_xlfn.XLOOKUP(A78,[1]!DadosGHD[CD_GEOCMU],[1]!DadosGHD[uf])</f>
        <v>PI</v>
      </c>
      <c r="E78" s="5" t="str">
        <f>_xlfn.XLOOKUP(A78,[1]!DadosGHD[CD_GEOCMU],[1]!DadosGHD[MUNICIPIO])</f>
        <v>SANTO ANTONIO DOS MILAGRES</v>
      </c>
      <c r="F78" s="6">
        <v>28.832521438598601</v>
      </c>
      <c r="G78" s="6">
        <v>28.907878875732401</v>
      </c>
      <c r="H78" s="6">
        <v>28.942651748657202</v>
      </c>
      <c r="I78" s="6">
        <v>28.925045013427699</v>
      </c>
      <c r="J78" s="6">
        <v>28.9409065246582</v>
      </c>
      <c r="K78" s="6">
        <v>28.9686679840088</v>
      </c>
      <c r="L78" s="6">
        <v>26.294620513916001</v>
      </c>
    </row>
    <row r="79" spans="1:12" x14ac:dyDescent="0.25">
      <c r="A79">
        <v>1600253</v>
      </c>
      <c r="B79" t="str">
        <f t="shared" si="1"/>
        <v>ITAUBAL, AP, Brasil</v>
      </c>
      <c r="C79" s="4" t="str">
        <f>_xlfn.XLOOKUP(A79,[1]!DadosGHD[CD_GEOCMU],[1]!DadosGHD[Região])</f>
        <v>NO</v>
      </c>
      <c r="D79" s="4" t="str">
        <f>_xlfn.XLOOKUP(A79,[1]!DadosGHD[CD_GEOCMU],[1]!DadosGHD[uf])</f>
        <v>AP</v>
      </c>
      <c r="E79" s="5" t="str">
        <f>_xlfn.XLOOKUP(A79,[1]!DadosGHD[CD_GEOCMU],[1]!DadosGHD[MUNICIPIO])</f>
        <v>ITAUBAL</v>
      </c>
      <c r="F79" s="6">
        <v>28.832521438598601</v>
      </c>
      <c r="G79" s="6">
        <v>28.907878875732401</v>
      </c>
      <c r="H79" s="6">
        <v>28.942651748657202</v>
      </c>
      <c r="I79" s="6">
        <v>28.925045013427699</v>
      </c>
      <c r="J79" s="6">
        <v>28.9409065246582</v>
      </c>
      <c r="K79" s="6">
        <v>28.9686679840088</v>
      </c>
      <c r="L79" s="6">
        <v>30.685144424438501</v>
      </c>
    </row>
    <row r="80" spans="1:12" x14ac:dyDescent="0.25">
      <c r="A80">
        <v>2205854</v>
      </c>
      <c r="B80" t="str">
        <f t="shared" si="1"/>
        <v>MADEIRO, PI, Brasil</v>
      </c>
      <c r="C80" s="4" t="str">
        <f>_xlfn.XLOOKUP(A80,[1]!DadosGHD[CD_GEOCMU],[1]!DadosGHD[Região])</f>
        <v>NE</v>
      </c>
      <c r="D80" s="4" t="str">
        <f>_xlfn.XLOOKUP(A80,[1]!DadosGHD[CD_GEOCMU],[1]!DadosGHD[uf])</f>
        <v>PI</v>
      </c>
      <c r="E80" s="5" t="str">
        <f>_xlfn.XLOOKUP(A80,[1]!DadosGHD[CD_GEOCMU],[1]!DadosGHD[MUNICIPIO])</f>
        <v>MADEIRO</v>
      </c>
      <c r="F80" s="6">
        <v>28.832521438598601</v>
      </c>
      <c r="G80" s="6">
        <v>28.907878875732401</v>
      </c>
      <c r="H80" s="6">
        <v>28.942651748657202</v>
      </c>
      <c r="I80" s="6">
        <v>28.925045013427699</v>
      </c>
      <c r="J80" s="6">
        <v>28.9409065246582</v>
      </c>
      <c r="K80" s="6">
        <v>28.9686679840088</v>
      </c>
      <c r="L80" s="6">
        <v>26.2798957824707</v>
      </c>
    </row>
    <row r="81" spans="1:12" x14ac:dyDescent="0.25">
      <c r="A81">
        <v>2208551</v>
      </c>
      <c r="B81" t="str">
        <f t="shared" si="1"/>
        <v>PORTO ALEGRE DO PIAUI, PI, Brasil</v>
      </c>
      <c r="C81" s="4" t="str">
        <f>_xlfn.XLOOKUP(A81,[1]!DadosGHD[CD_GEOCMU],[1]!DadosGHD[Região])</f>
        <v>NE</v>
      </c>
      <c r="D81" s="4" t="str">
        <f>_xlfn.XLOOKUP(A81,[1]!DadosGHD[CD_GEOCMU],[1]!DadosGHD[uf])</f>
        <v>PI</v>
      </c>
      <c r="E81" s="5" t="str">
        <f>_xlfn.XLOOKUP(A81,[1]!DadosGHD[CD_GEOCMU],[1]!DadosGHD[MUNICIPIO])</f>
        <v>PORTO ALEGRE DO PIAUI</v>
      </c>
      <c r="F81" s="6">
        <v>28.832521438598601</v>
      </c>
      <c r="G81" s="6">
        <v>28.907878875732401</v>
      </c>
      <c r="H81" s="6">
        <v>28.942651748657202</v>
      </c>
      <c r="I81" s="6">
        <v>28.925045013427699</v>
      </c>
      <c r="J81" s="6">
        <v>28.9409065246582</v>
      </c>
      <c r="K81" s="6">
        <v>28.9686679840088</v>
      </c>
      <c r="L81" s="6">
        <v>26.2798957824707</v>
      </c>
    </row>
    <row r="82" spans="1:12" x14ac:dyDescent="0.25">
      <c r="A82">
        <v>2414704</v>
      </c>
      <c r="B82" t="str">
        <f t="shared" si="1"/>
        <v>VARZEA, RN, Brasil</v>
      </c>
      <c r="C82" s="4" t="str">
        <f>_xlfn.XLOOKUP(A82,[1]!DadosGHD[CD_GEOCMU],[1]!DadosGHD[Região])</f>
        <v>NE</v>
      </c>
      <c r="D82" s="4" t="str">
        <f>_xlfn.XLOOKUP(A82,[1]!DadosGHD[CD_GEOCMU],[1]!DadosGHD[uf])</f>
        <v>RN</v>
      </c>
      <c r="E82" s="5" t="str">
        <f>_xlfn.XLOOKUP(A82,[1]!DadosGHD[CD_GEOCMU],[1]!DadosGHD[MUNICIPIO])</f>
        <v>VARZEA</v>
      </c>
      <c r="F82" s="6">
        <v>28.832521438598601</v>
      </c>
      <c r="G82" s="6">
        <v>28.907878875732401</v>
      </c>
      <c r="H82" s="6">
        <v>28.942651748657202</v>
      </c>
      <c r="I82" s="6">
        <v>28.925045013427699</v>
      </c>
      <c r="J82" s="6">
        <v>33.835651397705099</v>
      </c>
      <c r="K82" s="6">
        <v>33.845455169677699</v>
      </c>
      <c r="L82" s="6">
        <v>35.145362854003899</v>
      </c>
    </row>
    <row r="83" spans="1:12" x14ac:dyDescent="0.25">
      <c r="A83">
        <v>2207793</v>
      </c>
      <c r="B83" t="str">
        <f t="shared" si="1"/>
        <v>PAU D'ARCO DO PIAUI, PI, Brasil</v>
      </c>
      <c r="C83" s="4" t="str">
        <f>_xlfn.XLOOKUP(A83,[1]!DadosGHD[CD_GEOCMU],[1]!DadosGHD[Região])</f>
        <v>NE</v>
      </c>
      <c r="D83" s="4" t="str">
        <f>_xlfn.XLOOKUP(A83,[1]!DadosGHD[CD_GEOCMU],[1]!DadosGHD[uf])</f>
        <v>PI</v>
      </c>
      <c r="E83" s="5" t="str">
        <f>_xlfn.XLOOKUP(A83,[1]!DadosGHD[CD_GEOCMU],[1]!DadosGHD[MUNICIPIO])</f>
        <v>PAU D'ARCO DO PIAUI</v>
      </c>
      <c r="F83" s="6">
        <v>28.832521438598601</v>
      </c>
      <c r="G83" s="6">
        <v>28.907878875732401</v>
      </c>
      <c r="H83" s="6">
        <v>28.942651748657202</v>
      </c>
      <c r="I83" s="6">
        <v>28.925045013427699</v>
      </c>
      <c r="J83" s="6">
        <v>28.9409065246582</v>
      </c>
      <c r="K83" s="6">
        <v>28.9686679840088</v>
      </c>
      <c r="L83" s="6">
        <v>26.2798957824707</v>
      </c>
    </row>
    <row r="84" spans="1:12" x14ac:dyDescent="0.25">
      <c r="A84">
        <v>2403756</v>
      </c>
      <c r="B84" t="str">
        <f t="shared" si="1"/>
        <v>FERNANDO PEDROZA, RN, Brasil</v>
      </c>
      <c r="C84" s="4" t="str">
        <f>_xlfn.XLOOKUP(A84,[1]!DadosGHD[CD_GEOCMU],[1]!DadosGHD[Região])</f>
        <v>NE</v>
      </c>
      <c r="D84" s="4" t="str">
        <f>_xlfn.XLOOKUP(A84,[1]!DadosGHD[CD_GEOCMU],[1]!DadosGHD[uf])</f>
        <v>RN</v>
      </c>
      <c r="E84" s="5" t="str">
        <f>_xlfn.XLOOKUP(A84,[1]!DadosGHD[CD_GEOCMU],[1]!DadosGHD[MUNICIPIO])</f>
        <v>FERNANDO PEDROZA</v>
      </c>
      <c r="F84" s="6">
        <v>28.832521438598601</v>
      </c>
      <c r="G84" s="6">
        <v>28.907878875732401</v>
      </c>
      <c r="H84" s="6">
        <v>28.942651748657202</v>
      </c>
      <c r="I84" s="6">
        <v>28.925045013427699</v>
      </c>
      <c r="J84" s="6">
        <v>28.9409065246582</v>
      </c>
      <c r="K84" s="6">
        <v>29.006330490112301</v>
      </c>
      <c r="L84" s="6">
        <v>30.687818527221701</v>
      </c>
    </row>
    <row r="85" spans="1:12" x14ac:dyDescent="0.25">
      <c r="A85">
        <v>2205359</v>
      </c>
      <c r="B85" t="str">
        <f t="shared" si="1"/>
        <v>JOAO COSTA, PI, Brasil</v>
      </c>
      <c r="C85" s="4" t="str">
        <f>_xlfn.XLOOKUP(A85,[1]!DadosGHD[CD_GEOCMU],[1]!DadosGHD[Região])</f>
        <v>NE</v>
      </c>
      <c r="D85" s="4" t="str">
        <f>_xlfn.XLOOKUP(A85,[1]!DadosGHD[CD_GEOCMU],[1]!DadosGHD[uf])</f>
        <v>PI</v>
      </c>
      <c r="E85" s="5" t="str">
        <f>_xlfn.XLOOKUP(A85,[1]!DadosGHD[CD_GEOCMU],[1]!DadosGHD[MUNICIPIO])</f>
        <v>JOAO COSTA</v>
      </c>
      <c r="F85" s="6">
        <v>28.832521438598601</v>
      </c>
      <c r="G85" s="6">
        <v>28.907878875732401</v>
      </c>
      <c r="H85" s="6">
        <v>28.942651748657202</v>
      </c>
      <c r="I85" s="6">
        <v>28.925045013427699</v>
      </c>
      <c r="J85" s="6">
        <v>28.9409065246582</v>
      </c>
      <c r="K85" s="6">
        <v>28.9686679840088</v>
      </c>
      <c r="L85" s="6">
        <v>26.2798957824707</v>
      </c>
    </row>
    <row r="86" spans="1:12" x14ac:dyDescent="0.25">
      <c r="A86">
        <v>3146602</v>
      </c>
      <c r="B86" t="str">
        <f t="shared" si="1"/>
        <v>PAIVA, MG, Brasil</v>
      </c>
      <c r="C86" s="4" t="str">
        <f>_xlfn.XLOOKUP(A86,[1]!DadosGHD[CD_GEOCMU],[1]!DadosGHD[Região])</f>
        <v>SD</v>
      </c>
      <c r="D86" s="4" t="str">
        <f>_xlfn.XLOOKUP(A86,[1]!DadosGHD[CD_GEOCMU],[1]!DadosGHD[uf])</f>
        <v>MG</v>
      </c>
      <c r="E86" s="5" t="str">
        <f>_xlfn.XLOOKUP(A86,[1]!DadosGHD[CD_GEOCMU],[1]!DadosGHD[MUNICIPIO])</f>
        <v>PAIVA</v>
      </c>
      <c r="F86" s="6">
        <v>28.832521438598601</v>
      </c>
      <c r="G86" s="6">
        <v>28.907878875732401</v>
      </c>
      <c r="H86" s="6">
        <v>28.944971084594702</v>
      </c>
      <c r="I86" s="6">
        <v>33.789989471435597</v>
      </c>
      <c r="J86" s="6">
        <v>28.976953506469702</v>
      </c>
      <c r="K86" s="6">
        <v>29.0012722015381</v>
      </c>
      <c r="L86" s="6">
        <v>30.6844997406006</v>
      </c>
    </row>
    <row r="87" spans="1:12" x14ac:dyDescent="0.25">
      <c r="A87">
        <v>2512788</v>
      </c>
      <c r="B87" t="str">
        <f t="shared" si="1"/>
        <v>RIACHO DE SANTO ANTONIO, PB, Brasil</v>
      </c>
      <c r="C87" s="4" t="str">
        <f>_xlfn.XLOOKUP(A87,[1]!DadosGHD[CD_GEOCMU],[1]!DadosGHD[Região])</f>
        <v>NE</v>
      </c>
      <c r="D87" s="4" t="str">
        <f>_xlfn.XLOOKUP(A87,[1]!DadosGHD[CD_GEOCMU],[1]!DadosGHD[uf])</f>
        <v>PB</v>
      </c>
      <c r="E87" s="5" t="str">
        <f>_xlfn.XLOOKUP(A87,[1]!DadosGHD[CD_GEOCMU],[1]!DadosGHD[MUNICIPIO])</f>
        <v>RIACHO DE SANTO ANTONIO</v>
      </c>
      <c r="F87" s="6">
        <v>28.832521438598601</v>
      </c>
      <c r="G87" s="6">
        <v>28.907878875732401</v>
      </c>
      <c r="H87" s="6">
        <v>28.942651748657202</v>
      </c>
      <c r="I87" s="6">
        <v>28.925045013427699</v>
      </c>
      <c r="J87" s="6">
        <v>28.9409065246582</v>
      </c>
      <c r="K87" s="6">
        <v>28.9686679840088</v>
      </c>
      <c r="L87" s="6">
        <v>30.700883865356399</v>
      </c>
    </row>
    <row r="88" spans="1:12" x14ac:dyDescent="0.25">
      <c r="A88">
        <v>2508554</v>
      </c>
      <c r="B88" t="str">
        <f t="shared" si="1"/>
        <v>LOGRADOURO, PB, Brasil</v>
      </c>
      <c r="C88" s="4" t="str">
        <f>_xlfn.XLOOKUP(A88,[1]!DadosGHD[CD_GEOCMU],[1]!DadosGHD[Região])</f>
        <v>NE</v>
      </c>
      <c r="D88" s="4" t="str">
        <f>_xlfn.XLOOKUP(A88,[1]!DadosGHD[CD_GEOCMU],[1]!DadosGHD[uf])</f>
        <v>PB</v>
      </c>
      <c r="E88" s="5" t="str">
        <f>_xlfn.XLOOKUP(A88,[1]!DadosGHD[CD_GEOCMU],[1]!DadosGHD[MUNICIPIO])</f>
        <v>LOGRADOURO</v>
      </c>
      <c r="F88" s="6">
        <v>28.832521438598601</v>
      </c>
      <c r="G88" s="6">
        <v>28.907878875732401</v>
      </c>
      <c r="H88" s="6">
        <v>28.942651748657202</v>
      </c>
      <c r="I88" s="6">
        <v>28.925045013427699</v>
      </c>
      <c r="J88" s="6">
        <v>28.9409065246582</v>
      </c>
      <c r="K88" s="6">
        <v>28.9686679840088</v>
      </c>
      <c r="L88" s="6">
        <v>26.2798957824707</v>
      </c>
    </row>
    <row r="89" spans="1:12" x14ac:dyDescent="0.25">
      <c r="A89">
        <v>2106359</v>
      </c>
      <c r="B89" t="str">
        <f t="shared" si="1"/>
        <v>MARAJA DO SENA, MA, Brasil</v>
      </c>
      <c r="C89" s="4" t="str">
        <f>_xlfn.XLOOKUP(A89,[1]!DadosGHD[CD_GEOCMU],[1]!DadosGHD[Região])</f>
        <v>NE</v>
      </c>
      <c r="D89" s="4" t="str">
        <f>_xlfn.XLOOKUP(A89,[1]!DadosGHD[CD_GEOCMU],[1]!DadosGHD[uf])</f>
        <v>MA</v>
      </c>
      <c r="E89" s="5" t="str">
        <f>_xlfn.XLOOKUP(A89,[1]!DadosGHD[CD_GEOCMU],[1]!DadosGHD[MUNICIPIO])</f>
        <v>MARAJA DO SENA</v>
      </c>
      <c r="F89" s="6">
        <v>28.832521438598601</v>
      </c>
      <c r="G89" s="6">
        <v>28.907878875732401</v>
      </c>
      <c r="H89" s="6">
        <v>28.942651748657202</v>
      </c>
      <c r="I89" s="6">
        <v>28.925045013427699</v>
      </c>
      <c r="J89" s="6">
        <v>28.9409065246582</v>
      </c>
      <c r="K89" s="6">
        <v>28.9686679840088</v>
      </c>
      <c r="L89" s="6">
        <v>26.2798957824707</v>
      </c>
    </row>
    <row r="90" spans="1:12" x14ac:dyDescent="0.25">
      <c r="A90">
        <v>1721257</v>
      </c>
      <c r="B90" t="str">
        <f t="shared" si="1"/>
        <v>TUPIRAMA, TO, Brasil</v>
      </c>
      <c r="C90" s="4" t="str">
        <f>_xlfn.XLOOKUP(A90,[1]!DadosGHD[CD_GEOCMU],[1]!DadosGHD[Região])</f>
        <v>NO</v>
      </c>
      <c r="D90" s="4" t="str">
        <f>_xlfn.XLOOKUP(A90,[1]!DadosGHD[CD_GEOCMU],[1]!DadosGHD[uf])</f>
        <v>TO</v>
      </c>
      <c r="E90" s="5" t="str">
        <f>_xlfn.XLOOKUP(A90,[1]!DadosGHD[CD_GEOCMU],[1]!DadosGHD[MUNICIPIO])</f>
        <v>TUPIRAMA</v>
      </c>
      <c r="F90" s="6">
        <v>28.832521438598601</v>
      </c>
      <c r="G90" s="6">
        <v>28.907878875732401</v>
      </c>
      <c r="H90" s="6">
        <v>28.974441528320298</v>
      </c>
      <c r="I90" s="6">
        <v>28.936481475830099</v>
      </c>
      <c r="J90" s="6">
        <v>28.954311370849599</v>
      </c>
      <c r="K90" s="6">
        <v>28.969511032104499</v>
      </c>
      <c r="L90" s="6">
        <v>30.706413269043001</v>
      </c>
    </row>
    <row r="91" spans="1:12" x14ac:dyDescent="0.25">
      <c r="A91">
        <v>2503753</v>
      </c>
      <c r="B91" t="str">
        <f t="shared" si="1"/>
        <v>CAJAZEIRINHAS, PB, Brasil</v>
      </c>
      <c r="C91" s="4" t="str">
        <f>_xlfn.XLOOKUP(A91,[1]!DadosGHD[CD_GEOCMU],[1]!DadosGHD[Região])</f>
        <v>NE</v>
      </c>
      <c r="D91" s="4" t="str">
        <f>_xlfn.XLOOKUP(A91,[1]!DadosGHD[CD_GEOCMU],[1]!DadosGHD[uf])</f>
        <v>PB</v>
      </c>
      <c r="E91" s="5" t="str">
        <f>_xlfn.XLOOKUP(A91,[1]!DadosGHD[CD_GEOCMU],[1]!DadosGHD[MUNICIPIO])</f>
        <v>CAJAZEIRINHAS</v>
      </c>
      <c r="F91" s="6">
        <v>28.832521438598601</v>
      </c>
      <c r="G91" s="6">
        <v>28.907878875732401</v>
      </c>
      <c r="H91" s="6">
        <v>28.942651748657202</v>
      </c>
      <c r="I91" s="6">
        <v>28.925045013427699</v>
      </c>
      <c r="J91" s="6">
        <v>28.9409065246582</v>
      </c>
      <c r="K91" s="6">
        <v>28.9686679840088</v>
      </c>
      <c r="L91" s="6">
        <v>26.288326263427699</v>
      </c>
    </row>
    <row r="92" spans="1:12" x14ac:dyDescent="0.25">
      <c r="A92">
        <v>2403905</v>
      </c>
      <c r="B92" t="str">
        <f t="shared" si="1"/>
        <v>FRANCISCO DANTAS, RN, Brasil</v>
      </c>
      <c r="C92" s="4" t="str">
        <f>_xlfn.XLOOKUP(A92,[1]!DadosGHD[CD_GEOCMU],[1]!DadosGHD[Região])</f>
        <v>NE</v>
      </c>
      <c r="D92" s="4" t="str">
        <f>_xlfn.XLOOKUP(A92,[1]!DadosGHD[CD_GEOCMU],[1]!DadosGHD[uf])</f>
        <v>RN</v>
      </c>
      <c r="E92" s="5" t="str">
        <f>_xlfn.XLOOKUP(A92,[1]!DadosGHD[CD_GEOCMU],[1]!DadosGHD[MUNICIPIO])</f>
        <v>FRANCISCO DANTAS</v>
      </c>
      <c r="F92" s="6">
        <v>28.832521438598601</v>
      </c>
      <c r="G92" s="6">
        <v>28.9288215637207</v>
      </c>
      <c r="H92" s="6">
        <v>33.870822906494098</v>
      </c>
      <c r="I92" s="6">
        <v>28.9439392089844</v>
      </c>
      <c r="J92" s="6">
        <v>28.955816268920898</v>
      </c>
      <c r="K92" s="6">
        <v>33.867263793945298</v>
      </c>
      <c r="L92" s="6">
        <v>44.025341033935597</v>
      </c>
    </row>
    <row r="93" spans="1:12" x14ac:dyDescent="0.25">
      <c r="A93">
        <v>2208601</v>
      </c>
      <c r="B93" t="str">
        <f t="shared" si="1"/>
        <v>PRATA DO PIAUI, PI, Brasil</v>
      </c>
      <c r="C93" s="4" t="str">
        <f>_xlfn.XLOOKUP(A93,[1]!DadosGHD[CD_GEOCMU],[1]!DadosGHD[Região])</f>
        <v>NE</v>
      </c>
      <c r="D93" s="4" t="str">
        <f>_xlfn.XLOOKUP(A93,[1]!DadosGHD[CD_GEOCMU],[1]!DadosGHD[uf])</f>
        <v>PI</v>
      </c>
      <c r="E93" s="5" t="str">
        <f>_xlfn.XLOOKUP(A93,[1]!DadosGHD[CD_GEOCMU],[1]!DadosGHD[MUNICIPIO])</f>
        <v>PRATA DO PIAUI</v>
      </c>
      <c r="F93" s="6">
        <v>28.832521438598601</v>
      </c>
      <c r="G93" s="6">
        <v>28.907878875732401</v>
      </c>
      <c r="H93" s="6">
        <v>28.942651748657202</v>
      </c>
      <c r="I93" s="6">
        <v>28.925045013427699</v>
      </c>
      <c r="J93" s="6">
        <v>28.9409065246582</v>
      </c>
      <c r="K93" s="6">
        <v>28.9686679840088</v>
      </c>
      <c r="L93" s="6">
        <v>26.2798957824707</v>
      </c>
    </row>
    <row r="94" spans="1:12" x14ac:dyDescent="0.25">
      <c r="A94">
        <v>1101476</v>
      </c>
      <c r="B94" t="str">
        <f t="shared" si="1"/>
        <v>PRIMAVERA DE RONDONIA, RO, Brasil</v>
      </c>
      <c r="C94" s="4" t="str">
        <f>_xlfn.XLOOKUP(A94,[1]!DadosGHD[CD_GEOCMU],[1]!DadosGHD[Região])</f>
        <v>NO</v>
      </c>
      <c r="D94" s="4" t="str">
        <f>_xlfn.XLOOKUP(A94,[1]!DadosGHD[CD_GEOCMU],[1]!DadosGHD[uf])</f>
        <v>RO</v>
      </c>
      <c r="E94" s="5" t="str">
        <f>_xlfn.XLOOKUP(A94,[1]!DadosGHD[CD_GEOCMU],[1]!DadosGHD[MUNICIPIO])</f>
        <v>PRIMAVERA DE RONDONIA</v>
      </c>
      <c r="F94" s="6">
        <v>28.832521438598601</v>
      </c>
      <c r="G94" s="6">
        <v>38.720378875732401</v>
      </c>
      <c r="H94" s="6">
        <v>38.814094543457003</v>
      </c>
      <c r="I94" s="6">
        <v>38.775115966796903</v>
      </c>
      <c r="J94" s="6">
        <v>38.793582916259801</v>
      </c>
      <c r="K94" s="6">
        <v>38.860160827636697</v>
      </c>
      <c r="L94" s="6">
        <v>39.587570190429702</v>
      </c>
    </row>
    <row r="95" spans="1:12" x14ac:dyDescent="0.25">
      <c r="A95">
        <v>2919009</v>
      </c>
      <c r="B95" t="str">
        <f t="shared" si="1"/>
        <v>LAJEDINHO, BA, Brasil</v>
      </c>
      <c r="C95" s="4" t="str">
        <f>_xlfn.XLOOKUP(A95,[1]!DadosGHD[CD_GEOCMU],[1]!DadosGHD[Região])</f>
        <v>NE</v>
      </c>
      <c r="D95" s="4" t="str">
        <f>_xlfn.XLOOKUP(A95,[1]!DadosGHD[CD_GEOCMU],[1]!DadosGHD[uf])</f>
        <v>BA</v>
      </c>
      <c r="E95" s="5" t="str">
        <f>_xlfn.XLOOKUP(A95,[1]!DadosGHD[CD_GEOCMU],[1]!DadosGHD[MUNICIPIO])</f>
        <v>LAJEDINHO</v>
      </c>
      <c r="F95" s="6">
        <v>28.832521438598601</v>
      </c>
      <c r="G95" s="6">
        <v>28.907878875732401</v>
      </c>
      <c r="H95" s="6">
        <v>28.942651748657202</v>
      </c>
      <c r="I95" s="6">
        <v>28.925045013427699</v>
      </c>
      <c r="J95" s="6">
        <v>28.9409065246582</v>
      </c>
      <c r="K95" s="6">
        <v>28.9686679840088</v>
      </c>
      <c r="L95" s="6">
        <v>26.2798957824707</v>
      </c>
    </row>
    <row r="96" spans="1:12" x14ac:dyDescent="0.25">
      <c r="A96">
        <v>1101450</v>
      </c>
      <c r="B96" t="str">
        <f t="shared" si="1"/>
        <v>PARECIS, RO, Brasil</v>
      </c>
      <c r="C96" s="4" t="str">
        <f>_xlfn.XLOOKUP(A96,[1]!DadosGHD[CD_GEOCMU],[1]!DadosGHD[Região])</f>
        <v>NO</v>
      </c>
      <c r="D96" s="4" t="str">
        <f>_xlfn.XLOOKUP(A96,[1]!DadosGHD[CD_GEOCMU],[1]!DadosGHD[uf])</f>
        <v>RO</v>
      </c>
      <c r="E96" s="5" t="str">
        <f>_xlfn.XLOOKUP(A96,[1]!DadosGHD[CD_GEOCMU],[1]!DadosGHD[MUNICIPIO])</f>
        <v>PARECIS</v>
      </c>
      <c r="F96" s="6">
        <v>28.832521438598601</v>
      </c>
      <c r="G96" s="6">
        <v>33.773818969726598</v>
      </c>
      <c r="H96" s="6">
        <v>33.829330444335902</v>
      </c>
      <c r="I96" s="6">
        <v>38.717811584472699</v>
      </c>
      <c r="J96" s="6">
        <v>33.8810424804688</v>
      </c>
      <c r="K96" s="6">
        <v>33.847396850585902</v>
      </c>
      <c r="L96" s="6">
        <v>30.714767456054702</v>
      </c>
    </row>
    <row r="97" spans="1:12" x14ac:dyDescent="0.25">
      <c r="A97">
        <v>2200277</v>
      </c>
      <c r="B97" t="str">
        <f t="shared" si="1"/>
        <v>ALEGRETE DO PIAUI, PI, Brasil</v>
      </c>
      <c r="C97" s="4" t="str">
        <f>_xlfn.XLOOKUP(A97,[1]!DadosGHD[CD_GEOCMU],[1]!DadosGHD[Região])</f>
        <v>NE</v>
      </c>
      <c r="D97" s="4" t="str">
        <f>_xlfn.XLOOKUP(A97,[1]!DadosGHD[CD_GEOCMU],[1]!DadosGHD[uf])</f>
        <v>PI</v>
      </c>
      <c r="E97" s="5" t="str">
        <f>_xlfn.XLOOKUP(A97,[1]!DadosGHD[CD_GEOCMU],[1]!DadosGHD[MUNICIPIO])</f>
        <v>ALEGRETE DO PIAUI</v>
      </c>
      <c r="F97" s="6">
        <v>28.832521438598601</v>
      </c>
      <c r="G97" s="6">
        <v>28.907878875732401</v>
      </c>
      <c r="H97" s="6">
        <v>28.942651748657202</v>
      </c>
      <c r="I97" s="6">
        <v>28.925045013427699</v>
      </c>
      <c r="J97" s="6">
        <v>28.9409065246582</v>
      </c>
      <c r="K97" s="6">
        <v>28.9686679840088</v>
      </c>
      <c r="L97" s="6">
        <v>26.2798957824707</v>
      </c>
    </row>
    <row r="98" spans="1:12" x14ac:dyDescent="0.25">
      <c r="A98">
        <v>2511004</v>
      </c>
      <c r="B98" t="str">
        <f t="shared" si="1"/>
        <v>PEDRA BRANCA, PB, Brasil</v>
      </c>
      <c r="C98" s="4" t="str">
        <f>_xlfn.XLOOKUP(A98,[1]!DadosGHD[CD_GEOCMU],[1]!DadosGHD[Região])</f>
        <v>NE</v>
      </c>
      <c r="D98" s="4" t="str">
        <f>_xlfn.XLOOKUP(A98,[1]!DadosGHD[CD_GEOCMU],[1]!DadosGHD[uf])</f>
        <v>PB</v>
      </c>
      <c r="E98" s="5" t="str">
        <f>_xlfn.XLOOKUP(A98,[1]!DadosGHD[CD_GEOCMU],[1]!DadosGHD[MUNICIPIO])</f>
        <v>PEDRA BRANCA</v>
      </c>
      <c r="F98" s="6">
        <v>28.832521438598601</v>
      </c>
      <c r="G98" s="6">
        <v>28.907878875732401</v>
      </c>
      <c r="H98" s="6">
        <v>28.962244033813501</v>
      </c>
      <c r="I98" s="6">
        <v>28.9610919952393</v>
      </c>
      <c r="J98" s="6">
        <v>28.962848663330099</v>
      </c>
      <c r="K98" s="6">
        <v>28.997938156127901</v>
      </c>
      <c r="L98" s="6">
        <v>35.119125366210902</v>
      </c>
    </row>
    <row r="99" spans="1:12" x14ac:dyDescent="0.25">
      <c r="A99">
        <v>1505809</v>
      </c>
      <c r="B99" t="str">
        <f t="shared" si="1"/>
        <v>PORTEL, PA, Brasil</v>
      </c>
      <c r="C99" s="4" t="str">
        <f>_xlfn.XLOOKUP(A99,[1]!DadosGHD[CD_GEOCMU],[1]!DadosGHD[Região])</f>
        <v>NO</v>
      </c>
      <c r="D99" s="4" t="str">
        <f>_xlfn.XLOOKUP(A99,[1]!DadosGHD[CD_GEOCMU],[1]!DadosGHD[uf])</f>
        <v>PA</v>
      </c>
      <c r="E99" s="5" t="str">
        <f>_xlfn.XLOOKUP(A99,[1]!DadosGHD[CD_GEOCMU],[1]!DadosGHD[MUNICIPIO])</f>
        <v>PORTEL</v>
      </c>
      <c r="F99" s="6">
        <v>28.832521438598601</v>
      </c>
      <c r="G99" s="6">
        <v>28.907878875732401</v>
      </c>
      <c r="H99" s="6">
        <v>28.942651748657202</v>
      </c>
      <c r="I99" s="6">
        <v>28.925045013427699</v>
      </c>
      <c r="J99" s="6">
        <v>28.9409065246582</v>
      </c>
      <c r="K99" s="6">
        <v>28.9686679840088</v>
      </c>
      <c r="L99" s="6">
        <v>26.2798957824707</v>
      </c>
    </row>
    <row r="100" spans="1:12" x14ac:dyDescent="0.25">
      <c r="A100">
        <v>2505303</v>
      </c>
      <c r="B100" t="str">
        <f t="shared" si="1"/>
        <v>CURRAL VELHO, PB, Brasil</v>
      </c>
      <c r="C100" s="4" t="str">
        <f>_xlfn.XLOOKUP(A100,[1]!DadosGHD[CD_GEOCMU],[1]!DadosGHD[Região])</f>
        <v>NE</v>
      </c>
      <c r="D100" s="4" t="str">
        <f>_xlfn.XLOOKUP(A100,[1]!DadosGHD[CD_GEOCMU],[1]!DadosGHD[uf])</f>
        <v>PB</v>
      </c>
      <c r="E100" s="5" t="str">
        <f>_xlfn.XLOOKUP(A100,[1]!DadosGHD[CD_GEOCMU],[1]!DadosGHD[MUNICIPIO])</f>
        <v>CURRAL VELHO</v>
      </c>
      <c r="F100" s="6">
        <v>28.832521438598601</v>
      </c>
      <c r="G100" s="6">
        <v>28.907878875732401</v>
      </c>
      <c r="H100" s="6">
        <v>28.942651748657202</v>
      </c>
      <c r="I100" s="6">
        <v>28.927549362182599</v>
      </c>
      <c r="J100" s="6">
        <v>28.947605133056602</v>
      </c>
      <c r="K100" s="6">
        <v>28.979694366455099</v>
      </c>
      <c r="L100" s="6">
        <v>26.2994785308838</v>
      </c>
    </row>
    <row r="101" spans="1:12" x14ac:dyDescent="0.25">
      <c r="A101">
        <v>2101939</v>
      </c>
      <c r="B101" t="str">
        <f t="shared" si="1"/>
        <v>BERNARDO DO MEARIM, MA, Brasil</v>
      </c>
      <c r="C101" s="4" t="str">
        <f>_xlfn.XLOOKUP(A101,[1]!DadosGHD[CD_GEOCMU],[1]!DadosGHD[Região])</f>
        <v>NE</v>
      </c>
      <c r="D101" s="4" t="str">
        <f>_xlfn.XLOOKUP(A101,[1]!DadosGHD[CD_GEOCMU],[1]!DadosGHD[uf])</f>
        <v>MA</v>
      </c>
      <c r="E101" s="5" t="str">
        <f>_xlfn.XLOOKUP(A101,[1]!DadosGHD[CD_GEOCMU],[1]!DadosGHD[MUNICIPIO])</f>
        <v>BERNARDO DO MEARIM</v>
      </c>
      <c r="F101" s="6">
        <v>28.832521438598601</v>
      </c>
      <c r="G101" s="6">
        <v>28.907878875732401</v>
      </c>
      <c r="H101" s="6">
        <v>28.942651748657202</v>
      </c>
      <c r="I101" s="6">
        <v>28.925045013427699</v>
      </c>
      <c r="J101" s="6">
        <v>28.9409065246582</v>
      </c>
      <c r="K101" s="6">
        <v>28.9686679840088</v>
      </c>
      <c r="L101" s="6">
        <v>26.2798957824707</v>
      </c>
    </row>
    <row r="102" spans="1:12" x14ac:dyDescent="0.25">
      <c r="A102">
        <v>2504108</v>
      </c>
      <c r="B102" t="str">
        <f t="shared" si="1"/>
        <v>CARRAPATEIRA, PB, Brasil</v>
      </c>
      <c r="C102" s="4" t="str">
        <f>_xlfn.XLOOKUP(A102,[1]!DadosGHD[CD_GEOCMU],[1]!DadosGHD[Região])</f>
        <v>NE</v>
      </c>
      <c r="D102" s="4" t="str">
        <f>_xlfn.XLOOKUP(A102,[1]!DadosGHD[CD_GEOCMU],[1]!DadosGHD[uf])</f>
        <v>PB</v>
      </c>
      <c r="E102" s="5" t="str">
        <f>_xlfn.XLOOKUP(A102,[1]!DadosGHD[CD_GEOCMU],[1]!DadosGHD[MUNICIPIO])</f>
        <v>CARRAPATEIRA</v>
      </c>
      <c r="F102" s="6">
        <v>28.832521438598601</v>
      </c>
      <c r="G102" s="6">
        <v>28.911806106567401</v>
      </c>
      <c r="H102" s="6">
        <v>28.942651748657202</v>
      </c>
      <c r="I102" s="6">
        <v>28.925045013427699</v>
      </c>
      <c r="J102" s="6">
        <v>28.9409065246582</v>
      </c>
      <c r="K102" s="6">
        <v>28.9686679840088</v>
      </c>
      <c r="L102" s="6">
        <v>30.6977844238281</v>
      </c>
    </row>
    <row r="103" spans="1:12" x14ac:dyDescent="0.25">
      <c r="A103">
        <v>1301803</v>
      </c>
      <c r="B103" t="str">
        <f t="shared" si="1"/>
        <v>IPIXUNA, AM, Brasil</v>
      </c>
      <c r="C103" s="4" t="str">
        <f>_xlfn.XLOOKUP(A103,[1]!DadosGHD[CD_GEOCMU],[1]!DadosGHD[Região])</f>
        <v>NO</v>
      </c>
      <c r="D103" s="4" t="str">
        <f>_xlfn.XLOOKUP(A103,[1]!DadosGHD[CD_GEOCMU],[1]!DadosGHD[uf])</f>
        <v>AM</v>
      </c>
      <c r="E103" s="5" t="str">
        <f>_xlfn.XLOOKUP(A103,[1]!DadosGHD[CD_GEOCMU],[1]!DadosGHD[MUNICIPIO])</f>
        <v>IPIXUNA</v>
      </c>
      <c r="F103" s="6">
        <v>28.832521438598601</v>
      </c>
      <c r="G103" s="6">
        <v>28.907878875732401</v>
      </c>
      <c r="H103" s="6">
        <v>28.942651748657202</v>
      </c>
      <c r="I103" s="6">
        <v>28.925045013427699</v>
      </c>
      <c r="J103" s="6">
        <v>28.9409065246582</v>
      </c>
      <c r="K103" s="6">
        <v>28.9686679840088</v>
      </c>
      <c r="L103" s="6">
        <v>26.2798957824707</v>
      </c>
    </row>
    <row r="104" spans="1:12" x14ac:dyDescent="0.25">
      <c r="A104">
        <v>2205532</v>
      </c>
      <c r="B104" t="str">
        <f t="shared" si="1"/>
        <v>JUREMA, PI, Brasil</v>
      </c>
      <c r="C104" s="4" t="str">
        <f>_xlfn.XLOOKUP(A104,[1]!DadosGHD[CD_GEOCMU],[1]!DadosGHD[Região])</f>
        <v>NE</v>
      </c>
      <c r="D104" s="4" t="str">
        <f>_xlfn.XLOOKUP(A104,[1]!DadosGHD[CD_GEOCMU],[1]!DadosGHD[uf])</f>
        <v>PI</v>
      </c>
      <c r="E104" s="5" t="str">
        <f>_xlfn.XLOOKUP(A104,[1]!DadosGHD[CD_GEOCMU],[1]!DadosGHD[MUNICIPIO])</f>
        <v>JUREMA</v>
      </c>
      <c r="F104" s="6">
        <v>28.832521438598601</v>
      </c>
      <c r="G104" s="6">
        <v>28.907878875732401</v>
      </c>
      <c r="H104" s="6">
        <v>28.942651748657202</v>
      </c>
      <c r="I104" s="6">
        <v>28.925045013427699</v>
      </c>
      <c r="J104" s="6">
        <v>28.9409065246582</v>
      </c>
      <c r="K104" s="6">
        <v>28.9686679840088</v>
      </c>
      <c r="L104" s="6">
        <v>26.2798957824707</v>
      </c>
    </row>
    <row r="105" spans="1:12" x14ac:dyDescent="0.25">
      <c r="A105">
        <v>2504850</v>
      </c>
      <c r="B105" t="str">
        <f t="shared" si="1"/>
        <v>COXIXOLA, PB, Brasil</v>
      </c>
      <c r="C105" s="4" t="str">
        <f>_xlfn.XLOOKUP(A105,[1]!DadosGHD[CD_GEOCMU],[1]!DadosGHD[Região])</f>
        <v>NE</v>
      </c>
      <c r="D105" s="4" t="str">
        <f>_xlfn.XLOOKUP(A105,[1]!DadosGHD[CD_GEOCMU],[1]!DadosGHD[uf])</f>
        <v>PB</v>
      </c>
      <c r="E105" s="5" t="str">
        <f>_xlfn.XLOOKUP(A105,[1]!DadosGHD[CD_GEOCMU],[1]!DadosGHD[MUNICIPIO])</f>
        <v>COXIXOLA</v>
      </c>
      <c r="F105" s="6">
        <v>28.832521438598601</v>
      </c>
      <c r="G105" s="6">
        <v>28.907878875732401</v>
      </c>
      <c r="H105" s="6">
        <v>28.942651748657202</v>
      </c>
      <c r="I105" s="6">
        <v>28.925045013427699</v>
      </c>
      <c r="J105" s="6">
        <v>28.9409065246582</v>
      </c>
      <c r="K105" s="6">
        <v>28.9686679840088</v>
      </c>
      <c r="L105" s="6">
        <v>26.2798957824707</v>
      </c>
    </row>
    <row r="106" spans="1:12" x14ac:dyDescent="0.25">
      <c r="A106">
        <v>2201988</v>
      </c>
      <c r="B106" t="str">
        <f t="shared" si="1"/>
        <v>BREJO DO PIAUI, PI, Brasil</v>
      </c>
      <c r="C106" s="4" t="str">
        <f>_xlfn.XLOOKUP(A106,[1]!DadosGHD[CD_GEOCMU],[1]!DadosGHD[Região])</f>
        <v>NE</v>
      </c>
      <c r="D106" s="4" t="str">
        <f>_xlfn.XLOOKUP(A106,[1]!DadosGHD[CD_GEOCMU],[1]!DadosGHD[uf])</f>
        <v>PI</v>
      </c>
      <c r="E106" s="5" t="str">
        <f>_xlfn.XLOOKUP(A106,[1]!DadosGHD[CD_GEOCMU],[1]!DadosGHD[MUNICIPIO])</f>
        <v>BREJO DO PIAUI</v>
      </c>
      <c r="F106" s="6">
        <v>28.832521438598601</v>
      </c>
      <c r="G106" s="6">
        <v>28.907878875732401</v>
      </c>
      <c r="H106" s="6">
        <v>28.942651748657202</v>
      </c>
      <c r="I106" s="6">
        <v>28.925045013427699</v>
      </c>
      <c r="J106" s="6">
        <v>28.9409065246582</v>
      </c>
      <c r="K106" s="6">
        <v>28.9686679840088</v>
      </c>
      <c r="L106" s="6">
        <v>26.2798957824707</v>
      </c>
    </row>
    <row r="107" spans="1:12" x14ac:dyDescent="0.25">
      <c r="A107">
        <v>2512077</v>
      </c>
      <c r="B107" t="str">
        <f t="shared" si="1"/>
        <v>POCO DE JOSE DE MOURA, PB, Brasil</v>
      </c>
      <c r="C107" s="4" t="str">
        <f>_xlfn.XLOOKUP(A107,[1]!DadosGHD[CD_GEOCMU],[1]!DadosGHD[Região])</f>
        <v>NE</v>
      </c>
      <c r="D107" s="4" t="str">
        <f>_xlfn.XLOOKUP(A107,[1]!DadosGHD[CD_GEOCMU],[1]!DadosGHD[uf])</f>
        <v>PB</v>
      </c>
      <c r="E107" s="5" t="str">
        <f>_xlfn.XLOOKUP(A107,[1]!DadosGHD[CD_GEOCMU],[1]!DadosGHD[MUNICIPIO])</f>
        <v>POCO DE JOSE DE MOURA</v>
      </c>
      <c r="F107" s="6">
        <v>28.832521438598601</v>
      </c>
      <c r="G107" s="6">
        <v>28.940212249755898</v>
      </c>
      <c r="H107" s="6">
        <v>28.9768466949463</v>
      </c>
      <c r="I107" s="6">
        <v>33.791114807128899</v>
      </c>
      <c r="J107" s="6">
        <v>28.969770431518601</v>
      </c>
      <c r="K107" s="6">
        <v>33.854728698730497</v>
      </c>
      <c r="L107" s="6">
        <v>44.017543792724602</v>
      </c>
    </row>
    <row r="108" spans="1:12" x14ac:dyDescent="0.25">
      <c r="A108">
        <v>2401909</v>
      </c>
      <c r="B108" t="str">
        <f t="shared" si="1"/>
        <v>CAICARA DO RIO DO VENTO, RN, Brasil</v>
      </c>
      <c r="C108" s="4" t="str">
        <f>_xlfn.XLOOKUP(A108,[1]!DadosGHD[CD_GEOCMU],[1]!DadosGHD[Região])</f>
        <v>NE</v>
      </c>
      <c r="D108" s="4" t="str">
        <f>_xlfn.XLOOKUP(A108,[1]!DadosGHD[CD_GEOCMU],[1]!DadosGHD[uf])</f>
        <v>RN</v>
      </c>
      <c r="E108" s="5" t="str">
        <f>_xlfn.XLOOKUP(A108,[1]!DadosGHD[CD_GEOCMU],[1]!DadosGHD[MUNICIPIO])</f>
        <v>CAICARA DO RIO DO VENTO</v>
      </c>
      <c r="F108" s="6">
        <v>28.832521438598601</v>
      </c>
      <c r="G108" s="6">
        <v>28.907878875732401</v>
      </c>
      <c r="H108" s="6">
        <v>28.942651748657202</v>
      </c>
      <c r="I108" s="6">
        <v>28.925045013427699</v>
      </c>
      <c r="J108" s="6">
        <v>28.9409065246582</v>
      </c>
      <c r="K108" s="6">
        <v>28.9686679840088</v>
      </c>
      <c r="L108" s="6">
        <v>26.2877101898193</v>
      </c>
    </row>
    <row r="109" spans="1:12" x14ac:dyDescent="0.25">
      <c r="A109">
        <v>2104081</v>
      </c>
      <c r="B109" t="str">
        <f t="shared" si="1"/>
        <v>FERNANDO FALCAO, MA, Brasil</v>
      </c>
      <c r="C109" s="4" t="str">
        <f>_xlfn.XLOOKUP(A109,[1]!DadosGHD[CD_GEOCMU],[1]!DadosGHD[Região])</f>
        <v>NE</v>
      </c>
      <c r="D109" s="4" t="str">
        <f>_xlfn.XLOOKUP(A109,[1]!DadosGHD[CD_GEOCMU],[1]!DadosGHD[uf])</f>
        <v>MA</v>
      </c>
      <c r="E109" s="5" t="str">
        <f>_xlfn.XLOOKUP(A109,[1]!DadosGHD[CD_GEOCMU],[1]!DadosGHD[MUNICIPIO])</f>
        <v>FERNANDO FALCAO</v>
      </c>
      <c r="F109" s="6">
        <v>28.832521438598601</v>
      </c>
      <c r="G109" s="6">
        <v>28.907878875732401</v>
      </c>
      <c r="H109" s="6">
        <v>28.942651748657202</v>
      </c>
      <c r="I109" s="6">
        <v>28.925045013427699</v>
      </c>
      <c r="J109" s="6">
        <v>28.9409065246582</v>
      </c>
      <c r="K109" s="6">
        <v>28.9686679840088</v>
      </c>
      <c r="L109" s="6">
        <v>26.2798957824707</v>
      </c>
    </row>
    <row r="110" spans="1:12" x14ac:dyDescent="0.25">
      <c r="A110">
        <v>3136959</v>
      </c>
      <c r="B110" t="str">
        <f t="shared" si="1"/>
        <v>JUVENILIA, MG, Brasil</v>
      </c>
      <c r="C110" s="4" t="str">
        <f>_xlfn.XLOOKUP(A110,[1]!DadosGHD[CD_GEOCMU],[1]!DadosGHD[Região])</f>
        <v>SD</v>
      </c>
      <c r="D110" s="4" t="str">
        <f>_xlfn.XLOOKUP(A110,[1]!DadosGHD[CD_GEOCMU],[1]!DadosGHD[uf])</f>
        <v>MG</v>
      </c>
      <c r="E110" s="5" t="str">
        <f>_xlfn.XLOOKUP(A110,[1]!DadosGHD[CD_GEOCMU],[1]!DadosGHD[MUNICIPIO])</f>
        <v>JUVENILIA</v>
      </c>
      <c r="F110" s="6">
        <v>28.832521438598601</v>
      </c>
      <c r="G110" s="6">
        <v>28.907878875732401</v>
      </c>
      <c r="H110" s="6">
        <v>28.942651748657202</v>
      </c>
      <c r="I110" s="6">
        <v>28.925045013427699</v>
      </c>
      <c r="J110" s="6">
        <v>28.9409065246582</v>
      </c>
      <c r="K110" s="6">
        <v>28.9686679840088</v>
      </c>
      <c r="L110" s="6">
        <v>26.2798957824707</v>
      </c>
    </row>
    <row r="111" spans="1:12" x14ac:dyDescent="0.25">
      <c r="A111">
        <v>1720150</v>
      </c>
      <c r="B111" t="str">
        <f t="shared" si="1"/>
        <v>SAO FELIX DO TOCANTINS, TO, Brasil</v>
      </c>
      <c r="C111" s="4" t="str">
        <f>_xlfn.XLOOKUP(A111,[1]!DadosGHD[CD_GEOCMU],[1]!DadosGHD[Região])</f>
        <v>NO</v>
      </c>
      <c r="D111" s="4" t="str">
        <f>_xlfn.XLOOKUP(A111,[1]!DadosGHD[CD_GEOCMU],[1]!DadosGHD[uf])</f>
        <v>TO</v>
      </c>
      <c r="E111" s="5" t="str">
        <f>_xlfn.XLOOKUP(A111,[1]!DadosGHD[CD_GEOCMU],[1]!DadosGHD[MUNICIPIO])</f>
        <v>SAO FELIX DO TOCANTINS</v>
      </c>
      <c r="F111" s="6">
        <v>28.832521438598601</v>
      </c>
      <c r="G111" s="6">
        <v>28.907878875732401</v>
      </c>
      <c r="H111" s="6">
        <v>28.942651748657202</v>
      </c>
      <c r="I111" s="6">
        <v>28.925045013427699</v>
      </c>
      <c r="J111" s="6">
        <v>28.9409065246582</v>
      </c>
      <c r="K111" s="6">
        <v>28.9686679840088</v>
      </c>
      <c r="L111" s="6">
        <v>26.2798957824707</v>
      </c>
    </row>
    <row r="112" spans="1:12" x14ac:dyDescent="0.25">
      <c r="A112">
        <v>2210375</v>
      </c>
      <c r="B112" t="str">
        <f t="shared" si="1"/>
        <v>SAO LUIS DO PIAUI, PI, Brasil</v>
      </c>
      <c r="C112" s="4" t="str">
        <f>_xlfn.XLOOKUP(A112,[1]!DadosGHD[CD_GEOCMU],[1]!DadosGHD[Região])</f>
        <v>NE</v>
      </c>
      <c r="D112" s="4" t="str">
        <f>_xlfn.XLOOKUP(A112,[1]!DadosGHD[CD_GEOCMU],[1]!DadosGHD[uf])</f>
        <v>PI</v>
      </c>
      <c r="E112" s="5" t="str">
        <f>_xlfn.XLOOKUP(A112,[1]!DadosGHD[CD_GEOCMU],[1]!DadosGHD[MUNICIPIO])</f>
        <v>SAO LUIS DO PIAUI</v>
      </c>
      <c r="F112" s="6">
        <v>28.832521438598601</v>
      </c>
      <c r="G112" s="6">
        <v>28.907878875732401</v>
      </c>
      <c r="H112" s="6">
        <v>28.942651748657202</v>
      </c>
      <c r="I112" s="6">
        <v>28.925045013427699</v>
      </c>
      <c r="J112" s="6">
        <v>28.9409065246582</v>
      </c>
      <c r="K112" s="6">
        <v>28.9686679840088</v>
      </c>
      <c r="L112" s="6">
        <v>26.2798957824707</v>
      </c>
    </row>
    <row r="113" spans="1:12" x14ac:dyDescent="0.25">
      <c r="A113">
        <v>2203271</v>
      </c>
      <c r="B113" t="str">
        <f t="shared" si="1"/>
        <v>CURRAL NOVO DO PIAUI, PI, Brasil</v>
      </c>
      <c r="C113" s="4" t="str">
        <f>_xlfn.XLOOKUP(A113,[1]!DadosGHD[CD_GEOCMU],[1]!DadosGHD[Região])</f>
        <v>NE</v>
      </c>
      <c r="D113" s="4" t="str">
        <f>_xlfn.XLOOKUP(A113,[1]!DadosGHD[CD_GEOCMU],[1]!DadosGHD[uf])</f>
        <v>PI</v>
      </c>
      <c r="E113" s="5" t="str">
        <f>_xlfn.XLOOKUP(A113,[1]!DadosGHD[CD_GEOCMU],[1]!DadosGHD[MUNICIPIO])</f>
        <v>CURRAL NOVO DO PIAUI</v>
      </c>
      <c r="F113" s="6">
        <v>28.832521438598601</v>
      </c>
      <c r="G113" s="6">
        <v>28.907878875732401</v>
      </c>
      <c r="H113" s="6">
        <v>28.942651748657202</v>
      </c>
      <c r="I113" s="6">
        <v>28.925045013427699</v>
      </c>
      <c r="J113" s="6">
        <v>28.9409065246582</v>
      </c>
      <c r="K113" s="6">
        <v>28.9686679840088</v>
      </c>
      <c r="L113" s="6">
        <v>26.2798957824707</v>
      </c>
    </row>
    <row r="114" spans="1:12" x14ac:dyDescent="0.25">
      <c r="A114">
        <v>2203859</v>
      </c>
      <c r="B114" t="str">
        <f t="shared" si="1"/>
        <v>FLORESTA DO PIAUI, PI, Brasil</v>
      </c>
      <c r="C114" s="4" t="str">
        <f>_xlfn.XLOOKUP(A114,[1]!DadosGHD[CD_GEOCMU],[1]!DadosGHD[Região])</f>
        <v>NE</v>
      </c>
      <c r="D114" s="4" t="str">
        <f>_xlfn.XLOOKUP(A114,[1]!DadosGHD[CD_GEOCMU],[1]!DadosGHD[uf])</f>
        <v>PI</v>
      </c>
      <c r="E114" s="5" t="str">
        <f>_xlfn.XLOOKUP(A114,[1]!DadosGHD[CD_GEOCMU],[1]!DadosGHD[MUNICIPIO])</f>
        <v>FLORESTA DO PIAUI</v>
      </c>
      <c r="F114" s="6">
        <v>28.832521438598601</v>
      </c>
      <c r="G114" s="6">
        <v>28.907878875732401</v>
      </c>
      <c r="H114" s="6">
        <v>28.942651748657202</v>
      </c>
      <c r="I114" s="6">
        <v>28.925045013427699</v>
      </c>
      <c r="J114" s="6">
        <v>28.969823837280298</v>
      </c>
      <c r="K114" s="6">
        <v>28.9686679840088</v>
      </c>
      <c r="L114" s="6">
        <v>26.2836799621582</v>
      </c>
    </row>
    <row r="115" spans="1:12" x14ac:dyDescent="0.25">
      <c r="A115">
        <v>2202737</v>
      </c>
      <c r="B115" t="str">
        <f t="shared" si="1"/>
        <v>COIVARAS, PI, Brasil</v>
      </c>
      <c r="C115" s="4" t="str">
        <f>_xlfn.XLOOKUP(A115,[1]!DadosGHD[CD_GEOCMU],[1]!DadosGHD[Região])</f>
        <v>NE</v>
      </c>
      <c r="D115" s="4" t="str">
        <f>_xlfn.XLOOKUP(A115,[1]!DadosGHD[CD_GEOCMU],[1]!DadosGHD[uf])</f>
        <v>PI</v>
      </c>
      <c r="E115" s="5" t="str">
        <f>_xlfn.XLOOKUP(A115,[1]!DadosGHD[CD_GEOCMU],[1]!DadosGHD[MUNICIPIO])</f>
        <v>COIVARAS</v>
      </c>
      <c r="F115" s="6">
        <v>28.832521438598601</v>
      </c>
      <c r="G115" s="6">
        <v>28.907878875732401</v>
      </c>
      <c r="H115" s="6">
        <v>28.942651748657202</v>
      </c>
      <c r="I115" s="6">
        <v>28.925045013427699</v>
      </c>
      <c r="J115" s="6">
        <v>28.9409065246582</v>
      </c>
      <c r="K115" s="6">
        <v>28.9686679840088</v>
      </c>
      <c r="L115" s="6">
        <v>30.695564270019499</v>
      </c>
    </row>
    <row r="116" spans="1:12" x14ac:dyDescent="0.25">
      <c r="A116">
        <v>2209559</v>
      </c>
      <c r="B116" t="str">
        <f t="shared" si="1"/>
        <v>SAO BRAZ DO PIAUI, PI, Brasil</v>
      </c>
      <c r="C116" s="4" t="str">
        <f>_xlfn.XLOOKUP(A116,[1]!DadosGHD[CD_GEOCMU],[1]!DadosGHD[Região])</f>
        <v>NE</v>
      </c>
      <c r="D116" s="4" t="str">
        <f>_xlfn.XLOOKUP(A116,[1]!DadosGHD[CD_GEOCMU],[1]!DadosGHD[uf])</f>
        <v>PI</v>
      </c>
      <c r="E116" s="5" t="str">
        <f>_xlfn.XLOOKUP(A116,[1]!DadosGHD[CD_GEOCMU],[1]!DadosGHD[MUNICIPIO])</f>
        <v>SAO BRAZ DO PIAUI</v>
      </c>
      <c r="F116" s="6">
        <v>28.832521438598601</v>
      </c>
      <c r="G116" s="6">
        <v>28.907878875732401</v>
      </c>
      <c r="H116" s="6">
        <v>28.942651748657202</v>
      </c>
      <c r="I116" s="6">
        <v>28.925045013427699</v>
      </c>
      <c r="J116" s="6">
        <v>28.9409065246582</v>
      </c>
      <c r="K116" s="6">
        <v>28.9686679840088</v>
      </c>
      <c r="L116" s="6">
        <v>26.287763595581101</v>
      </c>
    </row>
    <row r="117" spans="1:12" x14ac:dyDescent="0.25">
      <c r="A117">
        <v>3144672</v>
      </c>
      <c r="B117" t="str">
        <f t="shared" si="1"/>
        <v>NOVA BELEM, MG, Brasil</v>
      </c>
      <c r="C117" s="4" t="str">
        <f>_xlfn.XLOOKUP(A117,[1]!DadosGHD[CD_GEOCMU],[1]!DadosGHD[Região])</f>
        <v>SD</v>
      </c>
      <c r="D117" s="4" t="str">
        <f>_xlfn.XLOOKUP(A117,[1]!DadosGHD[CD_GEOCMU],[1]!DadosGHD[uf])</f>
        <v>MG</v>
      </c>
      <c r="E117" s="5" t="str">
        <f>_xlfn.XLOOKUP(A117,[1]!DadosGHD[CD_GEOCMU],[1]!DadosGHD[MUNICIPIO])</f>
        <v>NOVA BELEM</v>
      </c>
      <c r="F117" s="6">
        <v>28.832521438598601</v>
      </c>
      <c r="G117" s="6">
        <v>28.907878875732401</v>
      </c>
      <c r="H117" s="6">
        <v>28.942651748657202</v>
      </c>
      <c r="I117" s="6">
        <v>28.925045013427699</v>
      </c>
      <c r="J117" s="6">
        <v>28.9409065246582</v>
      </c>
      <c r="K117" s="6">
        <v>28.9686679840088</v>
      </c>
      <c r="L117" s="6">
        <v>26.286300659179702</v>
      </c>
    </row>
    <row r="118" spans="1:12" x14ac:dyDescent="0.25">
      <c r="A118">
        <v>5207105</v>
      </c>
      <c r="B118" t="str">
        <f t="shared" si="1"/>
        <v>DIORAMA, GO, Brasil</v>
      </c>
      <c r="C118" s="4" t="str">
        <f>_xlfn.XLOOKUP(A118,[1]!DadosGHD[CD_GEOCMU],[1]!DadosGHD[Região])</f>
        <v>CO</v>
      </c>
      <c r="D118" s="4" t="str">
        <f>_xlfn.XLOOKUP(A118,[1]!DadosGHD[CD_GEOCMU],[1]!DadosGHD[uf])</f>
        <v>GO</v>
      </c>
      <c r="E118" s="5" t="str">
        <f>_xlfn.XLOOKUP(A118,[1]!DadosGHD[CD_GEOCMU],[1]!DadosGHD[MUNICIPIO])</f>
        <v>DIORAMA</v>
      </c>
      <c r="F118" s="6">
        <v>28.832521438598601</v>
      </c>
      <c r="G118" s="6">
        <v>28.9097709655762</v>
      </c>
      <c r="H118" s="6">
        <v>28.942651748657202</v>
      </c>
      <c r="I118" s="6">
        <v>28.925045013427699</v>
      </c>
      <c r="J118" s="6">
        <v>28.9409065246582</v>
      </c>
      <c r="K118" s="6">
        <v>28.9686679840088</v>
      </c>
      <c r="L118" s="6">
        <v>26.2798957824707</v>
      </c>
    </row>
    <row r="119" spans="1:12" x14ac:dyDescent="0.25">
      <c r="A119">
        <v>2206308</v>
      </c>
      <c r="B119" t="str">
        <f t="shared" si="1"/>
        <v>MIGUEL LEAO, PI, Brasil</v>
      </c>
      <c r="C119" s="4" t="str">
        <f>_xlfn.XLOOKUP(A119,[1]!DadosGHD[CD_GEOCMU],[1]!DadosGHD[Região])</f>
        <v>NE</v>
      </c>
      <c r="D119" s="4" t="str">
        <f>_xlfn.XLOOKUP(A119,[1]!DadosGHD[CD_GEOCMU],[1]!DadosGHD[uf])</f>
        <v>PI</v>
      </c>
      <c r="E119" s="5" t="str">
        <f>_xlfn.XLOOKUP(A119,[1]!DadosGHD[CD_GEOCMU],[1]!DadosGHD[MUNICIPIO])</f>
        <v>MIGUEL LEAO</v>
      </c>
      <c r="F119" s="6">
        <v>28.832521438598601</v>
      </c>
      <c r="G119" s="6">
        <v>28.907878875732401</v>
      </c>
      <c r="H119" s="6">
        <v>28.942651748657202</v>
      </c>
      <c r="I119" s="6">
        <v>28.925045013427699</v>
      </c>
      <c r="J119" s="6">
        <v>28.9409065246582</v>
      </c>
      <c r="K119" s="6">
        <v>28.9686679840088</v>
      </c>
      <c r="L119" s="6">
        <v>26.2798957824707</v>
      </c>
    </row>
    <row r="120" spans="1:12" x14ac:dyDescent="0.25">
      <c r="A120">
        <v>1506195</v>
      </c>
      <c r="B120" t="str">
        <f t="shared" si="1"/>
        <v>RUROPOLIS, PA, Brasil</v>
      </c>
      <c r="C120" s="4" t="str">
        <f>_xlfn.XLOOKUP(A120,[1]!DadosGHD[CD_GEOCMU],[1]!DadosGHD[Região])</f>
        <v>NO</v>
      </c>
      <c r="D120" s="4" t="str">
        <f>_xlfn.XLOOKUP(A120,[1]!DadosGHD[CD_GEOCMU],[1]!DadosGHD[uf])</f>
        <v>PA</v>
      </c>
      <c r="E120" s="5" t="str">
        <f>_xlfn.XLOOKUP(A120,[1]!DadosGHD[CD_GEOCMU],[1]!DadosGHD[MUNICIPIO])</f>
        <v>RUROPOLIS</v>
      </c>
      <c r="F120" s="6">
        <v>28.832521438598601</v>
      </c>
      <c r="G120" s="6">
        <v>28.907878875732401</v>
      </c>
      <c r="H120" s="6">
        <v>28.942651748657202</v>
      </c>
      <c r="I120" s="6">
        <v>28.925045013427699</v>
      </c>
      <c r="J120" s="6">
        <v>28.943773269653299</v>
      </c>
      <c r="K120" s="6">
        <v>28.975793838501001</v>
      </c>
      <c r="L120" s="6">
        <v>26.2914333343506</v>
      </c>
    </row>
    <row r="121" spans="1:12" x14ac:dyDescent="0.25">
      <c r="A121">
        <v>2209153</v>
      </c>
      <c r="B121" t="str">
        <f t="shared" si="1"/>
        <v>SANTA CRUZ DOS MILAGRES, PI, Brasil</v>
      </c>
      <c r="C121" s="4" t="str">
        <f>_xlfn.XLOOKUP(A121,[1]!DadosGHD[CD_GEOCMU],[1]!DadosGHD[Região])</f>
        <v>NE</v>
      </c>
      <c r="D121" s="4" t="str">
        <f>_xlfn.XLOOKUP(A121,[1]!DadosGHD[CD_GEOCMU],[1]!DadosGHD[uf])</f>
        <v>PI</v>
      </c>
      <c r="E121" s="5" t="str">
        <f>_xlfn.XLOOKUP(A121,[1]!DadosGHD[CD_GEOCMU],[1]!DadosGHD[MUNICIPIO])</f>
        <v>SANTA CRUZ DOS MILAGRES</v>
      </c>
      <c r="F121" s="6">
        <v>28.832521438598601</v>
      </c>
      <c r="G121" s="6">
        <v>28.907878875732401</v>
      </c>
      <c r="H121" s="6">
        <v>28.942651748657202</v>
      </c>
      <c r="I121" s="6">
        <v>28.925045013427699</v>
      </c>
      <c r="J121" s="6">
        <v>28.9409065246582</v>
      </c>
      <c r="K121" s="6">
        <v>28.9686679840088</v>
      </c>
      <c r="L121" s="6">
        <v>26.2798957824707</v>
      </c>
    </row>
    <row r="122" spans="1:12" x14ac:dyDescent="0.25">
      <c r="A122">
        <v>1718501</v>
      </c>
      <c r="B122" t="str">
        <f t="shared" si="1"/>
        <v>RECURSOLANDIA, TO, Brasil</v>
      </c>
      <c r="C122" s="4" t="str">
        <f>_xlfn.XLOOKUP(A122,[1]!DadosGHD[CD_GEOCMU],[1]!DadosGHD[Região])</f>
        <v>NO</v>
      </c>
      <c r="D122" s="4" t="str">
        <f>_xlfn.XLOOKUP(A122,[1]!DadosGHD[CD_GEOCMU],[1]!DadosGHD[uf])</f>
        <v>TO</v>
      </c>
      <c r="E122" s="5" t="str">
        <f>_xlfn.XLOOKUP(A122,[1]!DadosGHD[CD_GEOCMU],[1]!DadosGHD[MUNICIPIO])</f>
        <v>RECURSOLANDIA</v>
      </c>
      <c r="F122" s="6">
        <v>28.832521438598601</v>
      </c>
      <c r="G122" s="6">
        <v>28.907878875732401</v>
      </c>
      <c r="H122" s="6">
        <v>28.942651748657202</v>
      </c>
      <c r="I122" s="6">
        <v>28.925045013427699</v>
      </c>
      <c r="J122" s="6">
        <v>28.9409065246582</v>
      </c>
      <c r="K122" s="6">
        <v>28.9686679840088</v>
      </c>
      <c r="L122" s="6">
        <v>26.2798957824707</v>
      </c>
    </row>
    <row r="123" spans="1:12" x14ac:dyDescent="0.25">
      <c r="A123">
        <v>2513000</v>
      </c>
      <c r="B123" t="str">
        <f t="shared" si="1"/>
        <v>SALGADINHO, PB, Brasil</v>
      </c>
      <c r="C123" s="4" t="str">
        <f>_xlfn.XLOOKUP(A123,[1]!DadosGHD[CD_GEOCMU],[1]!DadosGHD[Região])</f>
        <v>NE</v>
      </c>
      <c r="D123" s="4" t="str">
        <f>_xlfn.XLOOKUP(A123,[1]!DadosGHD[CD_GEOCMU],[1]!DadosGHD[uf])</f>
        <v>PB</v>
      </c>
      <c r="E123" s="5" t="str">
        <f>_xlfn.XLOOKUP(A123,[1]!DadosGHD[CD_GEOCMU],[1]!DadosGHD[MUNICIPIO])</f>
        <v>SALGADINHO</v>
      </c>
      <c r="F123" s="6">
        <v>28.832521438598601</v>
      </c>
      <c r="G123" s="6">
        <v>28.907878875732401</v>
      </c>
      <c r="H123" s="6">
        <v>28.942651748657202</v>
      </c>
      <c r="I123" s="6">
        <v>28.925045013427699</v>
      </c>
      <c r="J123" s="6">
        <v>28.9409065246582</v>
      </c>
      <c r="K123" s="6">
        <v>28.989250183105501</v>
      </c>
      <c r="L123" s="6">
        <v>35.121658325195298</v>
      </c>
    </row>
    <row r="124" spans="1:12" x14ac:dyDescent="0.25">
      <c r="A124">
        <v>2204105</v>
      </c>
      <c r="B124" t="str">
        <f t="shared" si="1"/>
        <v>FRANCISCO AYRES, PI, Brasil</v>
      </c>
      <c r="C124" s="4" t="str">
        <f>_xlfn.XLOOKUP(A124,[1]!DadosGHD[CD_GEOCMU],[1]!DadosGHD[Região])</f>
        <v>NE</v>
      </c>
      <c r="D124" s="4" t="str">
        <f>_xlfn.XLOOKUP(A124,[1]!DadosGHD[CD_GEOCMU],[1]!DadosGHD[uf])</f>
        <v>PI</v>
      </c>
      <c r="E124" s="5" t="str">
        <f>_xlfn.XLOOKUP(A124,[1]!DadosGHD[CD_GEOCMU],[1]!DadosGHD[MUNICIPIO])</f>
        <v>FRANCISCO AYRES</v>
      </c>
      <c r="F124" s="6">
        <v>28.832521438598601</v>
      </c>
      <c r="G124" s="6">
        <v>28.907878875732401</v>
      </c>
      <c r="H124" s="6">
        <v>28.942651748657202</v>
      </c>
      <c r="I124" s="6">
        <v>28.925045013427699</v>
      </c>
      <c r="J124" s="6">
        <v>28.9409065246582</v>
      </c>
      <c r="K124" s="6">
        <v>28.9686679840088</v>
      </c>
      <c r="L124" s="6">
        <v>26.285814285278299</v>
      </c>
    </row>
    <row r="125" spans="1:12" x14ac:dyDescent="0.25">
      <c r="A125">
        <v>2206050</v>
      </c>
      <c r="B125" t="str">
        <f t="shared" si="1"/>
        <v>MASSAPE DO PIAUI, PI, Brasil</v>
      </c>
      <c r="C125" s="4" t="str">
        <f>_xlfn.XLOOKUP(A125,[1]!DadosGHD[CD_GEOCMU],[1]!DadosGHD[Região])</f>
        <v>NE</v>
      </c>
      <c r="D125" s="4" t="str">
        <f>_xlfn.XLOOKUP(A125,[1]!DadosGHD[CD_GEOCMU],[1]!DadosGHD[uf])</f>
        <v>PI</v>
      </c>
      <c r="E125" s="5" t="str">
        <f>_xlfn.XLOOKUP(A125,[1]!DadosGHD[CD_GEOCMU],[1]!DadosGHD[MUNICIPIO])</f>
        <v>MASSAPE DO PIAUI</v>
      </c>
      <c r="F125" s="6">
        <v>28.832521438598601</v>
      </c>
      <c r="G125" s="6">
        <v>28.907878875732401</v>
      </c>
      <c r="H125" s="6">
        <v>28.942651748657202</v>
      </c>
      <c r="I125" s="6">
        <v>28.925045013427699</v>
      </c>
      <c r="J125" s="6">
        <v>28.9409065246582</v>
      </c>
      <c r="K125" s="6">
        <v>28.9686679840088</v>
      </c>
      <c r="L125" s="6">
        <v>26.2852993011475</v>
      </c>
    </row>
    <row r="126" spans="1:12" x14ac:dyDescent="0.25">
      <c r="A126">
        <v>2414753</v>
      </c>
      <c r="B126" t="str">
        <f t="shared" si="1"/>
        <v>VENHA-VER, RN, Brasil</v>
      </c>
      <c r="C126" s="4" t="str">
        <f>_xlfn.XLOOKUP(A126,[1]!DadosGHD[CD_GEOCMU],[1]!DadosGHD[Região])</f>
        <v>NE</v>
      </c>
      <c r="D126" s="4" t="str">
        <f>_xlfn.XLOOKUP(A126,[1]!DadosGHD[CD_GEOCMU],[1]!DadosGHD[uf])</f>
        <v>RN</v>
      </c>
      <c r="E126" s="5" t="str">
        <f>_xlfn.XLOOKUP(A126,[1]!DadosGHD[CD_GEOCMU],[1]!DadosGHD[MUNICIPIO])</f>
        <v>VENHA-VER</v>
      </c>
      <c r="F126" s="6">
        <v>28.832521438598601</v>
      </c>
      <c r="G126" s="6">
        <v>28.907878875732401</v>
      </c>
      <c r="H126" s="6">
        <v>28.942651748657202</v>
      </c>
      <c r="I126" s="6">
        <v>28.9308567047119</v>
      </c>
      <c r="J126" s="6">
        <v>33.828685760498097</v>
      </c>
      <c r="K126" s="6">
        <v>33.863479614257798</v>
      </c>
      <c r="L126" s="6">
        <v>39.578258514404297</v>
      </c>
    </row>
    <row r="127" spans="1:12" x14ac:dyDescent="0.25">
      <c r="A127">
        <v>2404002</v>
      </c>
      <c r="B127" t="str">
        <f t="shared" si="1"/>
        <v>FRUTUOSO GOMES, RN, Brasil</v>
      </c>
      <c r="C127" s="4" t="str">
        <f>_xlfn.XLOOKUP(A127,[1]!DadosGHD[CD_GEOCMU],[1]!DadosGHD[Região])</f>
        <v>NE</v>
      </c>
      <c r="D127" s="4" t="str">
        <f>_xlfn.XLOOKUP(A127,[1]!DadosGHD[CD_GEOCMU],[1]!DadosGHD[uf])</f>
        <v>RN</v>
      </c>
      <c r="E127" s="5" t="str">
        <f>_xlfn.XLOOKUP(A127,[1]!DadosGHD[CD_GEOCMU],[1]!DadosGHD[MUNICIPIO])</f>
        <v>FRUTUOSO GOMES</v>
      </c>
      <c r="F127" s="6">
        <v>28.832521438598601</v>
      </c>
      <c r="G127" s="6">
        <v>28.907878875732401</v>
      </c>
      <c r="H127" s="6">
        <v>28.942651748657202</v>
      </c>
      <c r="I127" s="6">
        <v>28.943078994751001</v>
      </c>
      <c r="J127" s="6">
        <v>28.9409065246582</v>
      </c>
      <c r="K127" s="6">
        <v>33.858882904052699</v>
      </c>
      <c r="L127" s="6">
        <v>35.112831115722699</v>
      </c>
    </row>
    <row r="128" spans="1:12" x14ac:dyDescent="0.25">
      <c r="A128">
        <v>1719004</v>
      </c>
      <c r="B128" t="str">
        <f t="shared" si="1"/>
        <v>SANTA TEREZA DO TOCANTINS, TO, Brasil</v>
      </c>
      <c r="C128" s="4" t="str">
        <f>_xlfn.XLOOKUP(A128,[1]!DadosGHD[CD_GEOCMU],[1]!DadosGHD[Região])</f>
        <v>NO</v>
      </c>
      <c r="D128" s="4" t="str">
        <f>_xlfn.XLOOKUP(A128,[1]!DadosGHD[CD_GEOCMU],[1]!DadosGHD[uf])</f>
        <v>TO</v>
      </c>
      <c r="E128" s="5" t="str">
        <f>_xlfn.XLOOKUP(A128,[1]!DadosGHD[CD_GEOCMU],[1]!DadosGHD[MUNICIPIO])</f>
        <v>SANTA TEREZA DO TOCANTINS</v>
      </c>
      <c r="F128" s="6">
        <v>28.832521438598601</v>
      </c>
      <c r="G128" s="6">
        <v>28.907878875732401</v>
      </c>
      <c r="H128" s="6">
        <v>28.942651748657202</v>
      </c>
      <c r="I128" s="6">
        <v>28.925045013427699</v>
      </c>
      <c r="J128" s="6">
        <v>28.9409065246582</v>
      </c>
      <c r="K128" s="6">
        <v>28.9686679840088</v>
      </c>
      <c r="L128" s="6">
        <v>26.281303405761701</v>
      </c>
    </row>
    <row r="129" spans="1:12" x14ac:dyDescent="0.25">
      <c r="A129">
        <v>2413557</v>
      </c>
      <c r="B129" t="str">
        <f t="shared" si="1"/>
        <v>SERRINHA DOS PINTOS, RN, Brasil</v>
      </c>
      <c r="C129" s="4" t="str">
        <f>_xlfn.XLOOKUP(A129,[1]!DadosGHD[CD_GEOCMU],[1]!DadosGHD[Região])</f>
        <v>NE</v>
      </c>
      <c r="D129" s="4" t="str">
        <f>_xlfn.XLOOKUP(A129,[1]!DadosGHD[CD_GEOCMU],[1]!DadosGHD[uf])</f>
        <v>RN</v>
      </c>
      <c r="E129" s="5" t="str">
        <f>_xlfn.XLOOKUP(A129,[1]!DadosGHD[CD_GEOCMU],[1]!DadosGHD[MUNICIPIO])</f>
        <v>SERRINHA DOS PINTOS</v>
      </c>
      <c r="F129" s="6">
        <v>28.832521438598601</v>
      </c>
      <c r="G129" s="6">
        <v>28.907878875732401</v>
      </c>
      <c r="H129" s="6">
        <v>28.942651748657202</v>
      </c>
      <c r="I129" s="6">
        <v>33.811737060546903</v>
      </c>
      <c r="J129" s="6">
        <v>28.9409065246582</v>
      </c>
      <c r="K129" s="6">
        <v>33.898113250732401</v>
      </c>
      <c r="L129" s="6">
        <v>35.147056579589801</v>
      </c>
    </row>
    <row r="130" spans="1:12" x14ac:dyDescent="0.25">
      <c r="A130">
        <v>4110052</v>
      </c>
      <c r="B130" t="str">
        <f t="shared" si="1"/>
        <v>IGUATU, PR, Brasil</v>
      </c>
      <c r="C130" s="4" t="str">
        <f>_xlfn.XLOOKUP(A130,[1]!DadosGHD[CD_GEOCMU],[1]!DadosGHD[Região])</f>
        <v>SL</v>
      </c>
      <c r="D130" s="4" t="str">
        <f>_xlfn.XLOOKUP(A130,[1]!DadosGHD[CD_GEOCMU],[1]!DadosGHD[uf])</f>
        <v>PR</v>
      </c>
      <c r="E130" s="5" t="str">
        <f>_xlfn.XLOOKUP(A130,[1]!DadosGHD[CD_GEOCMU],[1]!DadosGHD[MUNICIPIO])</f>
        <v>IGUATU</v>
      </c>
      <c r="F130" s="6">
        <v>28.832521438598601</v>
      </c>
      <c r="G130" s="6">
        <v>38.734306335449197</v>
      </c>
      <c r="H130" s="6">
        <v>38.7817573547363</v>
      </c>
      <c r="I130" s="6">
        <v>38.755264282226598</v>
      </c>
      <c r="J130" s="6">
        <v>38.803977966308601</v>
      </c>
      <c r="K130" s="6">
        <v>43.781951904296903</v>
      </c>
      <c r="L130" s="6">
        <v>39.567405700683601</v>
      </c>
    </row>
    <row r="131" spans="1:12" x14ac:dyDescent="0.25">
      <c r="A131">
        <v>1505700</v>
      </c>
      <c r="B131" t="str">
        <f t="shared" si="1"/>
        <v>PONTA DE PEDRAS, PA, Brasil</v>
      </c>
      <c r="C131" s="4" t="str">
        <f>_xlfn.XLOOKUP(A131,[1]!DadosGHD[CD_GEOCMU],[1]!DadosGHD[Região])</f>
        <v>NO</v>
      </c>
      <c r="D131" s="4" t="str">
        <f>_xlfn.XLOOKUP(A131,[1]!DadosGHD[CD_GEOCMU],[1]!DadosGHD[uf])</f>
        <v>PA</v>
      </c>
      <c r="E131" s="5" t="str">
        <f>_xlfn.XLOOKUP(A131,[1]!DadosGHD[CD_GEOCMU],[1]!DadosGHD[MUNICIPIO])</f>
        <v>PONTA DE PEDRAS</v>
      </c>
      <c r="F131" s="6">
        <v>28.832521438598601</v>
      </c>
      <c r="G131" s="6">
        <v>28.907878875732401</v>
      </c>
      <c r="H131" s="6">
        <v>28.942651748657202</v>
      </c>
      <c r="I131" s="6">
        <v>28.925045013427699</v>
      </c>
      <c r="J131" s="6">
        <v>28.9409065246582</v>
      </c>
      <c r="K131" s="6">
        <v>28.9686679840088</v>
      </c>
      <c r="L131" s="6">
        <v>26.2798957824707</v>
      </c>
    </row>
    <row r="132" spans="1:12" x14ac:dyDescent="0.25">
      <c r="A132">
        <v>3127354</v>
      </c>
      <c r="B132" t="str">
        <f t="shared" ref="B132:B195" si="2">_xlfn.CONCAT(E132, ", ", D132, ", Brasil")</f>
        <v>GLAUCILANDIA, MG, Brasil</v>
      </c>
      <c r="C132" s="4" t="str">
        <f>_xlfn.XLOOKUP(A132,[1]!DadosGHD[CD_GEOCMU],[1]!DadosGHD[Região])</f>
        <v>SD</v>
      </c>
      <c r="D132" s="4" t="str">
        <f>_xlfn.XLOOKUP(A132,[1]!DadosGHD[CD_GEOCMU],[1]!DadosGHD[uf])</f>
        <v>MG</v>
      </c>
      <c r="E132" s="5" t="str">
        <f>_xlfn.XLOOKUP(A132,[1]!DadosGHD[CD_GEOCMU],[1]!DadosGHD[MUNICIPIO])</f>
        <v>GLAUCILANDIA</v>
      </c>
      <c r="F132" s="6">
        <v>28.832521438598601</v>
      </c>
      <c r="G132" s="6">
        <v>38.781551361083999</v>
      </c>
      <c r="H132" s="6">
        <v>38.826671600341797</v>
      </c>
      <c r="I132" s="6">
        <v>38.7998046875</v>
      </c>
      <c r="J132" s="6">
        <v>38.816841125488303</v>
      </c>
      <c r="K132" s="6">
        <v>38.851860046386697</v>
      </c>
      <c r="L132" s="6">
        <v>30.722974777221701</v>
      </c>
    </row>
    <row r="133" spans="1:12" x14ac:dyDescent="0.25">
      <c r="A133">
        <v>3126950</v>
      </c>
      <c r="B133" t="str">
        <f t="shared" si="2"/>
        <v>FREI LAGONEGRO, MG, Brasil</v>
      </c>
      <c r="C133" s="4" t="str">
        <f>_xlfn.XLOOKUP(A133,[1]!DadosGHD[CD_GEOCMU],[1]!DadosGHD[Região])</f>
        <v>SD</v>
      </c>
      <c r="D133" s="4" t="str">
        <f>_xlfn.XLOOKUP(A133,[1]!DadosGHD[CD_GEOCMU],[1]!DadosGHD[uf])</f>
        <v>MG</v>
      </c>
      <c r="E133" s="5" t="str">
        <f>_xlfn.XLOOKUP(A133,[1]!DadosGHD[CD_GEOCMU],[1]!DadosGHD[MUNICIPIO])</f>
        <v>FREI LAGONEGRO</v>
      </c>
      <c r="F133" s="6">
        <v>28.832521438598601</v>
      </c>
      <c r="G133" s="6">
        <v>28.9173774719238</v>
      </c>
      <c r="H133" s="6">
        <v>28.9784145355225</v>
      </c>
      <c r="I133" s="6">
        <v>28.954912185668899</v>
      </c>
      <c r="J133" s="6">
        <v>28.970127105712901</v>
      </c>
      <c r="K133" s="6">
        <v>33.843822479248097</v>
      </c>
      <c r="L133" s="6">
        <v>30.6844482421875</v>
      </c>
    </row>
    <row r="134" spans="1:12" x14ac:dyDescent="0.25">
      <c r="A134">
        <v>2500536</v>
      </c>
      <c r="B134" t="str">
        <f t="shared" si="2"/>
        <v>ALCANTIL, PB, Brasil</v>
      </c>
      <c r="C134" s="4" t="str">
        <f>_xlfn.XLOOKUP(A134,[1]!DadosGHD[CD_GEOCMU],[1]!DadosGHD[Região])</f>
        <v>NE</v>
      </c>
      <c r="D134" s="4" t="str">
        <f>_xlfn.XLOOKUP(A134,[1]!DadosGHD[CD_GEOCMU],[1]!DadosGHD[uf])</f>
        <v>PB</v>
      </c>
      <c r="E134" s="5" t="str">
        <f>_xlfn.XLOOKUP(A134,[1]!DadosGHD[CD_GEOCMU],[1]!DadosGHD[MUNICIPIO])</f>
        <v>ALCANTIL</v>
      </c>
      <c r="F134" s="6">
        <v>28.832521438598601</v>
      </c>
      <c r="G134" s="6">
        <v>28.907878875732401</v>
      </c>
      <c r="H134" s="6">
        <v>28.942651748657202</v>
      </c>
      <c r="I134" s="6">
        <v>28.942670822143601</v>
      </c>
      <c r="J134" s="6">
        <v>28.968591690063501</v>
      </c>
      <c r="K134" s="6">
        <v>28.997560501098601</v>
      </c>
      <c r="L134" s="6">
        <v>35.124179840087898</v>
      </c>
    </row>
    <row r="135" spans="1:12" x14ac:dyDescent="0.25">
      <c r="A135">
        <v>2205524</v>
      </c>
      <c r="B135" t="str">
        <f t="shared" si="2"/>
        <v>JULIO BORGES, PI, Brasil</v>
      </c>
      <c r="C135" s="4" t="str">
        <f>_xlfn.XLOOKUP(A135,[1]!DadosGHD[CD_GEOCMU],[1]!DadosGHD[Região])</f>
        <v>NE</v>
      </c>
      <c r="D135" s="4" t="str">
        <f>_xlfn.XLOOKUP(A135,[1]!DadosGHD[CD_GEOCMU],[1]!DadosGHD[uf])</f>
        <v>PI</v>
      </c>
      <c r="E135" s="5" t="str">
        <f>_xlfn.XLOOKUP(A135,[1]!DadosGHD[CD_GEOCMU],[1]!DadosGHD[MUNICIPIO])</f>
        <v>JULIO BORGES</v>
      </c>
      <c r="F135" s="6">
        <v>28.832521438598601</v>
      </c>
      <c r="G135" s="6">
        <v>28.907878875732401</v>
      </c>
      <c r="H135" s="6">
        <v>28.942651748657202</v>
      </c>
      <c r="I135" s="6">
        <v>28.925045013427699</v>
      </c>
      <c r="J135" s="6">
        <v>28.9409065246582</v>
      </c>
      <c r="K135" s="6">
        <v>28.9686679840088</v>
      </c>
      <c r="L135" s="6">
        <v>26.2798957824707</v>
      </c>
    </row>
    <row r="136" spans="1:12" x14ac:dyDescent="0.25">
      <c r="A136">
        <v>2707008</v>
      </c>
      <c r="B136" t="str">
        <f t="shared" si="2"/>
        <v>PINDOBA, AL, Brasil</v>
      </c>
      <c r="C136" s="4" t="str">
        <f>_xlfn.XLOOKUP(A136,[1]!DadosGHD[CD_GEOCMU],[1]!DadosGHD[Região])</f>
        <v>NE</v>
      </c>
      <c r="D136" s="4" t="str">
        <f>_xlfn.XLOOKUP(A136,[1]!DadosGHD[CD_GEOCMU],[1]!DadosGHD[uf])</f>
        <v>AL</v>
      </c>
      <c r="E136" s="5" t="str">
        <f>_xlfn.XLOOKUP(A136,[1]!DadosGHD[CD_GEOCMU],[1]!DadosGHD[MUNICIPIO])</f>
        <v>PINDOBA</v>
      </c>
      <c r="F136" s="6">
        <v>28.832521438598601</v>
      </c>
      <c r="G136" s="6">
        <v>28.907878875732401</v>
      </c>
      <c r="H136" s="6">
        <v>28.942651748657202</v>
      </c>
      <c r="I136" s="6">
        <v>28.925045013427699</v>
      </c>
      <c r="J136" s="6">
        <v>28.9409065246582</v>
      </c>
      <c r="K136" s="6">
        <v>28.9686679840088</v>
      </c>
      <c r="L136" s="6">
        <v>26.2798957824707</v>
      </c>
    </row>
    <row r="137" spans="1:12" x14ac:dyDescent="0.25">
      <c r="A137">
        <v>3162658</v>
      </c>
      <c r="B137" t="str">
        <f t="shared" si="2"/>
        <v>SAO JOAO DO PACUI, MG, Brasil</v>
      </c>
      <c r="C137" s="4" t="str">
        <f>_xlfn.XLOOKUP(A137,[1]!DadosGHD[CD_GEOCMU],[1]!DadosGHD[Região])</f>
        <v>SD</v>
      </c>
      <c r="D137" s="4" t="str">
        <f>_xlfn.XLOOKUP(A137,[1]!DadosGHD[CD_GEOCMU],[1]!DadosGHD[uf])</f>
        <v>MG</v>
      </c>
      <c r="E137" s="5" t="str">
        <f>_xlfn.XLOOKUP(A137,[1]!DadosGHD[CD_GEOCMU],[1]!DadosGHD[MUNICIPIO])</f>
        <v>SAO JOAO DO PACUI</v>
      </c>
      <c r="F137" s="6">
        <v>28.832521438598601</v>
      </c>
      <c r="G137" s="6">
        <v>28.907878875732401</v>
      </c>
      <c r="H137" s="6">
        <v>28.942651748657202</v>
      </c>
      <c r="I137" s="6">
        <v>28.925045013427699</v>
      </c>
      <c r="J137" s="6">
        <v>28.9409065246582</v>
      </c>
      <c r="K137" s="6">
        <v>28.9686679840088</v>
      </c>
      <c r="L137" s="6">
        <v>26.2798957824707</v>
      </c>
    </row>
    <row r="138" spans="1:12" x14ac:dyDescent="0.25">
      <c r="A138">
        <v>2201919</v>
      </c>
      <c r="B138" t="str">
        <f t="shared" si="2"/>
        <v>BOM PRINCIPIO DO PIAUI, PI, Brasil</v>
      </c>
      <c r="C138" s="4" t="str">
        <f>_xlfn.XLOOKUP(A138,[1]!DadosGHD[CD_GEOCMU],[1]!DadosGHD[Região])</f>
        <v>NE</v>
      </c>
      <c r="D138" s="4" t="str">
        <f>_xlfn.XLOOKUP(A138,[1]!DadosGHD[CD_GEOCMU],[1]!DadosGHD[uf])</f>
        <v>PI</v>
      </c>
      <c r="E138" s="5" t="str">
        <f>_xlfn.XLOOKUP(A138,[1]!DadosGHD[CD_GEOCMU],[1]!DadosGHD[MUNICIPIO])</f>
        <v>BOM PRINCIPIO DO PIAUI</v>
      </c>
      <c r="F138" s="6">
        <v>28.832521438598601</v>
      </c>
      <c r="G138" s="6">
        <v>28.907878875732401</v>
      </c>
      <c r="H138" s="6">
        <v>28.942651748657202</v>
      </c>
      <c r="I138" s="6">
        <v>28.925045013427699</v>
      </c>
      <c r="J138" s="6">
        <v>28.9409065246582</v>
      </c>
      <c r="K138" s="6">
        <v>28.9686679840088</v>
      </c>
      <c r="L138" s="6">
        <v>35.125755310058601</v>
      </c>
    </row>
    <row r="139" spans="1:12" x14ac:dyDescent="0.25">
      <c r="A139">
        <v>5204201</v>
      </c>
      <c r="B139" t="str">
        <f t="shared" si="2"/>
        <v>CACHOEIRA DE GOIAS, GO, Brasil</v>
      </c>
      <c r="C139" s="4" t="str">
        <f>_xlfn.XLOOKUP(A139,[1]!DadosGHD[CD_GEOCMU],[1]!DadosGHD[Região])</f>
        <v>CO</v>
      </c>
      <c r="D139" s="4" t="str">
        <f>_xlfn.XLOOKUP(A139,[1]!DadosGHD[CD_GEOCMU],[1]!DadosGHD[uf])</f>
        <v>GO</v>
      </c>
      <c r="E139" s="5" t="str">
        <f>_xlfn.XLOOKUP(A139,[1]!DadosGHD[CD_GEOCMU],[1]!DadosGHD[MUNICIPIO])</f>
        <v>CACHOEIRA DE GOIAS</v>
      </c>
      <c r="F139" s="6">
        <v>28.832521438598601</v>
      </c>
      <c r="G139" s="6">
        <v>28.907878875732401</v>
      </c>
      <c r="H139" s="6">
        <v>28.942651748657202</v>
      </c>
      <c r="I139" s="6">
        <v>28.925045013427699</v>
      </c>
      <c r="J139" s="6">
        <v>28.9409065246582</v>
      </c>
      <c r="K139" s="6">
        <v>28.9686679840088</v>
      </c>
      <c r="L139" s="6">
        <v>26.2798957824707</v>
      </c>
    </row>
    <row r="140" spans="1:12" x14ac:dyDescent="0.25">
      <c r="A140">
        <v>2406155</v>
      </c>
      <c r="B140" t="str">
        <f t="shared" si="2"/>
        <v>JUNDIA, RN, Brasil</v>
      </c>
      <c r="C140" s="4" t="str">
        <f>_xlfn.XLOOKUP(A140,[1]!DadosGHD[CD_GEOCMU],[1]!DadosGHD[Região])</f>
        <v>NE</v>
      </c>
      <c r="D140" s="4" t="str">
        <f>_xlfn.XLOOKUP(A140,[1]!DadosGHD[CD_GEOCMU],[1]!DadosGHD[uf])</f>
        <v>RN</v>
      </c>
      <c r="E140" s="5" t="str">
        <f>_xlfn.XLOOKUP(A140,[1]!DadosGHD[CD_GEOCMU],[1]!DadosGHD[MUNICIPIO])</f>
        <v>JUNDIA</v>
      </c>
      <c r="F140" s="6">
        <v>28.832521438598601</v>
      </c>
      <c r="G140" s="6">
        <v>28.907878875732401</v>
      </c>
      <c r="H140" s="6">
        <v>28.942651748657202</v>
      </c>
      <c r="I140" s="6">
        <v>28.925045013427699</v>
      </c>
      <c r="J140" s="6">
        <v>33.885459899902301</v>
      </c>
      <c r="K140" s="6">
        <v>29.000246047973601</v>
      </c>
      <c r="L140" s="6">
        <v>30.7178058624268</v>
      </c>
    </row>
    <row r="141" spans="1:12" x14ac:dyDescent="0.25">
      <c r="A141">
        <v>2108306</v>
      </c>
      <c r="B141" t="str">
        <f t="shared" si="2"/>
        <v>PENALVA, MA, Brasil</v>
      </c>
      <c r="C141" s="4" t="str">
        <f>_xlfn.XLOOKUP(A141,[1]!DadosGHD[CD_GEOCMU],[1]!DadosGHD[Região])</f>
        <v>NE</v>
      </c>
      <c r="D141" s="4" t="str">
        <f>_xlfn.XLOOKUP(A141,[1]!DadosGHD[CD_GEOCMU],[1]!DadosGHD[uf])</f>
        <v>MA</v>
      </c>
      <c r="E141" s="5" t="str">
        <f>_xlfn.XLOOKUP(A141,[1]!DadosGHD[CD_GEOCMU],[1]!DadosGHD[MUNICIPIO])</f>
        <v>PENALVA</v>
      </c>
      <c r="F141" s="6">
        <v>28.832521438598601</v>
      </c>
      <c r="G141" s="6">
        <v>28.907878875732401</v>
      </c>
      <c r="H141" s="6">
        <v>28.942651748657202</v>
      </c>
      <c r="I141" s="6">
        <v>28.925045013427699</v>
      </c>
      <c r="J141" s="6">
        <v>28.9409065246582</v>
      </c>
      <c r="K141" s="6">
        <v>28.9686679840088</v>
      </c>
      <c r="L141" s="6">
        <v>26.2798957824707</v>
      </c>
    </row>
    <row r="142" spans="1:12" x14ac:dyDescent="0.25">
      <c r="A142">
        <v>2202117</v>
      </c>
      <c r="B142" t="str">
        <f t="shared" si="2"/>
        <v>CAMPO ALEGRE DO FIDALGO, PI, Brasil</v>
      </c>
      <c r="C142" s="4" t="str">
        <f>_xlfn.XLOOKUP(A142,[1]!DadosGHD[CD_GEOCMU],[1]!DadosGHD[Região])</f>
        <v>NE</v>
      </c>
      <c r="D142" s="4" t="str">
        <f>_xlfn.XLOOKUP(A142,[1]!DadosGHD[CD_GEOCMU],[1]!DadosGHD[uf])</f>
        <v>PI</v>
      </c>
      <c r="E142" s="5" t="str">
        <f>_xlfn.XLOOKUP(A142,[1]!DadosGHD[CD_GEOCMU],[1]!DadosGHD[MUNICIPIO])</f>
        <v>CAMPO ALEGRE DO FIDALGO</v>
      </c>
      <c r="F142" s="6">
        <v>28.832521438598601</v>
      </c>
      <c r="G142" s="6">
        <v>28.907878875732401</v>
      </c>
      <c r="H142" s="6">
        <v>28.942651748657202</v>
      </c>
      <c r="I142" s="6">
        <v>28.925045013427699</v>
      </c>
      <c r="J142" s="6">
        <v>28.9409065246582</v>
      </c>
      <c r="K142" s="6">
        <v>28.9686679840088</v>
      </c>
      <c r="L142" s="6">
        <v>26.280601501464801</v>
      </c>
    </row>
    <row r="143" spans="1:12" x14ac:dyDescent="0.25">
      <c r="A143">
        <v>2108256</v>
      </c>
      <c r="B143" t="str">
        <f t="shared" si="2"/>
        <v>PEDRO DO ROSARIO, MA, Brasil</v>
      </c>
      <c r="C143" s="4" t="str">
        <f>_xlfn.XLOOKUP(A143,[1]!DadosGHD[CD_GEOCMU],[1]!DadosGHD[Região])</f>
        <v>NE</v>
      </c>
      <c r="D143" s="4" t="str">
        <f>_xlfn.XLOOKUP(A143,[1]!DadosGHD[CD_GEOCMU],[1]!DadosGHD[uf])</f>
        <v>MA</v>
      </c>
      <c r="E143" s="5" t="str">
        <f>_xlfn.XLOOKUP(A143,[1]!DadosGHD[CD_GEOCMU],[1]!DadosGHD[MUNICIPIO])</f>
        <v>PEDRO DO ROSARIO</v>
      </c>
      <c r="F143" s="6">
        <v>28.832521438598601</v>
      </c>
      <c r="G143" s="6">
        <v>28.907878875732401</v>
      </c>
      <c r="H143" s="6">
        <v>28.942651748657202</v>
      </c>
      <c r="I143" s="6">
        <v>28.925045013427699</v>
      </c>
      <c r="J143" s="6">
        <v>28.9409065246582</v>
      </c>
      <c r="K143" s="6">
        <v>28.9686679840088</v>
      </c>
      <c r="L143" s="6">
        <v>26.2798957824707</v>
      </c>
    </row>
    <row r="144" spans="1:12" x14ac:dyDescent="0.25">
      <c r="A144">
        <v>3142502</v>
      </c>
      <c r="B144" t="str">
        <f t="shared" si="2"/>
        <v>MONJOLOS, MG, Brasil</v>
      </c>
      <c r="C144" s="4" t="str">
        <f>_xlfn.XLOOKUP(A144,[1]!DadosGHD[CD_GEOCMU],[1]!DadosGHD[Região])</f>
        <v>SD</v>
      </c>
      <c r="D144" s="4" t="str">
        <f>_xlfn.XLOOKUP(A144,[1]!DadosGHD[CD_GEOCMU],[1]!DadosGHD[uf])</f>
        <v>MG</v>
      </c>
      <c r="E144" s="5" t="str">
        <f>_xlfn.XLOOKUP(A144,[1]!DadosGHD[CD_GEOCMU],[1]!DadosGHD[MUNICIPIO])</f>
        <v>MONJOLOS</v>
      </c>
      <c r="F144" s="6">
        <v>28.832521438598601</v>
      </c>
      <c r="G144" s="6">
        <v>38.733375549316399</v>
      </c>
      <c r="H144" s="6">
        <v>38.772300720214801</v>
      </c>
      <c r="I144" s="6">
        <v>38.746292114257798</v>
      </c>
      <c r="J144" s="6">
        <v>28.9409065246582</v>
      </c>
      <c r="K144" s="6">
        <v>28.9686679840088</v>
      </c>
      <c r="L144" s="6">
        <v>26.2798957824707</v>
      </c>
    </row>
    <row r="145" spans="1:12" x14ac:dyDescent="0.25">
      <c r="A145">
        <v>2504207</v>
      </c>
      <c r="B145" t="str">
        <f t="shared" si="2"/>
        <v>CATINGUEIRA, PB, Brasil</v>
      </c>
      <c r="C145" s="4" t="str">
        <f>_xlfn.XLOOKUP(A145,[1]!DadosGHD[CD_GEOCMU],[1]!DadosGHD[Região])</f>
        <v>NE</v>
      </c>
      <c r="D145" s="4" t="str">
        <f>_xlfn.XLOOKUP(A145,[1]!DadosGHD[CD_GEOCMU],[1]!DadosGHD[uf])</f>
        <v>PB</v>
      </c>
      <c r="E145" s="5" t="str">
        <f>_xlfn.XLOOKUP(A145,[1]!DadosGHD[CD_GEOCMU],[1]!DadosGHD[MUNICIPIO])</f>
        <v>CATINGUEIRA</v>
      </c>
      <c r="F145" s="6">
        <v>28.832521438598601</v>
      </c>
      <c r="G145" s="6">
        <v>28.907878875732401</v>
      </c>
      <c r="H145" s="6">
        <v>28.942651748657202</v>
      </c>
      <c r="I145" s="6">
        <v>28.925142288208001</v>
      </c>
      <c r="J145" s="6">
        <v>28.9447116851807</v>
      </c>
      <c r="K145" s="6">
        <v>28.9686679840088</v>
      </c>
      <c r="L145" s="6">
        <v>26.286922454833999</v>
      </c>
    </row>
    <row r="146" spans="1:12" x14ac:dyDescent="0.25">
      <c r="A146">
        <v>2413201</v>
      </c>
      <c r="B146" t="str">
        <f t="shared" si="2"/>
        <v>SENADOR GEORGINO AVELINO, RN, Brasil</v>
      </c>
      <c r="C146" s="4" t="str">
        <f>_xlfn.XLOOKUP(A146,[1]!DadosGHD[CD_GEOCMU],[1]!DadosGHD[Região])</f>
        <v>NE</v>
      </c>
      <c r="D146" s="4" t="str">
        <f>_xlfn.XLOOKUP(A146,[1]!DadosGHD[CD_GEOCMU],[1]!DadosGHD[uf])</f>
        <v>RN</v>
      </c>
      <c r="E146" s="5" t="str">
        <f>_xlfn.XLOOKUP(A146,[1]!DadosGHD[CD_GEOCMU],[1]!DadosGHD[MUNICIPIO])</f>
        <v>SENADOR GEORGINO AVELINO</v>
      </c>
      <c r="F146" s="6">
        <v>28.832521438598601</v>
      </c>
      <c r="G146" s="6">
        <v>28.907878875732401</v>
      </c>
      <c r="H146" s="6">
        <v>28.942651748657202</v>
      </c>
      <c r="I146" s="6">
        <v>28.925045013427699</v>
      </c>
      <c r="J146" s="6">
        <v>28.9409065246582</v>
      </c>
      <c r="K146" s="6">
        <v>28.9686679840088</v>
      </c>
      <c r="L146" s="6">
        <v>26.2798957824707</v>
      </c>
    </row>
    <row r="147" spans="1:12" x14ac:dyDescent="0.25">
      <c r="A147">
        <v>2415008</v>
      </c>
      <c r="B147" t="str">
        <f t="shared" si="2"/>
        <v>VILA FLOR, RN, Brasil</v>
      </c>
      <c r="C147" s="4" t="str">
        <f>_xlfn.XLOOKUP(A147,[1]!DadosGHD[CD_GEOCMU],[1]!DadosGHD[Região])</f>
        <v>NE</v>
      </c>
      <c r="D147" s="4" t="str">
        <f>_xlfn.XLOOKUP(A147,[1]!DadosGHD[CD_GEOCMU],[1]!DadosGHD[uf])</f>
        <v>RN</v>
      </c>
      <c r="E147" s="5" t="str">
        <f>_xlfn.XLOOKUP(A147,[1]!DadosGHD[CD_GEOCMU],[1]!DadosGHD[MUNICIPIO])</f>
        <v>VILA FLOR</v>
      </c>
      <c r="F147" s="6">
        <v>28.832521438598601</v>
      </c>
      <c r="G147" s="6">
        <v>28.907878875732401</v>
      </c>
      <c r="H147" s="6">
        <v>28.942651748657202</v>
      </c>
      <c r="I147" s="6">
        <v>28.925045013427699</v>
      </c>
      <c r="J147" s="6">
        <v>43.788299560546903</v>
      </c>
      <c r="K147" s="6">
        <v>28.9686679840088</v>
      </c>
      <c r="L147" s="6">
        <v>35.115257263183601</v>
      </c>
    </row>
    <row r="148" spans="1:12" x14ac:dyDescent="0.25">
      <c r="A148">
        <v>1301308</v>
      </c>
      <c r="B148" t="str">
        <f t="shared" si="2"/>
        <v>CODAJAS, AM, Brasil</v>
      </c>
      <c r="C148" s="4" t="str">
        <f>_xlfn.XLOOKUP(A148,[1]!DadosGHD[CD_GEOCMU],[1]!DadosGHD[Região])</f>
        <v>NO</v>
      </c>
      <c r="D148" s="4" t="str">
        <f>_xlfn.XLOOKUP(A148,[1]!DadosGHD[CD_GEOCMU],[1]!DadosGHD[uf])</f>
        <v>AM</v>
      </c>
      <c r="E148" s="5" t="str">
        <f>_xlfn.XLOOKUP(A148,[1]!DadosGHD[CD_GEOCMU],[1]!DadosGHD[MUNICIPIO])</f>
        <v>CODAJAS</v>
      </c>
      <c r="F148" s="6">
        <v>28.832521438598601</v>
      </c>
      <c r="G148" s="6">
        <v>28.907878875732401</v>
      </c>
      <c r="H148" s="6">
        <v>28.942651748657202</v>
      </c>
      <c r="I148" s="6">
        <v>28.925045013427699</v>
      </c>
      <c r="J148" s="6">
        <v>28.9409065246582</v>
      </c>
      <c r="K148" s="6">
        <v>28.9686679840088</v>
      </c>
      <c r="L148" s="6">
        <v>26.2798957824707</v>
      </c>
    </row>
    <row r="149" spans="1:12" x14ac:dyDescent="0.25">
      <c r="A149">
        <v>4300001</v>
      </c>
      <c r="B149" t="str">
        <f t="shared" si="2"/>
        <v>LAGOA MIRIM, RS, Brasil</v>
      </c>
      <c r="C149" s="4" t="str">
        <f>_xlfn.XLOOKUP(A149,[1]!DadosGHD[CD_GEOCMU],[1]!DadosGHD[Região])</f>
        <v>SL</v>
      </c>
      <c r="D149" s="4" t="str">
        <f>_xlfn.XLOOKUP(A149,[1]!DadosGHD[CD_GEOCMU],[1]!DadosGHD[uf])</f>
        <v>RS</v>
      </c>
      <c r="E149" s="5" t="str">
        <f>_xlfn.XLOOKUP(A149,[1]!DadosGHD[CD_GEOCMU],[1]!DadosGHD[MUNICIPIO])</f>
        <v>LAGOA MIRIM</v>
      </c>
      <c r="F149" s="6">
        <v>28.832521438598601</v>
      </c>
      <c r="G149" s="6">
        <v>28.907878875732401</v>
      </c>
      <c r="H149" s="6">
        <v>28.942651748657202</v>
      </c>
      <c r="I149" s="6">
        <v>28.925045013427699</v>
      </c>
      <c r="J149" s="6">
        <v>28.9409065246582</v>
      </c>
      <c r="K149" s="6">
        <v>28.9686679840088</v>
      </c>
      <c r="L149" s="6">
        <v>26.2798957824707</v>
      </c>
    </row>
    <row r="150" spans="1:12" x14ac:dyDescent="0.25">
      <c r="A150">
        <v>3120003</v>
      </c>
      <c r="B150" t="str">
        <f t="shared" si="2"/>
        <v>CORREGO NOVO, MG, Brasil</v>
      </c>
      <c r="C150" s="4" t="str">
        <f>_xlfn.XLOOKUP(A150,[1]!DadosGHD[CD_GEOCMU],[1]!DadosGHD[Região])</f>
        <v>SD</v>
      </c>
      <c r="D150" s="4" t="str">
        <f>_xlfn.XLOOKUP(A150,[1]!DadosGHD[CD_GEOCMU],[1]!DadosGHD[uf])</f>
        <v>MG</v>
      </c>
      <c r="E150" s="5" t="str">
        <f>_xlfn.XLOOKUP(A150,[1]!DadosGHD[CD_GEOCMU],[1]!DadosGHD[MUNICIPIO])</f>
        <v>CORREGO NOVO</v>
      </c>
      <c r="F150" s="6">
        <v>28.832521438598601</v>
      </c>
      <c r="G150" s="6">
        <v>28.907878875732401</v>
      </c>
      <c r="H150" s="6">
        <v>28.942651748657202</v>
      </c>
      <c r="I150" s="6">
        <v>28.925045013427699</v>
      </c>
      <c r="J150" s="6">
        <v>28.9409065246582</v>
      </c>
      <c r="K150" s="6">
        <v>28.9686679840088</v>
      </c>
      <c r="L150" s="6">
        <v>26.2798957824707</v>
      </c>
    </row>
    <row r="151" spans="1:12" x14ac:dyDescent="0.25">
      <c r="A151">
        <v>2405504</v>
      </c>
      <c r="B151" t="str">
        <f t="shared" si="2"/>
        <v>JARDIM DE ANGICOS, RN, Brasil</v>
      </c>
      <c r="C151" s="4" t="str">
        <f>_xlfn.XLOOKUP(A151,[1]!DadosGHD[CD_GEOCMU],[1]!DadosGHD[Região])</f>
        <v>NE</v>
      </c>
      <c r="D151" s="4" t="str">
        <f>_xlfn.XLOOKUP(A151,[1]!DadosGHD[CD_GEOCMU],[1]!DadosGHD[uf])</f>
        <v>RN</v>
      </c>
      <c r="E151" s="5" t="str">
        <f>_xlfn.XLOOKUP(A151,[1]!DadosGHD[CD_GEOCMU],[1]!DadosGHD[MUNICIPIO])</f>
        <v>JARDIM DE ANGICOS</v>
      </c>
      <c r="F151" s="6">
        <v>28.832521438598601</v>
      </c>
      <c r="G151" s="6">
        <v>28.907878875732401</v>
      </c>
      <c r="H151" s="6">
        <v>28.942651748657202</v>
      </c>
      <c r="I151" s="6">
        <v>28.925045013427699</v>
      </c>
      <c r="J151" s="6">
        <v>28.9409065246582</v>
      </c>
      <c r="K151" s="6">
        <v>28.9686679840088</v>
      </c>
      <c r="L151" s="6">
        <v>26.2798957824707</v>
      </c>
    </row>
    <row r="152" spans="1:12" x14ac:dyDescent="0.25">
      <c r="A152">
        <v>2205581</v>
      </c>
      <c r="B152" t="str">
        <f t="shared" si="2"/>
        <v>LAGOA DO PIAUI, PI, Brasil</v>
      </c>
      <c r="C152" s="4" t="str">
        <f>_xlfn.XLOOKUP(A152,[1]!DadosGHD[CD_GEOCMU],[1]!DadosGHD[Região])</f>
        <v>NE</v>
      </c>
      <c r="D152" s="4" t="str">
        <f>_xlfn.XLOOKUP(A152,[1]!DadosGHD[CD_GEOCMU],[1]!DadosGHD[uf])</f>
        <v>PI</v>
      </c>
      <c r="E152" s="5" t="str">
        <f>_xlfn.XLOOKUP(A152,[1]!DadosGHD[CD_GEOCMU],[1]!DadosGHD[MUNICIPIO])</f>
        <v>LAGOA DO PIAUI</v>
      </c>
      <c r="F152" s="6">
        <v>28.832521438598601</v>
      </c>
      <c r="G152" s="6">
        <v>28.907878875732401</v>
      </c>
      <c r="H152" s="6">
        <v>28.942651748657202</v>
      </c>
      <c r="I152" s="6">
        <v>28.925045013427699</v>
      </c>
      <c r="J152" s="6">
        <v>28.9409065246582</v>
      </c>
      <c r="K152" s="6">
        <v>28.9686679840088</v>
      </c>
      <c r="L152" s="6">
        <v>30.6902770996094</v>
      </c>
    </row>
    <row r="153" spans="1:12" x14ac:dyDescent="0.25">
      <c r="A153">
        <v>1507300</v>
      </c>
      <c r="B153" t="str">
        <f t="shared" si="2"/>
        <v>SAO FELIX DO XINGU, PA, Brasil</v>
      </c>
      <c r="C153" s="4" t="str">
        <f>_xlfn.XLOOKUP(A153,[1]!DadosGHD[CD_GEOCMU],[1]!DadosGHD[Região])</f>
        <v>NO</v>
      </c>
      <c r="D153" s="4" t="str">
        <f>_xlfn.XLOOKUP(A153,[1]!DadosGHD[CD_GEOCMU],[1]!DadosGHD[uf])</f>
        <v>PA</v>
      </c>
      <c r="E153" s="5" t="str">
        <f>_xlfn.XLOOKUP(A153,[1]!DadosGHD[CD_GEOCMU],[1]!DadosGHD[MUNICIPIO])</f>
        <v>SAO FELIX DO XINGU</v>
      </c>
      <c r="F153" s="6">
        <v>28.832521438598601</v>
      </c>
      <c r="G153" s="6">
        <v>28.907878875732401</v>
      </c>
      <c r="H153" s="6">
        <v>28.942651748657202</v>
      </c>
      <c r="I153" s="6">
        <v>28.9271640777588</v>
      </c>
      <c r="J153" s="6">
        <v>28.948163986206101</v>
      </c>
      <c r="K153" s="6">
        <v>28.978143692016602</v>
      </c>
      <c r="L153" s="6">
        <v>30.702039718627901</v>
      </c>
    </row>
    <row r="154" spans="1:12" x14ac:dyDescent="0.25">
      <c r="A154">
        <v>2806909</v>
      </c>
      <c r="B154" t="str">
        <f t="shared" si="2"/>
        <v>SAO FRANCISCO, SE, Brasil</v>
      </c>
      <c r="C154" s="4" t="str">
        <f>_xlfn.XLOOKUP(A154,[1]!DadosGHD[CD_GEOCMU],[1]!DadosGHD[Região])</f>
        <v>NE</v>
      </c>
      <c r="D154" s="4" t="str">
        <f>_xlfn.XLOOKUP(A154,[1]!DadosGHD[CD_GEOCMU],[1]!DadosGHD[uf])</f>
        <v>SE</v>
      </c>
      <c r="E154" s="5" t="str">
        <f>_xlfn.XLOOKUP(A154,[1]!DadosGHD[CD_GEOCMU],[1]!DadosGHD[MUNICIPIO])</f>
        <v>SAO FRANCISCO</v>
      </c>
      <c r="F154" s="6">
        <v>28.832521438598601</v>
      </c>
      <c r="G154" s="6">
        <v>28.907878875732401</v>
      </c>
      <c r="H154" s="6">
        <v>28.942651748657202</v>
      </c>
      <c r="I154" s="6">
        <v>28.925045013427699</v>
      </c>
      <c r="J154" s="6">
        <v>28.9409065246582</v>
      </c>
      <c r="K154" s="6">
        <v>28.989051818847699</v>
      </c>
      <c r="L154" s="6">
        <v>35.144477844238303</v>
      </c>
    </row>
    <row r="155" spans="1:12" x14ac:dyDescent="0.25">
      <c r="A155">
        <v>3515657</v>
      </c>
      <c r="B155" t="str">
        <f t="shared" si="2"/>
        <v>FERNAO, SP, Brasil</v>
      </c>
      <c r="C155" s="4" t="str">
        <f>_xlfn.XLOOKUP(A155,[1]!DadosGHD[CD_GEOCMU],[1]!DadosGHD[Região])</f>
        <v>SD</v>
      </c>
      <c r="D155" s="4" t="str">
        <f>_xlfn.XLOOKUP(A155,[1]!DadosGHD[CD_GEOCMU],[1]!DadosGHD[uf])</f>
        <v>SP</v>
      </c>
      <c r="E155" s="5" t="str">
        <f>_xlfn.XLOOKUP(A155,[1]!DadosGHD[CD_GEOCMU],[1]!DadosGHD[MUNICIPIO])</f>
        <v>FERNAO</v>
      </c>
      <c r="F155" s="6">
        <v>28.832521438598601</v>
      </c>
      <c r="G155" s="6">
        <v>28.907878875732401</v>
      </c>
      <c r="H155" s="6">
        <v>28.964097976684599</v>
      </c>
      <c r="I155" s="6">
        <v>33.823314666748097</v>
      </c>
      <c r="J155" s="6">
        <v>33.873897552490199</v>
      </c>
      <c r="K155" s="6">
        <v>33.885360717773402</v>
      </c>
      <c r="L155" s="6">
        <v>39.567234039306598</v>
      </c>
    </row>
    <row r="156" spans="1:12" x14ac:dyDescent="0.25">
      <c r="A156">
        <v>2807303</v>
      </c>
      <c r="B156" t="str">
        <f t="shared" si="2"/>
        <v>TELHA, SE, Brasil</v>
      </c>
      <c r="C156" s="4" t="str">
        <f>_xlfn.XLOOKUP(A156,[1]!DadosGHD[CD_GEOCMU],[1]!DadosGHD[Região])</f>
        <v>NE</v>
      </c>
      <c r="D156" s="4" t="str">
        <f>_xlfn.XLOOKUP(A156,[1]!DadosGHD[CD_GEOCMU],[1]!DadosGHD[uf])</f>
        <v>SE</v>
      </c>
      <c r="E156" s="5" t="str">
        <f>_xlfn.XLOOKUP(A156,[1]!DadosGHD[CD_GEOCMU],[1]!DadosGHD[MUNICIPIO])</f>
        <v>TELHA</v>
      </c>
      <c r="F156" s="6">
        <v>28.832521438598601</v>
      </c>
      <c r="G156" s="6">
        <v>28.907878875732401</v>
      </c>
      <c r="H156" s="6">
        <v>28.942651748657202</v>
      </c>
      <c r="I156" s="6">
        <v>28.925045013427699</v>
      </c>
      <c r="J156" s="6">
        <v>28.9409065246582</v>
      </c>
      <c r="K156" s="6">
        <v>28.9686679840088</v>
      </c>
      <c r="L156" s="6">
        <v>26.287036895751999</v>
      </c>
    </row>
    <row r="157" spans="1:12" x14ac:dyDescent="0.25">
      <c r="A157">
        <v>2211357</v>
      </c>
      <c r="B157" t="str">
        <f t="shared" si="2"/>
        <v>VARZEA BRANCA, PI, Brasil</v>
      </c>
      <c r="C157" s="4" t="str">
        <f>_xlfn.XLOOKUP(A157,[1]!DadosGHD[CD_GEOCMU],[1]!DadosGHD[Região])</f>
        <v>NE</v>
      </c>
      <c r="D157" s="4" t="str">
        <f>_xlfn.XLOOKUP(A157,[1]!DadosGHD[CD_GEOCMU],[1]!DadosGHD[uf])</f>
        <v>PI</v>
      </c>
      <c r="E157" s="5" t="str">
        <f>_xlfn.XLOOKUP(A157,[1]!DadosGHD[CD_GEOCMU],[1]!DadosGHD[MUNICIPIO])</f>
        <v>VARZEA BRANCA</v>
      </c>
      <c r="F157" s="6">
        <v>28.832521438598601</v>
      </c>
      <c r="G157" s="6">
        <v>28.907878875732401</v>
      </c>
      <c r="H157" s="6">
        <v>28.942651748657202</v>
      </c>
      <c r="I157" s="6">
        <v>28.925045013427699</v>
      </c>
      <c r="J157" s="6">
        <v>28.9409065246582</v>
      </c>
      <c r="K157" s="6">
        <v>28.9686679840088</v>
      </c>
      <c r="L157" s="6">
        <v>26.2798957824707</v>
      </c>
    </row>
    <row r="158" spans="1:12" x14ac:dyDescent="0.25">
      <c r="A158">
        <v>2206753</v>
      </c>
      <c r="B158" t="str">
        <f t="shared" si="2"/>
        <v>NOSSA SENHORA DE NAZARE, PI, Brasil</v>
      </c>
      <c r="C158" s="4" t="str">
        <f>_xlfn.XLOOKUP(A158,[1]!DadosGHD[CD_GEOCMU],[1]!DadosGHD[Região])</f>
        <v>NE</v>
      </c>
      <c r="D158" s="4" t="str">
        <f>_xlfn.XLOOKUP(A158,[1]!DadosGHD[CD_GEOCMU],[1]!DadosGHD[uf])</f>
        <v>PI</v>
      </c>
      <c r="E158" s="5" t="str">
        <f>_xlfn.XLOOKUP(A158,[1]!DadosGHD[CD_GEOCMU],[1]!DadosGHD[MUNICIPIO])</f>
        <v>NOSSA SENHORA DE NAZARE</v>
      </c>
      <c r="F158" s="6">
        <v>28.832521438598601</v>
      </c>
      <c r="G158" s="6">
        <v>28.907878875732401</v>
      </c>
      <c r="H158" s="6">
        <v>28.942651748657202</v>
      </c>
      <c r="I158" s="6">
        <v>28.925045013427699</v>
      </c>
      <c r="J158" s="6">
        <v>28.9409065246582</v>
      </c>
      <c r="K158" s="6">
        <v>28.9686679840088</v>
      </c>
      <c r="L158" s="6">
        <v>26.2798957824707</v>
      </c>
    </row>
    <row r="159" spans="1:12" x14ac:dyDescent="0.25">
      <c r="A159">
        <v>4313334</v>
      </c>
      <c r="B159" t="str">
        <f t="shared" si="2"/>
        <v>NOVA RAMADA, RS, Brasil</v>
      </c>
      <c r="C159" s="4" t="str">
        <f>_xlfn.XLOOKUP(A159,[1]!DadosGHD[CD_GEOCMU],[1]!DadosGHD[Região])</f>
        <v>SL</v>
      </c>
      <c r="D159" s="4" t="str">
        <f>_xlfn.XLOOKUP(A159,[1]!DadosGHD[CD_GEOCMU],[1]!DadosGHD[uf])</f>
        <v>RS</v>
      </c>
      <c r="E159" s="5" t="str">
        <f>_xlfn.XLOOKUP(A159,[1]!DadosGHD[CD_GEOCMU],[1]!DadosGHD[MUNICIPIO])</f>
        <v>NOVA RAMADA</v>
      </c>
      <c r="F159" s="6">
        <v>28.832521438598601</v>
      </c>
      <c r="G159" s="6">
        <v>38.733814239502003</v>
      </c>
      <c r="H159" s="6">
        <v>38.777057647705099</v>
      </c>
      <c r="I159" s="6">
        <v>38.7823677062988</v>
      </c>
      <c r="J159" s="6">
        <v>38.799613952636697</v>
      </c>
      <c r="K159" s="6">
        <v>38.880149841308601</v>
      </c>
      <c r="L159" s="6">
        <v>35.153575897216797</v>
      </c>
    </row>
    <row r="160" spans="1:12" x14ac:dyDescent="0.25">
      <c r="A160">
        <v>2207934</v>
      </c>
      <c r="B160" t="str">
        <f t="shared" si="2"/>
        <v>PEDRO LAURENTINO, PI, Brasil</v>
      </c>
      <c r="C160" s="4" t="str">
        <f>_xlfn.XLOOKUP(A160,[1]!DadosGHD[CD_GEOCMU],[1]!DadosGHD[Região])</f>
        <v>NE</v>
      </c>
      <c r="D160" s="4" t="str">
        <f>_xlfn.XLOOKUP(A160,[1]!DadosGHD[CD_GEOCMU],[1]!DadosGHD[uf])</f>
        <v>PI</v>
      </c>
      <c r="E160" s="5" t="str">
        <f>_xlfn.XLOOKUP(A160,[1]!DadosGHD[CD_GEOCMU],[1]!DadosGHD[MUNICIPIO])</f>
        <v>PEDRO LAURENTINO</v>
      </c>
      <c r="F160" s="6">
        <v>28.832521438598601</v>
      </c>
      <c r="G160" s="6">
        <v>28.907878875732401</v>
      </c>
      <c r="H160" s="6">
        <v>28.942651748657202</v>
      </c>
      <c r="I160" s="6">
        <v>28.925045013427699</v>
      </c>
      <c r="J160" s="6">
        <v>28.9409065246582</v>
      </c>
      <c r="K160" s="6">
        <v>28.9686679840088</v>
      </c>
      <c r="L160" s="6">
        <v>26.291908264160199</v>
      </c>
    </row>
    <row r="161" spans="1:12" x14ac:dyDescent="0.25">
      <c r="A161">
        <v>3166600</v>
      </c>
      <c r="B161" t="str">
        <f t="shared" si="2"/>
        <v>SERRA DA SAUDADE, MG, Brasil</v>
      </c>
      <c r="C161" s="4" t="str">
        <f>_xlfn.XLOOKUP(A161,[1]!DadosGHD[CD_GEOCMU],[1]!DadosGHD[Região])</f>
        <v>SD</v>
      </c>
      <c r="D161" s="4" t="str">
        <f>_xlfn.XLOOKUP(A161,[1]!DadosGHD[CD_GEOCMU],[1]!DadosGHD[uf])</f>
        <v>MG</v>
      </c>
      <c r="E161" s="5" t="str">
        <f>_xlfn.XLOOKUP(A161,[1]!DadosGHD[CD_GEOCMU],[1]!DadosGHD[MUNICIPIO])</f>
        <v>SERRA DA SAUDADE</v>
      </c>
      <c r="F161" s="6">
        <v>28.832521438598601</v>
      </c>
      <c r="G161" s="6">
        <v>28.907878875732401</v>
      </c>
      <c r="H161" s="6">
        <v>28.942651748657202</v>
      </c>
      <c r="I161" s="6">
        <v>28.925045013427699</v>
      </c>
      <c r="J161" s="6">
        <v>28.9409065246582</v>
      </c>
      <c r="K161" s="6">
        <v>28.9686679840088</v>
      </c>
      <c r="L161" s="6">
        <v>26.283216476440401</v>
      </c>
    </row>
    <row r="162" spans="1:12" x14ac:dyDescent="0.25">
      <c r="A162">
        <v>1713700</v>
      </c>
      <c r="B162" t="str">
        <f t="shared" si="2"/>
        <v>MONTE SANTO DO TOCANTINS, TO, Brasil</v>
      </c>
      <c r="C162" s="4" t="str">
        <f>_xlfn.XLOOKUP(A162,[1]!DadosGHD[CD_GEOCMU],[1]!DadosGHD[Região])</f>
        <v>NO</v>
      </c>
      <c r="D162" s="4" t="str">
        <f>_xlfn.XLOOKUP(A162,[1]!DadosGHD[CD_GEOCMU],[1]!DadosGHD[uf])</f>
        <v>TO</v>
      </c>
      <c r="E162" s="5" t="str">
        <f>_xlfn.XLOOKUP(A162,[1]!DadosGHD[CD_GEOCMU],[1]!DadosGHD[MUNICIPIO])</f>
        <v>MONTE SANTO DO TOCANTINS</v>
      </c>
      <c r="F162" s="6">
        <v>28.832521438598601</v>
      </c>
      <c r="G162" s="6">
        <v>28.907878875732401</v>
      </c>
      <c r="H162" s="6">
        <v>28.942651748657202</v>
      </c>
      <c r="I162" s="6">
        <v>28.925045013427699</v>
      </c>
      <c r="J162" s="6">
        <v>28.9409065246582</v>
      </c>
      <c r="K162" s="6">
        <v>28.9686679840088</v>
      </c>
      <c r="L162" s="6">
        <v>26.2798957824707</v>
      </c>
    </row>
    <row r="163" spans="1:12" x14ac:dyDescent="0.25">
      <c r="A163">
        <v>2209351</v>
      </c>
      <c r="B163" t="str">
        <f t="shared" si="2"/>
        <v>SANTANA DO PIAUI, PI, Brasil</v>
      </c>
      <c r="C163" s="4" t="str">
        <f>_xlfn.XLOOKUP(A163,[1]!DadosGHD[CD_GEOCMU],[1]!DadosGHD[Região])</f>
        <v>NE</v>
      </c>
      <c r="D163" s="4" t="str">
        <f>_xlfn.XLOOKUP(A163,[1]!DadosGHD[CD_GEOCMU],[1]!DadosGHD[uf])</f>
        <v>PI</v>
      </c>
      <c r="E163" s="5" t="str">
        <f>_xlfn.XLOOKUP(A163,[1]!DadosGHD[CD_GEOCMU],[1]!DadosGHD[MUNICIPIO])</f>
        <v>SANTANA DO PIAUI</v>
      </c>
      <c r="F163" s="6">
        <v>28.832521438598601</v>
      </c>
      <c r="G163" s="6">
        <v>28.907878875732401</v>
      </c>
      <c r="H163" s="6">
        <v>28.942651748657202</v>
      </c>
      <c r="I163" s="6">
        <v>28.939548492431602</v>
      </c>
      <c r="J163" s="6">
        <v>28.962272644043001</v>
      </c>
      <c r="K163" s="6">
        <v>28.988916397094702</v>
      </c>
      <c r="L163" s="6">
        <v>35.115573883056598</v>
      </c>
    </row>
    <row r="164" spans="1:12" x14ac:dyDescent="0.25">
      <c r="A164">
        <v>2205565</v>
      </c>
      <c r="B164" t="str">
        <f t="shared" si="2"/>
        <v>LAGOA DO BARRO DO PIAUI, PI, Brasil</v>
      </c>
      <c r="C164" s="4" t="str">
        <f>_xlfn.XLOOKUP(A164,[1]!DadosGHD[CD_GEOCMU],[1]!DadosGHD[Região])</f>
        <v>NE</v>
      </c>
      <c r="D164" s="4" t="str">
        <f>_xlfn.XLOOKUP(A164,[1]!DadosGHD[CD_GEOCMU],[1]!DadosGHD[uf])</f>
        <v>PI</v>
      </c>
      <c r="E164" s="5" t="str">
        <f>_xlfn.XLOOKUP(A164,[1]!DadosGHD[CD_GEOCMU],[1]!DadosGHD[MUNICIPIO])</f>
        <v>LAGOA DO BARRO DO PIAUI</v>
      </c>
      <c r="F164" s="6">
        <v>28.832521438598601</v>
      </c>
      <c r="G164" s="6">
        <v>28.907878875732401</v>
      </c>
      <c r="H164" s="6">
        <v>28.942651748657202</v>
      </c>
      <c r="I164" s="6">
        <v>28.925045013427699</v>
      </c>
      <c r="J164" s="6">
        <v>28.9409065246582</v>
      </c>
      <c r="K164" s="6">
        <v>28.9686679840088</v>
      </c>
      <c r="L164" s="6">
        <v>26.2798957824707</v>
      </c>
    </row>
    <row r="165" spans="1:12" x14ac:dyDescent="0.25">
      <c r="A165">
        <v>2211605</v>
      </c>
      <c r="B165" t="str">
        <f t="shared" si="2"/>
        <v>VILA NOVA DO PIAUI, PI, Brasil</v>
      </c>
      <c r="C165" s="4" t="str">
        <f>_xlfn.XLOOKUP(A165,[1]!DadosGHD[CD_GEOCMU],[1]!DadosGHD[Região])</f>
        <v>NE</v>
      </c>
      <c r="D165" s="4" t="str">
        <f>_xlfn.XLOOKUP(A165,[1]!DadosGHD[CD_GEOCMU],[1]!DadosGHD[uf])</f>
        <v>PI</v>
      </c>
      <c r="E165" s="5" t="str">
        <f>_xlfn.XLOOKUP(A165,[1]!DadosGHD[CD_GEOCMU],[1]!DadosGHD[MUNICIPIO])</f>
        <v>VILA NOVA DO PIAUI</v>
      </c>
      <c r="F165" s="6">
        <v>28.832521438598601</v>
      </c>
      <c r="G165" s="6">
        <v>28.907878875732401</v>
      </c>
      <c r="H165" s="6">
        <v>28.942651748657202</v>
      </c>
      <c r="I165" s="6">
        <v>28.925045013427699</v>
      </c>
      <c r="J165" s="6">
        <v>28.9409065246582</v>
      </c>
      <c r="K165" s="6">
        <v>28.9686679840088</v>
      </c>
      <c r="L165" s="6">
        <v>26.290847778320298</v>
      </c>
    </row>
    <row r="166" spans="1:12" x14ac:dyDescent="0.25">
      <c r="A166">
        <v>2210201</v>
      </c>
      <c r="B166" t="str">
        <f t="shared" si="2"/>
        <v>SAO JOSE DO PIAUI, PI, Brasil</v>
      </c>
      <c r="C166" s="4" t="str">
        <f>_xlfn.XLOOKUP(A166,[1]!DadosGHD[CD_GEOCMU],[1]!DadosGHD[Região])</f>
        <v>NE</v>
      </c>
      <c r="D166" s="4" t="str">
        <f>_xlfn.XLOOKUP(A166,[1]!DadosGHD[CD_GEOCMU],[1]!DadosGHD[uf])</f>
        <v>PI</v>
      </c>
      <c r="E166" s="5" t="str">
        <f>_xlfn.XLOOKUP(A166,[1]!DadosGHD[CD_GEOCMU],[1]!DadosGHD[MUNICIPIO])</f>
        <v>SAO JOSE DO PIAUI</v>
      </c>
      <c r="F166" s="6">
        <v>28.832521438598601</v>
      </c>
      <c r="G166" s="6">
        <v>28.907878875732401</v>
      </c>
      <c r="H166" s="6">
        <v>28.942651748657202</v>
      </c>
      <c r="I166" s="6">
        <v>28.925045013427699</v>
      </c>
      <c r="J166" s="6">
        <v>28.9409065246582</v>
      </c>
      <c r="K166" s="6">
        <v>28.9686679840088</v>
      </c>
      <c r="L166" s="6">
        <v>26.2798957824707</v>
      </c>
    </row>
    <row r="167" spans="1:12" x14ac:dyDescent="0.25">
      <c r="A167">
        <v>2513802</v>
      </c>
      <c r="B167" t="str">
        <f t="shared" si="2"/>
        <v>SANTA TERESINHA, PB, Brasil</v>
      </c>
      <c r="C167" s="4" t="str">
        <f>_xlfn.XLOOKUP(A167,[1]!DadosGHD[CD_GEOCMU],[1]!DadosGHD[Região])</f>
        <v>NE</v>
      </c>
      <c r="D167" s="4" t="str">
        <f>_xlfn.XLOOKUP(A167,[1]!DadosGHD[CD_GEOCMU],[1]!DadosGHD[uf])</f>
        <v>PB</v>
      </c>
      <c r="E167" s="5" t="str">
        <f>_xlfn.XLOOKUP(A167,[1]!DadosGHD[CD_GEOCMU],[1]!DadosGHD[MUNICIPIO])</f>
        <v>SANTA TERESINHA</v>
      </c>
      <c r="F167" s="6">
        <v>28.832521438598601</v>
      </c>
      <c r="G167" s="6">
        <v>28.907878875732401</v>
      </c>
      <c r="H167" s="6">
        <v>28.942651748657202</v>
      </c>
      <c r="I167" s="6">
        <v>28.925045013427699</v>
      </c>
      <c r="J167" s="6">
        <v>28.9409065246582</v>
      </c>
      <c r="K167" s="6">
        <v>28.9686679840088</v>
      </c>
      <c r="L167" s="6">
        <v>26.297325134277301</v>
      </c>
    </row>
    <row r="168" spans="1:12" x14ac:dyDescent="0.25">
      <c r="A168">
        <v>2508406</v>
      </c>
      <c r="B168" t="str">
        <f t="shared" si="2"/>
        <v>LASTRO, PB, Brasil</v>
      </c>
      <c r="C168" s="4" t="str">
        <f>_xlfn.XLOOKUP(A168,[1]!DadosGHD[CD_GEOCMU],[1]!DadosGHD[Região])</f>
        <v>NE</v>
      </c>
      <c r="D168" s="4" t="str">
        <f>_xlfn.XLOOKUP(A168,[1]!DadosGHD[CD_GEOCMU],[1]!DadosGHD[uf])</f>
        <v>PB</v>
      </c>
      <c r="E168" s="5" t="str">
        <f>_xlfn.XLOOKUP(A168,[1]!DadosGHD[CD_GEOCMU],[1]!DadosGHD[MUNICIPIO])</f>
        <v>LASTRO</v>
      </c>
      <c r="F168" s="6">
        <v>28.832521438598601</v>
      </c>
      <c r="G168" s="6">
        <v>28.907878875732401</v>
      </c>
      <c r="H168" s="6">
        <v>28.942651748657202</v>
      </c>
      <c r="I168" s="6">
        <v>28.925045013427699</v>
      </c>
      <c r="J168" s="6">
        <v>28.9409065246582</v>
      </c>
      <c r="K168" s="6">
        <v>28.9686679840088</v>
      </c>
      <c r="L168" s="6">
        <v>26.2845649719238</v>
      </c>
    </row>
    <row r="169" spans="1:12" x14ac:dyDescent="0.25">
      <c r="A169">
        <v>5220280</v>
      </c>
      <c r="B169" t="str">
        <f t="shared" si="2"/>
        <v>SAO PATRICIO, GO, Brasil</v>
      </c>
      <c r="C169" s="4" t="str">
        <f>_xlfn.XLOOKUP(A169,[1]!DadosGHD[CD_GEOCMU],[1]!DadosGHD[Região])</f>
        <v>CO</v>
      </c>
      <c r="D169" s="4" t="str">
        <f>_xlfn.XLOOKUP(A169,[1]!DadosGHD[CD_GEOCMU],[1]!DadosGHD[uf])</f>
        <v>GO</v>
      </c>
      <c r="E169" s="5" t="str">
        <f>_xlfn.XLOOKUP(A169,[1]!DadosGHD[CD_GEOCMU],[1]!DadosGHD[MUNICIPIO])</f>
        <v>SAO PATRICIO</v>
      </c>
      <c r="F169" s="6">
        <v>28.832521438598601</v>
      </c>
      <c r="G169" s="6">
        <v>28.907878875732401</v>
      </c>
      <c r="H169" s="6">
        <v>28.942651748657202</v>
      </c>
      <c r="I169" s="6">
        <v>28.925045013427699</v>
      </c>
      <c r="J169" s="6">
        <v>28.9409065246582</v>
      </c>
      <c r="K169" s="6">
        <v>28.9686679840088</v>
      </c>
      <c r="L169" s="6">
        <v>26.2798957824707</v>
      </c>
    </row>
    <row r="170" spans="1:12" x14ac:dyDescent="0.25">
      <c r="A170">
        <v>2411908</v>
      </c>
      <c r="B170" t="str">
        <f t="shared" si="2"/>
        <v>SAO FRANCISCO DO OESTE, RN, Brasil</v>
      </c>
      <c r="C170" s="4" t="str">
        <f>_xlfn.XLOOKUP(A170,[1]!DadosGHD[CD_GEOCMU],[1]!DadosGHD[Região])</f>
        <v>NE</v>
      </c>
      <c r="D170" s="4" t="str">
        <f>_xlfn.XLOOKUP(A170,[1]!DadosGHD[CD_GEOCMU],[1]!DadosGHD[uf])</f>
        <v>RN</v>
      </c>
      <c r="E170" s="5" t="str">
        <f>_xlfn.XLOOKUP(A170,[1]!DadosGHD[CD_GEOCMU],[1]!DadosGHD[MUNICIPIO])</f>
        <v>SAO FRANCISCO DO OESTE</v>
      </c>
      <c r="F170" s="6">
        <v>28.832521438598601</v>
      </c>
      <c r="G170" s="6">
        <v>28.9380893707275</v>
      </c>
      <c r="H170" s="6">
        <v>38.757377624511697</v>
      </c>
      <c r="I170" s="6">
        <v>33.815437316894503</v>
      </c>
      <c r="J170" s="6">
        <v>28.9409065246582</v>
      </c>
      <c r="K170" s="6">
        <v>28.9686679840088</v>
      </c>
      <c r="L170" s="6">
        <v>35.118339538574197</v>
      </c>
    </row>
    <row r="171" spans="1:12" x14ac:dyDescent="0.25">
      <c r="A171">
        <v>1501956</v>
      </c>
      <c r="B171" t="str">
        <f t="shared" si="2"/>
        <v>CACHOEIRA DO PIRIA, PA, Brasil</v>
      </c>
      <c r="C171" s="4" t="str">
        <f>_xlfn.XLOOKUP(A171,[1]!DadosGHD[CD_GEOCMU],[1]!DadosGHD[Região])</f>
        <v>NO</v>
      </c>
      <c r="D171" s="4" t="str">
        <f>_xlfn.XLOOKUP(A171,[1]!DadosGHD[CD_GEOCMU],[1]!DadosGHD[uf])</f>
        <v>PA</v>
      </c>
      <c r="E171" s="5" t="str">
        <f>_xlfn.XLOOKUP(A171,[1]!DadosGHD[CD_GEOCMU],[1]!DadosGHD[MUNICIPIO])</f>
        <v>CACHOEIRA DO PIRIA</v>
      </c>
      <c r="F171" s="6">
        <v>28.832521438598601</v>
      </c>
      <c r="G171" s="6">
        <v>28.907878875732401</v>
      </c>
      <c r="H171" s="6">
        <v>28.942651748657202</v>
      </c>
      <c r="I171" s="6">
        <v>28.925045013427699</v>
      </c>
      <c r="J171" s="6">
        <v>28.9409065246582</v>
      </c>
      <c r="K171" s="6">
        <v>28.9686679840088</v>
      </c>
      <c r="L171" s="6">
        <v>26.282081604003899</v>
      </c>
    </row>
    <row r="172" spans="1:12" x14ac:dyDescent="0.25">
      <c r="A172">
        <v>1505486</v>
      </c>
      <c r="B172" t="str">
        <f t="shared" si="2"/>
        <v>PACAJA, PA, Brasil</v>
      </c>
      <c r="C172" s="4" t="str">
        <f>_xlfn.XLOOKUP(A172,[1]!DadosGHD[CD_GEOCMU],[1]!DadosGHD[Região])</f>
        <v>NO</v>
      </c>
      <c r="D172" s="4" t="str">
        <f>_xlfn.XLOOKUP(A172,[1]!DadosGHD[CD_GEOCMU],[1]!DadosGHD[uf])</f>
        <v>PA</v>
      </c>
      <c r="E172" s="5" t="str">
        <f>_xlfn.XLOOKUP(A172,[1]!DadosGHD[CD_GEOCMU],[1]!DadosGHD[MUNICIPIO])</f>
        <v>PACAJA</v>
      </c>
      <c r="F172" s="6">
        <v>28.832521438598601</v>
      </c>
      <c r="G172" s="6">
        <v>28.907878875732401</v>
      </c>
      <c r="H172" s="6">
        <v>28.942651748657202</v>
      </c>
      <c r="I172" s="6">
        <v>28.925045013427699</v>
      </c>
      <c r="J172" s="6">
        <v>28.9409065246582</v>
      </c>
      <c r="K172" s="6">
        <v>28.9772052764893</v>
      </c>
      <c r="L172" s="6">
        <v>26.2798957824707</v>
      </c>
    </row>
    <row r="173" spans="1:12" x14ac:dyDescent="0.25">
      <c r="A173">
        <v>4203253</v>
      </c>
      <c r="B173" t="str">
        <f t="shared" si="2"/>
        <v>CAPAO ALTO, SC, Brasil</v>
      </c>
      <c r="C173" s="4" t="str">
        <f>_xlfn.XLOOKUP(A173,[1]!DadosGHD[CD_GEOCMU],[1]!DadosGHD[Região])</f>
        <v>SL</v>
      </c>
      <c r="D173" s="4" t="str">
        <f>_xlfn.XLOOKUP(A173,[1]!DadosGHD[CD_GEOCMU],[1]!DadosGHD[uf])</f>
        <v>SC</v>
      </c>
      <c r="E173" s="5" t="str">
        <f>_xlfn.XLOOKUP(A173,[1]!DadosGHD[CD_GEOCMU],[1]!DadosGHD[MUNICIPIO])</f>
        <v>CAPAO ALTO</v>
      </c>
      <c r="F173" s="6">
        <v>28.832521438598601</v>
      </c>
      <c r="G173" s="6">
        <v>38.749214172363303</v>
      </c>
      <c r="H173" s="6">
        <v>38.8178100585938</v>
      </c>
      <c r="I173" s="6">
        <v>38.813682556152301</v>
      </c>
      <c r="J173" s="6">
        <v>38.825679779052699</v>
      </c>
      <c r="K173" s="6">
        <v>43.8015327453613</v>
      </c>
      <c r="L173" s="6">
        <v>44.0169868469238</v>
      </c>
    </row>
    <row r="174" spans="1:12" x14ac:dyDescent="0.25">
      <c r="A174">
        <v>2202174</v>
      </c>
      <c r="B174" t="str">
        <f t="shared" si="2"/>
        <v>CAMPO LARGO DO PIAUI, PI, Brasil</v>
      </c>
      <c r="C174" s="4" t="str">
        <f>_xlfn.XLOOKUP(A174,[1]!DadosGHD[CD_GEOCMU],[1]!DadosGHD[Região])</f>
        <v>NE</v>
      </c>
      <c r="D174" s="4" t="str">
        <f>_xlfn.XLOOKUP(A174,[1]!DadosGHD[CD_GEOCMU],[1]!DadosGHD[uf])</f>
        <v>PI</v>
      </c>
      <c r="E174" s="5" t="str">
        <f>_xlfn.XLOOKUP(A174,[1]!DadosGHD[CD_GEOCMU],[1]!DadosGHD[MUNICIPIO])</f>
        <v>CAMPO LARGO DO PIAUI</v>
      </c>
      <c r="F174" s="6">
        <v>28.832521438598601</v>
      </c>
      <c r="G174" s="6">
        <v>28.907878875732401</v>
      </c>
      <c r="H174" s="6">
        <v>28.942651748657202</v>
      </c>
      <c r="I174" s="6">
        <v>28.925045013427699</v>
      </c>
      <c r="J174" s="6">
        <v>28.9409065246582</v>
      </c>
      <c r="K174" s="6">
        <v>28.9686679840088</v>
      </c>
      <c r="L174" s="6">
        <v>26.2798957824707</v>
      </c>
    </row>
    <row r="175" spans="1:12" x14ac:dyDescent="0.25">
      <c r="A175">
        <v>2205516</v>
      </c>
      <c r="B175" t="str">
        <f t="shared" si="2"/>
        <v>JUAZEIRO DO PIAUI, PI, Brasil</v>
      </c>
      <c r="C175" s="4" t="str">
        <f>_xlfn.XLOOKUP(A175,[1]!DadosGHD[CD_GEOCMU],[1]!DadosGHD[Região])</f>
        <v>NE</v>
      </c>
      <c r="D175" s="4" t="str">
        <f>_xlfn.XLOOKUP(A175,[1]!DadosGHD[CD_GEOCMU],[1]!DadosGHD[uf])</f>
        <v>PI</v>
      </c>
      <c r="E175" s="5" t="str">
        <f>_xlfn.XLOOKUP(A175,[1]!DadosGHD[CD_GEOCMU],[1]!DadosGHD[MUNICIPIO])</f>
        <v>JUAZEIRO DO PIAUI</v>
      </c>
      <c r="F175" s="6">
        <v>28.832521438598601</v>
      </c>
      <c r="G175" s="6">
        <v>28.907878875732401</v>
      </c>
      <c r="H175" s="6">
        <v>28.942651748657202</v>
      </c>
      <c r="I175" s="6">
        <v>28.925045013427699</v>
      </c>
      <c r="J175" s="6">
        <v>28.9409065246582</v>
      </c>
      <c r="K175" s="6">
        <v>28.9686679840088</v>
      </c>
      <c r="L175" s="6">
        <v>26.2798957824707</v>
      </c>
    </row>
    <row r="176" spans="1:12" x14ac:dyDescent="0.25">
      <c r="A176">
        <v>2209500</v>
      </c>
      <c r="B176" t="str">
        <f t="shared" si="2"/>
        <v>SANTO INACIO DO PIAUI, PI, Brasil</v>
      </c>
      <c r="C176" s="4" t="str">
        <f>_xlfn.XLOOKUP(A176,[1]!DadosGHD[CD_GEOCMU],[1]!DadosGHD[Região])</f>
        <v>NE</v>
      </c>
      <c r="D176" s="4" t="str">
        <f>_xlfn.XLOOKUP(A176,[1]!DadosGHD[CD_GEOCMU],[1]!DadosGHD[uf])</f>
        <v>PI</v>
      </c>
      <c r="E176" s="5" t="str">
        <f>_xlfn.XLOOKUP(A176,[1]!DadosGHD[CD_GEOCMU],[1]!DadosGHD[MUNICIPIO])</f>
        <v>SANTO INACIO DO PIAUI</v>
      </c>
      <c r="F176" s="6">
        <v>28.832521438598601</v>
      </c>
      <c r="G176" s="6">
        <v>28.907878875732401</v>
      </c>
      <c r="H176" s="6">
        <v>28.9520053863525</v>
      </c>
      <c r="I176" s="6">
        <v>33.799228668212898</v>
      </c>
      <c r="J176" s="6">
        <v>33.8544311523438</v>
      </c>
      <c r="K176" s="6">
        <v>28.994001388549801</v>
      </c>
      <c r="L176" s="6">
        <v>30.6976509094238</v>
      </c>
    </row>
    <row r="177" spans="1:12" x14ac:dyDescent="0.25">
      <c r="A177">
        <v>3127909</v>
      </c>
      <c r="B177" t="str">
        <f t="shared" si="2"/>
        <v>GRUPIARA, MG, Brasil</v>
      </c>
      <c r="C177" s="4" t="str">
        <f>_xlfn.XLOOKUP(A177,[1]!DadosGHD[CD_GEOCMU],[1]!DadosGHD[Região])</f>
        <v>SD</v>
      </c>
      <c r="D177" s="4" t="str">
        <f>_xlfn.XLOOKUP(A177,[1]!DadosGHD[CD_GEOCMU],[1]!DadosGHD[uf])</f>
        <v>MG</v>
      </c>
      <c r="E177" s="5" t="str">
        <f>_xlfn.XLOOKUP(A177,[1]!DadosGHD[CD_GEOCMU],[1]!DadosGHD[MUNICIPIO])</f>
        <v>GRUPIARA</v>
      </c>
      <c r="F177" s="6">
        <v>28.832521438598601</v>
      </c>
      <c r="G177" s="6">
        <v>38.719383239746101</v>
      </c>
      <c r="H177" s="6">
        <v>38.767951965332003</v>
      </c>
      <c r="I177" s="6">
        <v>38.744155883789098</v>
      </c>
      <c r="J177" s="6">
        <v>38.761531829833999</v>
      </c>
      <c r="K177" s="6">
        <v>38.798622131347699</v>
      </c>
      <c r="L177" s="6">
        <v>30.7020263671875</v>
      </c>
    </row>
    <row r="178" spans="1:12" x14ac:dyDescent="0.25">
      <c r="A178">
        <v>2414902</v>
      </c>
      <c r="B178" t="str">
        <f t="shared" si="2"/>
        <v>VICOSA, RN, Brasil</v>
      </c>
      <c r="C178" s="4" t="str">
        <f>_xlfn.XLOOKUP(A178,[1]!DadosGHD[CD_GEOCMU],[1]!DadosGHD[Região])</f>
        <v>NE</v>
      </c>
      <c r="D178" s="4" t="str">
        <f>_xlfn.XLOOKUP(A178,[1]!DadosGHD[CD_GEOCMU],[1]!DadosGHD[uf])</f>
        <v>RN</v>
      </c>
      <c r="E178" s="5" t="str">
        <f>_xlfn.XLOOKUP(A178,[1]!DadosGHD[CD_GEOCMU],[1]!DadosGHD[MUNICIPIO])</f>
        <v>VICOSA</v>
      </c>
      <c r="F178" s="6">
        <v>28.832521438598601</v>
      </c>
      <c r="G178" s="6">
        <v>28.907878875732401</v>
      </c>
      <c r="H178" s="6">
        <v>28.942651748657202</v>
      </c>
      <c r="I178" s="6">
        <v>28.9478855133057</v>
      </c>
      <c r="J178" s="6">
        <v>28.954645156860401</v>
      </c>
      <c r="K178" s="6">
        <v>28.993143081665</v>
      </c>
      <c r="L178" s="6">
        <v>30.707426071166999</v>
      </c>
    </row>
    <row r="179" spans="1:12" x14ac:dyDescent="0.25">
      <c r="A179">
        <v>1711100</v>
      </c>
      <c r="B179" t="str">
        <f t="shared" si="2"/>
        <v>ITAPORA DO TOCANTINS, TO, Brasil</v>
      </c>
      <c r="C179" s="4" t="str">
        <f>_xlfn.XLOOKUP(A179,[1]!DadosGHD[CD_GEOCMU],[1]!DadosGHD[Região])</f>
        <v>NO</v>
      </c>
      <c r="D179" s="4" t="str">
        <f>_xlfn.XLOOKUP(A179,[1]!DadosGHD[CD_GEOCMU],[1]!DadosGHD[uf])</f>
        <v>TO</v>
      </c>
      <c r="E179" s="5" t="str">
        <f>_xlfn.XLOOKUP(A179,[1]!DadosGHD[CD_GEOCMU],[1]!DadosGHD[MUNICIPIO])</f>
        <v>ITAPORA DO TOCANTINS</v>
      </c>
      <c r="F179" s="6">
        <v>28.832521438598601</v>
      </c>
      <c r="G179" s="6">
        <v>28.907878875732401</v>
      </c>
      <c r="H179" s="6">
        <v>28.942651748657202</v>
      </c>
      <c r="I179" s="6">
        <v>28.925045013427699</v>
      </c>
      <c r="J179" s="6">
        <v>28.9409065246582</v>
      </c>
      <c r="K179" s="6">
        <v>28.9686679840088</v>
      </c>
      <c r="L179" s="6">
        <v>26.2798957824707</v>
      </c>
    </row>
    <row r="180" spans="1:12" x14ac:dyDescent="0.25">
      <c r="A180">
        <v>2501534</v>
      </c>
      <c r="B180" t="str">
        <f t="shared" si="2"/>
        <v>BARAUNA, PB, Brasil</v>
      </c>
      <c r="C180" s="4" t="str">
        <f>_xlfn.XLOOKUP(A180,[1]!DadosGHD[CD_GEOCMU],[1]!DadosGHD[Região])</f>
        <v>NE</v>
      </c>
      <c r="D180" s="4" t="str">
        <f>_xlfn.XLOOKUP(A180,[1]!DadosGHD[CD_GEOCMU],[1]!DadosGHD[uf])</f>
        <v>PB</v>
      </c>
      <c r="E180" s="5" t="str">
        <f>_xlfn.XLOOKUP(A180,[1]!DadosGHD[CD_GEOCMU],[1]!DadosGHD[MUNICIPIO])</f>
        <v>BARAUNA</v>
      </c>
      <c r="F180" s="6">
        <v>28.832521438598601</v>
      </c>
      <c r="G180" s="6">
        <v>28.907878875732401</v>
      </c>
      <c r="H180" s="6">
        <v>28.942651748657202</v>
      </c>
      <c r="I180" s="6">
        <v>28.925045013427699</v>
      </c>
      <c r="J180" s="6">
        <v>28.9409065246582</v>
      </c>
      <c r="K180" s="6">
        <v>29.002988815307599</v>
      </c>
      <c r="L180" s="6">
        <v>35.126174926757798</v>
      </c>
    </row>
    <row r="181" spans="1:12" x14ac:dyDescent="0.25">
      <c r="A181">
        <v>3532868</v>
      </c>
      <c r="B181" t="str">
        <f t="shared" si="2"/>
        <v>NOVA CASTILHO, SP, Brasil</v>
      </c>
      <c r="C181" s="4" t="str">
        <f>_xlfn.XLOOKUP(A181,[1]!DadosGHD[CD_GEOCMU],[1]!DadosGHD[Região])</f>
        <v>SD</v>
      </c>
      <c r="D181" s="4" t="str">
        <f>_xlfn.XLOOKUP(A181,[1]!DadosGHD[CD_GEOCMU],[1]!DadosGHD[uf])</f>
        <v>SP</v>
      </c>
      <c r="E181" s="5" t="str">
        <f>_xlfn.XLOOKUP(A181,[1]!DadosGHD[CD_GEOCMU],[1]!DadosGHD[MUNICIPIO])</f>
        <v>NOVA CASTILHO</v>
      </c>
      <c r="F181" s="6">
        <v>28.832521438598601</v>
      </c>
      <c r="G181" s="6">
        <v>28.907878875732401</v>
      </c>
      <c r="H181" s="6">
        <v>28.942651748657202</v>
      </c>
      <c r="I181" s="6">
        <v>28.925045013427699</v>
      </c>
      <c r="J181" s="6">
        <v>28.9409065246582</v>
      </c>
      <c r="K181" s="6">
        <v>28.9686679840088</v>
      </c>
      <c r="L181" s="6">
        <v>26.280309677123999</v>
      </c>
    </row>
    <row r="182" spans="1:12" x14ac:dyDescent="0.25">
      <c r="A182">
        <v>2209971</v>
      </c>
      <c r="B182" t="str">
        <f t="shared" si="2"/>
        <v>SAO JOAO DO ARRAIAL, PI, Brasil</v>
      </c>
      <c r="C182" s="4" t="str">
        <f>_xlfn.XLOOKUP(A182,[1]!DadosGHD[CD_GEOCMU],[1]!DadosGHD[Região])</f>
        <v>NE</v>
      </c>
      <c r="D182" s="4" t="str">
        <f>_xlfn.XLOOKUP(A182,[1]!DadosGHD[CD_GEOCMU],[1]!DadosGHD[uf])</f>
        <v>PI</v>
      </c>
      <c r="E182" s="5" t="str">
        <f>_xlfn.XLOOKUP(A182,[1]!DadosGHD[CD_GEOCMU],[1]!DadosGHD[MUNICIPIO])</f>
        <v>SAO JOAO DO ARRAIAL</v>
      </c>
      <c r="F182" s="6">
        <v>28.832521438598601</v>
      </c>
      <c r="G182" s="6">
        <v>28.907878875732401</v>
      </c>
      <c r="H182" s="6">
        <v>28.942651748657202</v>
      </c>
      <c r="I182" s="6">
        <v>28.925045013427699</v>
      </c>
      <c r="J182" s="6">
        <v>28.9409065246582</v>
      </c>
      <c r="K182" s="6">
        <v>28.9686679840088</v>
      </c>
      <c r="L182" s="6">
        <v>26.2798957824707</v>
      </c>
    </row>
    <row r="183" spans="1:12" x14ac:dyDescent="0.25">
      <c r="A183">
        <v>2205540</v>
      </c>
      <c r="B183" t="str">
        <f t="shared" si="2"/>
        <v>LAGOINHA DO PIAUI, PI, Brasil</v>
      </c>
      <c r="C183" s="4" t="str">
        <f>_xlfn.XLOOKUP(A183,[1]!DadosGHD[CD_GEOCMU],[1]!DadosGHD[Região])</f>
        <v>NE</v>
      </c>
      <c r="D183" s="4" t="str">
        <f>_xlfn.XLOOKUP(A183,[1]!DadosGHD[CD_GEOCMU],[1]!DadosGHD[uf])</f>
        <v>PI</v>
      </c>
      <c r="E183" s="5" t="str">
        <f>_xlfn.XLOOKUP(A183,[1]!DadosGHD[CD_GEOCMU],[1]!DadosGHD[MUNICIPIO])</f>
        <v>LAGOINHA DO PIAUI</v>
      </c>
      <c r="F183" s="6">
        <v>28.832521438598601</v>
      </c>
      <c r="G183" s="6">
        <v>28.907878875732401</v>
      </c>
      <c r="H183" s="6">
        <v>28.942651748657202</v>
      </c>
      <c r="I183" s="6">
        <v>28.925045013427699</v>
      </c>
      <c r="J183" s="6">
        <v>28.9409065246582</v>
      </c>
      <c r="K183" s="6">
        <v>28.9686679840088</v>
      </c>
      <c r="L183" s="6">
        <v>26.2798957824707</v>
      </c>
    </row>
    <row r="184" spans="1:12" x14ac:dyDescent="0.25">
      <c r="A184">
        <v>4107520</v>
      </c>
      <c r="B184" t="str">
        <f t="shared" si="2"/>
        <v>ESPERANCA NOVA, PR, Brasil</v>
      </c>
      <c r="C184" s="4" t="str">
        <f>_xlfn.XLOOKUP(A184,[1]!DadosGHD[CD_GEOCMU],[1]!DadosGHD[Região])</f>
        <v>SL</v>
      </c>
      <c r="D184" s="4" t="str">
        <f>_xlfn.XLOOKUP(A184,[1]!DadosGHD[CD_GEOCMU],[1]!DadosGHD[uf])</f>
        <v>PR</v>
      </c>
      <c r="E184" s="5" t="str">
        <f>_xlfn.XLOOKUP(A184,[1]!DadosGHD[CD_GEOCMU],[1]!DadosGHD[MUNICIPIO])</f>
        <v>ESPERANCA NOVA</v>
      </c>
      <c r="F184" s="6">
        <v>28.832521438598601</v>
      </c>
      <c r="G184" s="6">
        <v>38.733650207519503</v>
      </c>
      <c r="H184" s="6">
        <v>38.788787841796903</v>
      </c>
      <c r="I184" s="6">
        <v>38.801471710205099</v>
      </c>
      <c r="J184" s="6">
        <v>38.821144104003899</v>
      </c>
      <c r="K184" s="6">
        <v>38.8594360351563</v>
      </c>
      <c r="L184" s="6">
        <v>39.572032928466797</v>
      </c>
    </row>
    <row r="185" spans="1:12" x14ac:dyDescent="0.25">
      <c r="A185">
        <v>2505352</v>
      </c>
      <c r="B185" t="str">
        <f t="shared" si="2"/>
        <v>DAMIAO, PB, Brasil</v>
      </c>
      <c r="C185" s="4" t="str">
        <f>_xlfn.XLOOKUP(A185,[1]!DadosGHD[CD_GEOCMU],[1]!DadosGHD[Região])</f>
        <v>NE</v>
      </c>
      <c r="D185" s="4" t="str">
        <f>_xlfn.XLOOKUP(A185,[1]!DadosGHD[CD_GEOCMU],[1]!DadosGHD[uf])</f>
        <v>PB</v>
      </c>
      <c r="E185" s="5" t="str">
        <f>_xlfn.XLOOKUP(A185,[1]!DadosGHD[CD_GEOCMU],[1]!DadosGHD[MUNICIPIO])</f>
        <v>DAMIAO</v>
      </c>
      <c r="F185" s="6">
        <v>28.832521438598601</v>
      </c>
      <c r="G185" s="6">
        <v>28.907878875732401</v>
      </c>
      <c r="H185" s="6">
        <v>28.942651748657202</v>
      </c>
      <c r="I185" s="6">
        <v>28.925045013427699</v>
      </c>
      <c r="J185" s="6">
        <v>28.9409065246582</v>
      </c>
      <c r="K185" s="6">
        <v>28.9686679840088</v>
      </c>
      <c r="L185" s="6">
        <v>26.2798957824707</v>
      </c>
    </row>
    <row r="186" spans="1:12" x14ac:dyDescent="0.25">
      <c r="A186">
        <v>2513968</v>
      </c>
      <c r="B186" t="str">
        <f t="shared" si="2"/>
        <v>SAO DOMINGOS, PB, Brasil</v>
      </c>
      <c r="C186" s="4" t="str">
        <f>_xlfn.XLOOKUP(A186,[1]!DadosGHD[CD_GEOCMU],[1]!DadosGHD[Região])</f>
        <v>NE</v>
      </c>
      <c r="D186" s="4" t="str">
        <f>_xlfn.XLOOKUP(A186,[1]!DadosGHD[CD_GEOCMU],[1]!DadosGHD[uf])</f>
        <v>PB</v>
      </c>
      <c r="E186" s="5" t="str">
        <f>_xlfn.XLOOKUP(A186,[1]!DadosGHD[CD_GEOCMU],[1]!DadosGHD[MUNICIPIO])</f>
        <v>SAO DOMINGOS</v>
      </c>
      <c r="F186" s="6">
        <v>28.832521438598601</v>
      </c>
      <c r="G186" s="6">
        <v>28.907878875732401</v>
      </c>
      <c r="H186" s="6">
        <v>28.942651748657202</v>
      </c>
      <c r="I186" s="6">
        <v>28.925045013427699</v>
      </c>
      <c r="J186" s="6">
        <v>28.9409065246582</v>
      </c>
      <c r="K186" s="6">
        <v>28.9686679840088</v>
      </c>
      <c r="L186" s="6">
        <v>26.2864665985107</v>
      </c>
    </row>
    <row r="187" spans="1:12" x14ac:dyDescent="0.25">
      <c r="A187">
        <v>3115003</v>
      </c>
      <c r="B187" t="str">
        <f t="shared" si="2"/>
        <v>CASCALHO RICO, MG, Brasil</v>
      </c>
      <c r="C187" s="4" t="str">
        <f>_xlfn.XLOOKUP(A187,[1]!DadosGHD[CD_GEOCMU],[1]!DadosGHD[Região])</f>
        <v>SD</v>
      </c>
      <c r="D187" s="4" t="str">
        <f>_xlfn.XLOOKUP(A187,[1]!DadosGHD[CD_GEOCMU],[1]!DadosGHD[uf])</f>
        <v>MG</v>
      </c>
      <c r="E187" s="5" t="str">
        <f>_xlfn.XLOOKUP(A187,[1]!DadosGHD[CD_GEOCMU],[1]!DadosGHD[MUNICIPIO])</f>
        <v>CASCALHO RICO</v>
      </c>
      <c r="F187" s="6">
        <v>28.832521438598601</v>
      </c>
      <c r="G187" s="6">
        <v>38.718425750732401</v>
      </c>
      <c r="H187" s="6">
        <v>38.749008178710902</v>
      </c>
      <c r="I187" s="6">
        <v>38.717262268066399</v>
      </c>
      <c r="J187" s="6">
        <v>38.7396850585938</v>
      </c>
      <c r="K187" s="6">
        <v>33.920379638671903</v>
      </c>
      <c r="L187" s="6">
        <v>35.1137886047363</v>
      </c>
    </row>
    <row r="188" spans="1:12" x14ac:dyDescent="0.25">
      <c r="A188">
        <v>2206670</v>
      </c>
      <c r="B188" t="str">
        <f t="shared" si="2"/>
        <v>MORRO DO CHAPEU DO PIAUI, PI, Brasil</v>
      </c>
      <c r="C188" s="4" t="str">
        <f>_xlfn.XLOOKUP(A188,[1]!DadosGHD[CD_GEOCMU],[1]!DadosGHD[Região])</f>
        <v>NE</v>
      </c>
      <c r="D188" s="4" t="str">
        <f>_xlfn.XLOOKUP(A188,[1]!DadosGHD[CD_GEOCMU],[1]!DadosGHD[uf])</f>
        <v>PI</v>
      </c>
      <c r="E188" s="5" t="str">
        <f>_xlfn.XLOOKUP(A188,[1]!DadosGHD[CD_GEOCMU],[1]!DadosGHD[MUNICIPIO])</f>
        <v>MORRO DO CHAPEU DO PIAUI</v>
      </c>
      <c r="F188" s="6">
        <v>28.832521438598601</v>
      </c>
      <c r="G188" s="6">
        <v>28.907878875732401</v>
      </c>
      <c r="H188" s="6">
        <v>28.942651748657202</v>
      </c>
      <c r="I188" s="6">
        <v>28.925045013427699</v>
      </c>
      <c r="J188" s="6">
        <v>28.9409065246582</v>
      </c>
      <c r="K188" s="6">
        <v>28.9686679840088</v>
      </c>
      <c r="L188" s="6">
        <v>26.2837619781494</v>
      </c>
    </row>
    <row r="189" spans="1:12" x14ac:dyDescent="0.25">
      <c r="A189">
        <v>2703502</v>
      </c>
      <c r="B189" t="str">
        <f t="shared" si="2"/>
        <v>JACUIPE, AL, Brasil</v>
      </c>
      <c r="C189" s="4" t="str">
        <f>_xlfn.XLOOKUP(A189,[1]!DadosGHD[CD_GEOCMU],[1]!DadosGHD[Região])</f>
        <v>NE</v>
      </c>
      <c r="D189" s="4" t="str">
        <f>_xlfn.XLOOKUP(A189,[1]!DadosGHD[CD_GEOCMU],[1]!DadosGHD[uf])</f>
        <v>AL</v>
      </c>
      <c r="E189" s="5" t="str">
        <f>_xlfn.XLOOKUP(A189,[1]!DadosGHD[CD_GEOCMU],[1]!DadosGHD[MUNICIPIO])</f>
        <v>JACUIPE</v>
      </c>
      <c r="F189" s="6">
        <v>28.832521438598601</v>
      </c>
      <c r="G189" s="6">
        <v>28.907878875732401</v>
      </c>
      <c r="H189" s="6">
        <v>28.942651748657202</v>
      </c>
      <c r="I189" s="6">
        <v>28.925045013427699</v>
      </c>
      <c r="J189" s="6">
        <v>28.9409065246582</v>
      </c>
      <c r="K189" s="6">
        <v>28.9686679840088</v>
      </c>
      <c r="L189" s="6">
        <v>26.2798957824707</v>
      </c>
    </row>
    <row r="190" spans="1:12" x14ac:dyDescent="0.25">
      <c r="A190">
        <v>1703073</v>
      </c>
      <c r="B190" t="str">
        <f t="shared" si="2"/>
        <v>BARRA DO OURO, TO, Brasil</v>
      </c>
      <c r="C190" s="4" t="str">
        <f>_xlfn.XLOOKUP(A190,[1]!DadosGHD[CD_GEOCMU],[1]!DadosGHD[Região])</f>
        <v>NO</v>
      </c>
      <c r="D190" s="4" t="str">
        <f>_xlfn.XLOOKUP(A190,[1]!DadosGHD[CD_GEOCMU],[1]!DadosGHD[uf])</f>
        <v>TO</v>
      </c>
      <c r="E190" s="5" t="str">
        <f>_xlfn.XLOOKUP(A190,[1]!DadosGHD[CD_GEOCMU],[1]!DadosGHD[MUNICIPIO])</f>
        <v>BARRA DO OURO</v>
      </c>
      <c r="F190" s="6">
        <v>28.832521438598601</v>
      </c>
      <c r="G190" s="6">
        <v>28.907878875732401</v>
      </c>
      <c r="H190" s="6">
        <v>28.942651748657202</v>
      </c>
      <c r="I190" s="6">
        <v>28.925045013427699</v>
      </c>
      <c r="J190" s="6">
        <v>28.9409065246582</v>
      </c>
      <c r="K190" s="6">
        <v>28.9686679840088</v>
      </c>
      <c r="L190" s="6">
        <v>26.2798957824707</v>
      </c>
    </row>
    <row r="191" spans="1:12" x14ac:dyDescent="0.25">
      <c r="A191">
        <v>2514800</v>
      </c>
      <c r="B191" t="str">
        <f t="shared" si="2"/>
        <v>SAO JOSE DOS CORDEIROS, PB, Brasil</v>
      </c>
      <c r="C191" s="4" t="str">
        <f>_xlfn.XLOOKUP(A191,[1]!DadosGHD[CD_GEOCMU],[1]!DadosGHD[Região])</f>
        <v>NE</v>
      </c>
      <c r="D191" s="4" t="str">
        <f>_xlfn.XLOOKUP(A191,[1]!DadosGHD[CD_GEOCMU],[1]!DadosGHD[uf])</f>
        <v>PB</v>
      </c>
      <c r="E191" s="5" t="str">
        <f>_xlfn.XLOOKUP(A191,[1]!DadosGHD[CD_GEOCMU],[1]!DadosGHD[MUNICIPIO])</f>
        <v>SAO JOSE DOS CORDEIROS</v>
      </c>
      <c r="F191" s="6">
        <v>28.832521438598601</v>
      </c>
      <c r="G191" s="6">
        <v>28.907878875732401</v>
      </c>
      <c r="H191" s="6">
        <v>33.810817718505902</v>
      </c>
      <c r="I191" s="6">
        <v>33.8497314453125</v>
      </c>
      <c r="J191" s="6">
        <v>33.827671051025398</v>
      </c>
      <c r="K191" s="6">
        <v>28.9686679840088</v>
      </c>
      <c r="L191" s="6">
        <v>26.284572601318398</v>
      </c>
    </row>
    <row r="192" spans="1:12" x14ac:dyDescent="0.25">
      <c r="A192">
        <v>2201309</v>
      </c>
      <c r="B192" t="str">
        <f t="shared" si="2"/>
        <v>BARREIRAS DO PIAUI, PI, Brasil</v>
      </c>
      <c r="C192" s="4" t="str">
        <f>_xlfn.XLOOKUP(A192,[1]!DadosGHD[CD_GEOCMU],[1]!DadosGHD[Região])</f>
        <v>NE</v>
      </c>
      <c r="D192" s="4" t="str">
        <f>_xlfn.XLOOKUP(A192,[1]!DadosGHD[CD_GEOCMU],[1]!DadosGHD[uf])</f>
        <v>PI</v>
      </c>
      <c r="E192" s="5" t="str">
        <f>_xlfn.XLOOKUP(A192,[1]!DadosGHD[CD_GEOCMU],[1]!DadosGHD[MUNICIPIO])</f>
        <v>BARREIRAS DO PIAUI</v>
      </c>
      <c r="F192" s="6">
        <v>28.832521438598601</v>
      </c>
      <c r="G192" s="6">
        <v>28.907878875732401</v>
      </c>
      <c r="H192" s="6">
        <v>28.942651748657202</v>
      </c>
      <c r="I192" s="6">
        <v>28.925045013427699</v>
      </c>
      <c r="J192" s="6">
        <v>28.9409065246582</v>
      </c>
      <c r="K192" s="6">
        <v>28.9686679840088</v>
      </c>
      <c r="L192" s="6">
        <v>26.2798957824707</v>
      </c>
    </row>
    <row r="193" spans="1:12" x14ac:dyDescent="0.25">
      <c r="A193">
        <v>2512200</v>
      </c>
      <c r="B193" t="str">
        <f t="shared" si="2"/>
        <v>PRATA, PB, Brasil</v>
      </c>
      <c r="C193" s="4" t="str">
        <f>_xlfn.XLOOKUP(A193,[1]!DadosGHD[CD_GEOCMU],[1]!DadosGHD[Região])</f>
        <v>NE</v>
      </c>
      <c r="D193" s="4" t="str">
        <f>_xlfn.XLOOKUP(A193,[1]!DadosGHD[CD_GEOCMU],[1]!DadosGHD[uf])</f>
        <v>PB</v>
      </c>
      <c r="E193" s="5" t="str">
        <f>_xlfn.XLOOKUP(A193,[1]!DadosGHD[CD_GEOCMU],[1]!DadosGHD[MUNICIPIO])</f>
        <v>PRATA</v>
      </c>
      <c r="F193" s="6">
        <v>28.832521438598601</v>
      </c>
      <c r="G193" s="6">
        <v>33.813014984130902</v>
      </c>
      <c r="H193" s="6">
        <v>33.847976684570298</v>
      </c>
      <c r="I193" s="6">
        <v>33.832603454589801</v>
      </c>
      <c r="J193" s="6">
        <v>33.871105194091797</v>
      </c>
      <c r="K193" s="6">
        <v>38.798408508300803</v>
      </c>
      <c r="L193" s="6">
        <v>35.113594055175803</v>
      </c>
    </row>
    <row r="194" spans="1:12" x14ac:dyDescent="0.25">
      <c r="A194">
        <v>5209291</v>
      </c>
      <c r="B194" t="str">
        <f t="shared" si="2"/>
        <v>GUARAITA, GO, Brasil</v>
      </c>
      <c r="C194" s="4" t="str">
        <f>_xlfn.XLOOKUP(A194,[1]!DadosGHD[CD_GEOCMU],[1]!DadosGHD[Região])</f>
        <v>CO</v>
      </c>
      <c r="D194" s="4" t="str">
        <f>_xlfn.XLOOKUP(A194,[1]!DadosGHD[CD_GEOCMU],[1]!DadosGHD[uf])</f>
        <v>GO</v>
      </c>
      <c r="E194" s="5" t="str">
        <f>_xlfn.XLOOKUP(A194,[1]!DadosGHD[CD_GEOCMU],[1]!DadosGHD[MUNICIPIO])</f>
        <v>GUARAITA</v>
      </c>
      <c r="F194" s="6">
        <v>28.832521438598601</v>
      </c>
      <c r="G194" s="6">
        <v>28.907878875732401</v>
      </c>
      <c r="H194" s="6">
        <v>28.942651748657202</v>
      </c>
      <c r="I194" s="6">
        <v>28.925045013427699</v>
      </c>
      <c r="J194" s="6">
        <v>28.9409065246582</v>
      </c>
      <c r="K194" s="6">
        <v>28.9686679840088</v>
      </c>
      <c r="L194" s="6">
        <v>26.280338287353501</v>
      </c>
    </row>
    <row r="195" spans="1:12" x14ac:dyDescent="0.25">
      <c r="A195">
        <v>2209757</v>
      </c>
      <c r="B195" t="str">
        <f t="shared" si="2"/>
        <v>SAO GONCALO DO GURGUEIA, PI, Brasil</v>
      </c>
      <c r="C195" s="4" t="str">
        <f>_xlfn.XLOOKUP(A195,[1]!DadosGHD[CD_GEOCMU],[1]!DadosGHD[Região])</f>
        <v>NE</v>
      </c>
      <c r="D195" s="4" t="str">
        <f>_xlfn.XLOOKUP(A195,[1]!DadosGHD[CD_GEOCMU],[1]!DadosGHD[uf])</f>
        <v>PI</v>
      </c>
      <c r="E195" s="5" t="str">
        <f>_xlfn.XLOOKUP(A195,[1]!DadosGHD[CD_GEOCMU],[1]!DadosGHD[MUNICIPIO])</f>
        <v>SAO GONCALO DO GURGUEIA</v>
      </c>
      <c r="F195" s="6">
        <v>28.832521438598601</v>
      </c>
      <c r="G195" s="6">
        <v>28.907878875732401</v>
      </c>
      <c r="H195" s="6">
        <v>28.942651748657202</v>
      </c>
      <c r="I195" s="6">
        <v>28.925045013427699</v>
      </c>
      <c r="J195" s="6">
        <v>28.9409065246582</v>
      </c>
      <c r="K195" s="6">
        <v>28.9686679840088</v>
      </c>
      <c r="L195" s="6">
        <v>26.2798957824707</v>
      </c>
    </row>
    <row r="196" spans="1:12" x14ac:dyDescent="0.25">
      <c r="A196">
        <v>1711803</v>
      </c>
      <c r="B196" t="str">
        <f t="shared" ref="B196:B259" si="3">_xlfn.CONCAT(E196, ", ", D196, ", Brasil")</f>
        <v>JUARINA, TO, Brasil</v>
      </c>
      <c r="C196" s="4" t="str">
        <f>_xlfn.XLOOKUP(A196,[1]!DadosGHD[CD_GEOCMU],[1]!DadosGHD[Região])</f>
        <v>NO</v>
      </c>
      <c r="D196" s="4" t="str">
        <f>_xlfn.XLOOKUP(A196,[1]!DadosGHD[CD_GEOCMU],[1]!DadosGHD[uf])</f>
        <v>TO</v>
      </c>
      <c r="E196" s="5" t="str">
        <f>_xlfn.XLOOKUP(A196,[1]!DadosGHD[CD_GEOCMU],[1]!DadosGHD[MUNICIPIO])</f>
        <v>JUARINA</v>
      </c>
      <c r="F196" s="6">
        <v>28.832521438598601</v>
      </c>
      <c r="G196" s="6">
        <v>28.907878875732401</v>
      </c>
      <c r="H196" s="6">
        <v>28.942651748657202</v>
      </c>
      <c r="I196" s="6">
        <v>28.925045013427699</v>
      </c>
      <c r="J196" s="6">
        <v>28.9409065246582</v>
      </c>
      <c r="K196" s="6">
        <v>28.9686679840088</v>
      </c>
      <c r="L196" s="6">
        <v>26.2798957824707</v>
      </c>
    </row>
    <row r="197" spans="1:12" x14ac:dyDescent="0.25">
      <c r="A197">
        <v>2410702</v>
      </c>
      <c r="B197" t="str">
        <f t="shared" si="3"/>
        <v>RIACHO DA CRUZ, RN, Brasil</v>
      </c>
      <c r="C197" s="4" t="str">
        <f>_xlfn.XLOOKUP(A197,[1]!DadosGHD[CD_GEOCMU],[1]!DadosGHD[Região])</f>
        <v>NE</v>
      </c>
      <c r="D197" s="4" t="str">
        <f>_xlfn.XLOOKUP(A197,[1]!DadosGHD[CD_GEOCMU],[1]!DadosGHD[uf])</f>
        <v>RN</v>
      </c>
      <c r="E197" s="5" t="str">
        <f>_xlfn.XLOOKUP(A197,[1]!DadosGHD[CD_GEOCMU],[1]!DadosGHD[MUNICIPIO])</f>
        <v>RIACHO DA CRUZ</v>
      </c>
      <c r="F197" s="6">
        <v>28.832521438598601</v>
      </c>
      <c r="G197" s="6">
        <v>28.907878875732401</v>
      </c>
      <c r="H197" s="6">
        <v>28.942651748657202</v>
      </c>
      <c r="I197" s="6">
        <v>28.934007644653299</v>
      </c>
      <c r="J197" s="6">
        <v>28.9500617980957</v>
      </c>
      <c r="K197" s="6">
        <v>29.0044345855713</v>
      </c>
      <c r="L197" s="6">
        <v>35.136985778808601</v>
      </c>
    </row>
    <row r="198" spans="1:12" x14ac:dyDescent="0.25">
      <c r="A198">
        <v>1303700</v>
      </c>
      <c r="B198" t="str">
        <f t="shared" si="3"/>
        <v>SANTO ANTONIO DO ICA, AM, Brasil</v>
      </c>
      <c r="C198" s="4" t="str">
        <f>_xlfn.XLOOKUP(A198,[1]!DadosGHD[CD_GEOCMU],[1]!DadosGHD[Região])</f>
        <v>NO</v>
      </c>
      <c r="D198" s="4" t="str">
        <f>_xlfn.XLOOKUP(A198,[1]!DadosGHD[CD_GEOCMU],[1]!DadosGHD[uf])</f>
        <v>AM</v>
      </c>
      <c r="E198" s="5" t="str">
        <f>_xlfn.XLOOKUP(A198,[1]!DadosGHD[CD_GEOCMU],[1]!DadosGHD[MUNICIPIO])</f>
        <v>SANTO ANTONIO DO ICA</v>
      </c>
      <c r="F198" s="6">
        <v>28.832521438598601</v>
      </c>
      <c r="G198" s="6">
        <v>28.907878875732401</v>
      </c>
      <c r="H198" s="6">
        <v>28.942651748657202</v>
      </c>
      <c r="I198" s="6">
        <v>28.925045013427699</v>
      </c>
      <c r="J198" s="6">
        <v>28.9409065246582</v>
      </c>
      <c r="K198" s="6">
        <v>28.9686679840088</v>
      </c>
      <c r="L198" s="6">
        <v>35.147178649902301</v>
      </c>
    </row>
    <row r="199" spans="1:12" x14ac:dyDescent="0.25">
      <c r="A199">
        <v>2512747</v>
      </c>
      <c r="B199" t="str">
        <f t="shared" si="3"/>
        <v>RIACHAO, PB, Brasil</v>
      </c>
      <c r="C199" s="4" t="str">
        <f>_xlfn.XLOOKUP(A199,[1]!DadosGHD[CD_GEOCMU],[1]!DadosGHD[Região])</f>
        <v>NE</v>
      </c>
      <c r="D199" s="4" t="str">
        <f>_xlfn.XLOOKUP(A199,[1]!DadosGHD[CD_GEOCMU],[1]!DadosGHD[uf])</f>
        <v>PB</v>
      </c>
      <c r="E199" s="5" t="str">
        <f>_xlfn.XLOOKUP(A199,[1]!DadosGHD[CD_GEOCMU],[1]!DadosGHD[MUNICIPIO])</f>
        <v>RIACHAO</v>
      </c>
      <c r="F199" s="6">
        <v>28.832521438598601</v>
      </c>
      <c r="G199" s="6">
        <v>28.907878875732401</v>
      </c>
      <c r="H199" s="6">
        <v>28.942651748657202</v>
      </c>
      <c r="I199" s="6">
        <v>28.925045013427699</v>
      </c>
      <c r="J199" s="6">
        <v>28.9409065246582</v>
      </c>
      <c r="K199" s="6">
        <v>28.9686679840088</v>
      </c>
      <c r="L199" s="6">
        <v>30.6881923675537</v>
      </c>
    </row>
    <row r="200" spans="1:12" x14ac:dyDescent="0.25">
      <c r="A200">
        <v>2210383</v>
      </c>
      <c r="B200" t="str">
        <f t="shared" si="3"/>
        <v>SAO MIGUEL DA BAIXA GRANDE, PI, Brasil</v>
      </c>
      <c r="C200" s="4" t="str">
        <f>_xlfn.XLOOKUP(A200,[1]!DadosGHD[CD_GEOCMU],[1]!DadosGHD[Região])</f>
        <v>NE</v>
      </c>
      <c r="D200" s="4" t="str">
        <f>_xlfn.XLOOKUP(A200,[1]!DadosGHD[CD_GEOCMU],[1]!DadosGHD[uf])</f>
        <v>PI</v>
      </c>
      <c r="E200" s="5" t="str">
        <f>_xlfn.XLOOKUP(A200,[1]!DadosGHD[CD_GEOCMU],[1]!DadosGHD[MUNICIPIO])</f>
        <v>SAO MIGUEL DA BAIXA GRANDE</v>
      </c>
      <c r="F200" s="6">
        <v>28.832521438598601</v>
      </c>
      <c r="G200" s="6">
        <v>28.907878875732401</v>
      </c>
      <c r="H200" s="6">
        <v>28.942651748657202</v>
      </c>
      <c r="I200" s="6">
        <v>28.925045013427699</v>
      </c>
      <c r="J200" s="6">
        <v>28.9409065246582</v>
      </c>
      <c r="K200" s="6">
        <v>28.9686679840088</v>
      </c>
      <c r="L200" s="6">
        <v>26.287971496581999</v>
      </c>
    </row>
    <row r="201" spans="1:12" x14ac:dyDescent="0.25">
      <c r="A201">
        <v>2204550</v>
      </c>
      <c r="B201" t="str">
        <f t="shared" si="3"/>
        <v>GUARIBAS, PI, Brasil</v>
      </c>
      <c r="C201" s="4" t="str">
        <f>_xlfn.XLOOKUP(A201,[1]!DadosGHD[CD_GEOCMU],[1]!DadosGHD[Região])</f>
        <v>NE</v>
      </c>
      <c r="D201" s="4" t="str">
        <f>_xlfn.XLOOKUP(A201,[1]!DadosGHD[CD_GEOCMU],[1]!DadosGHD[uf])</f>
        <v>PI</v>
      </c>
      <c r="E201" s="5" t="str">
        <f>_xlfn.XLOOKUP(A201,[1]!DadosGHD[CD_GEOCMU],[1]!DadosGHD[MUNICIPIO])</f>
        <v>GUARIBAS</v>
      </c>
      <c r="F201" s="6">
        <v>28.832521438598601</v>
      </c>
      <c r="G201" s="6">
        <v>28.907878875732401</v>
      </c>
      <c r="H201" s="6">
        <v>28.942651748657202</v>
      </c>
      <c r="I201" s="6">
        <v>28.925045013427699</v>
      </c>
      <c r="J201" s="6">
        <v>28.9409065246582</v>
      </c>
      <c r="K201" s="6">
        <v>28.9686679840088</v>
      </c>
      <c r="L201" s="6">
        <v>26.2798957824707</v>
      </c>
    </row>
    <row r="202" spans="1:12" x14ac:dyDescent="0.25">
      <c r="A202">
        <v>2512606</v>
      </c>
      <c r="B202" t="str">
        <f t="shared" si="3"/>
        <v>QUIXABA, PB, Brasil</v>
      </c>
      <c r="C202" s="4" t="str">
        <f>_xlfn.XLOOKUP(A202,[1]!DadosGHD[CD_GEOCMU],[1]!DadosGHD[Região])</f>
        <v>NE</v>
      </c>
      <c r="D202" s="4" t="str">
        <f>_xlfn.XLOOKUP(A202,[1]!DadosGHD[CD_GEOCMU],[1]!DadosGHD[uf])</f>
        <v>PB</v>
      </c>
      <c r="E202" s="5" t="str">
        <f>_xlfn.XLOOKUP(A202,[1]!DadosGHD[CD_GEOCMU],[1]!DadosGHD[MUNICIPIO])</f>
        <v>QUIXABA</v>
      </c>
      <c r="F202" s="6">
        <v>28.832521438598601</v>
      </c>
      <c r="G202" s="6">
        <v>28.907878875732401</v>
      </c>
      <c r="H202" s="6">
        <v>28.942651748657202</v>
      </c>
      <c r="I202" s="6">
        <v>28.925045013427699</v>
      </c>
      <c r="J202" s="6">
        <v>28.9409065246582</v>
      </c>
      <c r="K202" s="6">
        <v>28.9686679840088</v>
      </c>
      <c r="L202" s="6">
        <v>26.2798957824707</v>
      </c>
    </row>
    <row r="203" spans="1:12" x14ac:dyDescent="0.25">
      <c r="A203">
        <v>2406403</v>
      </c>
      <c r="B203" t="str">
        <f t="shared" si="3"/>
        <v>LAGOA DE VELHOS, RN, Brasil</v>
      </c>
      <c r="C203" s="4" t="str">
        <f>_xlfn.XLOOKUP(A203,[1]!DadosGHD[CD_GEOCMU],[1]!DadosGHD[Região])</f>
        <v>NE</v>
      </c>
      <c r="D203" s="4" t="str">
        <f>_xlfn.XLOOKUP(A203,[1]!DadosGHD[CD_GEOCMU],[1]!DadosGHD[uf])</f>
        <v>RN</v>
      </c>
      <c r="E203" s="5" t="str">
        <f>_xlfn.XLOOKUP(A203,[1]!DadosGHD[CD_GEOCMU],[1]!DadosGHD[MUNICIPIO])</f>
        <v>LAGOA DE VELHOS</v>
      </c>
      <c r="F203" s="6">
        <v>28.832521438598601</v>
      </c>
      <c r="G203" s="6">
        <v>28.907878875732401</v>
      </c>
      <c r="H203" s="6">
        <v>28.942651748657202</v>
      </c>
      <c r="I203" s="6">
        <v>28.925045013427699</v>
      </c>
      <c r="J203" s="6">
        <v>28.9409065246582</v>
      </c>
      <c r="K203" s="6">
        <v>28.9686679840088</v>
      </c>
      <c r="L203" s="6">
        <v>39.607868194580099</v>
      </c>
    </row>
    <row r="204" spans="1:12" x14ac:dyDescent="0.25">
      <c r="A204">
        <v>5107578</v>
      </c>
      <c r="B204" t="str">
        <f t="shared" si="3"/>
        <v>RONDOLANDIA, MT, Brasil</v>
      </c>
      <c r="C204" s="4" t="str">
        <f>_xlfn.XLOOKUP(A204,[1]!DadosGHD[CD_GEOCMU],[1]!DadosGHD[Região])</f>
        <v>CO</v>
      </c>
      <c r="D204" s="4" t="str">
        <f>_xlfn.XLOOKUP(A204,[1]!DadosGHD[CD_GEOCMU],[1]!DadosGHD[uf])</f>
        <v>MT</v>
      </c>
      <c r="E204" s="5" t="str">
        <f>_xlfn.XLOOKUP(A204,[1]!DadosGHD[CD_GEOCMU],[1]!DadosGHD[MUNICIPIO])</f>
        <v>RONDOLANDIA</v>
      </c>
      <c r="F204" s="6">
        <v>28.832521438598601</v>
      </c>
      <c r="G204" s="6">
        <v>28.907878875732401</v>
      </c>
      <c r="H204" s="6">
        <v>28.942651748657202</v>
      </c>
      <c r="I204" s="6">
        <v>33.830982208252003</v>
      </c>
      <c r="J204" s="6">
        <v>33.846160888671903</v>
      </c>
      <c r="K204" s="6">
        <v>33.882682800292997</v>
      </c>
      <c r="L204" s="6">
        <v>30.711532592773398</v>
      </c>
    </row>
    <row r="205" spans="1:12" x14ac:dyDescent="0.25">
      <c r="A205">
        <v>2200806</v>
      </c>
      <c r="B205" t="str">
        <f t="shared" si="3"/>
        <v>ANTONIO ALMEIDA, PI, Brasil</v>
      </c>
      <c r="C205" s="4" t="str">
        <f>_xlfn.XLOOKUP(A205,[1]!DadosGHD[CD_GEOCMU],[1]!DadosGHD[Região])</f>
        <v>NE</v>
      </c>
      <c r="D205" s="4" t="str">
        <f>_xlfn.XLOOKUP(A205,[1]!DadosGHD[CD_GEOCMU],[1]!DadosGHD[uf])</f>
        <v>PI</v>
      </c>
      <c r="E205" s="5" t="str">
        <f>_xlfn.XLOOKUP(A205,[1]!DadosGHD[CD_GEOCMU],[1]!DadosGHD[MUNICIPIO])</f>
        <v>ANTONIO ALMEIDA</v>
      </c>
      <c r="F205" s="6">
        <v>28.832521438598601</v>
      </c>
      <c r="G205" s="6">
        <v>28.907878875732401</v>
      </c>
      <c r="H205" s="6">
        <v>28.942651748657202</v>
      </c>
      <c r="I205" s="6">
        <v>28.925045013427699</v>
      </c>
      <c r="J205" s="6">
        <v>28.9409065246582</v>
      </c>
      <c r="K205" s="6">
        <v>28.9686679840088</v>
      </c>
      <c r="L205" s="6">
        <v>26.2798957824707</v>
      </c>
    </row>
    <row r="206" spans="1:12" x14ac:dyDescent="0.25">
      <c r="A206">
        <v>2410801</v>
      </c>
      <c r="B206" t="str">
        <f t="shared" si="3"/>
        <v>RIACHO DE SANTANA, RN, Brasil</v>
      </c>
      <c r="C206" s="4" t="str">
        <f>_xlfn.XLOOKUP(A206,[1]!DadosGHD[CD_GEOCMU],[1]!DadosGHD[Região])</f>
        <v>NE</v>
      </c>
      <c r="D206" s="4" t="str">
        <f>_xlfn.XLOOKUP(A206,[1]!DadosGHD[CD_GEOCMU],[1]!DadosGHD[uf])</f>
        <v>RN</v>
      </c>
      <c r="E206" s="5" t="str">
        <f>_xlfn.XLOOKUP(A206,[1]!DadosGHD[CD_GEOCMU],[1]!DadosGHD[MUNICIPIO])</f>
        <v>RIACHO DE SANTANA</v>
      </c>
      <c r="F206" s="6">
        <v>28.832521438598601</v>
      </c>
      <c r="G206" s="6">
        <v>28.9298210144043</v>
      </c>
      <c r="H206" s="6">
        <v>38.744636535644503</v>
      </c>
      <c r="I206" s="6">
        <v>33.804683685302699</v>
      </c>
      <c r="J206" s="6">
        <v>28.9409065246582</v>
      </c>
      <c r="K206" s="6">
        <v>28.9686679840088</v>
      </c>
      <c r="L206" s="6">
        <v>30.7217922210693</v>
      </c>
    </row>
    <row r="207" spans="1:12" x14ac:dyDescent="0.25">
      <c r="A207">
        <v>2202653</v>
      </c>
      <c r="B207" t="str">
        <f t="shared" si="3"/>
        <v>CAXINGO, PI, Brasil</v>
      </c>
      <c r="C207" s="4" t="str">
        <f>_xlfn.XLOOKUP(A207,[1]!DadosGHD[CD_GEOCMU],[1]!DadosGHD[Região])</f>
        <v>NE</v>
      </c>
      <c r="D207" s="4" t="str">
        <f>_xlfn.XLOOKUP(A207,[1]!DadosGHD[CD_GEOCMU],[1]!DadosGHD[uf])</f>
        <v>PI</v>
      </c>
      <c r="E207" s="5" t="str">
        <f>_xlfn.XLOOKUP(A207,[1]!DadosGHD[CD_GEOCMU],[1]!DadosGHD[MUNICIPIO])</f>
        <v>CAXINGO</v>
      </c>
      <c r="F207" s="6">
        <v>28.832521438598601</v>
      </c>
      <c r="G207" s="6">
        <v>28.907878875732401</v>
      </c>
      <c r="H207" s="6">
        <v>28.942651748657202</v>
      </c>
      <c r="I207" s="6">
        <v>28.925045013427699</v>
      </c>
      <c r="J207" s="6">
        <v>28.9409065246582</v>
      </c>
      <c r="K207" s="6">
        <v>28.9686679840088</v>
      </c>
      <c r="L207" s="6">
        <v>26.294126510620099</v>
      </c>
    </row>
    <row r="208" spans="1:12" x14ac:dyDescent="0.25">
      <c r="A208">
        <v>2203230</v>
      </c>
      <c r="B208" t="str">
        <f t="shared" si="3"/>
        <v>CURRAIS, PI, Brasil</v>
      </c>
      <c r="C208" s="4" t="str">
        <f>_xlfn.XLOOKUP(A208,[1]!DadosGHD[CD_GEOCMU],[1]!DadosGHD[Região])</f>
        <v>NE</v>
      </c>
      <c r="D208" s="4" t="str">
        <f>_xlfn.XLOOKUP(A208,[1]!DadosGHD[CD_GEOCMU],[1]!DadosGHD[uf])</f>
        <v>PI</v>
      </c>
      <c r="E208" s="5" t="str">
        <f>_xlfn.XLOOKUP(A208,[1]!DadosGHD[CD_GEOCMU],[1]!DadosGHD[MUNICIPIO])</f>
        <v>CURRAIS</v>
      </c>
      <c r="F208" s="6">
        <v>28.832521438598601</v>
      </c>
      <c r="G208" s="6">
        <v>28.907878875732401</v>
      </c>
      <c r="H208" s="6">
        <v>28.942651748657202</v>
      </c>
      <c r="I208" s="6">
        <v>28.925045013427699</v>
      </c>
      <c r="J208" s="6">
        <v>28.9409065246582</v>
      </c>
      <c r="K208" s="6">
        <v>28.9686679840088</v>
      </c>
      <c r="L208" s="6">
        <v>26.2798957824707</v>
      </c>
    </row>
    <row r="209" spans="1:12" x14ac:dyDescent="0.25">
      <c r="A209">
        <v>2209955</v>
      </c>
      <c r="B209" t="str">
        <f t="shared" si="3"/>
        <v>SAO JOAO DA VARJOTA, PI, Brasil</v>
      </c>
      <c r="C209" s="4" t="str">
        <f>_xlfn.XLOOKUP(A209,[1]!DadosGHD[CD_GEOCMU],[1]!DadosGHD[Região])</f>
        <v>NE</v>
      </c>
      <c r="D209" s="4" t="str">
        <f>_xlfn.XLOOKUP(A209,[1]!DadosGHD[CD_GEOCMU],[1]!DadosGHD[uf])</f>
        <v>PI</v>
      </c>
      <c r="E209" s="5" t="str">
        <f>_xlfn.XLOOKUP(A209,[1]!DadosGHD[CD_GEOCMU],[1]!DadosGHD[MUNICIPIO])</f>
        <v>SAO JOAO DA VARJOTA</v>
      </c>
      <c r="F209" s="6">
        <v>28.832521438598601</v>
      </c>
      <c r="G209" s="6">
        <v>28.907878875732401</v>
      </c>
      <c r="H209" s="6">
        <v>28.942651748657202</v>
      </c>
      <c r="I209" s="6">
        <v>28.925045013427699</v>
      </c>
      <c r="J209" s="6">
        <v>28.9409065246582</v>
      </c>
      <c r="K209" s="6">
        <v>28.9686679840088</v>
      </c>
      <c r="L209" s="6">
        <v>26.2798957824707</v>
      </c>
    </row>
    <row r="210" spans="1:12" x14ac:dyDescent="0.25">
      <c r="A210">
        <v>2515708</v>
      </c>
      <c r="B210" t="str">
        <f t="shared" si="3"/>
        <v>SERRA GRANDE, PB, Brasil</v>
      </c>
      <c r="C210" s="4" t="str">
        <f>_xlfn.XLOOKUP(A210,[1]!DadosGHD[CD_GEOCMU],[1]!DadosGHD[Região])</f>
        <v>NE</v>
      </c>
      <c r="D210" s="4" t="str">
        <f>_xlfn.XLOOKUP(A210,[1]!DadosGHD[CD_GEOCMU],[1]!DadosGHD[uf])</f>
        <v>PB</v>
      </c>
      <c r="E210" s="5" t="str">
        <f>_xlfn.XLOOKUP(A210,[1]!DadosGHD[CD_GEOCMU],[1]!DadosGHD[MUNICIPIO])</f>
        <v>SERRA GRANDE</v>
      </c>
      <c r="F210" s="6">
        <v>28.832521438598601</v>
      </c>
      <c r="G210" s="6">
        <v>28.907878875732401</v>
      </c>
      <c r="H210" s="6">
        <v>28.942651748657202</v>
      </c>
      <c r="I210" s="6">
        <v>28.925045013427699</v>
      </c>
      <c r="J210" s="6">
        <v>28.9409065246582</v>
      </c>
      <c r="K210" s="6">
        <v>28.991859436035199</v>
      </c>
      <c r="L210" s="6">
        <v>35.128944396972699</v>
      </c>
    </row>
    <row r="211" spans="1:12" x14ac:dyDescent="0.25">
      <c r="A211">
        <v>2513505</v>
      </c>
      <c r="B211" t="str">
        <f t="shared" si="3"/>
        <v>SANTANA DE MANGUEIRA, PB, Brasil</v>
      </c>
      <c r="C211" s="4" t="str">
        <f>_xlfn.XLOOKUP(A211,[1]!DadosGHD[CD_GEOCMU],[1]!DadosGHD[Região])</f>
        <v>NE</v>
      </c>
      <c r="D211" s="4" t="str">
        <f>_xlfn.XLOOKUP(A211,[1]!DadosGHD[CD_GEOCMU],[1]!DadosGHD[uf])</f>
        <v>PB</v>
      </c>
      <c r="E211" s="5" t="str">
        <f>_xlfn.XLOOKUP(A211,[1]!DadosGHD[CD_GEOCMU],[1]!DadosGHD[MUNICIPIO])</f>
        <v>SANTANA DE MANGUEIRA</v>
      </c>
      <c r="F211" s="6">
        <v>28.832521438598601</v>
      </c>
      <c r="G211" s="6">
        <v>28.907878875732401</v>
      </c>
      <c r="H211" s="6">
        <v>28.942651748657202</v>
      </c>
      <c r="I211" s="6">
        <v>28.925045013427699</v>
      </c>
      <c r="J211" s="6">
        <v>28.9409065246582</v>
      </c>
      <c r="K211" s="6">
        <v>28.9686679840088</v>
      </c>
      <c r="L211" s="6">
        <v>26.2798957824707</v>
      </c>
    </row>
    <row r="212" spans="1:12" x14ac:dyDescent="0.25">
      <c r="A212">
        <v>2201556</v>
      </c>
      <c r="B212" t="str">
        <f t="shared" si="3"/>
        <v>BELA VISTA DO PIAUI, PI, Brasil</v>
      </c>
      <c r="C212" s="4" t="str">
        <f>_xlfn.XLOOKUP(A212,[1]!DadosGHD[CD_GEOCMU],[1]!DadosGHD[Região])</f>
        <v>NE</v>
      </c>
      <c r="D212" s="4" t="str">
        <f>_xlfn.XLOOKUP(A212,[1]!DadosGHD[CD_GEOCMU],[1]!DadosGHD[uf])</f>
        <v>PI</v>
      </c>
      <c r="E212" s="5" t="str">
        <f>_xlfn.XLOOKUP(A212,[1]!DadosGHD[CD_GEOCMU],[1]!DadosGHD[MUNICIPIO])</f>
        <v>BELA VISTA DO PIAUI</v>
      </c>
      <c r="F212" s="6">
        <v>28.832521438598601</v>
      </c>
      <c r="G212" s="6">
        <v>28.907878875732401</v>
      </c>
      <c r="H212" s="6">
        <v>28.942651748657202</v>
      </c>
      <c r="I212" s="6">
        <v>28.925045013427699</v>
      </c>
      <c r="J212" s="6">
        <v>28.9409065246582</v>
      </c>
      <c r="K212" s="6">
        <v>28.9686679840088</v>
      </c>
      <c r="L212" s="6">
        <v>26.289110183715799</v>
      </c>
    </row>
    <row r="213" spans="1:12" x14ac:dyDescent="0.25">
      <c r="A213">
        <v>4112306</v>
      </c>
      <c r="B213" t="str">
        <f t="shared" si="3"/>
        <v>JAPIRA, PR, Brasil</v>
      </c>
      <c r="C213" s="4" t="str">
        <f>_xlfn.XLOOKUP(A213,[1]!DadosGHD[CD_GEOCMU],[1]!DadosGHD[Região])</f>
        <v>SL</v>
      </c>
      <c r="D213" s="4" t="str">
        <f>_xlfn.XLOOKUP(A213,[1]!DadosGHD[CD_GEOCMU],[1]!DadosGHD[uf])</f>
        <v>PR</v>
      </c>
      <c r="E213" s="5" t="str">
        <f>_xlfn.XLOOKUP(A213,[1]!DadosGHD[CD_GEOCMU],[1]!DadosGHD[MUNICIPIO])</f>
        <v>JAPIRA</v>
      </c>
      <c r="F213" s="6">
        <v>28.832521438598601</v>
      </c>
      <c r="G213" s="6">
        <v>33.827320098877003</v>
      </c>
      <c r="H213" s="6">
        <v>33.863967895507798</v>
      </c>
      <c r="I213" s="6">
        <v>33.838085174560597</v>
      </c>
      <c r="J213" s="6">
        <v>33.850193023681598</v>
      </c>
      <c r="K213" s="6">
        <v>33.920799255371101</v>
      </c>
      <c r="L213" s="6">
        <v>39.591262817382798</v>
      </c>
    </row>
    <row r="214" spans="1:12" x14ac:dyDescent="0.25">
      <c r="A214">
        <v>3149408</v>
      </c>
      <c r="B214" t="str">
        <f t="shared" si="3"/>
        <v>PEDRO TEIXEIRA, MG, Brasil</v>
      </c>
      <c r="C214" s="4" t="str">
        <f>_xlfn.XLOOKUP(A214,[1]!DadosGHD[CD_GEOCMU],[1]!DadosGHD[Região])</f>
        <v>SD</v>
      </c>
      <c r="D214" s="4" t="str">
        <f>_xlfn.XLOOKUP(A214,[1]!DadosGHD[CD_GEOCMU],[1]!DadosGHD[uf])</f>
        <v>MG</v>
      </c>
      <c r="E214" s="5" t="str">
        <f>_xlfn.XLOOKUP(A214,[1]!DadosGHD[CD_GEOCMU],[1]!DadosGHD[MUNICIPIO])</f>
        <v>PEDRO TEIXEIRA</v>
      </c>
      <c r="F214" s="6">
        <v>28.832521438598601</v>
      </c>
      <c r="G214" s="6">
        <v>28.907878875732401</v>
      </c>
      <c r="H214" s="6">
        <v>28.942651748657202</v>
      </c>
      <c r="I214" s="6">
        <v>28.925045013427699</v>
      </c>
      <c r="J214" s="6">
        <v>28.9409065246582</v>
      </c>
      <c r="K214" s="6">
        <v>28.9686679840088</v>
      </c>
      <c r="L214" s="6">
        <v>26.283433914184599</v>
      </c>
    </row>
    <row r="215" spans="1:12" x14ac:dyDescent="0.25">
      <c r="A215">
        <v>1720937</v>
      </c>
      <c r="B215" t="str">
        <f t="shared" si="3"/>
        <v>TAIPAS DO TOCANTINS, TO, Brasil</v>
      </c>
      <c r="C215" s="4" t="str">
        <f>_xlfn.XLOOKUP(A215,[1]!DadosGHD[CD_GEOCMU],[1]!DadosGHD[Região])</f>
        <v>NO</v>
      </c>
      <c r="D215" s="4" t="str">
        <f>_xlfn.XLOOKUP(A215,[1]!DadosGHD[CD_GEOCMU],[1]!DadosGHD[uf])</f>
        <v>TO</v>
      </c>
      <c r="E215" s="5" t="str">
        <f>_xlfn.XLOOKUP(A215,[1]!DadosGHD[CD_GEOCMU],[1]!DadosGHD[MUNICIPIO])</f>
        <v>TAIPAS DO TOCANTINS</v>
      </c>
      <c r="F215" s="6">
        <v>28.832521438598601</v>
      </c>
      <c r="G215" s="6">
        <v>28.907878875732401</v>
      </c>
      <c r="H215" s="6">
        <v>28.942651748657202</v>
      </c>
      <c r="I215" s="6">
        <v>28.925045013427699</v>
      </c>
      <c r="J215" s="6">
        <v>28.9409065246582</v>
      </c>
      <c r="K215" s="6">
        <v>28.9686679840088</v>
      </c>
      <c r="L215" s="6">
        <v>26.2798957824707</v>
      </c>
    </row>
    <row r="216" spans="1:12" x14ac:dyDescent="0.25">
      <c r="A216">
        <v>1701051</v>
      </c>
      <c r="B216" t="str">
        <f t="shared" si="3"/>
        <v>ANGICO, TO, Brasil</v>
      </c>
      <c r="C216" s="4" t="str">
        <f>_xlfn.XLOOKUP(A216,[1]!DadosGHD[CD_GEOCMU],[1]!DadosGHD[Região])</f>
        <v>NO</v>
      </c>
      <c r="D216" s="4" t="str">
        <f>_xlfn.XLOOKUP(A216,[1]!DadosGHD[CD_GEOCMU],[1]!DadosGHD[uf])</f>
        <v>TO</v>
      </c>
      <c r="E216" s="5" t="str">
        <f>_xlfn.XLOOKUP(A216,[1]!DadosGHD[CD_GEOCMU],[1]!DadosGHD[MUNICIPIO])</f>
        <v>ANGICO</v>
      </c>
      <c r="F216" s="6">
        <v>28.832521438598601</v>
      </c>
      <c r="G216" s="6">
        <v>28.907878875732401</v>
      </c>
      <c r="H216" s="6">
        <v>28.942651748657202</v>
      </c>
      <c r="I216" s="6">
        <v>28.925045013427699</v>
      </c>
      <c r="J216" s="6">
        <v>28.9409065246582</v>
      </c>
      <c r="K216" s="6">
        <v>28.9686679840088</v>
      </c>
      <c r="L216" s="6">
        <v>26.2798957824707</v>
      </c>
    </row>
    <row r="217" spans="1:12" x14ac:dyDescent="0.25">
      <c r="A217">
        <v>2210979</v>
      </c>
      <c r="B217" t="str">
        <f t="shared" si="3"/>
        <v>TANQUE DO PIAUI, PI, Brasil</v>
      </c>
      <c r="C217" s="4" t="str">
        <f>_xlfn.XLOOKUP(A217,[1]!DadosGHD[CD_GEOCMU],[1]!DadosGHD[Região])</f>
        <v>NE</v>
      </c>
      <c r="D217" s="4" t="str">
        <f>_xlfn.XLOOKUP(A217,[1]!DadosGHD[CD_GEOCMU],[1]!DadosGHD[uf])</f>
        <v>PI</v>
      </c>
      <c r="E217" s="5" t="str">
        <f>_xlfn.XLOOKUP(A217,[1]!DadosGHD[CD_GEOCMU],[1]!DadosGHD[MUNICIPIO])</f>
        <v>TANQUE DO PIAUI</v>
      </c>
      <c r="F217" s="6">
        <v>28.832521438598601</v>
      </c>
      <c r="G217" s="6">
        <v>28.907878875732401</v>
      </c>
      <c r="H217" s="6">
        <v>28.942651748657202</v>
      </c>
      <c r="I217" s="6">
        <v>28.925045013427699</v>
      </c>
      <c r="J217" s="6">
        <v>28.9409065246582</v>
      </c>
      <c r="K217" s="6">
        <v>28.9686679840088</v>
      </c>
      <c r="L217" s="6">
        <v>26.2798957824707</v>
      </c>
    </row>
    <row r="218" spans="1:12" x14ac:dyDescent="0.25">
      <c r="A218">
        <v>3125309</v>
      </c>
      <c r="B218" t="str">
        <f t="shared" si="3"/>
        <v>FARIA LEMOS, MG, Brasil</v>
      </c>
      <c r="C218" s="4" t="str">
        <f>_xlfn.XLOOKUP(A218,[1]!DadosGHD[CD_GEOCMU],[1]!DadosGHD[Região])</f>
        <v>SD</v>
      </c>
      <c r="D218" s="4" t="str">
        <f>_xlfn.XLOOKUP(A218,[1]!DadosGHD[CD_GEOCMU],[1]!DadosGHD[uf])</f>
        <v>MG</v>
      </c>
      <c r="E218" s="5" t="str">
        <f>_xlfn.XLOOKUP(A218,[1]!DadosGHD[CD_GEOCMU],[1]!DadosGHD[MUNICIPIO])</f>
        <v>FARIA LEMOS</v>
      </c>
      <c r="F218" s="6">
        <v>28.832521438598601</v>
      </c>
      <c r="G218" s="6">
        <v>28.907878875732401</v>
      </c>
      <c r="H218" s="6">
        <v>28.942651748657202</v>
      </c>
      <c r="I218" s="6">
        <v>28.9441013336182</v>
      </c>
      <c r="J218" s="6">
        <v>33.8336372375488</v>
      </c>
      <c r="K218" s="6">
        <v>33.864471435546903</v>
      </c>
      <c r="L218" s="6">
        <v>35.146339416503899</v>
      </c>
    </row>
    <row r="219" spans="1:12" x14ac:dyDescent="0.25">
      <c r="A219">
        <v>2204154</v>
      </c>
      <c r="B219" t="str">
        <f t="shared" si="3"/>
        <v>FRANCISCO MACEDO, PI, Brasil</v>
      </c>
      <c r="C219" s="4" t="str">
        <f>_xlfn.XLOOKUP(A219,[1]!DadosGHD[CD_GEOCMU],[1]!DadosGHD[Região])</f>
        <v>NE</v>
      </c>
      <c r="D219" s="4" t="str">
        <f>_xlfn.XLOOKUP(A219,[1]!DadosGHD[CD_GEOCMU],[1]!DadosGHD[uf])</f>
        <v>PI</v>
      </c>
      <c r="E219" s="5" t="str">
        <f>_xlfn.XLOOKUP(A219,[1]!DadosGHD[CD_GEOCMU],[1]!DadosGHD[MUNICIPIO])</f>
        <v>FRANCISCO MACEDO</v>
      </c>
      <c r="F219" s="6">
        <v>28.832521438598601</v>
      </c>
      <c r="G219" s="6">
        <v>28.907878875732401</v>
      </c>
      <c r="H219" s="6">
        <v>28.942651748657202</v>
      </c>
      <c r="I219" s="6">
        <v>28.925045013427699</v>
      </c>
      <c r="J219" s="6">
        <v>28.9409065246582</v>
      </c>
      <c r="K219" s="6">
        <v>28.9686679840088</v>
      </c>
      <c r="L219" s="6">
        <v>26.2798957824707</v>
      </c>
    </row>
    <row r="220" spans="1:12" x14ac:dyDescent="0.25">
      <c r="A220">
        <v>3161601</v>
      </c>
      <c r="B220" t="str">
        <f t="shared" si="3"/>
        <v>SAO GERALDO DA PIEDADE, MG, Brasil</v>
      </c>
      <c r="C220" s="4" t="str">
        <f>_xlfn.XLOOKUP(A220,[1]!DadosGHD[CD_GEOCMU],[1]!DadosGHD[Região])</f>
        <v>SD</v>
      </c>
      <c r="D220" s="4" t="str">
        <f>_xlfn.XLOOKUP(A220,[1]!DadosGHD[CD_GEOCMU],[1]!DadosGHD[uf])</f>
        <v>MG</v>
      </c>
      <c r="E220" s="5" t="str">
        <f>_xlfn.XLOOKUP(A220,[1]!DadosGHD[CD_GEOCMU],[1]!DadosGHD[MUNICIPIO])</f>
        <v>SAO GERALDO DA PIEDADE</v>
      </c>
      <c r="F220" s="6">
        <v>28.832521438598601</v>
      </c>
      <c r="G220" s="6">
        <v>28.907878875732401</v>
      </c>
      <c r="H220" s="6">
        <v>28.942651748657202</v>
      </c>
      <c r="I220" s="6">
        <v>28.944801330566399</v>
      </c>
      <c r="J220" s="6">
        <v>28.9632358551025</v>
      </c>
      <c r="K220" s="6">
        <v>28.986526489257798</v>
      </c>
      <c r="L220" s="6">
        <v>35.146900177002003</v>
      </c>
    </row>
    <row r="221" spans="1:12" x14ac:dyDescent="0.25">
      <c r="A221">
        <v>2200053</v>
      </c>
      <c r="B221" t="str">
        <f t="shared" si="3"/>
        <v>ACAUA, PI, Brasil</v>
      </c>
      <c r="C221" s="4" t="str">
        <f>_xlfn.XLOOKUP(A221,[1]!DadosGHD[CD_GEOCMU],[1]!DadosGHD[Região])</f>
        <v>NE</v>
      </c>
      <c r="D221" s="4" t="str">
        <f>_xlfn.XLOOKUP(A221,[1]!DadosGHD[CD_GEOCMU],[1]!DadosGHD[uf])</f>
        <v>PI</v>
      </c>
      <c r="E221" s="5" t="str">
        <f>_xlfn.XLOOKUP(A221,[1]!DadosGHD[CD_GEOCMU],[1]!DadosGHD[MUNICIPIO])</f>
        <v>ACAUA</v>
      </c>
      <c r="F221" s="6">
        <v>28.832521438598601</v>
      </c>
      <c r="G221" s="6">
        <v>28.907878875732401</v>
      </c>
      <c r="H221" s="6">
        <v>28.942651748657202</v>
      </c>
      <c r="I221" s="6">
        <v>28.925045013427699</v>
      </c>
      <c r="J221" s="6">
        <v>28.9409065246582</v>
      </c>
      <c r="K221" s="6">
        <v>28.9686679840088</v>
      </c>
      <c r="L221" s="6">
        <v>30.684328079223601</v>
      </c>
    </row>
    <row r="222" spans="1:12" x14ac:dyDescent="0.25">
      <c r="A222">
        <v>1502004</v>
      </c>
      <c r="B222" t="str">
        <f t="shared" si="3"/>
        <v>CACHOEIRA DO ARARI, PA, Brasil</v>
      </c>
      <c r="C222" s="4" t="str">
        <f>_xlfn.XLOOKUP(A222,[1]!DadosGHD[CD_GEOCMU],[1]!DadosGHD[Região])</f>
        <v>NO</v>
      </c>
      <c r="D222" s="4" t="str">
        <f>_xlfn.XLOOKUP(A222,[1]!DadosGHD[CD_GEOCMU],[1]!DadosGHD[uf])</f>
        <v>PA</v>
      </c>
      <c r="E222" s="5" t="str">
        <f>_xlfn.XLOOKUP(A222,[1]!DadosGHD[CD_GEOCMU],[1]!DadosGHD[MUNICIPIO])</f>
        <v>CACHOEIRA DO ARARI</v>
      </c>
      <c r="F222" s="6">
        <v>28.832521438598601</v>
      </c>
      <c r="G222" s="6">
        <v>28.917530059814499</v>
      </c>
      <c r="H222" s="6">
        <v>28.955478668212901</v>
      </c>
      <c r="I222" s="6">
        <v>28.935977935791001</v>
      </c>
      <c r="J222" s="6">
        <v>28.960077285766602</v>
      </c>
      <c r="K222" s="6">
        <v>28.982873916626001</v>
      </c>
      <c r="L222" s="6">
        <v>26.2798957824707</v>
      </c>
    </row>
    <row r="223" spans="1:12" x14ac:dyDescent="0.25">
      <c r="A223">
        <v>2513356</v>
      </c>
      <c r="B223" t="str">
        <f t="shared" si="3"/>
        <v>SANTA INES, PB, Brasil</v>
      </c>
      <c r="C223" s="4" t="str">
        <f>_xlfn.XLOOKUP(A223,[1]!DadosGHD[CD_GEOCMU],[1]!DadosGHD[Região])</f>
        <v>NE</v>
      </c>
      <c r="D223" s="4" t="str">
        <f>_xlfn.XLOOKUP(A223,[1]!DadosGHD[CD_GEOCMU],[1]!DadosGHD[uf])</f>
        <v>PB</v>
      </c>
      <c r="E223" s="5" t="str">
        <f>_xlfn.XLOOKUP(A223,[1]!DadosGHD[CD_GEOCMU],[1]!DadosGHD[MUNICIPIO])</f>
        <v>SANTA INES</v>
      </c>
      <c r="F223" s="6">
        <v>28.832521438598601</v>
      </c>
      <c r="G223" s="6">
        <v>28.907878875732401</v>
      </c>
      <c r="H223" s="6">
        <v>28.942651748657202</v>
      </c>
      <c r="I223" s="6">
        <v>28.925045013427699</v>
      </c>
      <c r="J223" s="6">
        <v>28.9409065246582</v>
      </c>
      <c r="K223" s="6">
        <v>28.9686679840088</v>
      </c>
      <c r="L223" s="6">
        <v>26.28151512146</v>
      </c>
    </row>
    <row r="224" spans="1:12" x14ac:dyDescent="0.25">
      <c r="A224">
        <v>2210904</v>
      </c>
      <c r="B224" t="str">
        <f t="shared" si="3"/>
        <v>SOCORRO DO PIAUI, PI, Brasil</v>
      </c>
      <c r="C224" s="4" t="str">
        <f>_xlfn.XLOOKUP(A224,[1]!DadosGHD[CD_GEOCMU],[1]!DadosGHD[Região])</f>
        <v>NE</v>
      </c>
      <c r="D224" s="4" t="str">
        <f>_xlfn.XLOOKUP(A224,[1]!DadosGHD[CD_GEOCMU],[1]!DadosGHD[uf])</f>
        <v>PI</v>
      </c>
      <c r="E224" s="5" t="str">
        <f>_xlfn.XLOOKUP(A224,[1]!DadosGHD[CD_GEOCMU],[1]!DadosGHD[MUNICIPIO])</f>
        <v>SOCORRO DO PIAUI</v>
      </c>
      <c r="F224" s="6">
        <v>28.832521438598601</v>
      </c>
      <c r="G224" s="6">
        <v>28.907878875732401</v>
      </c>
      <c r="H224" s="6">
        <v>28.942651748657202</v>
      </c>
      <c r="I224" s="6">
        <v>28.925045013427699</v>
      </c>
      <c r="J224" s="6">
        <v>28.9409065246582</v>
      </c>
      <c r="K224" s="6">
        <v>28.9686679840088</v>
      </c>
      <c r="L224" s="6">
        <v>26.2798957824707</v>
      </c>
    </row>
    <row r="225" spans="1:12" x14ac:dyDescent="0.25">
      <c r="A225">
        <v>2502052</v>
      </c>
      <c r="B225" t="str">
        <f t="shared" si="3"/>
        <v>BERNARDINO BATISTA, PB, Brasil</v>
      </c>
      <c r="C225" s="4" t="str">
        <f>_xlfn.XLOOKUP(A225,[1]!DadosGHD[CD_GEOCMU],[1]!DadosGHD[Região])</f>
        <v>NE</v>
      </c>
      <c r="D225" s="4" t="str">
        <f>_xlfn.XLOOKUP(A225,[1]!DadosGHD[CD_GEOCMU],[1]!DadosGHD[uf])</f>
        <v>PB</v>
      </c>
      <c r="E225" s="5" t="str">
        <f>_xlfn.XLOOKUP(A225,[1]!DadosGHD[CD_GEOCMU],[1]!DadosGHD[MUNICIPIO])</f>
        <v>BERNARDINO BATISTA</v>
      </c>
      <c r="F225" s="6">
        <v>28.832521438598601</v>
      </c>
      <c r="G225" s="6">
        <v>28.926555633544901</v>
      </c>
      <c r="H225" s="6">
        <v>28.9748439788818</v>
      </c>
      <c r="I225" s="6">
        <v>33.806640625</v>
      </c>
      <c r="J225" s="6">
        <v>28.9771633148193</v>
      </c>
      <c r="K225" s="6">
        <v>33.871326446533203</v>
      </c>
      <c r="L225" s="6">
        <v>35.151252746582003</v>
      </c>
    </row>
    <row r="226" spans="1:12" x14ac:dyDescent="0.25">
      <c r="A226">
        <v>3142254</v>
      </c>
      <c r="B226" t="str">
        <f t="shared" si="3"/>
        <v>MIRAVANIA, MG, Brasil</v>
      </c>
      <c r="C226" s="4" t="str">
        <f>_xlfn.XLOOKUP(A226,[1]!DadosGHD[CD_GEOCMU],[1]!DadosGHD[Região])</f>
        <v>SD</v>
      </c>
      <c r="D226" s="4" t="str">
        <f>_xlfn.XLOOKUP(A226,[1]!DadosGHD[CD_GEOCMU],[1]!DadosGHD[uf])</f>
        <v>MG</v>
      </c>
      <c r="E226" s="5" t="str">
        <f>_xlfn.XLOOKUP(A226,[1]!DadosGHD[CD_GEOCMU],[1]!DadosGHD[MUNICIPIO])</f>
        <v>MIRAVANIA</v>
      </c>
      <c r="F226" s="6">
        <v>28.832521438598601</v>
      </c>
      <c r="G226" s="6">
        <v>28.907878875732401</v>
      </c>
      <c r="H226" s="6">
        <v>28.942651748657202</v>
      </c>
      <c r="I226" s="6">
        <v>28.925045013427699</v>
      </c>
      <c r="J226" s="6">
        <v>28.9409065246582</v>
      </c>
      <c r="K226" s="6">
        <v>28.9686679840088</v>
      </c>
      <c r="L226" s="6">
        <v>26.2798957824707</v>
      </c>
    </row>
    <row r="227" spans="1:12" x14ac:dyDescent="0.25">
      <c r="A227">
        <v>2202778</v>
      </c>
      <c r="B227" t="str">
        <f t="shared" si="3"/>
        <v>COLONIA DO PIAUI, PI, Brasil</v>
      </c>
      <c r="C227" s="4" t="str">
        <f>_xlfn.XLOOKUP(A227,[1]!DadosGHD[CD_GEOCMU],[1]!DadosGHD[Região])</f>
        <v>NE</v>
      </c>
      <c r="D227" s="4" t="str">
        <f>_xlfn.XLOOKUP(A227,[1]!DadosGHD[CD_GEOCMU],[1]!DadosGHD[uf])</f>
        <v>PI</v>
      </c>
      <c r="E227" s="5" t="str">
        <f>_xlfn.XLOOKUP(A227,[1]!DadosGHD[CD_GEOCMU],[1]!DadosGHD[MUNICIPIO])</f>
        <v>COLONIA DO PIAUI</v>
      </c>
      <c r="F227" s="6">
        <v>28.832521438598601</v>
      </c>
      <c r="G227" s="6">
        <v>28.907878875732401</v>
      </c>
      <c r="H227" s="6">
        <v>28.942651748657202</v>
      </c>
      <c r="I227" s="6">
        <v>28.925045013427699</v>
      </c>
      <c r="J227" s="6">
        <v>28.9409065246582</v>
      </c>
      <c r="K227" s="6">
        <v>28.9686679840088</v>
      </c>
      <c r="L227" s="6">
        <v>26.291002273559599</v>
      </c>
    </row>
    <row r="228" spans="1:12" x14ac:dyDescent="0.25">
      <c r="A228">
        <v>2208858</v>
      </c>
      <c r="B228" t="str">
        <f t="shared" si="3"/>
        <v>RIACHO FRIO, PI, Brasil</v>
      </c>
      <c r="C228" s="4" t="str">
        <f>_xlfn.XLOOKUP(A228,[1]!DadosGHD[CD_GEOCMU],[1]!DadosGHD[Região])</f>
        <v>NE</v>
      </c>
      <c r="D228" s="4" t="str">
        <f>_xlfn.XLOOKUP(A228,[1]!DadosGHD[CD_GEOCMU],[1]!DadosGHD[uf])</f>
        <v>PI</v>
      </c>
      <c r="E228" s="5" t="str">
        <f>_xlfn.XLOOKUP(A228,[1]!DadosGHD[CD_GEOCMU],[1]!DadosGHD[MUNICIPIO])</f>
        <v>RIACHO FRIO</v>
      </c>
      <c r="F228" s="6">
        <v>28.832521438598601</v>
      </c>
      <c r="G228" s="6">
        <v>28.907878875732401</v>
      </c>
      <c r="H228" s="6">
        <v>28.942651748657202</v>
      </c>
      <c r="I228" s="6">
        <v>28.925045013427699</v>
      </c>
      <c r="J228" s="6">
        <v>28.9409065246582</v>
      </c>
      <c r="K228" s="6">
        <v>28.9686679840088</v>
      </c>
      <c r="L228" s="6">
        <v>26.2798957824707</v>
      </c>
    </row>
    <row r="229" spans="1:12" x14ac:dyDescent="0.25">
      <c r="A229">
        <v>5219456</v>
      </c>
      <c r="B229" t="str">
        <f t="shared" si="3"/>
        <v>SANTA RITA DO NOVO DESTINO, GO, Brasil</v>
      </c>
      <c r="C229" s="4" t="str">
        <f>_xlfn.XLOOKUP(A229,[1]!DadosGHD[CD_GEOCMU],[1]!DadosGHD[Região])</f>
        <v>CO</v>
      </c>
      <c r="D229" s="4" t="str">
        <f>_xlfn.XLOOKUP(A229,[1]!DadosGHD[CD_GEOCMU],[1]!DadosGHD[uf])</f>
        <v>GO</v>
      </c>
      <c r="E229" s="5" t="str">
        <f>_xlfn.XLOOKUP(A229,[1]!DadosGHD[CD_GEOCMU],[1]!DadosGHD[MUNICIPIO])</f>
        <v>SANTA RITA DO NOVO DESTINO</v>
      </c>
      <c r="F229" s="6">
        <v>28.832521438598601</v>
      </c>
      <c r="G229" s="6">
        <v>33.765430450439503</v>
      </c>
      <c r="H229" s="6">
        <v>33.851009368896499</v>
      </c>
      <c r="I229" s="6">
        <v>33.791324615478501</v>
      </c>
      <c r="J229" s="6">
        <v>28.9409065246582</v>
      </c>
      <c r="K229" s="6">
        <v>28.9686679840088</v>
      </c>
      <c r="L229" s="6">
        <v>26.299898147583001</v>
      </c>
    </row>
    <row r="230" spans="1:12" x14ac:dyDescent="0.25">
      <c r="A230">
        <v>2209203</v>
      </c>
      <c r="B230" t="str">
        <f t="shared" si="3"/>
        <v>SANTA FILOMENA, PI, Brasil</v>
      </c>
      <c r="C230" s="4" t="str">
        <f>_xlfn.XLOOKUP(A230,[1]!DadosGHD[CD_GEOCMU],[1]!DadosGHD[Região])</f>
        <v>NE</v>
      </c>
      <c r="D230" s="4" t="str">
        <f>_xlfn.XLOOKUP(A230,[1]!DadosGHD[CD_GEOCMU],[1]!DadosGHD[uf])</f>
        <v>PI</v>
      </c>
      <c r="E230" s="5" t="str">
        <f>_xlfn.XLOOKUP(A230,[1]!DadosGHD[CD_GEOCMU],[1]!DadosGHD[MUNICIPIO])</f>
        <v>SANTA FILOMENA</v>
      </c>
      <c r="F230" s="6">
        <v>28.832521438598601</v>
      </c>
      <c r="G230" s="6">
        <v>28.907878875732401</v>
      </c>
      <c r="H230" s="6">
        <v>28.942651748657202</v>
      </c>
      <c r="I230" s="6">
        <v>28.925045013427699</v>
      </c>
      <c r="J230" s="6">
        <v>28.9409065246582</v>
      </c>
      <c r="K230" s="6">
        <v>28.9686679840088</v>
      </c>
      <c r="L230" s="6">
        <v>26.2798957824707</v>
      </c>
    </row>
    <row r="231" spans="1:12" x14ac:dyDescent="0.25">
      <c r="A231">
        <v>2211506</v>
      </c>
      <c r="B231" t="str">
        <f t="shared" si="3"/>
        <v>VERA MENDES, PI, Brasil</v>
      </c>
      <c r="C231" s="4" t="str">
        <f>_xlfn.XLOOKUP(A231,[1]!DadosGHD[CD_GEOCMU],[1]!DadosGHD[Região])</f>
        <v>NE</v>
      </c>
      <c r="D231" s="4" t="str">
        <f>_xlfn.XLOOKUP(A231,[1]!DadosGHD[CD_GEOCMU],[1]!DadosGHD[uf])</f>
        <v>PI</v>
      </c>
      <c r="E231" s="5" t="str">
        <f>_xlfn.XLOOKUP(A231,[1]!DadosGHD[CD_GEOCMU],[1]!DadosGHD[MUNICIPIO])</f>
        <v>VERA MENDES</v>
      </c>
      <c r="F231" s="6">
        <v>28.832521438598601</v>
      </c>
      <c r="G231" s="6">
        <v>28.907878875732401</v>
      </c>
      <c r="H231" s="6">
        <v>28.942651748657202</v>
      </c>
      <c r="I231" s="6">
        <v>28.925045013427699</v>
      </c>
      <c r="J231" s="6">
        <v>28.9409065246582</v>
      </c>
      <c r="K231" s="6">
        <v>28.9686679840088</v>
      </c>
      <c r="L231" s="6">
        <v>26.2798957824707</v>
      </c>
    </row>
    <row r="232" spans="1:12" x14ac:dyDescent="0.25">
      <c r="A232">
        <v>2413805</v>
      </c>
      <c r="B232" t="str">
        <f t="shared" si="3"/>
        <v>TABOLEIRO GRANDE, RN, Brasil</v>
      </c>
      <c r="C232" s="4" t="str">
        <f>_xlfn.XLOOKUP(A232,[1]!DadosGHD[CD_GEOCMU],[1]!DadosGHD[Região])</f>
        <v>NE</v>
      </c>
      <c r="D232" s="4" t="str">
        <f>_xlfn.XLOOKUP(A232,[1]!DadosGHD[CD_GEOCMU],[1]!DadosGHD[uf])</f>
        <v>RN</v>
      </c>
      <c r="E232" s="5" t="str">
        <f>_xlfn.XLOOKUP(A232,[1]!DadosGHD[CD_GEOCMU],[1]!DadosGHD[MUNICIPIO])</f>
        <v>TABOLEIRO GRANDE</v>
      </c>
      <c r="F232" s="6">
        <v>28.832521438598601</v>
      </c>
      <c r="G232" s="6">
        <v>28.9183158874512</v>
      </c>
      <c r="H232" s="6">
        <v>33.862327575683601</v>
      </c>
      <c r="I232" s="6">
        <v>28.955589294433601</v>
      </c>
      <c r="J232" s="6">
        <v>28.9409065246582</v>
      </c>
      <c r="K232" s="6">
        <v>28.9686679840088</v>
      </c>
      <c r="L232" s="6">
        <v>35.129913330078097</v>
      </c>
    </row>
    <row r="233" spans="1:12" x14ac:dyDescent="0.25">
      <c r="A233">
        <v>2102150</v>
      </c>
      <c r="B233" t="str">
        <f t="shared" si="3"/>
        <v>BREJO DE AREIA, MA, Brasil</v>
      </c>
      <c r="C233" s="4" t="str">
        <f>_xlfn.XLOOKUP(A233,[1]!DadosGHD[CD_GEOCMU],[1]!DadosGHD[Região])</f>
        <v>NE</v>
      </c>
      <c r="D233" s="4" t="str">
        <f>_xlfn.XLOOKUP(A233,[1]!DadosGHD[CD_GEOCMU],[1]!DadosGHD[uf])</f>
        <v>MA</v>
      </c>
      <c r="E233" s="5" t="str">
        <f>_xlfn.XLOOKUP(A233,[1]!DadosGHD[CD_GEOCMU],[1]!DadosGHD[MUNICIPIO])</f>
        <v>BREJO DE AREIA</v>
      </c>
      <c r="F233" s="6">
        <v>28.832521438598601</v>
      </c>
      <c r="G233" s="6">
        <v>28.907878875732401</v>
      </c>
      <c r="H233" s="6">
        <v>28.942651748657202</v>
      </c>
      <c r="I233" s="6">
        <v>28.925045013427699</v>
      </c>
      <c r="J233" s="6">
        <v>28.9409065246582</v>
      </c>
      <c r="K233" s="6">
        <v>28.9686679840088</v>
      </c>
      <c r="L233" s="6">
        <v>26.2798957824707</v>
      </c>
    </row>
    <row r="234" spans="1:12" x14ac:dyDescent="0.25">
      <c r="A234">
        <v>2800100</v>
      </c>
      <c r="B234" t="str">
        <f t="shared" si="3"/>
        <v>AMPARO DE SAO FRANCISCO, SE, Brasil</v>
      </c>
      <c r="C234" s="4" t="str">
        <f>_xlfn.XLOOKUP(A234,[1]!DadosGHD[CD_GEOCMU],[1]!DadosGHD[Região])</f>
        <v>NE</v>
      </c>
      <c r="D234" s="4" t="str">
        <f>_xlfn.XLOOKUP(A234,[1]!DadosGHD[CD_GEOCMU],[1]!DadosGHD[uf])</f>
        <v>SE</v>
      </c>
      <c r="E234" s="5" t="str">
        <f>_xlfn.XLOOKUP(A234,[1]!DadosGHD[CD_GEOCMU],[1]!DadosGHD[MUNICIPIO])</f>
        <v>AMPARO DE SAO FRANCISCO</v>
      </c>
      <c r="F234" s="6">
        <v>28.832521438598601</v>
      </c>
      <c r="G234" s="6">
        <v>28.907878875732401</v>
      </c>
      <c r="H234" s="6">
        <v>28.942651748657202</v>
      </c>
      <c r="I234" s="6">
        <v>28.925045013427699</v>
      </c>
      <c r="J234" s="6">
        <v>28.9409065246582</v>
      </c>
      <c r="K234" s="6">
        <v>28.9686679840088</v>
      </c>
      <c r="L234" s="6">
        <v>26.2798957824707</v>
      </c>
    </row>
    <row r="235" spans="1:12" x14ac:dyDescent="0.25">
      <c r="A235">
        <v>2203750</v>
      </c>
      <c r="B235" t="str">
        <f t="shared" si="3"/>
        <v>FARTURA DO PIAUI, PI, Brasil</v>
      </c>
      <c r="C235" s="4" t="str">
        <f>_xlfn.XLOOKUP(A235,[1]!DadosGHD[CD_GEOCMU],[1]!DadosGHD[Região])</f>
        <v>NE</v>
      </c>
      <c r="D235" s="4" t="str">
        <f>_xlfn.XLOOKUP(A235,[1]!DadosGHD[CD_GEOCMU],[1]!DadosGHD[uf])</f>
        <v>PI</v>
      </c>
      <c r="E235" s="5" t="str">
        <f>_xlfn.XLOOKUP(A235,[1]!DadosGHD[CD_GEOCMU],[1]!DadosGHD[MUNICIPIO])</f>
        <v>FARTURA DO PIAUI</v>
      </c>
      <c r="F235" s="6">
        <v>28.832521438598601</v>
      </c>
      <c r="G235" s="6">
        <v>28.907878875732401</v>
      </c>
      <c r="H235" s="6">
        <v>28.942651748657202</v>
      </c>
      <c r="I235" s="6">
        <v>28.925045013427699</v>
      </c>
      <c r="J235" s="6">
        <v>28.9409065246582</v>
      </c>
      <c r="K235" s="6">
        <v>28.9686679840088</v>
      </c>
      <c r="L235" s="6">
        <v>26.285177230835</v>
      </c>
    </row>
    <row r="236" spans="1:12" x14ac:dyDescent="0.25">
      <c r="A236">
        <v>1712157</v>
      </c>
      <c r="B236" t="str">
        <f t="shared" si="3"/>
        <v>LAVANDEIRA, TO, Brasil</v>
      </c>
      <c r="C236" s="4" t="str">
        <f>_xlfn.XLOOKUP(A236,[1]!DadosGHD[CD_GEOCMU],[1]!DadosGHD[Região])</f>
        <v>NO</v>
      </c>
      <c r="D236" s="4" t="str">
        <f>_xlfn.XLOOKUP(A236,[1]!DadosGHD[CD_GEOCMU],[1]!DadosGHD[uf])</f>
        <v>TO</v>
      </c>
      <c r="E236" s="5" t="str">
        <f>_xlfn.XLOOKUP(A236,[1]!DadosGHD[CD_GEOCMU],[1]!DadosGHD[MUNICIPIO])</f>
        <v>LAVANDEIRA</v>
      </c>
      <c r="F236" s="6">
        <v>28.832521438598601</v>
      </c>
      <c r="G236" s="6">
        <v>28.907878875732401</v>
      </c>
      <c r="H236" s="6">
        <v>28.942651748657202</v>
      </c>
      <c r="I236" s="6">
        <v>28.925045013427699</v>
      </c>
      <c r="J236" s="6">
        <v>28.9409065246582</v>
      </c>
      <c r="K236" s="6">
        <v>28.9686679840088</v>
      </c>
      <c r="L236" s="6">
        <v>26.2798957824707</v>
      </c>
    </row>
    <row r="237" spans="1:12" x14ac:dyDescent="0.25">
      <c r="A237">
        <v>2512762</v>
      </c>
      <c r="B237" t="str">
        <f t="shared" si="3"/>
        <v>RIACHAO DO POCO, PB, Brasil</v>
      </c>
      <c r="C237" s="4" t="str">
        <f>_xlfn.XLOOKUP(A237,[1]!DadosGHD[CD_GEOCMU],[1]!DadosGHD[Região])</f>
        <v>NE</v>
      </c>
      <c r="D237" s="4" t="str">
        <f>_xlfn.XLOOKUP(A237,[1]!DadosGHD[CD_GEOCMU],[1]!DadosGHD[uf])</f>
        <v>PB</v>
      </c>
      <c r="E237" s="5" t="str">
        <f>_xlfn.XLOOKUP(A237,[1]!DadosGHD[CD_GEOCMU],[1]!DadosGHD[MUNICIPIO])</f>
        <v>RIACHAO DO POCO</v>
      </c>
      <c r="F237" s="6">
        <v>28.832521438598601</v>
      </c>
      <c r="G237" s="6">
        <v>28.907878875732401</v>
      </c>
      <c r="H237" s="6">
        <v>28.942651748657202</v>
      </c>
      <c r="I237" s="6">
        <v>28.925045013427699</v>
      </c>
      <c r="J237" s="6">
        <v>28.957160949706999</v>
      </c>
      <c r="K237" s="6">
        <v>28.9686679840088</v>
      </c>
      <c r="L237" s="6">
        <v>26.2798957824707</v>
      </c>
    </row>
    <row r="238" spans="1:12" x14ac:dyDescent="0.25">
      <c r="A238">
        <v>2515609</v>
      </c>
      <c r="B238" t="str">
        <f t="shared" si="3"/>
        <v>SERRA DA RAIZ, PB, Brasil</v>
      </c>
      <c r="C238" s="4" t="str">
        <f>_xlfn.XLOOKUP(A238,[1]!DadosGHD[CD_GEOCMU],[1]!DadosGHD[Região])</f>
        <v>NE</v>
      </c>
      <c r="D238" s="4" t="str">
        <f>_xlfn.XLOOKUP(A238,[1]!DadosGHD[CD_GEOCMU],[1]!DadosGHD[uf])</f>
        <v>PB</v>
      </c>
      <c r="E238" s="5" t="str">
        <f>_xlfn.XLOOKUP(A238,[1]!DadosGHD[CD_GEOCMU],[1]!DadosGHD[MUNICIPIO])</f>
        <v>SERRA DA RAIZ</v>
      </c>
      <c r="F238" s="6">
        <v>28.832521438598601</v>
      </c>
      <c r="G238" s="6">
        <v>28.907878875732401</v>
      </c>
      <c r="H238" s="6">
        <v>28.959398269653299</v>
      </c>
      <c r="I238" s="6">
        <v>28.934085845947301</v>
      </c>
      <c r="J238" s="6">
        <v>28.9409065246582</v>
      </c>
      <c r="K238" s="6">
        <v>28.9686679840088</v>
      </c>
      <c r="L238" s="6">
        <v>26.2798957824707</v>
      </c>
    </row>
    <row r="239" spans="1:12" x14ac:dyDescent="0.25">
      <c r="A239">
        <v>3160454</v>
      </c>
      <c r="B239" t="str">
        <f t="shared" si="3"/>
        <v>SANTO ANTONIO DO RETIRO, MG, Brasil</v>
      </c>
      <c r="C239" s="4" t="str">
        <f>_xlfn.XLOOKUP(A239,[1]!DadosGHD[CD_GEOCMU],[1]!DadosGHD[Região])</f>
        <v>SD</v>
      </c>
      <c r="D239" s="4" t="str">
        <f>_xlfn.XLOOKUP(A239,[1]!DadosGHD[CD_GEOCMU],[1]!DadosGHD[uf])</f>
        <v>MG</v>
      </c>
      <c r="E239" s="5" t="str">
        <f>_xlfn.XLOOKUP(A239,[1]!DadosGHD[CD_GEOCMU],[1]!DadosGHD[MUNICIPIO])</f>
        <v>SANTO ANTONIO DO RETIRO</v>
      </c>
      <c r="F239" s="6">
        <v>28.832521438598601</v>
      </c>
      <c r="G239" s="6">
        <v>28.907878875732401</v>
      </c>
      <c r="H239" s="6">
        <v>28.942651748657202</v>
      </c>
      <c r="I239" s="6">
        <v>28.925045013427699</v>
      </c>
      <c r="J239" s="6">
        <v>28.9409065246582</v>
      </c>
      <c r="K239" s="6">
        <v>28.9686679840088</v>
      </c>
      <c r="L239" s="6">
        <v>26.283750534057599</v>
      </c>
    </row>
    <row r="240" spans="1:12" x14ac:dyDescent="0.25">
      <c r="A240">
        <v>2208874</v>
      </c>
      <c r="B240" t="str">
        <f t="shared" si="3"/>
        <v>RIBEIRA DO PIAUI, PI, Brasil</v>
      </c>
      <c r="C240" s="4" t="str">
        <f>_xlfn.XLOOKUP(A240,[1]!DadosGHD[CD_GEOCMU],[1]!DadosGHD[Região])</f>
        <v>NE</v>
      </c>
      <c r="D240" s="4" t="str">
        <f>_xlfn.XLOOKUP(A240,[1]!DadosGHD[CD_GEOCMU],[1]!DadosGHD[uf])</f>
        <v>PI</v>
      </c>
      <c r="E240" s="5" t="str">
        <f>_xlfn.XLOOKUP(A240,[1]!DadosGHD[CD_GEOCMU],[1]!DadosGHD[MUNICIPIO])</f>
        <v>RIBEIRA DO PIAUI</v>
      </c>
      <c r="F240" s="6">
        <v>28.832521438598601</v>
      </c>
      <c r="G240" s="6">
        <v>28.907878875732401</v>
      </c>
      <c r="H240" s="6">
        <v>28.942651748657202</v>
      </c>
      <c r="I240" s="6">
        <v>28.925045013427699</v>
      </c>
      <c r="J240" s="6">
        <v>28.9409065246582</v>
      </c>
      <c r="K240" s="6">
        <v>28.9686679840088</v>
      </c>
      <c r="L240" s="6">
        <v>26.2798957824707</v>
      </c>
    </row>
    <row r="241" spans="1:12" x14ac:dyDescent="0.25">
      <c r="A241">
        <v>2205250</v>
      </c>
      <c r="B241" t="str">
        <f t="shared" si="3"/>
        <v>JARDIM DO MULATO, PI, Brasil</v>
      </c>
      <c r="C241" s="4" t="str">
        <f>_xlfn.XLOOKUP(A241,[1]!DadosGHD[CD_GEOCMU],[1]!DadosGHD[Região])</f>
        <v>NE</v>
      </c>
      <c r="D241" s="4" t="str">
        <f>_xlfn.XLOOKUP(A241,[1]!DadosGHD[CD_GEOCMU],[1]!DadosGHD[uf])</f>
        <v>PI</v>
      </c>
      <c r="E241" s="5" t="str">
        <f>_xlfn.XLOOKUP(A241,[1]!DadosGHD[CD_GEOCMU],[1]!DadosGHD[MUNICIPIO])</f>
        <v>JARDIM DO MULATO</v>
      </c>
      <c r="F241" s="6">
        <v>28.832521438598601</v>
      </c>
      <c r="G241" s="6">
        <v>28.907878875732401</v>
      </c>
      <c r="H241" s="6">
        <v>28.942651748657202</v>
      </c>
      <c r="I241" s="6">
        <v>28.925045013427699</v>
      </c>
      <c r="J241" s="6">
        <v>28.9409065246582</v>
      </c>
      <c r="K241" s="6">
        <v>28.9686679840088</v>
      </c>
      <c r="L241" s="6">
        <v>26.292261123657202</v>
      </c>
    </row>
    <row r="242" spans="1:12" x14ac:dyDescent="0.25">
      <c r="A242">
        <v>2109452</v>
      </c>
      <c r="B242" t="str">
        <f t="shared" si="3"/>
        <v>RAPOSA, MA, Brasil</v>
      </c>
      <c r="C242" s="4" t="str">
        <f>_xlfn.XLOOKUP(A242,[1]!DadosGHD[CD_GEOCMU],[1]!DadosGHD[Região])</f>
        <v>NE</v>
      </c>
      <c r="D242" s="4" t="str">
        <f>_xlfn.XLOOKUP(A242,[1]!DadosGHD[CD_GEOCMU],[1]!DadosGHD[uf])</f>
        <v>MA</v>
      </c>
      <c r="E242" s="5" t="str">
        <f>_xlfn.XLOOKUP(A242,[1]!DadosGHD[CD_GEOCMU],[1]!DadosGHD[MUNICIPIO])</f>
        <v>RAPOSA</v>
      </c>
      <c r="F242" s="6">
        <v>28.832521438598601</v>
      </c>
      <c r="G242" s="6">
        <v>28.907878875732401</v>
      </c>
      <c r="H242" s="6">
        <v>28.942651748657202</v>
      </c>
      <c r="I242" s="6">
        <v>28.925045013427699</v>
      </c>
      <c r="J242" s="6">
        <v>28.965841293335</v>
      </c>
      <c r="K242" s="6">
        <v>28.997718811035199</v>
      </c>
      <c r="L242" s="6">
        <v>26.288488388061499</v>
      </c>
    </row>
    <row r="243" spans="1:12" x14ac:dyDescent="0.25">
      <c r="A243">
        <v>2413102</v>
      </c>
      <c r="B243" t="str">
        <f t="shared" si="3"/>
        <v>SENADOR ELOI DE SOUZA, RN, Brasil</v>
      </c>
      <c r="C243" s="4" t="str">
        <f>_xlfn.XLOOKUP(A243,[1]!DadosGHD[CD_GEOCMU],[1]!DadosGHD[Região])</f>
        <v>NE</v>
      </c>
      <c r="D243" s="4" t="str">
        <f>_xlfn.XLOOKUP(A243,[1]!DadosGHD[CD_GEOCMU],[1]!DadosGHD[uf])</f>
        <v>RN</v>
      </c>
      <c r="E243" s="5" t="str">
        <f>_xlfn.XLOOKUP(A243,[1]!DadosGHD[CD_GEOCMU],[1]!DadosGHD[MUNICIPIO])</f>
        <v>SENADOR ELOI DE SOUZA</v>
      </c>
      <c r="F243" s="6">
        <v>28.832521438598601</v>
      </c>
      <c r="G243" s="6">
        <v>28.907878875732401</v>
      </c>
      <c r="H243" s="6">
        <v>28.942651748657202</v>
      </c>
      <c r="I243" s="6">
        <v>28.9283046722412</v>
      </c>
      <c r="J243" s="6">
        <v>33.819427490234403</v>
      </c>
      <c r="K243" s="6">
        <v>28.9686679840088</v>
      </c>
      <c r="L243" s="6">
        <v>26.2798957824707</v>
      </c>
    </row>
    <row r="244" spans="1:12" x14ac:dyDescent="0.25">
      <c r="A244">
        <v>2517209</v>
      </c>
      <c r="B244" t="str">
        <f t="shared" si="3"/>
        <v>VIEIROPOLIS, PB, Brasil</v>
      </c>
      <c r="C244" s="4" t="str">
        <f>_xlfn.XLOOKUP(A244,[1]!DadosGHD[CD_GEOCMU],[1]!DadosGHD[Região])</f>
        <v>NE</v>
      </c>
      <c r="D244" s="4" t="str">
        <f>_xlfn.XLOOKUP(A244,[1]!DadosGHD[CD_GEOCMU],[1]!DadosGHD[uf])</f>
        <v>PB</v>
      </c>
      <c r="E244" s="5" t="str">
        <f>_xlfn.XLOOKUP(A244,[1]!DadosGHD[CD_GEOCMU],[1]!DadosGHD[MUNICIPIO])</f>
        <v>VIEIROPOLIS</v>
      </c>
      <c r="F244" s="6">
        <v>28.832521438598601</v>
      </c>
      <c r="G244" s="6">
        <v>28.915147781372099</v>
      </c>
      <c r="H244" s="6">
        <v>33.811702728271499</v>
      </c>
      <c r="I244" s="6">
        <v>33.807319641113303</v>
      </c>
      <c r="J244" s="6">
        <v>33.835231781005902</v>
      </c>
      <c r="K244" s="6">
        <v>33.902351379394503</v>
      </c>
      <c r="L244" s="6">
        <v>39.591800689697301</v>
      </c>
    </row>
    <row r="245" spans="1:12" x14ac:dyDescent="0.25">
      <c r="A245">
        <v>1715259</v>
      </c>
      <c r="B245" t="str">
        <f t="shared" si="3"/>
        <v>NOVO JARDIM, TO, Brasil</v>
      </c>
      <c r="C245" s="4" t="str">
        <f>_xlfn.XLOOKUP(A245,[1]!DadosGHD[CD_GEOCMU],[1]!DadosGHD[Região])</f>
        <v>NO</v>
      </c>
      <c r="D245" s="4" t="str">
        <f>_xlfn.XLOOKUP(A245,[1]!DadosGHD[CD_GEOCMU],[1]!DadosGHD[uf])</f>
        <v>TO</v>
      </c>
      <c r="E245" s="5" t="str">
        <f>_xlfn.XLOOKUP(A245,[1]!DadosGHD[CD_GEOCMU],[1]!DadosGHD[MUNICIPIO])</f>
        <v>NOVO JARDIM</v>
      </c>
      <c r="F245" s="6">
        <v>28.832521438598601</v>
      </c>
      <c r="G245" s="6">
        <v>28.907878875732401</v>
      </c>
      <c r="H245" s="6">
        <v>28.942651748657202</v>
      </c>
      <c r="I245" s="6">
        <v>28.925045013427699</v>
      </c>
      <c r="J245" s="6">
        <v>28.9409065246582</v>
      </c>
      <c r="K245" s="6">
        <v>28.9686679840088</v>
      </c>
      <c r="L245" s="6">
        <v>26.2798957824707</v>
      </c>
    </row>
    <row r="246" spans="1:12" x14ac:dyDescent="0.25">
      <c r="A246">
        <v>2100477</v>
      </c>
      <c r="B246" t="str">
        <f t="shared" si="3"/>
        <v>ALTO ALEGRE DO PINDARE, MA, Brasil</v>
      </c>
      <c r="C246" s="4" t="str">
        <f>_xlfn.XLOOKUP(A246,[1]!DadosGHD[CD_GEOCMU],[1]!DadosGHD[Região])</f>
        <v>NE</v>
      </c>
      <c r="D246" s="4" t="str">
        <f>_xlfn.XLOOKUP(A246,[1]!DadosGHD[CD_GEOCMU],[1]!DadosGHD[uf])</f>
        <v>MA</v>
      </c>
      <c r="E246" s="5" t="str">
        <f>_xlfn.XLOOKUP(A246,[1]!DadosGHD[CD_GEOCMU],[1]!DadosGHD[MUNICIPIO])</f>
        <v>ALTO ALEGRE DO PINDARE</v>
      </c>
      <c r="F246" s="6">
        <v>28.832521438598601</v>
      </c>
      <c r="G246" s="6">
        <v>28.907878875732401</v>
      </c>
      <c r="H246" s="6">
        <v>28.942651748657202</v>
      </c>
      <c r="I246" s="6">
        <v>28.925045013427699</v>
      </c>
      <c r="J246" s="6">
        <v>28.9409065246582</v>
      </c>
      <c r="K246" s="6">
        <v>28.9686679840088</v>
      </c>
      <c r="L246" s="6">
        <v>30.6931247711182</v>
      </c>
    </row>
    <row r="247" spans="1:12" x14ac:dyDescent="0.25">
      <c r="A247">
        <v>4312179</v>
      </c>
      <c r="B247" t="str">
        <f t="shared" si="3"/>
        <v>MATO QUEIMADO, RS, Brasil</v>
      </c>
      <c r="C247" s="4" t="str">
        <f>_xlfn.XLOOKUP(A247,[1]!DadosGHD[CD_GEOCMU],[1]!DadosGHD[Região])</f>
        <v>SL</v>
      </c>
      <c r="D247" s="4" t="str">
        <f>_xlfn.XLOOKUP(A247,[1]!DadosGHD[CD_GEOCMU],[1]!DadosGHD[uf])</f>
        <v>RS</v>
      </c>
      <c r="E247" s="5" t="str">
        <f>_xlfn.XLOOKUP(A247,[1]!DadosGHD[CD_GEOCMU],[1]!DadosGHD[MUNICIPIO])</f>
        <v>MATO QUEIMADO</v>
      </c>
      <c r="F247" s="6">
        <v>28.832521438598601</v>
      </c>
      <c r="G247" s="6">
        <v>38.719383239746101</v>
      </c>
      <c r="H247" s="6">
        <v>38.767951965332003</v>
      </c>
      <c r="I247" s="6">
        <v>38.744155883789098</v>
      </c>
      <c r="J247" s="6">
        <v>38.761531829833999</v>
      </c>
      <c r="K247" s="6">
        <v>38.798622131347699</v>
      </c>
      <c r="L247" s="6">
        <v>30.7030124664307</v>
      </c>
    </row>
    <row r="248" spans="1:12" x14ac:dyDescent="0.25">
      <c r="A248">
        <v>2502201</v>
      </c>
      <c r="B248" t="str">
        <f t="shared" si="3"/>
        <v>BOM JESUS, PB, Brasil</v>
      </c>
      <c r="C248" s="4" t="str">
        <f>_xlfn.XLOOKUP(A248,[1]!DadosGHD[CD_GEOCMU],[1]!DadosGHD[Região])</f>
        <v>NE</v>
      </c>
      <c r="D248" s="4" t="str">
        <f>_xlfn.XLOOKUP(A248,[1]!DadosGHD[CD_GEOCMU],[1]!DadosGHD[uf])</f>
        <v>PB</v>
      </c>
      <c r="E248" s="5" t="str">
        <f>_xlfn.XLOOKUP(A248,[1]!DadosGHD[CD_GEOCMU],[1]!DadosGHD[MUNICIPIO])</f>
        <v>BOM JESUS</v>
      </c>
      <c r="F248" s="6">
        <v>28.832521438598601</v>
      </c>
      <c r="G248" s="6">
        <v>28.907878875732401</v>
      </c>
      <c r="H248" s="6">
        <v>28.942651748657202</v>
      </c>
      <c r="I248" s="6">
        <v>28.9333801269531</v>
      </c>
      <c r="J248" s="6">
        <v>28.969120025634801</v>
      </c>
      <c r="K248" s="6">
        <v>28.987350463867202</v>
      </c>
      <c r="L248" s="6">
        <v>30.695825576782202</v>
      </c>
    </row>
    <row r="249" spans="1:12" x14ac:dyDescent="0.25">
      <c r="A249">
        <v>4115903</v>
      </c>
      <c r="B249" t="str">
        <f t="shared" si="3"/>
        <v>MIRADOR, PR, Brasil</v>
      </c>
      <c r="C249" s="4" t="str">
        <f>_xlfn.XLOOKUP(A249,[1]!DadosGHD[CD_GEOCMU],[1]!DadosGHD[Região])</f>
        <v>SL</v>
      </c>
      <c r="D249" s="4" t="str">
        <f>_xlfn.XLOOKUP(A249,[1]!DadosGHD[CD_GEOCMU],[1]!DadosGHD[uf])</f>
        <v>PR</v>
      </c>
      <c r="E249" s="5" t="str">
        <f>_xlfn.XLOOKUP(A249,[1]!DadosGHD[CD_GEOCMU],[1]!DadosGHD[MUNICIPIO])</f>
        <v>MIRADOR</v>
      </c>
      <c r="F249" s="6">
        <v>28.832521438598601</v>
      </c>
      <c r="G249" s="6">
        <v>28.907878875732401</v>
      </c>
      <c r="H249" s="6">
        <v>28.942651748657202</v>
      </c>
      <c r="I249" s="6">
        <v>28.925045013427699</v>
      </c>
      <c r="J249" s="6">
        <v>28.9409065246582</v>
      </c>
      <c r="K249" s="6">
        <v>28.9686679840088</v>
      </c>
      <c r="L249" s="6">
        <v>26.2798957824707</v>
      </c>
    </row>
    <row r="250" spans="1:12" x14ac:dyDescent="0.25">
      <c r="A250">
        <v>2207355</v>
      </c>
      <c r="B250" t="str">
        <f t="shared" si="3"/>
        <v>PAJEU DO PIAUI, PI, Brasil</v>
      </c>
      <c r="C250" s="4" t="str">
        <f>_xlfn.XLOOKUP(A250,[1]!DadosGHD[CD_GEOCMU],[1]!DadosGHD[Região])</f>
        <v>NE</v>
      </c>
      <c r="D250" s="4" t="str">
        <f>_xlfn.XLOOKUP(A250,[1]!DadosGHD[CD_GEOCMU],[1]!DadosGHD[uf])</f>
        <v>PI</v>
      </c>
      <c r="E250" s="5" t="str">
        <f>_xlfn.XLOOKUP(A250,[1]!DadosGHD[CD_GEOCMU],[1]!DadosGHD[MUNICIPIO])</f>
        <v>PAJEU DO PIAUI</v>
      </c>
      <c r="F250" s="6">
        <v>28.832521438598601</v>
      </c>
      <c r="G250" s="6">
        <v>28.907878875732401</v>
      </c>
      <c r="H250" s="6">
        <v>28.942651748657202</v>
      </c>
      <c r="I250" s="6">
        <v>28.925045013427699</v>
      </c>
      <c r="J250" s="6">
        <v>28.9409065246582</v>
      </c>
      <c r="K250" s="6">
        <v>28.9686679840088</v>
      </c>
      <c r="L250" s="6">
        <v>26.2995204925537</v>
      </c>
    </row>
    <row r="251" spans="1:12" x14ac:dyDescent="0.25">
      <c r="A251">
        <v>2401602</v>
      </c>
      <c r="B251" t="str">
        <f t="shared" si="3"/>
        <v>BENTO FERNANDES, RN, Brasil</v>
      </c>
      <c r="C251" s="4" t="str">
        <f>_xlfn.XLOOKUP(A251,[1]!DadosGHD[CD_GEOCMU],[1]!DadosGHD[Região])</f>
        <v>NE</v>
      </c>
      <c r="D251" s="4" t="str">
        <f>_xlfn.XLOOKUP(A251,[1]!DadosGHD[CD_GEOCMU],[1]!DadosGHD[uf])</f>
        <v>RN</v>
      </c>
      <c r="E251" s="5" t="str">
        <f>_xlfn.XLOOKUP(A251,[1]!DadosGHD[CD_GEOCMU],[1]!DadosGHD[MUNICIPIO])</f>
        <v>BENTO FERNANDES</v>
      </c>
      <c r="F251" s="6">
        <v>28.832521438598601</v>
      </c>
      <c r="G251" s="6">
        <v>28.907878875732401</v>
      </c>
      <c r="H251" s="6">
        <v>28.942651748657202</v>
      </c>
      <c r="I251" s="6">
        <v>28.925045013427699</v>
      </c>
      <c r="J251" s="6">
        <v>28.954860687255898</v>
      </c>
      <c r="K251" s="6">
        <v>28.978721618652301</v>
      </c>
      <c r="L251" s="6">
        <v>30.691486358642599</v>
      </c>
    </row>
    <row r="252" spans="1:12" x14ac:dyDescent="0.25">
      <c r="A252">
        <v>2209302</v>
      </c>
      <c r="B252" t="str">
        <f t="shared" si="3"/>
        <v>SANTA LUZ, PI, Brasil</v>
      </c>
      <c r="C252" s="4" t="str">
        <f>_xlfn.XLOOKUP(A252,[1]!DadosGHD[CD_GEOCMU],[1]!DadosGHD[Região])</f>
        <v>NE</v>
      </c>
      <c r="D252" s="4" t="str">
        <f>_xlfn.XLOOKUP(A252,[1]!DadosGHD[CD_GEOCMU],[1]!DadosGHD[uf])</f>
        <v>PI</v>
      </c>
      <c r="E252" s="5" t="str">
        <f>_xlfn.XLOOKUP(A252,[1]!DadosGHD[CD_GEOCMU],[1]!DadosGHD[MUNICIPIO])</f>
        <v>SANTA LUZ</v>
      </c>
      <c r="F252" s="6">
        <v>28.832521438598601</v>
      </c>
      <c r="G252" s="6">
        <v>28.907878875732401</v>
      </c>
      <c r="H252" s="6">
        <v>28.942651748657202</v>
      </c>
      <c r="I252" s="6">
        <v>28.925045013427699</v>
      </c>
      <c r="J252" s="6">
        <v>28.9409065246582</v>
      </c>
      <c r="K252" s="6">
        <v>28.9695739746094</v>
      </c>
      <c r="L252" s="6">
        <v>35.124359130859403</v>
      </c>
    </row>
    <row r="253" spans="1:12" x14ac:dyDescent="0.25">
      <c r="A253">
        <v>2517407</v>
      </c>
      <c r="B253" t="str">
        <f t="shared" si="3"/>
        <v>ZABELE, PB, Brasil</v>
      </c>
      <c r="C253" s="4" t="str">
        <f>_xlfn.XLOOKUP(A253,[1]!DadosGHD[CD_GEOCMU],[1]!DadosGHD[Região])</f>
        <v>NE</v>
      </c>
      <c r="D253" s="4" t="str">
        <f>_xlfn.XLOOKUP(A253,[1]!DadosGHD[CD_GEOCMU],[1]!DadosGHD[uf])</f>
        <v>PB</v>
      </c>
      <c r="E253" s="5" t="str">
        <f>_xlfn.XLOOKUP(A253,[1]!DadosGHD[CD_GEOCMU],[1]!DadosGHD[MUNICIPIO])</f>
        <v>ZABELE</v>
      </c>
      <c r="F253" s="6">
        <v>28.832521438598601</v>
      </c>
      <c r="G253" s="6">
        <v>28.907878875732401</v>
      </c>
      <c r="H253" s="6">
        <v>28.942651748657202</v>
      </c>
      <c r="I253" s="6">
        <v>28.925045013427699</v>
      </c>
      <c r="J253" s="6">
        <v>28.9409065246582</v>
      </c>
      <c r="K253" s="6">
        <v>33.858448028564503</v>
      </c>
      <c r="L253" s="6">
        <v>35.138957977294901</v>
      </c>
    </row>
    <row r="254" spans="1:12" x14ac:dyDescent="0.25">
      <c r="A254">
        <v>3555901</v>
      </c>
      <c r="B254" t="str">
        <f t="shared" si="3"/>
        <v>URU, SP, Brasil</v>
      </c>
      <c r="C254" s="4" t="str">
        <f>_xlfn.XLOOKUP(A254,[1]!DadosGHD[CD_GEOCMU],[1]!DadosGHD[Região])</f>
        <v>SD</v>
      </c>
      <c r="D254" s="4" t="str">
        <f>_xlfn.XLOOKUP(A254,[1]!DadosGHD[CD_GEOCMU],[1]!DadosGHD[uf])</f>
        <v>SP</v>
      </c>
      <c r="E254" s="5" t="str">
        <f>_xlfn.XLOOKUP(A254,[1]!DadosGHD[CD_GEOCMU],[1]!DadosGHD[MUNICIPIO])</f>
        <v>URU</v>
      </c>
      <c r="F254" s="6">
        <v>28.832521438598601</v>
      </c>
      <c r="G254" s="6">
        <v>28.9102592468262</v>
      </c>
      <c r="H254" s="6">
        <v>28.9428520202637</v>
      </c>
      <c r="I254" s="6">
        <v>28.934747695922901</v>
      </c>
      <c r="J254" s="6">
        <v>28.947841644287099</v>
      </c>
      <c r="K254" s="6">
        <v>28.9785251617432</v>
      </c>
      <c r="L254" s="6">
        <v>30.708723068237301</v>
      </c>
    </row>
    <row r="255" spans="1:12" x14ac:dyDescent="0.25">
      <c r="A255">
        <v>3157377</v>
      </c>
      <c r="B255" t="str">
        <f t="shared" si="3"/>
        <v>SANTA CRUZ DE SALINAS, MG, Brasil</v>
      </c>
      <c r="C255" s="4" t="str">
        <f>_xlfn.XLOOKUP(A255,[1]!DadosGHD[CD_GEOCMU],[1]!DadosGHD[Região])</f>
        <v>SD</v>
      </c>
      <c r="D255" s="4" t="str">
        <f>_xlfn.XLOOKUP(A255,[1]!DadosGHD[CD_GEOCMU],[1]!DadosGHD[uf])</f>
        <v>MG</v>
      </c>
      <c r="E255" s="5" t="str">
        <f>_xlfn.XLOOKUP(A255,[1]!DadosGHD[CD_GEOCMU],[1]!DadosGHD[MUNICIPIO])</f>
        <v>SANTA CRUZ DE SALINAS</v>
      </c>
      <c r="F255" s="6">
        <v>28.832521438598601</v>
      </c>
      <c r="G255" s="6">
        <v>28.907878875732401</v>
      </c>
      <c r="H255" s="6">
        <v>28.942651748657202</v>
      </c>
      <c r="I255" s="6">
        <v>28.925045013427699</v>
      </c>
      <c r="J255" s="6">
        <v>28.9409065246582</v>
      </c>
      <c r="K255" s="6">
        <v>28.9686679840088</v>
      </c>
      <c r="L255" s="6">
        <v>30.688600540161101</v>
      </c>
    </row>
    <row r="256" spans="1:12" x14ac:dyDescent="0.25">
      <c r="A256">
        <v>1712702</v>
      </c>
      <c r="B256" t="str">
        <f t="shared" si="3"/>
        <v>MATEIROS, TO, Brasil</v>
      </c>
      <c r="C256" s="4" t="str">
        <f>_xlfn.XLOOKUP(A256,[1]!DadosGHD[CD_GEOCMU],[1]!DadosGHD[Região])</f>
        <v>NO</v>
      </c>
      <c r="D256" s="4" t="str">
        <f>_xlfn.XLOOKUP(A256,[1]!DadosGHD[CD_GEOCMU],[1]!DadosGHD[uf])</f>
        <v>TO</v>
      </c>
      <c r="E256" s="5" t="str">
        <f>_xlfn.XLOOKUP(A256,[1]!DadosGHD[CD_GEOCMU],[1]!DadosGHD[MUNICIPIO])</f>
        <v>MATEIROS</v>
      </c>
      <c r="F256" s="6">
        <v>28.832521438598601</v>
      </c>
      <c r="G256" s="6">
        <v>28.907878875732401</v>
      </c>
      <c r="H256" s="6">
        <v>28.942651748657202</v>
      </c>
      <c r="I256" s="6">
        <v>28.925045013427699</v>
      </c>
      <c r="J256" s="6">
        <v>28.9409065246582</v>
      </c>
      <c r="K256" s="6">
        <v>28.9686679840088</v>
      </c>
      <c r="L256" s="6">
        <v>26.288703918456999</v>
      </c>
    </row>
    <row r="257" spans="1:12" x14ac:dyDescent="0.25">
      <c r="A257">
        <v>2404804</v>
      </c>
      <c r="B257" t="str">
        <f t="shared" si="3"/>
        <v>IPUEIRA, RN, Brasil</v>
      </c>
      <c r="C257" s="4" t="str">
        <f>_xlfn.XLOOKUP(A257,[1]!DadosGHD[CD_GEOCMU],[1]!DadosGHD[Região])</f>
        <v>NE</v>
      </c>
      <c r="D257" s="4" t="str">
        <f>_xlfn.XLOOKUP(A257,[1]!DadosGHD[CD_GEOCMU],[1]!DadosGHD[uf])</f>
        <v>RN</v>
      </c>
      <c r="E257" s="5" t="str">
        <f>_xlfn.XLOOKUP(A257,[1]!DadosGHD[CD_GEOCMU],[1]!DadosGHD[MUNICIPIO])</f>
        <v>IPUEIRA</v>
      </c>
      <c r="F257" s="6">
        <v>28.832521438598601</v>
      </c>
      <c r="G257" s="6">
        <v>28.907878875732401</v>
      </c>
      <c r="H257" s="6">
        <v>28.942651748657202</v>
      </c>
      <c r="I257" s="6">
        <v>28.925045013427699</v>
      </c>
      <c r="J257" s="6">
        <v>28.9461975097656</v>
      </c>
      <c r="K257" s="6">
        <v>33.880195617675803</v>
      </c>
      <c r="L257" s="6">
        <v>35.142524719238303</v>
      </c>
    </row>
    <row r="258" spans="1:12" x14ac:dyDescent="0.25">
      <c r="A258">
        <v>2201770</v>
      </c>
      <c r="B258" t="str">
        <f t="shared" si="3"/>
        <v>BOA HORA, PI, Brasil</v>
      </c>
      <c r="C258" s="4" t="str">
        <f>_xlfn.XLOOKUP(A258,[1]!DadosGHD[CD_GEOCMU],[1]!DadosGHD[Região])</f>
        <v>NE</v>
      </c>
      <c r="D258" s="4" t="str">
        <f>_xlfn.XLOOKUP(A258,[1]!DadosGHD[CD_GEOCMU],[1]!DadosGHD[uf])</f>
        <v>PI</v>
      </c>
      <c r="E258" s="5" t="str">
        <f>_xlfn.XLOOKUP(A258,[1]!DadosGHD[CD_GEOCMU],[1]!DadosGHD[MUNICIPIO])</f>
        <v>BOA HORA</v>
      </c>
      <c r="F258" s="6">
        <v>28.832521438598601</v>
      </c>
      <c r="G258" s="6">
        <v>28.907878875732401</v>
      </c>
      <c r="H258" s="6">
        <v>28.942651748657202</v>
      </c>
      <c r="I258" s="6">
        <v>28.925045013427699</v>
      </c>
      <c r="J258" s="6">
        <v>28.9409065246582</v>
      </c>
      <c r="K258" s="6">
        <v>28.9686679840088</v>
      </c>
      <c r="L258" s="6">
        <v>26.2798957824707</v>
      </c>
    </row>
    <row r="259" spans="1:12" x14ac:dyDescent="0.25">
      <c r="A259">
        <v>1301159</v>
      </c>
      <c r="B259" t="str">
        <f t="shared" si="3"/>
        <v>CAREIRO DA VARZEA, AM, Brasil</v>
      </c>
      <c r="C259" s="4" t="str">
        <f>_xlfn.XLOOKUP(A259,[1]!DadosGHD[CD_GEOCMU],[1]!DadosGHD[Região])</f>
        <v>NO</v>
      </c>
      <c r="D259" s="4" t="str">
        <f>_xlfn.XLOOKUP(A259,[1]!DadosGHD[CD_GEOCMU],[1]!DadosGHD[uf])</f>
        <v>AM</v>
      </c>
      <c r="E259" s="5" t="str">
        <f>_xlfn.XLOOKUP(A259,[1]!DadosGHD[CD_GEOCMU],[1]!DadosGHD[MUNICIPIO])</f>
        <v>CAREIRO DA VARZEA</v>
      </c>
      <c r="F259" s="6">
        <v>28.832521438598601</v>
      </c>
      <c r="G259" s="6">
        <v>28.907878875732401</v>
      </c>
      <c r="H259" s="6">
        <v>28.942651748657202</v>
      </c>
      <c r="I259" s="6">
        <v>28.925045013427699</v>
      </c>
      <c r="J259" s="6">
        <v>28.9409065246582</v>
      </c>
      <c r="K259" s="6">
        <v>28.9686679840088</v>
      </c>
      <c r="L259" s="6">
        <v>26.283227920532202</v>
      </c>
    </row>
    <row r="260" spans="1:12" x14ac:dyDescent="0.25">
      <c r="A260">
        <v>3168051</v>
      </c>
      <c r="B260" t="str">
        <f t="shared" ref="B260:B323" si="4">_xlfn.CONCAT(E260, ", ", D260, ", Brasil")</f>
        <v>TAPARUBA, MG, Brasil</v>
      </c>
      <c r="C260" s="4" t="str">
        <f>_xlfn.XLOOKUP(A260,[1]!DadosGHD[CD_GEOCMU],[1]!DadosGHD[Região])</f>
        <v>SD</v>
      </c>
      <c r="D260" s="4" t="str">
        <f>_xlfn.XLOOKUP(A260,[1]!DadosGHD[CD_GEOCMU],[1]!DadosGHD[uf])</f>
        <v>MG</v>
      </c>
      <c r="E260" s="5" t="str">
        <f>_xlfn.XLOOKUP(A260,[1]!DadosGHD[CD_GEOCMU],[1]!DadosGHD[MUNICIPIO])</f>
        <v>TAPARUBA</v>
      </c>
      <c r="F260" s="6">
        <v>28.832521438598601</v>
      </c>
      <c r="G260" s="6">
        <v>28.907878875732401</v>
      </c>
      <c r="H260" s="6">
        <v>38.745407104492202</v>
      </c>
      <c r="I260" s="6">
        <v>38.719314575195298</v>
      </c>
      <c r="J260" s="6">
        <v>38.749439239502003</v>
      </c>
      <c r="K260" s="6">
        <v>38.806312561035199</v>
      </c>
      <c r="L260" s="6">
        <v>30.715295791626001</v>
      </c>
    </row>
    <row r="261" spans="1:12" x14ac:dyDescent="0.25">
      <c r="A261">
        <v>2207751</v>
      </c>
      <c r="B261" t="str">
        <f t="shared" si="4"/>
        <v>PASSAGEM FRANCA DO PIAUI, PI, Brasil</v>
      </c>
      <c r="C261" s="4" t="str">
        <f>_xlfn.XLOOKUP(A261,[1]!DadosGHD[CD_GEOCMU],[1]!DadosGHD[Região])</f>
        <v>NE</v>
      </c>
      <c r="D261" s="4" t="str">
        <f>_xlfn.XLOOKUP(A261,[1]!DadosGHD[CD_GEOCMU],[1]!DadosGHD[uf])</f>
        <v>PI</v>
      </c>
      <c r="E261" s="5" t="str">
        <f>_xlfn.XLOOKUP(A261,[1]!DadosGHD[CD_GEOCMU],[1]!DadosGHD[MUNICIPIO])</f>
        <v>PASSAGEM FRANCA DO PIAUI</v>
      </c>
      <c r="F261" s="6">
        <v>28.832521438598601</v>
      </c>
      <c r="G261" s="6">
        <v>28.907878875732401</v>
      </c>
      <c r="H261" s="6">
        <v>28.942651748657202</v>
      </c>
      <c r="I261" s="6">
        <v>28.925045013427699</v>
      </c>
      <c r="J261" s="6">
        <v>28.9409065246582</v>
      </c>
      <c r="K261" s="6">
        <v>28.9686679840088</v>
      </c>
      <c r="L261" s="6">
        <v>26.2798957824707</v>
      </c>
    </row>
    <row r="262" spans="1:12" x14ac:dyDescent="0.25">
      <c r="A262">
        <v>1303106</v>
      </c>
      <c r="B262" t="str">
        <f t="shared" si="4"/>
        <v>NOVA OLINDA DO NORTE, AM, Brasil</v>
      </c>
      <c r="C262" s="4" t="str">
        <f>_xlfn.XLOOKUP(A262,[1]!DadosGHD[CD_GEOCMU],[1]!DadosGHD[Região])</f>
        <v>NO</v>
      </c>
      <c r="D262" s="4" t="str">
        <f>_xlfn.XLOOKUP(A262,[1]!DadosGHD[CD_GEOCMU],[1]!DadosGHD[uf])</f>
        <v>AM</v>
      </c>
      <c r="E262" s="5" t="str">
        <f>_xlfn.XLOOKUP(A262,[1]!DadosGHD[CD_GEOCMU],[1]!DadosGHD[MUNICIPIO])</f>
        <v>NOVA OLINDA DO NORTE</v>
      </c>
      <c r="F262" s="6">
        <v>28.832521438598601</v>
      </c>
      <c r="G262" s="6">
        <v>28.907878875732401</v>
      </c>
      <c r="H262" s="6">
        <v>28.942651748657202</v>
      </c>
      <c r="I262" s="6">
        <v>28.925045013427699</v>
      </c>
      <c r="J262" s="6">
        <v>28.9409065246582</v>
      </c>
      <c r="K262" s="6">
        <v>28.9686679840088</v>
      </c>
      <c r="L262" s="6">
        <v>26.281543731689499</v>
      </c>
    </row>
    <row r="263" spans="1:12" x14ac:dyDescent="0.25">
      <c r="A263">
        <v>2407252</v>
      </c>
      <c r="B263" t="str">
        <f t="shared" si="4"/>
        <v>MAJOR SALES, RN, Brasil</v>
      </c>
      <c r="C263" s="4" t="str">
        <f>_xlfn.XLOOKUP(A263,[1]!DadosGHD[CD_GEOCMU],[1]!DadosGHD[Região])</f>
        <v>NE</v>
      </c>
      <c r="D263" s="4" t="str">
        <f>_xlfn.XLOOKUP(A263,[1]!DadosGHD[CD_GEOCMU],[1]!DadosGHD[uf])</f>
        <v>RN</v>
      </c>
      <c r="E263" s="5" t="str">
        <f>_xlfn.XLOOKUP(A263,[1]!DadosGHD[CD_GEOCMU],[1]!DadosGHD[MUNICIPIO])</f>
        <v>MAJOR SALES</v>
      </c>
      <c r="F263" s="6">
        <v>28.832521438598601</v>
      </c>
      <c r="G263" s="6">
        <v>28.922300338745099</v>
      </c>
      <c r="H263" s="6">
        <v>33.820358276367202</v>
      </c>
      <c r="I263" s="6">
        <v>28.925045013427699</v>
      </c>
      <c r="J263" s="6">
        <v>28.966781616210898</v>
      </c>
      <c r="K263" s="6">
        <v>33.909332275390597</v>
      </c>
      <c r="L263" s="6">
        <v>44.023860931396499</v>
      </c>
    </row>
    <row r="264" spans="1:12" x14ac:dyDescent="0.25">
      <c r="A264">
        <v>5219357</v>
      </c>
      <c r="B264" t="str">
        <f t="shared" si="4"/>
        <v>SANTA ISABEL, GO, Brasil</v>
      </c>
      <c r="C264" s="4" t="str">
        <f>_xlfn.XLOOKUP(A264,[1]!DadosGHD[CD_GEOCMU],[1]!DadosGHD[Região])</f>
        <v>CO</v>
      </c>
      <c r="D264" s="4" t="str">
        <f>_xlfn.XLOOKUP(A264,[1]!DadosGHD[CD_GEOCMU],[1]!DadosGHD[uf])</f>
        <v>GO</v>
      </c>
      <c r="E264" s="5" t="str">
        <f>_xlfn.XLOOKUP(A264,[1]!DadosGHD[CD_GEOCMU],[1]!DadosGHD[MUNICIPIO])</f>
        <v>SANTA ISABEL</v>
      </c>
      <c r="F264" s="6">
        <v>28.832521438598601</v>
      </c>
      <c r="G264" s="6">
        <v>28.907878875732401</v>
      </c>
      <c r="H264" s="6">
        <v>28.942651748657202</v>
      </c>
      <c r="I264" s="6">
        <v>28.925045013427699</v>
      </c>
      <c r="J264" s="6">
        <v>28.9409065246582</v>
      </c>
      <c r="K264" s="6">
        <v>28.9686679840088</v>
      </c>
      <c r="L264" s="6">
        <v>30.6847019195557</v>
      </c>
    </row>
    <row r="265" spans="1:12" x14ac:dyDescent="0.25">
      <c r="A265">
        <v>3153806</v>
      </c>
      <c r="B265" t="str">
        <f t="shared" si="4"/>
        <v>QUELUZITO, MG, Brasil</v>
      </c>
      <c r="C265" s="4" t="str">
        <f>_xlfn.XLOOKUP(A265,[1]!DadosGHD[CD_GEOCMU],[1]!DadosGHD[Região])</f>
        <v>SD</v>
      </c>
      <c r="D265" s="4" t="str">
        <f>_xlfn.XLOOKUP(A265,[1]!DadosGHD[CD_GEOCMU],[1]!DadosGHD[uf])</f>
        <v>MG</v>
      </c>
      <c r="E265" s="5" t="str">
        <f>_xlfn.XLOOKUP(A265,[1]!DadosGHD[CD_GEOCMU],[1]!DadosGHD[MUNICIPIO])</f>
        <v>QUELUZITO</v>
      </c>
      <c r="F265" s="6">
        <v>28.832521438598601</v>
      </c>
      <c r="G265" s="6">
        <v>28.907878875732401</v>
      </c>
      <c r="H265" s="6">
        <v>28.942651748657202</v>
      </c>
      <c r="I265" s="6">
        <v>28.957912445068398</v>
      </c>
      <c r="J265" s="6">
        <v>33.861133575439503</v>
      </c>
      <c r="K265" s="6">
        <v>33.885780334472699</v>
      </c>
      <c r="L265" s="6">
        <v>35.156238555908203</v>
      </c>
    </row>
    <row r="266" spans="1:12" x14ac:dyDescent="0.25">
      <c r="A266">
        <v>5107404</v>
      </c>
      <c r="B266" t="str">
        <f t="shared" si="4"/>
        <v>SAO PEDRO DA CIPA, MT, Brasil</v>
      </c>
      <c r="C266" s="4" t="str">
        <f>_xlfn.XLOOKUP(A266,[1]!DadosGHD[CD_GEOCMU],[1]!DadosGHD[Região])</f>
        <v>CO</v>
      </c>
      <c r="D266" s="4" t="str">
        <f>_xlfn.XLOOKUP(A266,[1]!DadosGHD[CD_GEOCMU],[1]!DadosGHD[uf])</f>
        <v>MT</v>
      </c>
      <c r="E266" s="5" t="str">
        <f>_xlfn.XLOOKUP(A266,[1]!DadosGHD[CD_GEOCMU],[1]!DadosGHD[MUNICIPIO])</f>
        <v>SAO PEDRO DA CIPA</v>
      </c>
      <c r="F266" s="6">
        <v>28.832521438598601</v>
      </c>
      <c r="G266" s="6">
        <v>28.907878875732401</v>
      </c>
      <c r="H266" s="6">
        <v>28.942651748657202</v>
      </c>
      <c r="I266" s="6">
        <v>28.925045013427699</v>
      </c>
      <c r="J266" s="6">
        <v>33.845169067382798</v>
      </c>
      <c r="K266" s="6">
        <v>33.8565864562988</v>
      </c>
      <c r="L266" s="6">
        <v>39.567939758300803</v>
      </c>
    </row>
    <row r="267" spans="1:12" x14ac:dyDescent="0.25">
      <c r="A267">
        <v>2801900</v>
      </c>
      <c r="B267" t="str">
        <f t="shared" si="4"/>
        <v>CUMBE, SE, Brasil</v>
      </c>
      <c r="C267" s="4" t="str">
        <f>_xlfn.XLOOKUP(A267,[1]!DadosGHD[CD_GEOCMU],[1]!DadosGHD[Região])</f>
        <v>NE</v>
      </c>
      <c r="D267" s="4" t="str">
        <f>_xlfn.XLOOKUP(A267,[1]!DadosGHD[CD_GEOCMU],[1]!DadosGHD[uf])</f>
        <v>SE</v>
      </c>
      <c r="E267" s="5" t="str">
        <f>_xlfn.XLOOKUP(A267,[1]!DadosGHD[CD_GEOCMU],[1]!DadosGHD[MUNICIPIO])</f>
        <v>CUMBE</v>
      </c>
      <c r="F267" s="6">
        <v>28.832521438598601</v>
      </c>
      <c r="G267" s="6">
        <v>28.907878875732401</v>
      </c>
      <c r="H267" s="6">
        <v>28.942651748657202</v>
      </c>
      <c r="I267" s="6">
        <v>28.925045013427699</v>
      </c>
      <c r="J267" s="6">
        <v>28.9409065246582</v>
      </c>
      <c r="K267" s="6">
        <v>28.9686679840088</v>
      </c>
      <c r="L267" s="6">
        <v>26.2798957824707</v>
      </c>
    </row>
    <row r="268" spans="1:12" x14ac:dyDescent="0.25">
      <c r="A268">
        <v>5220058</v>
      </c>
      <c r="B268" t="str">
        <f t="shared" si="4"/>
        <v>SAO JOAO DA PARAUNA, GO, Brasil</v>
      </c>
      <c r="C268" s="4" t="str">
        <f>_xlfn.XLOOKUP(A268,[1]!DadosGHD[CD_GEOCMU],[1]!DadosGHD[Região])</f>
        <v>CO</v>
      </c>
      <c r="D268" s="4" t="str">
        <f>_xlfn.XLOOKUP(A268,[1]!DadosGHD[CD_GEOCMU],[1]!DadosGHD[uf])</f>
        <v>GO</v>
      </c>
      <c r="E268" s="5" t="str">
        <f>_xlfn.XLOOKUP(A268,[1]!DadosGHD[CD_GEOCMU],[1]!DadosGHD[MUNICIPIO])</f>
        <v>SAO JOAO DA PARAUNA</v>
      </c>
      <c r="F268" s="6">
        <v>28.832521438598601</v>
      </c>
      <c r="G268" s="6">
        <v>28.907878875732401</v>
      </c>
      <c r="H268" s="6">
        <v>28.942651748657202</v>
      </c>
      <c r="I268" s="6">
        <v>28.925045013427699</v>
      </c>
      <c r="J268" s="6">
        <v>28.9409065246582</v>
      </c>
      <c r="K268" s="6">
        <v>28.9686679840088</v>
      </c>
      <c r="L268" s="6">
        <v>39.564441680908203</v>
      </c>
    </row>
    <row r="269" spans="1:12" x14ac:dyDescent="0.25">
      <c r="A269">
        <v>2413300</v>
      </c>
      <c r="B269" t="str">
        <f t="shared" si="4"/>
        <v>SERRA DE SAO BENTO, RN, Brasil</v>
      </c>
      <c r="C269" s="4" t="str">
        <f>_xlfn.XLOOKUP(A269,[1]!DadosGHD[CD_GEOCMU],[1]!DadosGHD[Região])</f>
        <v>NE</v>
      </c>
      <c r="D269" s="4" t="str">
        <f>_xlfn.XLOOKUP(A269,[1]!DadosGHD[CD_GEOCMU],[1]!DadosGHD[uf])</f>
        <v>RN</v>
      </c>
      <c r="E269" s="5" t="str">
        <f>_xlfn.XLOOKUP(A269,[1]!DadosGHD[CD_GEOCMU],[1]!DadosGHD[MUNICIPIO])</f>
        <v>SERRA DE SAO BENTO</v>
      </c>
      <c r="F269" s="6">
        <v>28.832521438598601</v>
      </c>
      <c r="G269" s="6">
        <v>28.907878875732401</v>
      </c>
      <c r="H269" s="6">
        <v>28.942651748657202</v>
      </c>
      <c r="I269" s="6">
        <v>28.937707901001001</v>
      </c>
      <c r="J269" s="6">
        <v>28.955398559570298</v>
      </c>
      <c r="K269" s="6">
        <v>28.9686679840088</v>
      </c>
      <c r="L269" s="6">
        <v>26.2798957824707</v>
      </c>
    </row>
    <row r="270" spans="1:12" x14ac:dyDescent="0.25">
      <c r="A270">
        <v>4109104</v>
      </c>
      <c r="B270" t="str">
        <f t="shared" si="4"/>
        <v>GUAPOREMA, PR, Brasil</v>
      </c>
      <c r="C270" s="4" t="str">
        <f>_xlfn.XLOOKUP(A270,[1]!DadosGHD[CD_GEOCMU],[1]!DadosGHD[Região])</f>
        <v>SL</v>
      </c>
      <c r="D270" s="4" t="str">
        <f>_xlfn.XLOOKUP(A270,[1]!DadosGHD[CD_GEOCMU],[1]!DadosGHD[uf])</f>
        <v>PR</v>
      </c>
      <c r="E270" s="5" t="str">
        <f>_xlfn.XLOOKUP(A270,[1]!DadosGHD[CD_GEOCMU],[1]!DadosGHD[MUNICIPIO])</f>
        <v>GUAPOREMA</v>
      </c>
      <c r="F270" s="6">
        <v>28.832521438598601</v>
      </c>
      <c r="G270" s="6">
        <v>28.907878875732401</v>
      </c>
      <c r="H270" s="6">
        <v>28.942651748657202</v>
      </c>
      <c r="I270" s="6">
        <v>28.925045013427699</v>
      </c>
      <c r="J270" s="6">
        <v>28.9409065246582</v>
      </c>
      <c r="K270" s="6">
        <v>28.9686679840088</v>
      </c>
      <c r="L270" s="6">
        <v>26.2798957824707</v>
      </c>
    </row>
    <row r="271" spans="1:12" x14ac:dyDescent="0.25">
      <c r="A271">
        <v>1715507</v>
      </c>
      <c r="B271" t="str">
        <f t="shared" si="4"/>
        <v>OLIVEIRA DE FATIMA, TO, Brasil</v>
      </c>
      <c r="C271" s="4" t="str">
        <f>_xlfn.XLOOKUP(A271,[1]!DadosGHD[CD_GEOCMU],[1]!DadosGHD[Região])</f>
        <v>NO</v>
      </c>
      <c r="D271" s="4" t="str">
        <f>_xlfn.XLOOKUP(A271,[1]!DadosGHD[CD_GEOCMU],[1]!DadosGHD[uf])</f>
        <v>TO</v>
      </c>
      <c r="E271" s="5" t="str">
        <f>_xlfn.XLOOKUP(A271,[1]!DadosGHD[CD_GEOCMU],[1]!DadosGHD[MUNICIPIO])</f>
        <v>OLIVEIRA DE FATIMA</v>
      </c>
      <c r="F271" s="6">
        <v>28.832521438598601</v>
      </c>
      <c r="G271" s="6">
        <v>28.907878875732401</v>
      </c>
      <c r="H271" s="6">
        <v>28.942651748657202</v>
      </c>
      <c r="I271" s="6">
        <v>28.925045013427699</v>
      </c>
      <c r="J271" s="6">
        <v>28.9409065246582</v>
      </c>
      <c r="K271" s="6">
        <v>28.9686679840088</v>
      </c>
      <c r="L271" s="6">
        <v>26.2798957824707</v>
      </c>
    </row>
    <row r="272" spans="1:12" x14ac:dyDescent="0.25">
      <c r="A272">
        <v>2503555</v>
      </c>
      <c r="B272" t="str">
        <f t="shared" si="4"/>
        <v>CACIMBAS, PB, Brasil</v>
      </c>
      <c r="C272" s="4" t="str">
        <f>_xlfn.XLOOKUP(A272,[1]!DadosGHD[CD_GEOCMU],[1]!DadosGHD[Região])</f>
        <v>NE</v>
      </c>
      <c r="D272" s="4" t="str">
        <f>_xlfn.XLOOKUP(A272,[1]!DadosGHD[CD_GEOCMU],[1]!DadosGHD[uf])</f>
        <v>PB</v>
      </c>
      <c r="E272" s="5" t="str">
        <f>_xlfn.XLOOKUP(A272,[1]!DadosGHD[CD_GEOCMU],[1]!DadosGHD[MUNICIPIO])</f>
        <v>CACIMBAS</v>
      </c>
      <c r="F272" s="6">
        <v>28.832521438598601</v>
      </c>
      <c r="G272" s="6">
        <v>28.907878875732401</v>
      </c>
      <c r="H272" s="6">
        <v>28.942651748657202</v>
      </c>
      <c r="I272" s="6">
        <v>28.925045013427699</v>
      </c>
      <c r="J272" s="6">
        <v>28.9409065246582</v>
      </c>
      <c r="K272" s="6">
        <v>28.9686679840088</v>
      </c>
      <c r="L272" s="6">
        <v>26.2798957824707</v>
      </c>
    </row>
    <row r="273" spans="1:12" x14ac:dyDescent="0.25">
      <c r="A273">
        <v>1302553</v>
      </c>
      <c r="B273" t="str">
        <f t="shared" si="4"/>
        <v>MANAQUIRI, AM, Brasil</v>
      </c>
      <c r="C273" s="4" t="str">
        <f>_xlfn.XLOOKUP(A273,[1]!DadosGHD[CD_GEOCMU],[1]!DadosGHD[Região])</f>
        <v>NO</v>
      </c>
      <c r="D273" s="4" t="str">
        <f>_xlfn.XLOOKUP(A273,[1]!DadosGHD[CD_GEOCMU],[1]!DadosGHD[uf])</f>
        <v>AM</v>
      </c>
      <c r="E273" s="5" t="str">
        <f>_xlfn.XLOOKUP(A273,[1]!DadosGHD[CD_GEOCMU],[1]!DadosGHD[MUNICIPIO])</f>
        <v>MANAQUIRI</v>
      </c>
      <c r="F273" s="6">
        <v>28.832521438598601</v>
      </c>
      <c r="G273" s="6">
        <v>28.907878875732401</v>
      </c>
      <c r="H273" s="6">
        <v>28.942651748657202</v>
      </c>
      <c r="I273" s="6">
        <v>28.925045013427699</v>
      </c>
      <c r="J273" s="6">
        <v>28.9409065246582</v>
      </c>
      <c r="K273" s="6">
        <v>28.9686679840088</v>
      </c>
      <c r="L273" s="6">
        <v>26.2798957824707</v>
      </c>
    </row>
    <row r="274" spans="1:12" x14ac:dyDescent="0.25">
      <c r="A274">
        <v>1300508</v>
      </c>
      <c r="B274" t="str">
        <f t="shared" si="4"/>
        <v>BARREIRINHA, AM, Brasil</v>
      </c>
      <c r="C274" s="4" t="str">
        <f>_xlfn.XLOOKUP(A274,[1]!DadosGHD[CD_GEOCMU],[1]!DadosGHD[Região])</f>
        <v>NO</v>
      </c>
      <c r="D274" s="4" t="str">
        <f>_xlfn.XLOOKUP(A274,[1]!DadosGHD[CD_GEOCMU],[1]!DadosGHD[uf])</f>
        <v>AM</v>
      </c>
      <c r="E274" s="5" t="str">
        <f>_xlfn.XLOOKUP(A274,[1]!DadosGHD[CD_GEOCMU],[1]!DadosGHD[MUNICIPIO])</f>
        <v>BARREIRINHA</v>
      </c>
      <c r="F274" s="6">
        <v>28.832521438598601</v>
      </c>
      <c r="G274" s="6">
        <v>28.907878875732401</v>
      </c>
      <c r="H274" s="6">
        <v>28.942651748657202</v>
      </c>
      <c r="I274" s="6">
        <v>28.925045013427699</v>
      </c>
      <c r="J274" s="6">
        <v>28.9409065246582</v>
      </c>
      <c r="K274" s="6">
        <v>28.9686679840088</v>
      </c>
      <c r="L274" s="6">
        <v>26.2798957824707</v>
      </c>
    </row>
    <row r="275" spans="1:12" x14ac:dyDescent="0.25">
      <c r="A275">
        <v>1703305</v>
      </c>
      <c r="B275" t="str">
        <f t="shared" si="4"/>
        <v>BOM JESUS DO TOCANTINS, TO, Brasil</v>
      </c>
      <c r="C275" s="4" t="str">
        <f>_xlfn.XLOOKUP(A275,[1]!DadosGHD[CD_GEOCMU],[1]!DadosGHD[Região])</f>
        <v>NO</v>
      </c>
      <c r="D275" s="4" t="str">
        <f>_xlfn.XLOOKUP(A275,[1]!DadosGHD[CD_GEOCMU],[1]!DadosGHD[uf])</f>
        <v>TO</v>
      </c>
      <c r="E275" s="5" t="str">
        <f>_xlfn.XLOOKUP(A275,[1]!DadosGHD[CD_GEOCMU],[1]!DadosGHD[MUNICIPIO])</f>
        <v>BOM JESUS DO TOCANTINS</v>
      </c>
      <c r="F275" s="6">
        <v>28.832521438598601</v>
      </c>
      <c r="G275" s="6">
        <v>28.907878875732401</v>
      </c>
      <c r="H275" s="6">
        <v>28.942651748657202</v>
      </c>
      <c r="I275" s="6">
        <v>28.925045013427699</v>
      </c>
      <c r="J275" s="6">
        <v>28.9409065246582</v>
      </c>
      <c r="K275" s="6">
        <v>28.9686679840088</v>
      </c>
      <c r="L275" s="6">
        <v>30.6924934387207</v>
      </c>
    </row>
    <row r="276" spans="1:12" x14ac:dyDescent="0.25">
      <c r="A276">
        <v>4300554</v>
      </c>
      <c r="B276" t="str">
        <f t="shared" si="4"/>
        <v>ALTO ALEGRE, RS, Brasil</v>
      </c>
      <c r="C276" s="4" t="str">
        <f>_xlfn.XLOOKUP(A276,[1]!DadosGHD[CD_GEOCMU],[1]!DadosGHD[Região])</f>
        <v>SL</v>
      </c>
      <c r="D276" s="4" t="str">
        <f>_xlfn.XLOOKUP(A276,[1]!DadosGHD[CD_GEOCMU],[1]!DadosGHD[uf])</f>
        <v>RS</v>
      </c>
      <c r="E276" s="5" t="str">
        <f>_xlfn.XLOOKUP(A276,[1]!DadosGHD[CD_GEOCMU],[1]!DadosGHD[MUNICIPIO])</f>
        <v>ALTO ALEGRE</v>
      </c>
      <c r="F276" s="6">
        <v>28.832521438598601</v>
      </c>
      <c r="G276" s="6">
        <v>38.752273559570298</v>
      </c>
      <c r="H276" s="6">
        <v>38.835136413574197</v>
      </c>
      <c r="I276" s="6">
        <v>43.726642608642599</v>
      </c>
      <c r="J276" s="6">
        <v>43.782173156738303</v>
      </c>
      <c r="K276" s="6">
        <v>38.845630645752003</v>
      </c>
      <c r="L276" s="6">
        <v>35.149566650390597</v>
      </c>
    </row>
    <row r="277" spans="1:12" x14ac:dyDescent="0.25">
      <c r="A277">
        <v>5212253</v>
      </c>
      <c r="B277" t="str">
        <f t="shared" si="4"/>
        <v>LAGOA SANTA, GO, Brasil</v>
      </c>
      <c r="C277" s="4" t="str">
        <f>_xlfn.XLOOKUP(A277,[1]!DadosGHD[CD_GEOCMU],[1]!DadosGHD[Região])</f>
        <v>CO</v>
      </c>
      <c r="D277" s="4" t="str">
        <f>_xlfn.XLOOKUP(A277,[1]!DadosGHD[CD_GEOCMU],[1]!DadosGHD[uf])</f>
        <v>GO</v>
      </c>
      <c r="E277" s="5" t="str">
        <f>_xlfn.XLOOKUP(A277,[1]!DadosGHD[CD_GEOCMU],[1]!DadosGHD[MUNICIPIO])</f>
        <v>LAGOA SANTA</v>
      </c>
      <c r="F277" s="6">
        <v>28.832521438598601</v>
      </c>
      <c r="G277" s="6">
        <v>28.9119682312012</v>
      </c>
      <c r="H277" s="6">
        <v>28.9644451141357</v>
      </c>
      <c r="I277" s="6">
        <v>28.935670852661101</v>
      </c>
      <c r="J277" s="6">
        <v>28.9409065246582</v>
      </c>
      <c r="K277" s="6">
        <v>28.9686679840088</v>
      </c>
      <c r="L277" s="6">
        <v>26.291580200195298</v>
      </c>
    </row>
    <row r="278" spans="1:12" x14ac:dyDescent="0.25">
      <c r="A278">
        <v>3145802</v>
      </c>
      <c r="B278" t="str">
        <f t="shared" si="4"/>
        <v>ONCA DE PITANGUI, MG, Brasil</v>
      </c>
      <c r="C278" s="4" t="str">
        <f>_xlfn.XLOOKUP(A278,[1]!DadosGHD[CD_GEOCMU],[1]!DadosGHD[Região])</f>
        <v>SD</v>
      </c>
      <c r="D278" s="4" t="str">
        <f>_xlfn.XLOOKUP(A278,[1]!DadosGHD[CD_GEOCMU],[1]!DadosGHD[uf])</f>
        <v>MG</v>
      </c>
      <c r="E278" s="5" t="str">
        <f>_xlfn.XLOOKUP(A278,[1]!DadosGHD[CD_GEOCMU],[1]!DadosGHD[MUNICIPIO])</f>
        <v>ONCA DE PITANGUI</v>
      </c>
      <c r="F278" s="6">
        <v>28.832521438598601</v>
      </c>
      <c r="G278" s="6">
        <v>28.907878875732401</v>
      </c>
      <c r="H278" s="6">
        <v>28.942651748657202</v>
      </c>
      <c r="I278" s="6">
        <v>28.925045013427699</v>
      </c>
      <c r="J278" s="6">
        <v>28.9409065246582</v>
      </c>
      <c r="K278" s="6">
        <v>33.9010009765625</v>
      </c>
      <c r="L278" s="6">
        <v>44.057888031005902</v>
      </c>
    </row>
    <row r="279" spans="1:12" x14ac:dyDescent="0.25">
      <c r="A279">
        <v>1200435</v>
      </c>
      <c r="B279" t="str">
        <f t="shared" si="4"/>
        <v>SANTA ROSA DO PURUS, AC, Brasil</v>
      </c>
      <c r="C279" s="4" t="str">
        <f>_xlfn.XLOOKUP(A279,[1]!DadosGHD[CD_GEOCMU],[1]!DadosGHD[Região])</f>
        <v>NO</v>
      </c>
      <c r="D279" s="4" t="str">
        <f>_xlfn.XLOOKUP(A279,[1]!DadosGHD[CD_GEOCMU],[1]!DadosGHD[uf])</f>
        <v>AC</v>
      </c>
      <c r="E279" s="5" t="str">
        <f>_xlfn.XLOOKUP(A279,[1]!DadosGHD[CD_GEOCMU],[1]!DadosGHD[MUNICIPIO])</f>
        <v>SANTA ROSA DO PURUS</v>
      </c>
      <c r="F279" s="6">
        <v>28.832521438598601</v>
      </c>
      <c r="G279" s="6">
        <v>28.907878875732401</v>
      </c>
      <c r="H279" s="6">
        <v>28.942651748657202</v>
      </c>
      <c r="I279" s="6">
        <v>28.925045013427699</v>
      </c>
      <c r="J279" s="6">
        <v>28.9409065246582</v>
      </c>
      <c r="K279" s="6">
        <v>28.9686679840088</v>
      </c>
      <c r="L279" s="6">
        <v>26.2798957824707</v>
      </c>
    </row>
    <row r="280" spans="1:12" x14ac:dyDescent="0.25">
      <c r="A280">
        <v>4110656</v>
      </c>
      <c r="B280" t="str">
        <f t="shared" si="4"/>
        <v>IRACEMA DO OESTE, PR, Brasil</v>
      </c>
      <c r="C280" s="4" t="str">
        <f>_xlfn.XLOOKUP(A280,[1]!DadosGHD[CD_GEOCMU],[1]!DadosGHD[Região])</f>
        <v>SL</v>
      </c>
      <c r="D280" s="4" t="str">
        <f>_xlfn.XLOOKUP(A280,[1]!DadosGHD[CD_GEOCMU],[1]!DadosGHD[uf])</f>
        <v>PR</v>
      </c>
      <c r="E280" s="5" t="str">
        <f>_xlfn.XLOOKUP(A280,[1]!DadosGHD[CD_GEOCMU],[1]!DadosGHD[MUNICIPIO])</f>
        <v>IRACEMA DO OESTE</v>
      </c>
      <c r="F280" s="6">
        <v>28.832521438598601</v>
      </c>
      <c r="G280" s="6">
        <v>38.729007720947301</v>
      </c>
      <c r="H280" s="6">
        <v>38.806449890136697</v>
      </c>
      <c r="I280" s="6">
        <v>38.783256530761697</v>
      </c>
      <c r="J280" s="6">
        <v>38.785892486572301</v>
      </c>
      <c r="K280" s="6">
        <v>38.888988494873097</v>
      </c>
      <c r="L280" s="6">
        <v>39.565860748291001</v>
      </c>
    </row>
    <row r="281" spans="1:12" x14ac:dyDescent="0.25">
      <c r="A281">
        <v>2513943</v>
      </c>
      <c r="B281" t="str">
        <f t="shared" si="4"/>
        <v>SAO DOMINGOS DO CARIRI, PB, Brasil</v>
      </c>
      <c r="C281" s="4" t="str">
        <f>_xlfn.XLOOKUP(A281,[1]!DadosGHD[CD_GEOCMU],[1]!DadosGHD[Região])</f>
        <v>NE</v>
      </c>
      <c r="D281" s="4" t="str">
        <f>_xlfn.XLOOKUP(A281,[1]!DadosGHD[CD_GEOCMU],[1]!DadosGHD[uf])</f>
        <v>PB</v>
      </c>
      <c r="E281" s="5" t="str">
        <f>_xlfn.XLOOKUP(A281,[1]!DadosGHD[CD_GEOCMU],[1]!DadosGHD[MUNICIPIO])</f>
        <v>SAO DOMINGOS DO CARIRI</v>
      </c>
      <c r="F281" s="6">
        <v>28.832521438598601</v>
      </c>
      <c r="G281" s="6">
        <v>28.907878875732401</v>
      </c>
      <c r="H281" s="6">
        <v>28.942651748657202</v>
      </c>
      <c r="I281" s="6">
        <v>28.925045013427699</v>
      </c>
      <c r="J281" s="6">
        <v>28.9409065246582</v>
      </c>
      <c r="K281" s="6">
        <v>28.9686679840088</v>
      </c>
      <c r="L281" s="6">
        <v>26.284458160400401</v>
      </c>
    </row>
    <row r="282" spans="1:12" x14ac:dyDescent="0.25">
      <c r="A282">
        <v>4312377</v>
      </c>
      <c r="B282" t="str">
        <f t="shared" si="4"/>
        <v>MONTE ALEGRE DOS CAMPOS, RS, Brasil</v>
      </c>
      <c r="C282" s="4" t="str">
        <f>_xlfn.XLOOKUP(A282,[1]!DadosGHD[CD_GEOCMU],[1]!DadosGHD[Região])</f>
        <v>SL</v>
      </c>
      <c r="D282" s="4" t="str">
        <f>_xlfn.XLOOKUP(A282,[1]!DadosGHD[CD_GEOCMU],[1]!DadosGHD[uf])</f>
        <v>RS</v>
      </c>
      <c r="E282" s="5" t="str">
        <f>_xlfn.XLOOKUP(A282,[1]!DadosGHD[CD_GEOCMU],[1]!DadosGHD[MUNICIPIO])</f>
        <v>MONTE ALEGRE DOS CAMPOS</v>
      </c>
      <c r="F282" s="6">
        <v>28.832521438598601</v>
      </c>
      <c r="G282" s="6">
        <v>28.907878875732401</v>
      </c>
      <c r="H282" s="6">
        <v>28.966711044311499</v>
      </c>
      <c r="I282" s="6">
        <v>33.802688598632798</v>
      </c>
      <c r="J282" s="6">
        <v>43.707878112792997</v>
      </c>
      <c r="K282" s="6">
        <v>48.8303833007813</v>
      </c>
      <c r="L282" s="6">
        <v>44.030227661132798</v>
      </c>
    </row>
    <row r="283" spans="1:12" x14ac:dyDescent="0.25">
      <c r="A283">
        <v>5210158</v>
      </c>
      <c r="B283" t="str">
        <f t="shared" si="4"/>
        <v>IPIRANGA DE GOIAS, GO, Brasil</v>
      </c>
      <c r="C283" s="4" t="str">
        <f>_xlfn.XLOOKUP(A283,[1]!DadosGHD[CD_GEOCMU],[1]!DadosGHD[Região])</f>
        <v>CO</v>
      </c>
      <c r="D283" s="4" t="str">
        <f>_xlfn.XLOOKUP(A283,[1]!DadosGHD[CD_GEOCMU],[1]!DadosGHD[uf])</f>
        <v>GO</v>
      </c>
      <c r="E283" s="5" t="str">
        <f>_xlfn.XLOOKUP(A283,[1]!DadosGHD[CD_GEOCMU],[1]!DadosGHD[MUNICIPIO])</f>
        <v>IPIRANGA DE GOIAS</v>
      </c>
      <c r="F283" s="6">
        <v>28.832521438598601</v>
      </c>
      <c r="G283" s="6">
        <v>28.907878875732401</v>
      </c>
      <c r="H283" s="6">
        <v>28.942651748657202</v>
      </c>
      <c r="I283" s="6">
        <v>28.925045013427699</v>
      </c>
      <c r="J283" s="6">
        <v>28.9409065246582</v>
      </c>
      <c r="K283" s="6">
        <v>28.9686679840088</v>
      </c>
      <c r="L283" s="6">
        <v>26.2798957824707</v>
      </c>
    </row>
    <row r="284" spans="1:12" x14ac:dyDescent="0.25">
      <c r="A284">
        <v>4115739</v>
      </c>
      <c r="B284" t="str">
        <f t="shared" si="4"/>
        <v>MATO RICO, PR, Brasil</v>
      </c>
      <c r="C284" s="4" t="str">
        <f>_xlfn.XLOOKUP(A284,[1]!DadosGHD[CD_GEOCMU],[1]!DadosGHD[Região])</f>
        <v>SL</v>
      </c>
      <c r="D284" s="4" t="str">
        <f>_xlfn.XLOOKUP(A284,[1]!DadosGHD[CD_GEOCMU],[1]!DadosGHD[uf])</f>
        <v>PR</v>
      </c>
      <c r="E284" s="5" t="str">
        <f>_xlfn.XLOOKUP(A284,[1]!DadosGHD[CD_GEOCMU],[1]!DadosGHD[MUNICIPIO])</f>
        <v>MATO RICO</v>
      </c>
      <c r="F284" s="6">
        <v>28.832521438598601</v>
      </c>
      <c r="G284" s="6">
        <v>28.907878875732401</v>
      </c>
      <c r="H284" s="6">
        <v>28.942651748657202</v>
      </c>
      <c r="I284" s="6">
        <v>28.925045013427699</v>
      </c>
      <c r="J284" s="6">
        <v>33.882984161377003</v>
      </c>
      <c r="K284" s="6">
        <v>33.9183540344238</v>
      </c>
      <c r="L284" s="6">
        <v>30.686103820800799</v>
      </c>
    </row>
    <row r="285" spans="1:12" x14ac:dyDescent="0.25">
      <c r="A285">
        <v>2514107</v>
      </c>
      <c r="B285" t="str">
        <f t="shared" si="4"/>
        <v>SAO JOAO DO TIGRE, PB, Brasil</v>
      </c>
      <c r="C285" s="4" t="str">
        <f>_xlfn.XLOOKUP(A285,[1]!DadosGHD[CD_GEOCMU],[1]!DadosGHD[Região])</f>
        <v>NE</v>
      </c>
      <c r="D285" s="4" t="str">
        <f>_xlfn.XLOOKUP(A285,[1]!DadosGHD[CD_GEOCMU],[1]!DadosGHD[uf])</f>
        <v>PB</v>
      </c>
      <c r="E285" s="5" t="str">
        <f>_xlfn.XLOOKUP(A285,[1]!DadosGHD[CD_GEOCMU],[1]!DadosGHD[MUNICIPIO])</f>
        <v>SAO JOAO DO TIGRE</v>
      </c>
      <c r="F285" s="6">
        <v>28.832521438598601</v>
      </c>
      <c r="G285" s="6">
        <v>28.907878875732401</v>
      </c>
      <c r="H285" s="6">
        <v>28.942651748657202</v>
      </c>
      <c r="I285" s="6">
        <v>28.925045013427699</v>
      </c>
      <c r="J285" s="6">
        <v>28.9409065246582</v>
      </c>
      <c r="K285" s="6">
        <v>28.9686679840088</v>
      </c>
      <c r="L285" s="6">
        <v>26.2798957824707</v>
      </c>
    </row>
    <row r="286" spans="1:12" x14ac:dyDescent="0.25">
      <c r="A286">
        <v>1704600</v>
      </c>
      <c r="B286" t="str">
        <f t="shared" si="4"/>
        <v>CHAPADA DE AREIA, TO, Brasil</v>
      </c>
      <c r="C286" s="4" t="str">
        <f>_xlfn.XLOOKUP(A286,[1]!DadosGHD[CD_GEOCMU],[1]!DadosGHD[Região])</f>
        <v>NO</v>
      </c>
      <c r="D286" s="4" t="str">
        <f>_xlfn.XLOOKUP(A286,[1]!DadosGHD[CD_GEOCMU],[1]!DadosGHD[uf])</f>
        <v>TO</v>
      </c>
      <c r="E286" s="5" t="str">
        <f>_xlfn.XLOOKUP(A286,[1]!DadosGHD[CD_GEOCMU],[1]!DadosGHD[MUNICIPIO])</f>
        <v>CHAPADA DE AREIA</v>
      </c>
      <c r="F286" s="6">
        <v>28.832521438598601</v>
      </c>
      <c r="G286" s="6">
        <v>28.907878875732401</v>
      </c>
      <c r="H286" s="6">
        <v>28.942651748657202</v>
      </c>
      <c r="I286" s="6">
        <v>28.925045013427699</v>
      </c>
      <c r="J286" s="6">
        <v>28.9409065246582</v>
      </c>
      <c r="K286" s="6">
        <v>28.9686679840088</v>
      </c>
      <c r="L286" s="6">
        <v>26.2798957824707</v>
      </c>
    </row>
    <row r="287" spans="1:12" x14ac:dyDescent="0.25">
      <c r="A287">
        <v>2514651</v>
      </c>
      <c r="B287" t="str">
        <f t="shared" si="4"/>
        <v>SAO JOSE DO BREJO DO CRUZ, PB, Brasil</v>
      </c>
      <c r="C287" s="4" t="str">
        <f>_xlfn.XLOOKUP(A287,[1]!DadosGHD[CD_GEOCMU],[1]!DadosGHD[Região])</f>
        <v>NE</v>
      </c>
      <c r="D287" s="4" t="str">
        <f>_xlfn.XLOOKUP(A287,[1]!DadosGHD[CD_GEOCMU],[1]!DadosGHD[uf])</f>
        <v>PB</v>
      </c>
      <c r="E287" s="5" t="str">
        <f>_xlfn.XLOOKUP(A287,[1]!DadosGHD[CD_GEOCMU],[1]!DadosGHD[MUNICIPIO])</f>
        <v>SAO JOSE DO BREJO DO CRUZ</v>
      </c>
      <c r="F287" s="6">
        <v>28.832521438598601</v>
      </c>
      <c r="G287" s="6">
        <v>28.907878875732401</v>
      </c>
      <c r="H287" s="6">
        <v>28.942651748657202</v>
      </c>
      <c r="I287" s="6">
        <v>28.925045013427699</v>
      </c>
      <c r="J287" s="6">
        <v>28.9409065246582</v>
      </c>
      <c r="K287" s="6">
        <v>28.9686679840088</v>
      </c>
      <c r="L287" s="6">
        <v>26.2798957824707</v>
      </c>
    </row>
    <row r="288" spans="1:12" x14ac:dyDescent="0.25">
      <c r="A288">
        <v>2510709</v>
      </c>
      <c r="B288" t="str">
        <f t="shared" si="4"/>
        <v>PASSAGEM, PB, Brasil</v>
      </c>
      <c r="C288" s="4" t="str">
        <f>_xlfn.XLOOKUP(A288,[1]!DadosGHD[CD_GEOCMU],[1]!DadosGHD[Região])</f>
        <v>NE</v>
      </c>
      <c r="D288" s="4" t="str">
        <f>_xlfn.XLOOKUP(A288,[1]!DadosGHD[CD_GEOCMU],[1]!DadosGHD[uf])</f>
        <v>PB</v>
      </c>
      <c r="E288" s="5" t="str">
        <f>_xlfn.XLOOKUP(A288,[1]!DadosGHD[CD_GEOCMU],[1]!DadosGHD[MUNICIPIO])</f>
        <v>PASSAGEM</v>
      </c>
      <c r="F288" s="6">
        <v>28.832521438598601</v>
      </c>
      <c r="G288" s="6">
        <v>28.907878875732401</v>
      </c>
      <c r="H288" s="6">
        <v>28.942651748657202</v>
      </c>
      <c r="I288" s="6">
        <v>28.925045013427699</v>
      </c>
      <c r="J288" s="6">
        <v>28.9409065246582</v>
      </c>
      <c r="K288" s="6">
        <v>28.9686679840088</v>
      </c>
      <c r="L288" s="6">
        <v>26.2798957824707</v>
      </c>
    </row>
    <row r="289" spans="1:12" x14ac:dyDescent="0.25">
      <c r="A289">
        <v>2405900</v>
      </c>
      <c r="B289" t="str">
        <f t="shared" si="4"/>
        <v>JOAO DIAS, RN, Brasil</v>
      </c>
      <c r="C289" s="4" t="str">
        <f>_xlfn.XLOOKUP(A289,[1]!DadosGHD[CD_GEOCMU],[1]!DadosGHD[Região])</f>
        <v>NE</v>
      </c>
      <c r="D289" s="4" t="str">
        <f>_xlfn.XLOOKUP(A289,[1]!DadosGHD[CD_GEOCMU],[1]!DadosGHD[uf])</f>
        <v>RN</v>
      </c>
      <c r="E289" s="5" t="str">
        <f>_xlfn.XLOOKUP(A289,[1]!DadosGHD[CD_GEOCMU],[1]!DadosGHD[MUNICIPIO])</f>
        <v>JOAO DIAS</v>
      </c>
      <c r="F289" s="6">
        <v>28.832521438598601</v>
      </c>
      <c r="G289" s="6">
        <v>28.907878875732401</v>
      </c>
      <c r="H289" s="6">
        <v>28.942651748657202</v>
      </c>
      <c r="I289" s="6">
        <v>28.925045013427699</v>
      </c>
      <c r="J289" s="6">
        <v>28.9409065246582</v>
      </c>
      <c r="K289" s="6">
        <v>29.002799987793001</v>
      </c>
      <c r="L289" s="6">
        <v>30.695758819580099</v>
      </c>
    </row>
    <row r="290" spans="1:12" x14ac:dyDescent="0.25">
      <c r="A290">
        <v>5214879</v>
      </c>
      <c r="B290" t="str">
        <f t="shared" si="4"/>
        <v>NOVA IGUACU DE GOIAS, GO, Brasil</v>
      </c>
      <c r="C290" s="4" t="str">
        <f>_xlfn.XLOOKUP(A290,[1]!DadosGHD[CD_GEOCMU],[1]!DadosGHD[Região])</f>
        <v>CO</v>
      </c>
      <c r="D290" s="4" t="str">
        <f>_xlfn.XLOOKUP(A290,[1]!DadosGHD[CD_GEOCMU],[1]!DadosGHD[uf])</f>
        <v>GO</v>
      </c>
      <c r="E290" s="5" t="str">
        <f>_xlfn.XLOOKUP(A290,[1]!DadosGHD[CD_GEOCMU],[1]!DadosGHD[MUNICIPIO])</f>
        <v>NOVA IGUACU DE GOIAS</v>
      </c>
      <c r="F290" s="6">
        <v>28.832521438598601</v>
      </c>
      <c r="G290" s="6">
        <v>28.907878875732401</v>
      </c>
      <c r="H290" s="6">
        <v>28.942651748657202</v>
      </c>
      <c r="I290" s="6">
        <v>28.925045013427699</v>
      </c>
      <c r="J290" s="6">
        <v>28.9409065246582</v>
      </c>
      <c r="K290" s="6">
        <v>28.9686679840088</v>
      </c>
      <c r="L290" s="6">
        <v>35.133327484130902</v>
      </c>
    </row>
    <row r="291" spans="1:12" x14ac:dyDescent="0.25">
      <c r="A291">
        <v>5107297</v>
      </c>
      <c r="B291" t="str">
        <f t="shared" si="4"/>
        <v>SAO JOSE DO POVO, MT, Brasil</v>
      </c>
      <c r="C291" s="4" t="str">
        <f>_xlfn.XLOOKUP(A291,[1]!DadosGHD[CD_GEOCMU],[1]!DadosGHD[Região])</f>
        <v>CO</v>
      </c>
      <c r="D291" s="4" t="str">
        <f>_xlfn.XLOOKUP(A291,[1]!DadosGHD[CD_GEOCMU],[1]!DadosGHD[uf])</f>
        <v>MT</v>
      </c>
      <c r="E291" s="5" t="str">
        <f>_xlfn.XLOOKUP(A291,[1]!DadosGHD[CD_GEOCMU],[1]!DadosGHD[MUNICIPIO])</f>
        <v>SAO JOSE DO POVO</v>
      </c>
      <c r="F291" s="6">
        <v>28.832521438598601</v>
      </c>
      <c r="G291" s="6">
        <v>28.907878875732401</v>
      </c>
      <c r="H291" s="6">
        <v>33.865951538085902</v>
      </c>
      <c r="I291" s="6">
        <v>33.840606689453097</v>
      </c>
      <c r="J291" s="6">
        <v>33.840255737304702</v>
      </c>
      <c r="K291" s="6">
        <v>38.869663238525398</v>
      </c>
      <c r="L291" s="6">
        <v>53.038093566894503</v>
      </c>
    </row>
    <row r="292" spans="1:12" x14ac:dyDescent="0.25">
      <c r="A292">
        <v>2410603</v>
      </c>
      <c r="B292" t="str">
        <f t="shared" si="4"/>
        <v>RAFAEL GODEIRO, RN, Brasil</v>
      </c>
      <c r="C292" s="4" t="str">
        <f>_xlfn.XLOOKUP(A292,[1]!DadosGHD[CD_GEOCMU],[1]!DadosGHD[Região])</f>
        <v>NE</v>
      </c>
      <c r="D292" s="4" t="str">
        <f>_xlfn.XLOOKUP(A292,[1]!DadosGHD[CD_GEOCMU],[1]!DadosGHD[uf])</f>
        <v>RN</v>
      </c>
      <c r="E292" s="5" t="str">
        <f>_xlfn.XLOOKUP(A292,[1]!DadosGHD[CD_GEOCMU],[1]!DadosGHD[MUNICIPIO])</f>
        <v>RAFAEL GODEIRO</v>
      </c>
      <c r="F292" s="6">
        <v>28.832521438598601</v>
      </c>
      <c r="G292" s="6">
        <v>28.907878875732401</v>
      </c>
      <c r="H292" s="6">
        <v>28.942651748657202</v>
      </c>
      <c r="I292" s="6">
        <v>28.9382724761963</v>
      </c>
      <c r="J292" s="6">
        <v>28.9409065246582</v>
      </c>
      <c r="K292" s="6">
        <v>33.898040771484403</v>
      </c>
      <c r="L292" s="6">
        <v>35.142574310302699</v>
      </c>
    </row>
    <row r="293" spans="1:12" x14ac:dyDescent="0.25">
      <c r="A293">
        <v>4304614</v>
      </c>
      <c r="B293" t="str">
        <f t="shared" si="4"/>
        <v>CANUDOS DO VALE, RS, Brasil</v>
      </c>
      <c r="C293" s="4" t="str">
        <f>_xlfn.XLOOKUP(A293,[1]!DadosGHD[CD_GEOCMU],[1]!DadosGHD[Região])</f>
        <v>SL</v>
      </c>
      <c r="D293" s="4" t="str">
        <f>_xlfn.XLOOKUP(A293,[1]!DadosGHD[CD_GEOCMU],[1]!DadosGHD[uf])</f>
        <v>RS</v>
      </c>
      <c r="E293" s="5" t="str">
        <f>_xlfn.XLOOKUP(A293,[1]!DadosGHD[CD_GEOCMU],[1]!DadosGHD[MUNICIPIO])</f>
        <v>CANUDOS DO VALE</v>
      </c>
      <c r="F293" s="6">
        <v>28.832521438598601</v>
      </c>
      <c r="G293" s="6">
        <v>38.719383239746101</v>
      </c>
      <c r="H293" s="6">
        <v>38.767951965332003</v>
      </c>
      <c r="I293" s="6">
        <v>43.689014434814503</v>
      </c>
      <c r="J293" s="6">
        <v>48.711246490478501</v>
      </c>
      <c r="K293" s="6">
        <v>48.804065704345703</v>
      </c>
      <c r="L293" s="6">
        <v>39.592437744140597</v>
      </c>
    </row>
    <row r="294" spans="1:12" x14ac:dyDescent="0.25">
      <c r="A294">
        <v>2911253</v>
      </c>
      <c r="B294" t="str">
        <f t="shared" si="4"/>
        <v>GAVIAO, BA, Brasil</v>
      </c>
      <c r="C294" s="4" t="str">
        <f>_xlfn.XLOOKUP(A294,[1]!DadosGHD[CD_GEOCMU],[1]!DadosGHD[Região])</f>
        <v>NE</v>
      </c>
      <c r="D294" s="4" t="str">
        <f>_xlfn.XLOOKUP(A294,[1]!DadosGHD[CD_GEOCMU],[1]!DadosGHD[uf])</f>
        <v>BA</v>
      </c>
      <c r="E294" s="5" t="str">
        <f>_xlfn.XLOOKUP(A294,[1]!DadosGHD[CD_GEOCMU],[1]!DadosGHD[MUNICIPIO])</f>
        <v>GAVIAO</v>
      </c>
      <c r="F294" s="6">
        <v>28.832521438598601</v>
      </c>
      <c r="G294" s="6">
        <v>33.792045593261697</v>
      </c>
      <c r="H294" s="6">
        <v>33.837268829345703</v>
      </c>
      <c r="I294" s="6">
        <v>33.8162841796875</v>
      </c>
      <c r="J294" s="6">
        <v>38.756351470947301</v>
      </c>
      <c r="K294" s="6">
        <v>38.847194671630902</v>
      </c>
      <c r="L294" s="6">
        <v>39.578224182128899</v>
      </c>
    </row>
    <row r="295" spans="1:12" x14ac:dyDescent="0.25">
      <c r="A295">
        <v>1709807</v>
      </c>
      <c r="B295" t="str">
        <f t="shared" si="4"/>
        <v>IPUEIRAS, TO, Brasil</v>
      </c>
      <c r="C295" s="4" t="str">
        <f>_xlfn.XLOOKUP(A295,[1]!DadosGHD[CD_GEOCMU],[1]!DadosGHD[Região])</f>
        <v>NO</v>
      </c>
      <c r="D295" s="4" t="str">
        <f>_xlfn.XLOOKUP(A295,[1]!DadosGHD[CD_GEOCMU],[1]!DadosGHD[uf])</f>
        <v>TO</v>
      </c>
      <c r="E295" s="5" t="str">
        <f>_xlfn.XLOOKUP(A295,[1]!DadosGHD[CD_GEOCMU],[1]!DadosGHD[MUNICIPIO])</f>
        <v>IPUEIRAS</v>
      </c>
      <c r="F295" s="6">
        <v>28.832521438598601</v>
      </c>
      <c r="G295" s="6">
        <v>28.907878875732401</v>
      </c>
      <c r="H295" s="6">
        <v>28.942651748657202</v>
      </c>
      <c r="I295" s="6">
        <v>28.925045013427699</v>
      </c>
      <c r="J295" s="6">
        <v>28.9409065246582</v>
      </c>
      <c r="K295" s="6">
        <v>28.9686679840088</v>
      </c>
      <c r="L295" s="6">
        <v>26.2798957824707</v>
      </c>
    </row>
    <row r="296" spans="1:12" x14ac:dyDescent="0.25">
      <c r="A296">
        <v>1703891</v>
      </c>
      <c r="B296" t="str">
        <f t="shared" si="4"/>
        <v>CARRASCO BONITO, TO, Brasil</v>
      </c>
      <c r="C296" s="4" t="str">
        <f>_xlfn.XLOOKUP(A296,[1]!DadosGHD[CD_GEOCMU],[1]!DadosGHD[Região])</f>
        <v>NO</v>
      </c>
      <c r="D296" s="4" t="str">
        <f>_xlfn.XLOOKUP(A296,[1]!DadosGHD[CD_GEOCMU],[1]!DadosGHD[uf])</f>
        <v>TO</v>
      </c>
      <c r="E296" s="5" t="str">
        <f>_xlfn.XLOOKUP(A296,[1]!DadosGHD[CD_GEOCMU],[1]!DadosGHD[MUNICIPIO])</f>
        <v>CARRASCO BONITO</v>
      </c>
      <c r="F296" s="6">
        <v>28.832521438598601</v>
      </c>
      <c r="G296" s="6">
        <v>28.907878875732401</v>
      </c>
      <c r="H296" s="6">
        <v>28.942651748657202</v>
      </c>
      <c r="I296" s="6">
        <v>28.925045013427699</v>
      </c>
      <c r="J296" s="6">
        <v>28.9409065246582</v>
      </c>
      <c r="K296" s="6">
        <v>28.9686679840088</v>
      </c>
      <c r="L296" s="6">
        <v>26.2798957824707</v>
      </c>
    </row>
    <row r="297" spans="1:12" x14ac:dyDescent="0.25">
      <c r="A297">
        <v>2207553</v>
      </c>
      <c r="B297" t="str">
        <f t="shared" si="4"/>
        <v>PAQUETA, PI, Brasil</v>
      </c>
      <c r="C297" s="4" t="str">
        <f>_xlfn.XLOOKUP(A297,[1]!DadosGHD[CD_GEOCMU],[1]!DadosGHD[Região])</f>
        <v>NE</v>
      </c>
      <c r="D297" s="4" t="str">
        <f>_xlfn.XLOOKUP(A297,[1]!DadosGHD[CD_GEOCMU],[1]!DadosGHD[uf])</f>
        <v>PI</v>
      </c>
      <c r="E297" s="5" t="str">
        <f>_xlfn.XLOOKUP(A297,[1]!DadosGHD[CD_GEOCMU],[1]!DadosGHD[MUNICIPIO])</f>
        <v>PAQUETA</v>
      </c>
      <c r="F297" s="6">
        <v>28.832521438598601</v>
      </c>
      <c r="G297" s="6">
        <v>28.907878875732401</v>
      </c>
      <c r="H297" s="6">
        <v>28.942651748657202</v>
      </c>
      <c r="I297" s="6">
        <v>28.925045013427699</v>
      </c>
      <c r="J297" s="6">
        <v>28.9409065246582</v>
      </c>
      <c r="K297" s="6">
        <v>28.973218917846701</v>
      </c>
      <c r="L297" s="6">
        <v>30.7145881652832</v>
      </c>
    </row>
    <row r="298" spans="1:12" x14ac:dyDescent="0.25">
      <c r="A298">
        <v>2509396</v>
      </c>
      <c r="B298" t="str">
        <f t="shared" si="4"/>
        <v>MATUREIA, PB, Brasil</v>
      </c>
      <c r="C298" s="4" t="str">
        <f>_xlfn.XLOOKUP(A298,[1]!DadosGHD[CD_GEOCMU],[1]!DadosGHD[Região])</f>
        <v>NE</v>
      </c>
      <c r="D298" s="4" t="str">
        <f>_xlfn.XLOOKUP(A298,[1]!DadosGHD[CD_GEOCMU],[1]!DadosGHD[uf])</f>
        <v>PB</v>
      </c>
      <c r="E298" s="5" t="str">
        <f>_xlfn.XLOOKUP(A298,[1]!DadosGHD[CD_GEOCMU],[1]!DadosGHD[MUNICIPIO])</f>
        <v>MATUREIA</v>
      </c>
      <c r="F298" s="6">
        <v>28.832521438598601</v>
      </c>
      <c r="G298" s="6">
        <v>28.907878875732401</v>
      </c>
      <c r="H298" s="6">
        <v>28.942651748657202</v>
      </c>
      <c r="I298" s="6">
        <v>28.925045013427699</v>
      </c>
      <c r="J298" s="6">
        <v>28.942989349365199</v>
      </c>
      <c r="K298" s="6">
        <v>28.973823547363299</v>
      </c>
      <c r="L298" s="6">
        <v>30.7105712890625</v>
      </c>
    </row>
    <row r="299" spans="1:12" x14ac:dyDescent="0.25">
      <c r="A299">
        <v>4113403</v>
      </c>
      <c r="B299" t="str">
        <f t="shared" si="4"/>
        <v>LEOPOLIS, PR, Brasil</v>
      </c>
      <c r="C299" s="4" t="str">
        <f>_xlfn.XLOOKUP(A299,[1]!DadosGHD[CD_GEOCMU],[1]!DadosGHD[Região])</f>
        <v>SL</v>
      </c>
      <c r="D299" s="4" t="str">
        <f>_xlfn.XLOOKUP(A299,[1]!DadosGHD[CD_GEOCMU],[1]!DadosGHD[uf])</f>
        <v>PR</v>
      </c>
      <c r="E299" s="5" t="str">
        <f>_xlfn.XLOOKUP(A299,[1]!DadosGHD[CD_GEOCMU],[1]!DadosGHD[MUNICIPIO])</f>
        <v>LEOPOLIS</v>
      </c>
      <c r="F299" s="6">
        <v>28.832521438598601</v>
      </c>
      <c r="G299" s="6">
        <v>28.907878875732401</v>
      </c>
      <c r="H299" s="6">
        <v>28.946779251098601</v>
      </c>
      <c r="I299" s="6">
        <v>28.925045013427699</v>
      </c>
      <c r="J299" s="6">
        <v>33.892127990722699</v>
      </c>
      <c r="K299" s="6">
        <v>38.844841003417997</v>
      </c>
      <c r="L299" s="6">
        <v>44.034236907958999</v>
      </c>
    </row>
    <row r="300" spans="1:12" x14ac:dyDescent="0.25">
      <c r="A300">
        <v>3529658</v>
      </c>
      <c r="B300" t="str">
        <f t="shared" si="4"/>
        <v>MESOPOLIS, SP, Brasil</v>
      </c>
      <c r="C300" s="4" t="str">
        <f>_xlfn.XLOOKUP(A300,[1]!DadosGHD[CD_GEOCMU],[1]!DadosGHD[Região])</f>
        <v>SD</v>
      </c>
      <c r="D300" s="4" t="str">
        <f>_xlfn.XLOOKUP(A300,[1]!DadosGHD[CD_GEOCMU],[1]!DadosGHD[uf])</f>
        <v>SP</v>
      </c>
      <c r="E300" s="5" t="str">
        <f>_xlfn.XLOOKUP(A300,[1]!DadosGHD[CD_GEOCMU],[1]!DadosGHD[MUNICIPIO])</f>
        <v>MESOPOLIS</v>
      </c>
      <c r="F300" s="6">
        <v>28.832521438598601</v>
      </c>
      <c r="G300" s="6">
        <v>28.90797996521</v>
      </c>
      <c r="H300" s="6">
        <v>28.942651748657202</v>
      </c>
      <c r="I300" s="6">
        <v>28.925045013427699</v>
      </c>
      <c r="J300" s="6">
        <v>28.9409065246582</v>
      </c>
      <c r="K300" s="6">
        <v>28.9686679840088</v>
      </c>
      <c r="L300" s="6">
        <v>26.2798957824707</v>
      </c>
    </row>
    <row r="301" spans="1:12" x14ac:dyDescent="0.25">
      <c r="A301">
        <v>2210938</v>
      </c>
      <c r="B301" t="str">
        <f t="shared" si="4"/>
        <v>SUSSUAPARA, PI, Brasil</v>
      </c>
      <c r="C301" s="4" t="str">
        <f>_xlfn.XLOOKUP(A301,[1]!DadosGHD[CD_GEOCMU],[1]!DadosGHD[Região])</f>
        <v>NE</v>
      </c>
      <c r="D301" s="4" t="str">
        <f>_xlfn.XLOOKUP(A301,[1]!DadosGHD[CD_GEOCMU],[1]!DadosGHD[uf])</f>
        <v>PI</v>
      </c>
      <c r="E301" s="5" t="str">
        <f>_xlfn.XLOOKUP(A301,[1]!DadosGHD[CD_GEOCMU],[1]!DadosGHD[MUNICIPIO])</f>
        <v>SUSSUAPARA</v>
      </c>
      <c r="F301" s="6">
        <v>28.832521438598601</v>
      </c>
      <c r="G301" s="6">
        <v>28.907878875732401</v>
      </c>
      <c r="H301" s="6">
        <v>28.942651748657202</v>
      </c>
      <c r="I301" s="6">
        <v>28.925045013427699</v>
      </c>
      <c r="J301" s="6">
        <v>28.9409065246582</v>
      </c>
      <c r="K301" s="6">
        <v>28.984340667724599</v>
      </c>
      <c r="L301" s="6">
        <v>39.557415008544901</v>
      </c>
    </row>
    <row r="302" spans="1:12" x14ac:dyDescent="0.25">
      <c r="A302">
        <v>4315313</v>
      </c>
      <c r="B302" t="str">
        <f t="shared" si="4"/>
        <v>QUATRO IRMAOS, RS, Brasil</v>
      </c>
      <c r="C302" s="4" t="str">
        <f>_xlfn.XLOOKUP(A302,[1]!DadosGHD[CD_GEOCMU],[1]!DadosGHD[Região])</f>
        <v>SL</v>
      </c>
      <c r="D302" s="4" t="str">
        <f>_xlfn.XLOOKUP(A302,[1]!DadosGHD[CD_GEOCMU],[1]!DadosGHD[uf])</f>
        <v>RS</v>
      </c>
      <c r="E302" s="5" t="str">
        <f>_xlfn.XLOOKUP(A302,[1]!DadosGHD[CD_GEOCMU],[1]!DadosGHD[MUNICIPIO])</f>
        <v>QUATRO IRMAOS</v>
      </c>
      <c r="F302" s="6">
        <v>28.832521438598601</v>
      </c>
      <c r="G302" s="6">
        <v>38.719383239746101</v>
      </c>
      <c r="H302" s="6">
        <v>38.767951965332003</v>
      </c>
      <c r="I302" s="6">
        <v>38.748523712158203</v>
      </c>
      <c r="J302" s="6">
        <v>48.765995025634801</v>
      </c>
      <c r="K302" s="6">
        <v>48.839218139648402</v>
      </c>
      <c r="L302" s="6">
        <v>44.044803619384801</v>
      </c>
    </row>
    <row r="303" spans="1:12" x14ac:dyDescent="0.25">
      <c r="A303">
        <v>2202711</v>
      </c>
      <c r="B303" t="str">
        <f t="shared" si="4"/>
        <v>COCAL DE TELHA, PI, Brasil</v>
      </c>
      <c r="C303" s="4" t="str">
        <f>_xlfn.XLOOKUP(A303,[1]!DadosGHD[CD_GEOCMU],[1]!DadosGHD[Região])</f>
        <v>NE</v>
      </c>
      <c r="D303" s="4" t="str">
        <f>_xlfn.XLOOKUP(A303,[1]!DadosGHD[CD_GEOCMU],[1]!DadosGHD[uf])</f>
        <v>PI</v>
      </c>
      <c r="E303" s="5" t="str">
        <f>_xlfn.XLOOKUP(A303,[1]!DadosGHD[CD_GEOCMU],[1]!DadosGHD[MUNICIPIO])</f>
        <v>COCAL DE TELHA</v>
      </c>
      <c r="F303" s="6">
        <v>28.832521438598601</v>
      </c>
      <c r="G303" s="6">
        <v>28.907878875732401</v>
      </c>
      <c r="H303" s="6">
        <v>28.942651748657202</v>
      </c>
      <c r="I303" s="6">
        <v>28.925045013427699</v>
      </c>
      <c r="J303" s="6">
        <v>28.9409065246582</v>
      </c>
      <c r="K303" s="6">
        <v>28.9686679840088</v>
      </c>
      <c r="L303" s="6">
        <v>26.2798957824707</v>
      </c>
    </row>
    <row r="304" spans="1:12" x14ac:dyDescent="0.25">
      <c r="A304">
        <v>5107263</v>
      </c>
      <c r="B304" t="str">
        <f t="shared" si="4"/>
        <v>SANTO AFONSO, MT, Brasil</v>
      </c>
      <c r="C304" s="4" t="str">
        <f>_xlfn.XLOOKUP(A304,[1]!DadosGHD[CD_GEOCMU],[1]!DadosGHD[Região])</f>
        <v>CO</v>
      </c>
      <c r="D304" s="4" t="str">
        <f>_xlfn.XLOOKUP(A304,[1]!DadosGHD[CD_GEOCMU],[1]!DadosGHD[uf])</f>
        <v>MT</v>
      </c>
      <c r="E304" s="5" t="str">
        <f>_xlfn.XLOOKUP(A304,[1]!DadosGHD[CD_GEOCMU],[1]!DadosGHD[MUNICIPIO])</f>
        <v>SANTO AFONSO</v>
      </c>
      <c r="F304" s="6">
        <v>28.832521438598601</v>
      </c>
      <c r="G304" s="6">
        <v>38.715095520019503</v>
      </c>
      <c r="H304" s="6">
        <v>38.792648315429702</v>
      </c>
      <c r="I304" s="6">
        <v>38.766773223877003</v>
      </c>
      <c r="J304" s="6">
        <v>38.775138854980497</v>
      </c>
      <c r="K304" s="6">
        <v>38.799240112304702</v>
      </c>
      <c r="L304" s="6">
        <v>39.556446075439503</v>
      </c>
    </row>
    <row r="305" spans="1:12" x14ac:dyDescent="0.25">
      <c r="A305">
        <v>1718881</v>
      </c>
      <c r="B305" t="str">
        <f t="shared" si="4"/>
        <v>SANTA MARIA DO TOCANTINS, TO, Brasil</v>
      </c>
      <c r="C305" s="4" t="str">
        <f>_xlfn.XLOOKUP(A305,[1]!DadosGHD[CD_GEOCMU],[1]!DadosGHD[Região])</f>
        <v>NO</v>
      </c>
      <c r="D305" s="4" t="str">
        <f>_xlfn.XLOOKUP(A305,[1]!DadosGHD[CD_GEOCMU],[1]!DadosGHD[uf])</f>
        <v>TO</v>
      </c>
      <c r="E305" s="5" t="str">
        <f>_xlfn.XLOOKUP(A305,[1]!DadosGHD[CD_GEOCMU],[1]!DadosGHD[MUNICIPIO])</f>
        <v>SANTA MARIA DO TOCANTINS</v>
      </c>
      <c r="F305" s="6">
        <v>28.832521438598601</v>
      </c>
      <c r="G305" s="6">
        <v>28.907878875732401</v>
      </c>
      <c r="H305" s="6">
        <v>28.942651748657202</v>
      </c>
      <c r="I305" s="6">
        <v>28.925045013427699</v>
      </c>
      <c r="J305" s="6">
        <v>28.9409065246582</v>
      </c>
      <c r="K305" s="6">
        <v>28.9686679840088</v>
      </c>
      <c r="L305" s="6">
        <v>26.2882690429688</v>
      </c>
    </row>
    <row r="306" spans="1:12" x14ac:dyDescent="0.25">
      <c r="A306">
        <v>2210953</v>
      </c>
      <c r="B306" t="str">
        <f t="shared" si="4"/>
        <v>TAMBORIL DO PIAUI, PI, Brasil</v>
      </c>
      <c r="C306" s="4" t="str">
        <f>_xlfn.XLOOKUP(A306,[1]!DadosGHD[CD_GEOCMU],[1]!DadosGHD[Região])</f>
        <v>NE</v>
      </c>
      <c r="D306" s="4" t="str">
        <f>_xlfn.XLOOKUP(A306,[1]!DadosGHD[CD_GEOCMU],[1]!DadosGHD[uf])</f>
        <v>PI</v>
      </c>
      <c r="E306" s="5" t="str">
        <f>_xlfn.XLOOKUP(A306,[1]!DadosGHD[CD_GEOCMU],[1]!DadosGHD[MUNICIPIO])</f>
        <v>TAMBORIL DO PIAUI</v>
      </c>
      <c r="F306" s="6">
        <v>28.832521438598601</v>
      </c>
      <c r="G306" s="6">
        <v>28.907878875732401</v>
      </c>
      <c r="H306" s="6">
        <v>28.942651748657202</v>
      </c>
      <c r="I306" s="6">
        <v>28.925045013427699</v>
      </c>
      <c r="J306" s="6">
        <v>28.9409065246582</v>
      </c>
      <c r="K306" s="6">
        <v>28.9686679840088</v>
      </c>
      <c r="L306" s="6">
        <v>26.2798957824707</v>
      </c>
    </row>
    <row r="307" spans="1:12" x14ac:dyDescent="0.25">
      <c r="A307">
        <v>4318614</v>
      </c>
      <c r="B307" t="str">
        <f t="shared" si="4"/>
        <v>SAO JOSE DO SUL, RS, Brasil</v>
      </c>
      <c r="C307" s="4" t="str">
        <f>_xlfn.XLOOKUP(A307,[1]!DadosGHD[CD_GEOCMU],[1]!DadosGHD[Região])</f>
        <v>SL</v>
      </c>
      <c r="D307" s="4" t="str">
        <f>_xlfn.XLOOKUP(A307,[1]!DadosGHD[CD_GEOCMU],[1]!DadosGHD[uf])</f>
        <v>RS</v>
      </c>
      <c r="E307" s="5" t="str">
        <f>_xlfn.XLOOKUP(A307,[1]!DadosGHD[CD_GEOCMU],[1]!DadosGHD[MUNICIPIO])</f>
        <v>SAO JOSE DO SUL</v>
      </c>
      <c r="F307" s="6">
        <v>28.832521438598601</v>
      </c>
      <c r="G307" s="6">
        <v>38.719383239746101</v>
      </c>
      <c r="H307" s="6">
        <v>38.8184814453125</v>
      </c>
      <c r="I307" s="6">
        <v>43.780143737792997</v>
      </c>
      <c r="J307" s="6">
        <v>48.821647644042997</v>
      </c>
      <c r="K307" s="6">
        <v>48.842239379882798</v>
      </c>
      <c r="L307" s="6">
        <v>52.981433868408203</v>
      </c>
    </row>
    <row r="308" spans="1:12" x14ac:dyDescent="0.25">
      <c r="A308">
        <v>2400406</v>
      </c>
      <c r="B308" t="str">
        <f t="shared" si="4"/>
        <v>AGUA NOVA, RN, Brasil</v>
      </c>
      <c r="C308" s="4" t="str">
        <f>_xlfn.XLOOKUP(A308,[1]!DadosGHD[CD_GEOCMU],[1]!DadosGHD[Região])</f>
        <v>NE</v>
      </c>
      <c r="D308" s="4" t="str">
        <f>_xlfn.XLOOKUP(A308,[1]!DadosGHD[CD_GEOCMU],[1]!DadosGHD[uf])</f>
        <v>RN</v>
      </c>
      <c r="E308" s="5" t="str">
        <f>_xlfn.XLOOKUP(A308,[1]!DadosGHD[CD_GEOCMU],[1]!DadosGHD[MUNICIPIO])</f>
        <v>AGUA NOVA</v>
      </c>
      <c r="F308" s="6">
        <v>28.832521438598601</v>
      </c>
      <c r="G308" s="6">
        <v>28.9225749969482</v>
      </c>
      <c r="H308" s="6">
        <v>33.888919830322301</v>
      </c>
      <c r="I308" s="6">
        <v>28.944658279418899</v>
      </c>
      <c r="J308" s="6">
        <v>28.9409065246582</v>
      </c>
      <c r="K308" s="6">
        <v>28.9686679840088</v>
      </c>
      <c r="L308" s="6">
        <v>35.147327423095703</v>
      </c>
    </row>
    <row r="309" spans="1:12" x14ac:dyDescent="0.25">
      <c r="A309">
        <v>2207959</v>
      </c>
      <c r="B309" t="str">
        <f t="shared" si="4"/>
        <v>NOVA SANTA RITA, PI, Brasil</v>
      </c>
      <c r="C309" s="4" t="str">
        <f>_xlfn.XLOOKUP(A309,[1]!DadosGHD[CD_GEOCMU],[1]!DadosGHD[Região])</f>
        <v>NE</v>
      </c>
      <c r="D309" s="4" t="str">
        <f>_xlfn.XLOOKUP(A309,[1]!DadosGHD[CD_GEOCMU],[1]!DadosGHD[uf])</f>
        <v>PI</v>
      </c>
      <c r="E309" s="5" t="str">
        <f>_xlfn.XLOOKUP(A309,[1]!DadosGHD[CD_GEOCMU],[1]!DadosGHD[MUNICIPIO])</f>
        <v>NOVA SANTA RITA</v>
      </c>
      <c r="F309" s="6">
        <v>28.832521438598601</v>
      </c>
      <c r="G309" s="6">
        <v>28.907878875732401</v>
      </c>
      <c r="H309" s="6">
        <v>28.942651748657202</v>
      </c>
      <c r="I309" s="6">
        <v>28.925045013427699</v>
      </c>
      <c r="J309" s="6">
        <v>28.9409065246582</v>
      </c>
      <c r="K309" s="6">
        <v>28.9686679840088</v>
      </c>
      <c r="L309" s="6">
        <v>26.2798957824707</v>
      </c>
    </row>
    <row r="310" spans="1:12" x14ac:dyDescent="0.25">
      <c r="A310">
        <v>2514602</v>
      </c>
      <c r="B310" t="str">
        <f t="shared" si="4"/>
        <v>SAO JOSE DO BONFIM, PB, Brasil</v>
      </c>
      <c r="C310" s="4" t="str">
        <f>_xlfn.XLOOKUP(A310,[1]!DadosGHD[CD_GEOCMU],[1]!DadosGHD[Região])</f>
        <v>NE</v>
      </c>
      <c r="D310" s="4" t="str">
        <f>_xlfn.XLOOKUP(A310,[1]!DadosGHD[CD_GEOCMU],[1]!DadosGHD[uf])</f>
        <v>PB</v>
      </c>
      <c r="E310" s="5" t="str">
        <f>_xlfn.XLOOKUP(A310,[1]!DadosGHD[CD_GEOCMU],[1]!DadosGHD[MUNICIPIO])</f>
        <v>SAO JOSE DO BONFIM</v>
      </c>
      <c r="F310" s="6">
        <v>28.832521438598601</v>
      </c>
      <c r="G310" s="6">
        <v>28.907878875732401</v>
      </c>
      <c r="H310" s="6">
        <v>28.942651748657202</v>
      </c>
      <c r="I310" s="6">
        <v>28.925045013427699</v>
      </c>
      <c r="J310" s="6">
        <v>28.9409065246582</v>
      </c>
      <c r="K310" s="6">
        <v>28.9686679840088</v>
      </c>
      <c r="L310" s="6">
        <v>26.2798957824707</v>
      </c>
    </row>
    <row r="311" spans="1:12" x14ac:dyDescent="0.25">
      <c r="A311">
        <v>5107743</v>
      </c>
      <c r="B311" t="str">
        <f t="shared" si="4"/>
        <v>SANTA CRUZ DO XINGU, MT, Brasil</v>
      </c>
      <c r="C311" s="4" t="str">
        <f>_xlfn.XLOOKUP(A311,[1]!DadosGHD[CD_GEOCMU],[1]!DadosGHD[Região])</f>
        <v>CO</v>
      </c>
      <c r="D311" s="4" t="str">
        <f>_xlfn.XLOOKUP(A311,[1]!DadosGHD[CD_GEOCMU],[1]!DadosGHD[uf])</f>
        <v>MT</v>
      </c>
      <c r="E311" s="5" t="str">
        <f>_xlfn.XLOOKUP(A311,[1]!DadosGHD[CD_GEOCMU],[1]!DadosGHD[MUNICIPIO])</f>
        <v>SANTA CRUZ DO XINGU</v>
      </c>
      <c r="F311" s="6">
        <v>28.832521438598601</v>
      </c>
      <c r="G311" s="6">
        <v>38.719383239746101</v>
      </c>
      <c r="H311" s="6">
        <v>38.767951965332003</v>
      </c>
      <c r="I311" s="6">
        <v>38.744155883789098</v>
      </c>
      <c r="J311" s="6">
        <v>38.761531829833999</v>
      </c>
      <c r="K311" s="6">
        <v>38.798439025878899</v>
      </c>
      <c r="L311" s="6">
        <v>30.7225246429443</v>
      </c>
    </row>
    <row r="312" spans="1:12" x14ac:dyDescent="0.25">
      <c r="A312">
        <v>2404101</v>
      </c>
      <c r="B312" t="str">
        <f t="shared" si="4"/>
        <v>GALINHOS, RN, Brasil</v>
      </c>
      <c r="C312" s="4" t="str">
        <f>_xlfn.XLOOKUP(A312,[1]!DadosGHD[CD_GEOCMU],[1]!DadosGHD[Região])</f>
        <v>NE</v>
      </c>
      <c r="D312" s="4" t="str">
        <f>_xlfn.XLOOKUP(A312,[1]!DadosGHD[CD_GEOCMU],[1]!DadosGHD[uf])</f>
        <v>RN</v>
      </c>
      <c r="E312" s="5" t="str">
        <f>_xlfn.XLOOKUP(A312,[1]!DadosGHD[CD_GEOCMU],[1]!DadosGHD[MUNICIPIO])</f>
        <v>GALINHOS</v>
      </c>
      <c r="F312" s="6">
        <v>28.832521438598601</v>
      </c>
      <c r="G312" s="6">
        <v>28.907878875732401</v>
      </c>
      <c r="H312" s="6">
        <v>28.942651748657202</v>
      </c>
      <c r="I312" s="6">
        <v>28.925045013427699</v>
      </c>
      <c r="J312" s="6">
        <v>28.9409065246582</v>
      </c>
      <c r="K312" s="6">
        <v>33.850601196289098</v>
      </c>
      <c r="L312" s="6">
        <v>39.577747344970703</v>
      </c>
    </row>
    <row r="313" spans="1:12" x14ac:dyDescent="0.25">
      <c r="A313">
        <v>2207850</v>
      </c>
      <c r="B313" t="str">
        <f t="shared" si="4"/>
        <v>PAVUSSU, PI, Brasil</v>
      </c>
      <c r="C313" s="4" t="str">
        <f>_xlfn.XLOOKUP(A313,[1]!DadosGHD[CD_GEOCMU],[1]!DadosGHD[Região])</f>
        <v>NE</v>
      </c>
      <c r="D313" s="4" t="str">
        <f>_xlfn.XLOOKUP(A313,[1]!DadosGHD[CD_GEOCMU],[1]!DadosGHD[uf])</f>
        <v>PI</v>
      </c>
      <c r="E313" s="5" t="str">
        <f>_xlfn.XLOOKUP(A313,[1]!DadosGHD[CD_GEOCMU],[1]!DadosGHD[MUNICIPIO])</f>
        <v>PAVUSSU</v>
      </c>
      <c r="F313" s="6">
        <v>28.832521438598601</v>
      </c>
      <c r="G313" s="6">
        <v>28.907878875732401</v>
      </c>
      <c r="H313" s="6">
        <v>28.942651748657202</v>
      </c>
      <c r="I313" s="6">
        <v>28.925045013427699</v>
      </c>
      <c r="J313" s="6">
        <v>28.9409065246582</v>
      </c>
      <c r="K313" s="6">
        <v>28.9686679840088</v>
      </c>
      <c r="L313" s="6">
        <v>26.2798957824707</v>
      </c>
    </row>
    <row r="314" spans="1:12" x14ac:dyDescent="0.25">
      <c r="A314">
        <v>2200954</v>
      </c>
      <c r="B314" t="str">
        <f t="shared" si="4"/>
        <v>AROEIRAS DO ITAIM, PI, Brasil</v>
      </c>
      <c r="C314" s="4" t="str">
        <f>_xlfn.XLOOKUP(A314,[1]!DadosGHD[CD_GEOCMU],[1]!DadosGHD[Região])</f>
        <v>NE</v>
      </c>
      <c r="D314" s="4" t="str">
        <f>_xlfn.XLOOKUP(A314,[1]!DadosGHD[CD_GEOCMU],[1]!DadosGHD[uf])</f>
        <v>PI</v>
      </c>
      <c r="E314" s="5" t="str">
        <f>_xlfn.XLOOKUP(A314,[1]!DadosGHD[CD_GEOCMU],[1]!DadosGHD[MUNICIPIO])</f>
        <v>AROEIRAS DO ITAIM</v>
      </c>
      <c r="F314" s="6">
        <v>28.832521438598601</v>
      </c>
      <c r="G314" s="6">
        <v>28.907878875732401</v>
      </c>
      <c r="H314" s="6">
        <v>28.942651748657202</v>
      </c>
      <c r="I314" s="6">
        <v>28.925045013427699</v>
      </c>
      <c r="J314" s="6">
        <v>28.9409065246582</v>
      </c>
      <c r="K314" s="6">
        <v>28.9686679840088</v>
      </c>
      <c r="L314" s="6">
        <v>30.7063598632813</v>
      </c>
    </row>
    <row r="315" spans="1:12" x14ac:dyDescent="0.25">
      <c r="A315">
        <v>4108551</v>
      </c>
      <c r="B315" t="str">
        <f t="shared" si="4"/>
        <v>GODOY MOREIRA, PR, Brasil</v>
      </c>
      <c r="C315" s="4" t="str">
        <f>_xlfn.XLOOKUP(A315,[1]!DadosGHD[CD_GEOCMU],[1]!DadosGHD[Região])</f>
        <v>SL</v>
      </c>
      <c r="D315" s="4" t="str">
        <f>_xlfn.XLOOKUP(A315,[1]!DadosGHD[CD_GEOCMU],[1]!DadosGHD[uf])</f>
        <v>PR</v>
      </c>
      <c r="E315" s="5" t="str">
        <f>_xlfn.XLOOKUP(A315,[1]!DadosGHD[CD_GEOCMU],[1]!DadosGHD[MUNICIPIO])</f>
        <v>GODOY MOREIRA</v>
      </c>
      <c r="F315" s="6">
        <v>28.832521438598601</v>
      </c>
      <c r="G315" s="6">
        <v>28.907878875732401</v>
      </c>
      <c r="H315" s="6">
        <v>28.942651748657202</v>
      </c>
      <c r="I315" s="6">
        <v>28.925045013427699</v>
      </c>
      <c r="J315" s="6">
        <v>38.759246826171903</v>
      </c>
      <c r="K315" s="6">
        <v>38.841499328613303</v>
      </c>
      <c r="L315" s="6">
        <v>39.5931205749512</v>
      </c>
    </row>
    <row r="316" spans="1:12" x14ac:dyDescent="0.25">
      <c r="A316">
        <v>2201572</v>
      </c>
      <c r="B316" t="str">
        <f t="shared" si="4"/>
        <v>BELEM DO PIAUI, PI, Brasil</v>
      </c>
      <c r="C316" s="4" t="str">
        <f>_xlfn.XLOOKUP(A316,[1]!DadosGHD[CD_GEOCMU],[1]!DadosGHD[Região])</f>
        <v>NE</v>
      </c>
      <c r="D316" s="4" t="str">
        <f>_xlfn.XLOOKUP(A316,[1]!DadosGHD[CD_GEOCMU],[1]!DadosGHD[uf])</f>
        <v>PI</v>
      </c>
      <c r="E316" s="5" t="str">
        <f>_xlfn.XLOOKUP(A316,[1]!DadosGHD[CD_GEOCMU],[1]!DadosGHD[MUNICIPIO])</f>
        <v>BELEM DO PIAUI</v>
      </c>
      <c r="F316" s="6">
        <v>28.832521438598601</v>
      </c>
      <c r="G316" s="6">
        <v>28.907878875732401</v>
      </c>
      <c r="H316" s="6">
        <v>28.942651748657202</v>
      </c>
      <c r="I316" s="6">
        <v>28.925045013427699</v>
      </c>
      <c r="J316" s="6">
        <v>28.9409065246582</v>
      </c>
      <c r="K316" s="6">
        <v>28.9686679840088</v>
      </c>
      <c r="L316" s="6">
        <v>26.2798957824707</v>
      </c>
    </row>
    <row r="317" spans="1:12" x14ac:dyDescent="0.25">
      <c r="A317">
        <v>2410900</v>
      </c>
      <c r="B317" t="str">
        <f t="shared" si="4"/>
        <v>RIACHUELO, RN, Brasil</v>
      </c>
      <c r="C317" s="4" t="str">
        <f>_xlfn.XLOOKUP(A317,[1]!DadosGHD[CD_GEOCMU],[1]!DadosGHD[Região])</f>
        <v>NE</v>
      </c>
      <c r="D317" s="4" t="str">
        <f>_xlfn.XLOOKUP(A317,[1]!DadosGHD[CD_GEOCMU],[1]!DadosGHD[uf])</f>
        <v>RN</v>
      </c>
      <c r="E317" s="5" t="str">
        <f>_xlfn.XLOOKUP(A317,[1]!DadosGHD[CD_GEOCMU],[1]!DadosGHD[MUNICIPIO])</f>
        <v>RIACHUELO</v>
      </c>
      <c r="F317" s="6">
        <v>28.832521438598601</v>
      </c>
      <c r="G317" s="6">
        <v>28.907878875732401</v>
      </c>
      <c r="H317" s="6">
        <v>28.942651748657202</v>
      </c>
      <c r="I317" s="6">
        <v>28.925045013427699</v>
      </c>
      <c r="J317" s="6">
        <v>28.9409065246582</v>
      </c>
      <c r="K317" s="6">
        <v>28.9686679840088</v>
      </c>
      <c r="L317" s="6">
        <v>26.280515670776399</v>
      </c>
    </row>
    <row r="318" spans="1:12" x14ac:dyDescent="0.25">
      <c r="A318">
        <v>1703883</v>
      </c>
      <c r="B318" t="str">
        <f t="shared" si="4"/>
        <v>CARMOLANDIA, TO, Brasil</v>
      </c>
      <c r="C318" s="4" t="str">
        <f>_xlfn.XLOOKUP(A318,[1]!DadosGHD[CD_GEOCMU],[1]!DadosGHD[Região])</f>
        <v>NO</v>
      </c>
      <c r="D318" s="4" t="str">
        <f>_xlfn.XLOOKUP(A318,[1]!DadosGHD[CD_GEOCMU],[1]!DadosGHD[uf])</f>
        <v>TO</v>
      </c>
      <c r="E318" s="5" t="str">
        <f>_xlfn.XLOOKUP(A318,[1]!DadosGHD[CD_GEOCMU],[1]!DadosGHD[MUNICIPIO])</f>
        <v>CARMOLANDIA</v>
      </c>
      <c r="F318" s="6">
        <v>28.832521438598601</v>
      </c>
      <c r="G318" s="6">
        <v>28.907878875732401</v>
      </c>
      <c r="H318" s="6">
        <v>28.942651748657202</v>
      </c>
      <c r="I318" s="6">
        <v>28.925045013427699</v>
      </c>
      <c r="J318" s="6">
        <v>28.9409065246582</v>
      </c>
      <c r="K318" s="6">
        <v>28.9686679840088</v>
      </c>
      <c r="L318" s="6">
        <v>26.2798957824707</v>
      </c>
    </row>
    <row r="319" spans="1:12" x14ac:dyDescent="0.25">
      <c r="A319">
        <v>3152131</v>
      </c>
      <c r="B319" t="str">
        <f t="shared" si="4"/>
        <v>PONTO CHIQUE, MG, Brasil</v>
      </c>
      <c r="C319" s="4" t="str">
        <f>_xlfn.XLOOKUP(A319,[1]!DadosGHD[CD_GEOCMU],[1]!DadosGHD[Região])</f>
        <v>SD</v>
      </c>
      <c r="D319" s="4" t="str">
        <f>_xlfn.XLOOKUP(A319,[1]!DadosGHD[CD_GEOCMU],[1]!DadosGHD[uf])</f>
        <v>MG</v>
      </c>
      <c r="E319" s="5" t="str">
        <f>_xlfn.XLOOKUP(A319,[1]!DadosGHD[CD_GEOCMU],[1]!DadosGHD[MUNICIPIO])</f>
        <v>PONTO CHIQUE</v>
      </c>
      <c r="F319" s="6">
        <v>28.832521438598601</v>
      </c>
      <c r="G319" s="6">
        <v>28.907878875732401</v>
      </c>
      <c r="H319" s="6">
        <v>28.942651748657202</v>
      </c>
      <c r="I319" s="6">
        <v>28.925045013427699</v>
      </c>
      <c r="J319" s="6">
        <v>28.953882217407202</v>
      </c>
      <c r="K319" s="6">
        <v>28.9686679840088</v>
      </c>
      <c r="L319" s="6">
        <v>26.297872543335</v>
      </c>
    </row>
    <row r="320" spans="1:12" x14ac:dyDescent="0.25">
      <c r="A320">
        <v>4220000</v>
      </c>
      <c r="B320" t="str">
        <f t="shared" si="4"/>
        <v>BALNEARIO RINCAO, SC, Brasil</v>
      </c>
      <c r="C320" s="4" t="str">
        <f>_xlfn.XLOOKUP(A320,[1]!DadosGHD[CD_GEOCMU],[1]!DadosGHD[Região])</f>
        <v>SL</v>
      </c>
      <c r="D320" s="4" t="str">
        <f>_xlfn.XLOOKUP(A320,[1]!DadosGHD[CD_GEOCMU],[1]!DadosGHD[uf])</f>
        <v>SC</v>
      </c>
      <c r="E320" s="5" t="str">
        <f>_xlfn.XLOOKUP(A320,[1]!DadosGHD[CD_GEOCMU],[1]!DadosGHD[MUNICIPIO])</f>
        <v>BALNEARIO RINCAO</v>
      </c>
      <c r="F320" s="6">
        <v>28.832521438598601</v>
      </c>
      <c r="G320" s="6">
        <v>28.907878875732401</v>
      </c>
      <c r="H320" s="6">
        <v>28.972721099853501</v>
      </c>
      <c r="I320" s="6">
        <v>38.7492866516113</v>
      </c>
      <c r="J320" s="6">
        <v>43.758079528808601</v>
      </c>
      <c r="K320" s="6">
        <v>43.881160736083999</v>
      </c>
      <c r="L320" s="6">
        <v>57.513191223144503</v>
      </c>
    </row>
    <row r="321" spans="1:12" x14ac:dyDescent="0.25">
      <c r="A321">
        <v>2206654</v>
      </c>
      <c r="B321" t="str">
        <f t="shared" si="4"/>
        <v>MORRO CABECA NO TEMPO, PI, Brasil</v>
      </c>
      <c r="C321" s="4" t="str">
        <f>_xlfn.XLOOKUP(A321,[1]!DadosGHD[CD_GEOCMU],[1]!DadosGHD[Região])</f>
        <v>NE</v>
      </c>
      <c r="D321" s="4" t="str">
        <f>_xlfn.XLOOKUP(A321,[1]!DadosGHD[CD_GEOCMU],[1]!DadosGHD[uf])</f>
        <v>PI</v>
      </c>
      <c r="E321" s="5" t="str">
        <f>_xlfn.XLOOKUP(A321,[1]!DadosGHD[CD_GEOCMU],[1]!DadosGHD[MUNICIPIO])</f>
        <v>MORRO CABECA NO TEMPO</v>
      </c>
      <c r="F321" s="6">
        <v>28.832521438598601</v>
      </c>
      <c r="G321" s="6">
        <v>28.907878875732401</v>
      </c>
      <c r="H321" s="6">
        <v>28.942651748657202</v>
      </c>
      <c r="I321" s="6">
        <v>28.925045013427699</v>
      </c>
      <c r="J321" s="6">
        <v>28.9409065246582</v>
      </c>
      <c r="K321" s="6">
        <v>28.9686679840088</v>
      </c>
      <c r="L321" s="6">
        <v>26.2798957824707</v>
      </c>
    </row>
    <row r="322" spans="1:12" x14ac:dyDescent="0.25">
      <c r="A322">
        <v>1717206</v>
      </c>
      <c r="B322" t="str">
        <f t="shared" si="4"/>
        <v>PIRAQUE, TO, Brasil</v>
      </c>
      <c r="C322" s="4" t="str">
        <f>_xlfn.XLOOKUP(A322,[1]!DadosGHD[CD_GEOCMU],[1]!DadosGHD[Região])</f>
        <v>NO</v>
      </c>
      <c r="D322" s="4" t="str">
        <f>_xlfn.XLOOKUP(A322,[1]!DadosGHD[CD_GEOCMU],[1]!DadosGHD[uf])</f>
        <v>TO</v>
      </c>
      <c r="E322" s="5" t="str">
        <f>_xlfn.XLOOKUP(A322,[1]!DadosGHD[CD_GEOCMU],[1]!DadosGHD[MUNICIPIO])</f>
        <v>PIRAQUE</v>
      </c>
      <c r="F322" s="6">
        <v>28.832521438598601</v>
      </c>
      <c r="G322" s="6">
        <v>28.907878875732401</v>
      </c>
      <c r="H322" s="6">
        <v>28.942651748657202</v>
      </c>
      <c r="I322" s="6">
        <v>28.925045013427699</v>
      </c>
      <c r="J322" s="6">
        <v>28.9409065246582</v>
      </c>
      <c r="K322" s="6">
        <v>28.9686679840088</v>
      </c>
      <c r="L322" s="6">
        <v>26.2798957824707</v>
      </c>
    </row>
    <row r="323" spans="1:12" x14ac:dyDescent="0.25">
      <c r="A323">
        <v>3143609</v>
      </c>
      <c r="B323" t="str">
        <f t="shared" si="4"/>
        <v>MORRO DA GARCA, MG, Brasil</v>
      </c>
      <c r="C323" s="4" t="str">
        <f>_xlfn.XLOOKUP(A323,[1]!DadosGHD[CD_GEOCMU],[1]!DadosGHD[Região])</f>
        <v>SD</v>
      </c>
      <c r="D323" s="4" t="str">
        <f>_xlfn.XLOOKUP(A323,[1]!DadosGHD[CD_GEOCMU],[1]!DadosGHD[uf])</f>
        <v>MG</v>
      </c>
      <c r="E323" s="5" t="str">
        <f>_xlfn.XLOOKUP(A323,[1]!DadosGHD[CD_GEOCMU],[1]!DadosGHD[MUNICIPIO])</f>
        <v>MORRO DA GARCA</v>
      </c>
      <c r="F323" s="6">
        <v>28.832521438598601</v>
      </c>
      <c r="G323" s="6">
        <v>38.726112365722699</v>
      </c>
      <c r="H323" s="6">
        <v>38.772556304931598</v>
      </c>
      <c r="I323" s="6">
        <v>38.746635437011697</v>
      </c>
      <c r="J323" s="6">
        <v>28.9409065246582</v>
      </c>
      <c r="K323" s="6">
        <v>28.9686679840088</v>
      </c>
      <c r="L323" s="6">
        <v>26.2798957824707</v>
      </c>
    </row>
    <row r="324" spans="1:12" x14ac:dyDescent="0.25">
      <c r="A324">
        <v>1303304</v>
      </c>
      <c r="B324" t="str">
        <f t="shared" ref="B324:B387" si="5">_xlfn.CONCAT(E324, ", ", D324, ", Brasil")</f>
        <v>NOVO ARIPUANA, AM, Brasil</v>
      </c>
      <c r="C324" s="4" t="str">
        <f>_xlfn.XLOOKUP(A324,[1]!DadosGHD[CD_GEOCMU],[1]!DadosGHD[Região])</f>
        <v>NO</v>
      </c>
      <c r="D324" s="4" t="str">
        <f>_xlfn.XLOOKUP(A324,[1]!DadosGHD[CD_GEOCMU],[1]!DadosGHD[uf])</f>
        <v>AM</v>
      </c>
      <c r="E324" s="5" t="str">
        <f>_xlfn.XLOOKUP(A324,[1]!DadosGHD[CD_GEOCMU],[1]!DadosGHD[MUNICIPIO])</f>
        <v>NOVO ARIPUANA</v>
      </c>
      <c r="F324" s="6">
        <v>28.832521438598601</v>
      </c>
      <c r="G324" s="6">
        <v>28.907878875732401</v>
      </c>
      <c r="H324" s="6">
        <v>28.942651748657202</v>
      </c>
      <c r="I324" s="6">
        <v>28.925045013427699</v>
      </c>
      <c r="J324" s="6">
        <v>28.9409065246582</v>
      </c>
      <c r="K324" s="6">
        <v>28.9686679840088</v>
      </c>
      <c r="L324" s="6">
        <v>26.2798957824707</v>
      </c>
    </row>
    <row r="325" spans="1:12" x14ac:dyDescent="0.25">
      <c r="A325">
        <v>1712801</v>
      </c>
      <c r="B325" t="str">
        <f t="shared" si="5"/>
        <v>MAURILANDIA DO TOCANTINS, TO, Brasil</v>
      </c>
      <c r="C325" s="4" t="str">
        <f>_xlfn.XLOOKUP(A325,[1]!DadosGHD[CD_GEOCMU],[1]!DadosGHD[Região])</f>
        <v>NO</v>
      </c>
      <c r="D325" s="4" t="str">
        <f>_xlfn.XLOOKUP(A325,[1]!DadosGHD[CD_GEOCMU],[1]!DadosGHD[uf])</f>
        <v>TO</v>
      </c>
      <c r="E325" s="5" t="str">
        <f>_xlfn.XLOOKUP(A325,[1]!DadosGHD[CD_GEOCMU],[1]!DadosGHD[MUNICIPIO])</f>
        <v>MAURILANDIA DO TOCANTINS</v>
      </c>
      <c r="F325" s="6">
        <v>28.832521438598601</v>
      </c>
      <c r="G325" s="6">
        <v>28.907878875732401</v>
      </c>
      <c r="H325" s="6">
        <v>28.942651748657202</v>
      </c>
      <c r="I325" s="6">
        <v>28.925045013427699</v>
      </c>
      <c r="J325" s="6">
        <v>28.9409065246582</v>
      </c>
      <c r="K325" s="6">
        <v>28.9686679840088</v>
      </c>
      <c r="L325" s="6">
        <v>26.2798957824707</v>
      </c>
    </row>
    <row r="326" spans="1:12" x14ac:dyDescent="0.25">
      <c r="A326">
        <v>4217154</v>
      </c>
      <c r="B326" t="str">
        <f t="shared" si="5"/>
        <v>SAO MIGUEL DA BOA VISTA, SC, Brasil</v>
      </c>
      <c r="C326" s="4" t="str">
        <f>_xlfn.XLOOKUP(A326,[1]!DadosGHD[CD_GEOCMU],[1]!DadosGHD[Região])</f>
        <v>SL</v>
      </c>
      <c r="D326" s="4" t="str">
        <f>_xlfn.XLOOKUP(A326,[1]!DadosGHD[CD_GEOCMU],[1]!DadosGHD[uf])</f>
        <v>SC</v>
      </c>
      <c r="E326" s="5" t="str">
        <f>_xlfn.XLOOKUP(A326,[1]!DadosGHD[CD_GEOCMU],[1]!DadosGHD[MUNICIPIO])</f>
        <v>SAO MIGUEL DA BOA VISTA</v>
      </c>
      <c r="F326" s="6">
        <v>28.832521438598601</v>
      </c>
      <c r="G326" s="6">
        <v>38.719383239746101</v>
      </c>
      <c r="H326" s="6">
        <v>38.774364471435597</v>
      </c>
      <c r="I326" s="6">
        <v>43.694400787353501</v>
      </c>
      <c r="J326" s="6">
        <v>43.786895751953097</v>
      </c>
      <c r="K326" s="6">
        <v>43.833389282226598</v>
      </c>
      <c r="L326" s="6">
        <v>44.056312561035199</v>
      </c>
    </row>
    <row r="327" spans="1:12" x14ac:dyDescent="0.25">
      <c r="A327">
        <v>2512721</v>
      </c>
      <c r="B327" t="str">
        <f t="shared" si="5"/>
        <v>PEDRO REGIS, PB, Brasil</v>
      </c>
      <c r="C327" s="4" t="str">
        <f>_xlfn.XLOOKUP(A327,[1]!DadosGHD[CD_GEOCMU],[1]!DadosGHD[Região])</f>
        <v>NE</v>
      </c>
      <c r="D327" s="4" t="str">
        <f>_xlfn.XLOOKUP(A327,[1]!DadosGHD[CD_GEOCMU],[1]!DadosGHD[uf])</f>
        <v>PB</v>
      </c>
      <c r="E327" s="5" t="str">
        <f>_xlfn.XLOOKUP(A327,[1]!DadosGHD[CD_GEOCMU],[1]!DadosGHD[MUNICIPIO])</f>
        <v>PEDRO REGIS</v>
      </c>
      <c r="F327" s="6">
        <v>28.832521438598601</v>
      </c>
      <c r="G327" s="6">
        <v>28.907878875732401</v>
      </c>
      <c r="H327" s="6">
        <v>28.942651748657202</v>
      </c>
      <c r="I327" s="6">
        <v>28.925045013427699</v>
      </c>
      <c r="J327" s="6">
        <v>28.9409065246582</v>
      </c>
      <c r="K327" s="6">
        <v>28.9686679840088</v>
      </c>
      <c r="L327" s="6">
        <v>26.291770935058601</v>
      </c>
    </row>
    <row r="328" spans="1:12" x14ac:dyDescent="0.25">
      <c r="A328">
        <v>1721307</v>
      </c>
      <c r="B328" t="str">
        <f t="shared" si="5"/>
        <v>TUPIRATINS, TO, Brasil</v>
      </c>
      <c r="C328" s="4" t="str">
        <f>_xlfn.XLOOKUP(A328,[1]!DadosGHD[CD_GEOCMU],[1]!DadosGHD[Região])</f>
        <v>NO</v>
      </c>
      <c r="D328" s="4" t="str">
        <f>_xlfn.XLOOKUP(A328,[1]!DadosGHD[CD_GEOCMU],[1]!DadosGHD[uf])</f>
        <v>TO</v>
      </c>
      <c r="E328" s="5" t="str">
        <f>_xlfn.XLOOKUP(A328,[1]!DadosGHD[CD_GEOCMU],[1]!DadosGHD[MUNICIPIO])</f>
        <v>TUPIRATINS</v>
      </c>
      <c r="F328" s="6">
        <v>28.832521438598601</v>
      </c>
      <c r="G328" s="6">
        <v>28.907878875732401</v>
      </c>
      <c r="H328" s="6">
        <v>28.942651748657202</v>
      </c>
      <c r="I328" s="6">
        <v>28.925045013427699</v>
      </c>
      <c r="J328" s="6">
        <v>28.9409065246582</v>
      </c>
      <c r="K328" s="6">
        <v>28.9686679840088</v>
      </c>
      <c r="L328" s="6">
        <v>26.280420303344702</v>
      </c>
    </row>
    <row r="329" spans="1:12" x14ac:dyDescent="0.25">
      <c r="A329">
        <v>1101468</v>
      </c>
      <c r="B329" t="str">
        <f t="shared" si="5"/>
        <v>PIMENTEIRAS DO OESTE, RO, Brasil</v>
      </c>
      <c r="C329" s="4" t="str">
        <f>_xlfn.XLOOKUP(A329,[1]!DadosGHD[CD_GEOCMU],[1]!DadosGHD[Região])</f>
        <v>NO</v>
      </c>
      <c r="D329" s="4" t="str">
        <f>_xlfn.XLOOKUP(A329,[1]!DadosGHD[CD_GEOCMU],[1]!DadosGHD[uf])</f>
        <v>RO</v>
      </c>
      <c r="E329" s="5" t="str">
        <f>_xlfn.XLOOKUP(A329,[1]!DadosGHD[CD_GEOCMU],[1]!DadosGHD[MUNICIPIO])</f>
        <v>PIMENTEIRAS DO OESTE</v>
      </c>
      <c r="F329" s="6">
        <v>28.832521438598601</v>
      </c>
      <c r="G329" s="6">
        <v>38.745887756347699</v>
      </c>
      <c r="H329" s="6">
        <v>38.794883728027301</v>
      </c>
      <c r="I329" s="6">
        <v>38.804981231689503</v>
      </c>
      <c r="J329" s="6">
        <v>38.787559509277301</v>
      </c>
      <c r="K329" s="6">
        <v>38.811855316162102</v>
      </c>
      <c r="L329" s="6">
        <v>30.711137771606399</v>
      </c>
    </row>
    <row r="330" spans="1:12" x14ac:dyDescent="0.25">
      <c r="A330">
        <v>3121704</v>
      </c>
      <c r="B330" t="str">
        <f t="shared" si="5"/>
        <v>DIOGO DE VASCONCELOS, MG, Brasil</v>
      </c>
      <c r="C330" s="4" t="str">
        <f>_xlfn.XLOOKUP(A330,[1]!DadosGHD[CD_GEOCMU],[1]!DadosGHD[Região])</f>
        <v>SD</v>
      </c>
      <c r="D330" s="4" t="str">
        <f>_xlfn.XLOOKUP(A330,[1]!DadosGHD[CD_GEOCMU],[1]!DadosGHD[uf])</f>
        <v>MG</v>
      </c>
      <c r="E330" s="5" t="str">
        <f>_xlfn.XLOOKUP(A330,[1]!DadosGHD[CD_GEOCMU],[1]!DadosGHD[MUNICIPIO])</f>
        <v>DIOGO DE VASCONCELOS</v>
      </c>
      <c r="F330" s="6">
        <v>28.832521438598601</v>
      </c>
      <c r="G330" s="6">
        <v>28.907878875732401</v>
      </c>
      <c r="H330" s="6">
        <v>28.942651748657202</v>
      </c>
      <c r="I330" s="6">
        <v>28.925045013427699</v>
      </c>
      <c r="J330" s="6">
        <v>28.9409065246582</v>
      </c>
      <c r="K330" s="6">
        <v>28.975307464599599</v>
      </c>
      <c r="L330" s="6">
        <v>35.147243499755902</v>
      </c>
    </row>
    <row r="331" spans="1:12" x14ac:dyDescent="0.25">
      <c r="A331">
        <v>5101209</v>
      </c>
      <c r="B331" t="str">
        <f t="shared" si="5"/>
        <v>ARAGUAINHA, MT, Brasil</v>
      </c>
      <c r="C331" s="4" t="str">
        <f>_xlfn.XLOOKUP(A331,[1]!DadosGHD[CD_GEOCMU],[1]!DadosGHD[Região])</f>
        <v>CO</v>
      </c>
      <c r="D331" s="4" t="str">
        <f>_xlfn.XLOOKUP(A331,[1]!DadosGHD[CD_GEOCMU],[1]!DadosGHD[uf])</f>
        <v>MT</v>
      </c>
      <c r="E331" s="5" t="str">
        <f>_xlfn.XLOOKUP(A331,[1]!DadosGHD[CD_GEOCMU],[1]!DadosGHD[MUNICIPIO])</f>
        <v>ARAGUAINHA</v>
      </c>
      <c r="F331" s="6">
        <v>28.832521438598601</v>
      </c>
      <c r="G331" s="6">
        <v>28.907878875732401</v>
      </c>
      <c r="H331" s="6">
        <v>28.942651748657202</v>
      </c>
      <c r="I331" s="6">
        <v>28.925045013427699</v>
      </c>
      <c r="J331" s="6">
        <v>28.9409065246582</v>
      </c>
      <c r="K331" s="6">
        <v>28.9686679840088</v>
      </c>
      <c r="L331" s="6">
        <v>26.284791946411101</v>
      </c>
    </row>
    <row r="332" spans="1:12" x14ac:dyDescent="0.25">
      <c r="A332">
        <v>2111631</v>
      </c>
      <c r="B332" t="str">
        <f t="shared" si="5"/>
        <v>SAO RAIMUNDO DO DOCA BEZERRA, MA, Brasil</v>
      </c>
      <c r="C332" s="4" t="str">
        <f>_xlfn.XLOOKUP(A332,[1]!DadosGHD[CD_GEOCMU],[1]!DadosGHD[Região])</f>
        <v>NE</v>
      </c>
      <c r="D332" s="4" t="str">
        <f>_xlfn.XLOOKUP(A332,[1]!DadosGHD[CD_GEOCMU],[1]!DadosGHD[uf])</f>
        <v>MA</v>
      </c>
      <c r="E332" s="5" t="str">
        <f>_xlfn.XLOOKUP(A332,[1]!DadosGHD[CD_GEOCMU],[1]!DadosGHD[MUNICIPIO])</f>
        <v>SAO RAIMUNDO DO DOCA BEZERRA</v>
      </c>
      <c r="F332" s="6">
        <v>28.832521438598601</v>
      </c>
      <c r="G332" s="6">
        <v>28.907878875732401</v>
      </c>
      <c r="H332" s="6">
        <v>28.942651748657202</v>
      </c>
      <c r="I332" s="6">
        <v>28.925045013427699</v>
      </c>
      <c r="J332" s="6">
        <v>28.9409065246582</v>
      </c>
      <c r="K332" s="6">
        <v>28.9686679840088</v>
      </c>
      <c r="L332" s="6">
        <v>26.2798957824707</v>
      </c>
    </row>
    <row r="333" spans="1:12" x14ac:dyDescent="0.25">
      <c r="A333">
        <v>1303601</v>
      </c>
      <c r="B333" t="str">
        <f t="shared" si="5"/>
        <v>SANTA ISABEL DO RIO NEGRO, AM, Brasil</v>
      </c>
      <c r="C333" s="4" t="str">
        <f>_xlfn.XLOOKUP(A333,[1]!DadosGHD[CD_GEOCMU],[1]!DadosGHD[Região])</f>
        <v>NO</v>
      </c>
      <c r="D333" s="4" t="str">
        <f>_xlfn.XLOOKUP(A333,[1]!DadosGHD[CD_GEOCMU],[1]!DadosGHD[uf])</f>
        <v>AM</v>
      </c>
      <c r="E333" s="5" t="str">
        <f>_xlfn.XLOOKUP(A333,[1]!DadosGHD[CD_GEOCMU],[1]!DadosGHD[MUNICIPIO])</f>
        <v>SANTA ISABEL DO RIO NEGRO</v>
      </c>
      <c r="F333" s="6">
        <v>28.832521438598601</v>
      </c>
      <c r="G333" s="6">
        <v>28.907878875732401</v>
      </c>
      <c r="H333" s="6">
        <v>28.942651748657202</v>
      </c>
      <c r="I333" s="6">
        <v>28.925045013427699</v>
      </c>
      <c r="J333" s="6">
        <v>28.9409065246582</v>
      </c>
      <c r="K333" s="6">
        <v>28.9686679840088</v>
      </c>
      <c r="L333" s="6">
        <v>35.132350921630902</v>
      </c>
    </row>
    <row r="334" spans="1:12" x14ac:dyDescent="0.25">
      <c r="A334">
        <v>4215687</v>
      </c>
      <c r="B334" t="str">
        <f t="shared" si="5"/>
        <v>SANTA TEREZINHA DO PROGRESSO, SC, Brasil</v>
      </c>
      <c r="C334" s="4" t="str">
        <f>_xlfn.XLOOKUP(A334,[1]!DadosGHD[CD_GEOCMU],[1]!DadosGHD[Região])</f>
        <v>SL</v>
      </c>
      <c r="D334" s="4" t="str">
        <f>_xlfn.XLOOKUP(A334,[1]!DadosGHD[CD_GEOCMU],[1]!DadosGHD[uf])</f>
        <v>SC</v>
      </c>
      <c r="E334" s="5" t="str">
        <f>_xlfn.XLOOKUP(A334,[1]!DadosGHD[CD_GEOCMU],[1]!DadosGHD[MUNICIPIO])</f>
        <v>SANTA TEREZINHA DO PROGRESSO</v>
      </c>
      <c r="F334" s="6">
        <v>28.832521438598601</v>
      </c>
      <c r="G334" s="6">
        <v>38.719383239746101</v>
      </c>
      <c r="H334" s="6">
        <v>38.800621032714801</v>
      </c>
      <c r="I334" s="6">
        <v>43.712886810302699</v>
      </c>
      <c r="J334" s="6">
        <v>48.740257263183601</v>
      </c>
      <c r="K334" s="6">
        <v>48.795886993408203</v>
      </c>
      <c r="L334" s="6">
        <v>48.562728881835902</v>
      </c>
    </row>
    <row r="335" spans="1:12" x14ac:dyDescent="0.25">
      <c r="A335">
        <v>3158706</v>
      </c>
      <c r="B335" t="str">
        <f t="shared" si="5"/>
        <v>SANTANA DO GARAMBEU, MG, Brasil</v>
      </c>
      <c r="C335" s="4" t="str">
        <f>_xlfn.XLOOKUP(A335,[1]!DadosGHD[CD_GEOCMU],[1]!DadosGHD[Região])</f>
        <v>SD</v>
      </c>
      <c r="D335" s="4" t="str">
        <f>_xlfn.XLOOKUP(A335,[1]!DadosGHD[CD_GEOCMU],[1]!DadosGHD[uf])</f>
        <v>MG</v>
      </c>
      <c r="E335" s="5" t="str">
        <f>_xlfn.XLOOKUP(A335,[1]!DadosGHD[CD_GEOCMU],[1]!DadosGHD[MUNICIPIO])</f>
        <v>SANTANA DO GARAMBEU</v>
      </c>
      <c r="F335" s="6">
        <v>28.832521438598601</v>
      </c>
      <c r="G335" s="6">
        <v>28.907878875732401</v>
      </c>
      <c r="H335" s="6">
        <v>28.962713241577202</v>
      </c>
      <c r="I335" s="6">
        <v>28.955553054809599</v>
      </c>
      <c r="J335" s="6">
        <v>33.811363220214801</v>
      </c>
      <c r="K335" s="6">
        <v>33.8608589172363</v>
      </c>
      <c r="L335" s="6">
        <v>35.160118103027301</v>
      </c>
    </row>
    <row r="336" spans="1:12" x14ac:dyDescent="0.25">
      <c r="A336">
        <v>2205458</v>
      </c>
      <c r="B336" t="str">
        <f t="shared" si="5"/>
        <v>JOCA MARQUES, PI, Brasil</v>
      </c>
      <c r="C336" s="4" t="str">
        <f>_xlfn.XLOOKUP(A336,[1]!DadosGHD[CD_GEOCMU],[1]!DadosGHD[Região])</f>
        <v>NE</v>
      </c>
      <c r="D336" s="4" t="str">
        <f>_xlfn.XLOOKUP(A336,[1]!DadosGHD[CD_GEOCMU],[1]!DadosGHD[uf])</f>
        <v>PI</v>
      </c>
      <c r="E336" s="5" t="str">
        <f>_xlfn.XLOOKUP(A336,[1]!DadosGHD[CD_GEOCMU],[1]!DadosGHD[MUNICIPIO])</f>
        <v>JOCA MARQUES</v>
      </c>
      <c r="F336" s="6">
        <v>28.832521438598601</v>
      </c>
      <c r="G336" s="6">
        <v>28.907878875732401</v>
      </c>
      <c r="H336" s="6">
        <v>28.942651748657202</v>
      </c>
      <c r="I336" s="6">
        <v>28.925045013427699</v>
      </c>
      <c r="J336" s="6">
        <v>28.9409065246582</v>
      </c>
      <c r="K336" s="6">
        <v>28.9686679840088</v>
      </c>
      <c r="L336" s="6">
        <v>26.2798957824707</v>
      </c>
    </row>
    <row r="337" spans="1:12" x14ac:dyDescent="0.25">
      <c r="A337">
        <v>2506251</v>
      </c>
      <c r="B337" t="str">
        <f t="shared" si="5"/>
        <v>GADO BRAVO, PB, Brasil</v>
      </c>
      <c r="C337" s="4" t="str">
        <f>_xlfn.XLOOKUP(A337,[1]!DadosGHD[CD_GEOCMU],[1]!DadosGHD[Região])</f>
        <v>NE</v>
      </c>
      <c r="D337" s="4" t="str">
        <f>_xlfn.XLOOKUP(A337,[1]!DadosGHD[CD_GEOCMU],[1]!DadosGHD[uf])</f>
        <v>PB</v>
      </c>
      <c r="E337" s="5" t="str">
        <f>_xlfn.XLOOKUP(A337,[1]!DadosGHD[CD_GEOCMU],[1]!DadosGHD[MUNICIPIO])</f>
        <v>GADO BRAVO</v>
      </c>
      <c r="F337" s="6">
        <v>28.832521438598601</v>
      </c>
      <c r="G337" s="6">
        <v>28.907878875732401</v>
      </c>
      <c r="H337" s="6">
        <v>28.942651748657202</v>
      </c>
      <c r="I337" s="6">
        <v>28.925045013427699</v>
      </c>
      <c r="J337" s="6">
        <v>28.9409065246582</v>
      </c>
      <c r="K337" s="6">
        <v>28.980037689208999</v>
      </c>
      <c r="L337" s="6">
        <v>30.721523284912099</v>
      </c>
    </row>
    <row r="338" spans="1:12" x14ac:dyDescent="0.25">
      <c r="A338">
        <v>2508703</v>
      </c>
      <c r="B338" t="str">
        <f t="shared" si="5"/>
        <v>MAE D'AGUA, PB, Brasil</v>
      </c>
      <c r="C338" s="4" t="str">
        <f>_xlfn.XLOOKUP(A338,[1]!DadosGHD[CD_GEOCMU],[1]!DadosGHD[Região])</f>
        <v>NE</v>
      </c>
      <c r="D338" s="4" t="str">
        <f>_xlfn.XLOOKUP(A338,[1]!DadosGHD[CD_GEOCMU],[1]!DadosGHD[uf])</f>
        <v>PB</v>
      </c>
      <c r="E338" s="5" t="str">
        <f>_xlfn.XLOOKUP(A338,[1]!DadosGHD[CD_GEOCMU],[1]!DadosGHD[MUNICIPIO])</f>
        <v>MAE D'AGUA</v>
      </c>
      <c r="F338" s="6">
        <v>28.832521438598601</v>
      </c>
      <c r="G338" s="6">
        <v>28.907878875732401</v>
      </c>
      <c r="H338" s="6">
        <v>28.942651748657202</v>
      </c>
      <c r="I338" s="6">
        <v>28.925045013427699</v>
      </c>
      <c r="J338" s="6">
        <v>28.9409065246582</v>
      </c>
      <c r="K338" s="6">
        <v>28.9686679840088</v>
      </c>
      <c r="L338" s="6">
        <v>26.2798957824707</v>
      </c>
    </row>
    <row r="339" spans="1:12" x14ac:dyDescent="0.25">
      <c r="A339">
        <v>2200459</v>
      </c>
      <c r="B339" t="str">
        <f t="shared" si="5"/>
        <v>ALVORADA DO GURGUEIA, PI, Brasil</v>
      </c>
      <c r="C339" s="4" t="str">
        <f>_xlfn.XLOOKUP(A339,[1]!DadosGHD[CD_GEOCMU],[1]!DadosGHD[Região])</f>
        <v>NE</v>
      </c>
      <c r="D339" s="4" t="str">
        <f>_xlfn.XLOOKUP(A339,[1]!DadosGHD[CD_GEOCMU],[1]!DadosGHD[uf])</f>
        <v>PI</v>
      </c>
      <c r="E339" s="5" t="str">
        <f>_xlfn.XLOOKUP(A339,[1]!DadosGHD[CD_GEOCMU],[1]!DadosGHD[MUNICIPIO])</f>
        <v>ALVORADA DO GURGUEIA</v>
      </c>
      <c r="F339" s="6">
        <v>28.832521438598601</v>
      </c>
      <c r="G339" s="6">
        <v>28.907878875732401</v>
      </c>
      <c r="H339" s="6">
        <v>28.942651748657202</v>
      </c>
      <c r="I339" s="6">
        <v>28.925045013427699</v>
      </c>
      <c r="J339" s="6">
        <v>28.9409065246582</v>
      </c>
      <c r="K339" s="6">
        <v>28.9686679840088</v>
      </c>
      <c r="L339" s="6">
        <v>26.2798957824707</v>
      </c>
    </row>
    <row r="340" spans="1:12" x14ac:dyDescent="0.25">
      <c r="A340">
        <v>2206951</v>
      </c>
      <c r="B340" t="str">
        <f t="shared" si="5"/>
        <v>NOVO SANTO ANTONIO, PI, Brasil</v>
      </c>
      <c r="C340" s="4" t="str">
        <f>_xlfn.XLOOKUP(A340,[1]!DadosGHD[CD_GEOCMU],[1]!DadosGHD[Região])</f>
        <v>NE</v>
      </c>
      <c r="D340" s="4" t="str">
        <f>_xlfn.XLOOKUP(A340,[1]!DadosGHD[CD_GEOCMU],[1]!DadosGHD[uf])</f>
        <v>PI</v>
      </c>
      <c r="E340" s="5" t="str">
        <f>_xlfn.XLOOKUP(A340,[1]!DadosGHD[CD_GEOCMU],[1]!DadosGHD[MUNICIPIO])</f>
        <v>NOVO SANTO ANTONIO</v>
      </c>
      <c r="F340" s="6">
        <v>28.832521438598601</v>
      </c>
      <c r="G340" s="6">
        <v>28.907878875732401</v>
      </c>
      <c r="H340" s="6">
        <v>28.942651748657202</v>
      </c>
      <c r="I340" s="6">
        <v>28.925045013427699</v>
      </c>
      <c r="J340" s="6">
        <v>28.9409065246582</v>
      </c>
      <c r="K340" s="6">
        <v>28.9686679840088</v>
      </c>
      <c r="L340" s="6">
        <v>26.2798957824707</v>
      </c>
    </row>
    <row r="341" spans="1:12" x14ac:dyDescent="0.25">
      <c r="A341">
        <v>1703826</v>
      </c>
      <c r="B341" t="str">
        <f t="shared" si="5"/>
        <v>CACHOEIRINHA, TO, Brasil</v>
      </c>
      <c r="C341" s="4" t="str">
        <f>_xlfn.XLOOKUP(A341,[1]!DadosGHD[CD_GEOCMU],[1]!DadosGHD[Região])</f>
        <v>NO</v>
      </c>
      <c r="D341" s="4" t="str">
        <f>_xlfn.XLOOKUP(A341,[1]!DadosGHD[CD_GEOCMU],[1]!DadosGHD[uf])</f>
        <v>TO</v>
      </c>
      <c r="E341" s="5" t="str">
        <f>_xlfn.XLOOKUP(A341,[1]!DadosGHD[CD_GEOCMU],[1]!DadosGHD[MUNICIPIO])</f>
        <v>CACHOEIRINHA</v>
      </c>
      <c r="F341" s="6">
        <v>28.832521438598601</v>
      </c>
      <c r="G341" s="6">
        <v>28.907878875732401</v>
      </c>
      <c r="H341" s="6">
        <v>28.942651748657202</v>
      </c>
      <c r="I341" s="6">
        <v>28.925045013427699</v>
      </c>
      <c r="J341" s="6">
        <v>28.9409065246582</v>
      </c>
      <c r="K341" s="6">
        <v>28.9686679840088</v>
      </c>
      <c r="L341" s="6">
        <v>26.2798957824707</v>
      </c>
    </row>
    <row r="342" spans="1:12" x14ac:dyDescent="0.25">
      <c r="A342">
        <v>4202578</v>
      </c>
      <c r="B342" t="str">
        <f t="shared" si="5"/>
        <v>BOM JESUS DO OESTE, SC, Brasil</v>
      </c>
      <c r="C342" s="4" t="str">
        <f>_xlfn.XLOOKUP(A342,[1]!DadosGHD[CD_GEOCMU],[1]!DadosGHD[Região])</f>
        <v>SL</v>
      </c>
      <c r="D342" s="4" t="str">
        <f>_xlfn.XLOOKUP(A342,[1]!DadosGHD[CD_GEOCMU],[1]!DadosGHD[uf])</f>
        <v>SC</v>
      </c>
      <c r="E342" s="5" t="str">
        <f>_xlfn.XLOOKUP(A342,[1]!DadosGHD[CD_GEOCMU],[1]!DadosGHD[MUNICIPIO])</f>
        <v>BOM JESUS DO OESTE</v>
      </c>
      <c r="F342" s="6">
        <v>28.832521438598601</v>
      </c>
      <c r="G342" s="6">
        <v>38.719383239746101</v>
      </c>
      <c r="H342" s="6">
        <v>38.817550659179702</v>
      </c>
      <c r="I342" s="6">
        <v>43.693122863769503</v>
      </c>
      <c r="J342" s="6">
        <v>43.812068939208999</v>
      </c>
      <c r="K342" s="6">
        <v>43.838703155517599</v>
      </c>
      <c r="L342" s="6">
        <v>44.053752899169901</v>
      </c>
    </row>
    <row r="343" spans="1:12" x14ac:dyDescent="0.25">
      <c r="A343">
        <v>2501351</v>
      </c>
      <c r="B343" t="str">
        <f t="shared" si="5"/>
        <v>ASSUNCAO, PB, Brasil</v>
      </c>
      <c r="C343" s="4" t="str">
        <f>_xlfn.XLOOKUP(A343,[1]!DadosGHD[CD_GEOCMU],[1]!DadosGHD[Região])</f>
        <v>NE</v>
      </c>
      <c r="D343" s="4" t="str">
        <f>_xlfn.XLOOKUP(A343,[1]!DadosGHD[CD_GEOCMU],[1]!DadosGHD[uf])</f>
        <v>PB</v>
      </c>
      <c r="E343" s="5" t="str">
        <f>_xlfn.XLOOKUP(A343,[1]!DadosGHD[CD_GEOCMU],[1]!DadosGHD[MUNICIPIO])</f>
        <v>ASSUNCAO</v>
      </c>
      <c r="F343" s="6">
        <v>28.832521438598601</v>
      </c>
      <c r="G343" s="6">
        <v>28.907878875732401</v>
      </c>
      <c r="H343" s="6">
        <v>28.9440002441406</v>
      </c>
      <c r="I343" s="6">
        <v>28.925045013427699</v>
      </c>
      <c r="J343" s="6">
        <v>28.9409065246582</v>
      </c>
      <c r="K343" s="6">
        <v>28.9686679840088</v>
      </c>
      <c r="L343" s="6">
        <v>26.2798957824707</v>
      </c>
    </row>
    <row r="344" spans="1:12" x14ac:dyDescent="0.25">
      <c r="A344">
        <v>2205276</v>
      </c>
      <c r="B344" t="str">
        <f t="shared" si="5"/>
        <v>JATOBA DO PIAUI, PI, Brasil</v>
      </c>
      <c r="C344" s="4" t="str">
        <f>_xlfn.XLOOKUP(A344,[1]!DadosGHD[CD_GEOCMU],[1]!DadosGHD[Região])</f>
        <v>NE</v>
      </c>
      <c r="D344" s="4" t="str">
        <f>_xlfn.XLOOKUP(A344,[1]!DadosGHD[CD_GEOCMU],[1]!DadosGHD[uf])</f>
        <v>PI</v>
      </c>
      <c r="E344" s="5" t="str">
        <f>_xlfn.XLOOKUP(A344,[1]!DadosGHD[CD_GEOCMU],[1]!DadosGHD[MUNICIPIO])</f>
        <v>JATOBA DO PIAUI</v>
      </c>
      <c r="F344" s="6">
        <v>28.832521438598601</v>
      </c>
      <c r="G344" s="6">
        <v>28.907878875732401</v>
      </c>
      <c r="H344" s="6">
        <v>28.942651748657202</v>
      </c>
      <c r="I344" s="6">
        <v>28.925045013427699</v>
      </c>
      <c r="J344" s="6">
        <v>28.9409065246582</v>
      </c>
      <c r="K344" s="6">
        <v>28.9686679840088</v>
      </c>
      <c r="L344" s="6">
        <v>26.2850437164307</v>
      </c>
    </row>
    <row r="345" spans="1:12" x14ac:dyDescent="0.25">
      <c r="A345">
        <v>3105509</v>
      </c>
      <c r="B345" t="str">
        <f t="shared" si="5"/>
        <v>BARAO DE MONTE ALTO, MG, Brasil</v>
      </c>
      <c r="C345" s="4" t="str">
        <f>_xlfn.XLOOKUP(A345,[1]!DadosGHD[CD_GEOCMU],[1]!DadosGHD[Região])</f>
        <v>SD</v>
      </c>
      <c r="D345" s="4" t="str">
        <f>_xlfn.XLOOKUP(A345,[1]!DadosGHD[CD_GEOCMU],[1]!DadosGHD[uf])</f>
        <v>MG</v>
      </c>
      <c r="E345" s="5" t="str">
        <f>_xlfn.XLOOKUP(A345,[1]!DadosGHD[CD_GEOCMU],[1]!DadosGHD[MUNICIPIO])</f>
        <v>BARAO DE MONTE ALTO</v>
      </c>
      <c r="F345" s="6">
        <v>28.832521438598601</v>
      </c>
      <c r="G345" s="6">
        <v>28.907878875732401</v>
      </c>
      <c r="H345" s="6">
        <v>28.953367233276399</v>
      </c>
      <c r="I345" s="6">
        <v>28.9357795715332</v>
      </c>
      <c r="J345" s="6">
        <v>28.946125030517599</v>
      </c>
      <c r="K345" s="6">
        <v>28.9686679840088</v>
      </c>
      <c r="L345" s="6">
        <v>30.691064834594702</v>
      </c>
    </row>
    <row r="346" spans="1:12" x14ac:dyDescent="0.25">
      <c r="A346">
        <v>5208152</v>
      </c>
      <c r="B346" t="str">
        <f t="shared" si="5"/>
        <v>GAMELEIRA DE GOIAS, GO, Brasil</v>
      </c>
      <c r="C346" s="4" t="str">
        <f>_xlfn.XLOOKUP(A346,[1]!DadosGHD[CD_GEOCMU],[1]!DadosGHD[Região])</f>
        <v>CO</v>
      </c>
      <c r="D346" s="4" t="str">
        <f>_xlfn.XLOOKUP(A346,[1]!DadosGHD[CD_GEOCMU],[1]!DadosGHD[uf])</f>
        <v>GO</v>
      </c>
      <c r="E346" s="5" t="str">
        <f>_xlfn.XLOOKUP(A346,[1]!DadosGHD[CD_GEOCMU],[1]!DadosGHD[MUNICIPIO])</f>
        <v>GAMELEIRA DE GOIAS</v>
      </c>
      <c r="F346" s="6">
        <v>28.832521438598601</v>
      </c>
      <c r="G346" s="6">
        <v>28.907878875732401</v>
      </c>
      <c r="H346" s="6">
        <v>28.942651748657202</v>
      </c>
      <c r="I346" s="6">
        <v>38.723567962646499</v>
      </c>
      <c r="J346" s="6">
        <v>38.758674621582003</v>
      </c>
      <c r="K346" s="6">
        <v>38.805366516113303</v>
      </c>
      <c r="L346" s="6">
        <v>35.130996704101598</v>
      </c>
    </row>
    <row r="347" spans="1:12" x14ac:dyDescent="0.25">
      <c r="A347">
        <v>2203420</v>
      </c>
      <c r="B347" t="str">
        <f t="shared" si="5"/>
        <v>DOMINGOS MOURAO, PI, Brasil</v>
      </c>
      <c r="C347" s="4" t="str">
        <f>_xlfn.XLOOKUP(A347,[1]!DadosGHD[CD_GEOCMU],[1]!DadosGHD[Região])</f>
        <v>NE</v>
      </c>
      <c r="D347" s="4" t="str">
        <f>_xlfn.XLOOKUP(A347,[1]!DadosGHD[CD_GEOCMU],[1]!DadosGHD[uf])</f>
        <v>PI</v>
      </c>
      <c r="E347" s="5" t="str">
        <f>_xlfn.XLOOKUP(A347,[1]!DadosGHD[CD_GEOCMU],[1]!DadosGHD[MUNICIPIO])</f>
        <v>DOMINGOS MOURAO</v>
      </c>
      <c r="F347" s="6">
        <v>28.832521438598601</v>
      </c>
      <c r="G347" s="6">
        <v>28.907878875732401</v>
      </c>
      <c r="H347" s="6">
        <v>28.942651748657202</v>
      </c>
      <c r="I347" s="6">
        <v>28.925045013427699</v>
      </c>
      <c r="J347" s="6">
        <v>28.9409065246582</v>
      </c>
      <c r="K347" s="6">
        <v>28.9686679840088</v>
      </c>
      <c r="L347" s="6">
        <v>26.2798957824707</v>
      </c>
    </row>
    <row r="348" spans="1:12" x14ac:dyDescent="0.25">
      <c r="A348">
        <v>3130804</v>
      </c>
      <c r="B348" t="str">
        <f t="shared" si="5"/>
        <v>INGAI, MG, Brasil</v>
      </c>
      <c r="C348" s="4" t="str">
        <f>_xlfn.XLOOKUP(A348,[1]!DadosGHD[CD_GEOCMU],[1]!DadosGHD[Região])</f>
        <v>SD</v>
      </c>
      <c r="D348" s="4" t="str">
        <f>_xlfn.XLOOKUP(A348,[1]!DadosGHD[CD_GEOCMU],[1]!DadosGHD[uf])</f>
        <v>MG</v>
      </c>
      <c r="E348" s="5" t="str">
        <f>_xlfn.XLOOKUP(A348,[1]!DadosGHD[CD_GEOCMU],[1]!DadosGHD[MUNICIPIO])</f>
        <v>INGAI</v>
      </c>
      <c r="F348" s="6">
        <v>28.832521438598601</v>
      </c>
      <c r="G348" s="6">
        <v>38.735042572021499</v>
      </c>
      <c r="H348" s="6">
        <v>38.790729522705099</v>
      </c>
      <c r="I348" s="6">
        <v>38.783603668212898</v>
      </c>
      <c r="J348" s="6">
        <v>38.794456481933601</v>
      </c>
      <c r="K348" s="6">
        <v>43.8616333007813</v>
      </c>
      <c r="L348" s="6">
        <v>48.518310546875</v>
      </c>
    </row>
    <row r="349" spans="1:12" x14ac:dyDescent="0.25">
      <c r="A349">
        <v>2211704</v>
      </c>
      <c r="B349" t="str">
        <f t="shared" si="5"/>
        <v>WALL FERRAZ, PI, Brasil</v>
      </c>
      <c r="C349" s="4" t="str">
        <f>_xlfn.XLOOKUP(A349,[1]!DadosGHD[CD_GEOCMU],[1]!DadosGHD[Região])</f>
        <v>NE</v>
      </c>
      <c r="D349" s="4" t="str">
        <f>_xlfn.XLOOKUP(A349,[1]!DadosGHD[CD_GEOCMU],[1]!DadosGHD[uf])</f>
        <v>PI</v>
      </c>
      <c r="E349" s="5" t="str">
        <f>_xlfn.XLOOKUP(A349,[1]!DadosGHD[CD_GEOCMU],[1]!DadosGHD[MUNICIPIO])</f>
        <v>WALL FERRAZ</v>
      </c>
      <c r="F349" s="6">
        <v>28.832521438598601</v>
      </c>
      <c r="G349" s="6">
        <v>28.907878875732401</v>
      </c>
      <c r="H349" s="6">
        <v>28.942651748657202</v>
      </c>
      <c r="I349" s="6">
        <v>28.925045013427699</v>
      </c>
      <c r="J349" s="6">
        <v>28.9409065246582</v>
      </c>
      <c r="K349" s="6">
        <v>28.9686679840088</v>
      </c>
      <c r="L349" s="6">
        <v>26.2798957824707</v>
      </c>
    </row>
    <row r="350" spans="1:12" x14ac:dyDescent="0.25">
      <c r="A350">
        <v>2205599</v>
      </c>
      <c r="B350" t="str">
        <f t="shared" si="5"/>
        <v>LAGOA DO SITIO, PI, Brasil</v>
      </c>
      <c r="C350" s="4" t="str">
        <f>_xlfn.XLOOKUP(A350,[1]!DadosGHD[CD_GEOCMU],[1]!DadosGHD[Região])</f>
        <v>NE</v>
      </c>
      <c r="D350" s="4" t="str">
        <f>_xlfn.XLOOKUP(A350,[1]!DadosGHD[CD_GEOCMU],[1]!DadosGHD[uf])</f>
        <v>PI</v>
      </c>
      <c r="E350" s="5" t="str">
        <f>_xlfn.XLOOKUP(A350,[1]!DadosGHD[CD_GEOCMU],[1]!DadosGHD[MUNICIPIO])</f>
        <v>LAGOA DO SITIO</v>
      </c>
      <c r="F350" s="6">
        <v>28.832521438598601</v>
      </c>
      <c r="G350" s="6">
        <v>28.907878875732401</v>
      </c>
      <c r="H350" s="6">
        <v>28.942651748657202</v>
      </c>
      <c r="I350" s="6">
        <v>28.925045013427699</v>
      </c>
      <c r="J350" s="6">
        <v>28.9409065246582</v>
      </c>
      <c r="K350" s="6">
        <v>29.0051460266113</v>
      </c>
      <c r="L350" s="6">
        <v>26.297338485717798</v>
      </c>
    </row>
    <row r="351" spans="1:12" x14ac:dyDescent="0.25">
      <c r="A351">
        <v>2515930</v>
      </c>
      <c r="B351" t="str">
        <f t="shared" si="5"/>
        <v>SERTAOZINHO, PB, Brasil</v>
      </c>
      <c r="C351" s="4" t="str">
        <f>_xlfn.XLOOKUP(A351,[1]!DadosGHD[CD_GEOCMU],[1]!DadosGHD[Região])</f>
        <v>NE</v>
      </c>
      <c r="D351" s="4" t="str">
        <f>_xlfn.XLOOKUP(A351,[1]!DadosGHD[CD_GEOCMU],[1]!DadosGHD[uf])</f>
        <v>PB</v>
      </c>
      <c r="E351" s="5" t="str">
        <f>_xlfn.XLOOKUP(A351,[1]!DadosGHD[CD_GEOCMU],[1]!DadosGHD[MUNICIPIO])</f>
        <v>SERTAOZINHO</v>
      </c>
      <c r="F351" s="6">
        <v>28.832521438598601</v>
      </c>
      <c r="G351" s="6">
        <v>28.907878875732401</v>
      </c>
      <c r="H351" s="6">
        <v>28.942651748657202</v>
      </c>
      <c r="I351" s="6">
        <v>28.925045013427699</v>
      </c>
      <c r="J351" s="6">
        <v>38.758781433105497</v>
      </c>
      <c r="K351" s="6">
        <v>43.754955291748097</v>
      </c>
      <c r="L351" s="6">
        <v>57.492107391357401</v>
      </c>
    </row>
    <row r="352" spans="1:12" x14ac:dyDescent="0.25">
      <c r="A352">
        <v>1200328</v>
      </c>
      <c r="B352" t="str">
        <f t="shared" si="5"/>
        <v>JORDAO, AC, Brasil</v>
      </c>
      <c r="C352" s="4" t="str">
        <f>_xlfn.XLOOKUP(A352,[1]!DadosGHD[CD_GEOCMU],[1]!DadosGHD[Região])</f>
        <v>NO</v>
      </c>
      <c r="D352" s="4" t="str">
        <f>_xlfn.XLOOKUP(A352,[1]!DadosGHD[CD_GEOCMU],[1]!DadosGHD[uf])</f>
        <v>AC</v>
      </c>
      <c r="E352" s="5" t="str">
        <f>_xlfn.XLOOKUP(A352,[1]!DadosGHD[CD_GEOCMU],[1]!DadosGHD[MUNICIPIO])</f>
        <v>JORDAO</v>
      </c>
      <c r="F352" s="6">
        <v>28.832521438598601</v>
      </c>
      <c r="G352" s="6">
        <v>28.907878875732401</v>
      </c>
      <c r="H352" s="6">
        <v>28.942651748657202</v>
      </c>
      <c r="I352" s="6">
        <v>28.925045013427699</v>
      </c>
      <c r="J352" s="6">
        <v>28.9409065246582</v>
      </c>
      <c r="K352" s="6">
        <v>28.9686679840088</v>
      </c>
      <c r="L352" s="6">
        <v>26.2798957824707</v>
      </c>
    </row>
    <row r="353" spans="1:12" x14ac:dyDescent="0.25">
      <c r="A353">
        <v>5221080</v>
      </c>
      <c r="B353" t="str">
        <f t="shared" si="5"/>
        <v>TERESINA DE GOIAS, GO, Brasil</v>
      </c>
      <c r="C353" s="4" t="str">
        <f>_xlfn.XLOOKUP(A353,[1]!DadosGHD[CD_GEOCMU],[1]!DadosGHD[Região])</f>
        <v>CO</v>
      </c>
      <c r="D353" s="4" t="str">
        <f>_xlfn.XLOOKUP(A353,[1]!DadosGHD[CD_GEOCMU],[1]!DadosGHD[uf])</f>
        <v>GO</v>
      </c>
      <c r="E353" s="5" t="str">
        <f>_xlfn.XLOOKUP(A353,[1]!DadosGHD[CD_GEOCMU],[1]!DadosGHD[MUNICIPIO])</f>
        <v>TERESINA DE GOIAS</v>
      </c>
      <c r="F353" s="6">
        <v>28.832521438598601</v>
      </c>
      <c r="G353" s="6">
        <v>28.9086093902588</v>
      </c>
      <c r="H353" s="6">
        <v>28.956027984619102</v>
      </c>
      <c r="I353" s="6">
        <v>28.936367034912099</v>
      </c>
      <c r="J353" s="6">
        <v>28.9615173339844</v>
      </c>
      <c r="K353" s="6">
        <v>28.984783172607401</v>
      </c>
      <c r="L353" s="6">
        <v>35.116703033447301</v>
      </c>
    </row>
    <row r="354" spans="1:12" x14ac:dyDescent="0.25">
      <c r="A354">
        <v>3168200</v>
      </c>
      <c r="B354" t="str">
        <f t="shared" si="5"/>
        <v>TAPIRAI, MG, Brasil</v>
      </c>
      <c r="C354" s="4" t="str">
        <f>_xlfn.XLOOKUP(A354,[1]!DadosGHD[CD_GEOCMU],[1]!DadosGHD[Região])</f>
        <v>SD</v>
      </c>
      <c r="D354" s="4" t="str">
        <f>_xlfn.XLOOKUP(A354,[1]!DadosGHD[CD_GEOCMU],[1]!DadosGHD[uf])</f>
        <v>MG</v>
      </c>
      <c r="E354" s="5" t="str">
        <f>_xlfn.XLOOKUP(A354,[1]!DadosGHD[CD_GEOCMU],[1]!DadosGHD[MUNICIPIO])</f>
        <v>TAPIRAI</v>
      </c>
      <c r="F354" s="6">
        <v>28.832521438598601</v>
      </c>
      <c r="G354" s="6">
        <v>38.721794128417997</v>
      </c>
      <c r="H354" s="6">
        <v>38.767951965332003</v>
      </c>
      <c r="I354" s="6">
        <v>38.748420715332003</v>
      </c>
      <c r="J354" s="6">
        <v>38.786659240722699</v>
      </c>
      <c r="K354" s="6">
        <v>38.833625793457003</v>
      </c>
      <c r="L354" s="6">
        <v>35.134159088134801</v>
      </c>
    </row>
    <row r="355" spans="1:12" x14ac:dyDescent="0.25">
      <c r="A355">
        <v>2112407</v>
      </c>
      <c r="B355" t="str">
        <f t="shared" si="5"/>
        <v>TURIACU, MA, Brasil</v>
      </c>
      <c r="C355" s="4" t="str">
        <f>_xlfn.XLOOKUP(A355,[1]!DadosGHD[CD_GEOCMU],[1]!DadosGHD[Região])</f>
        <v>NE</v>
      </c>
      <c r="D355" s="4" t="str">
        <f>_xlfn.XLOOKUP(A355,[1]!DadosGHD[CD_GEOCMU],[1]!DadosGHD[uf])</f>
        <v>MA</v>
      </c>
      <c r="E355" s="5" t="str">
        <f>_xlfn.XLOOKUP(A355,[1]!DadosGHD[CD_GEOCMU],[1]!DadosGHD[MUNICIPIO])</f>
        <v>TURIACU</v>
      </c>
      <c r="F355" s="6">
        <v>28.832521438598601</v>
      </c>
      <c r="G355" s="6">
        <v>28.907878875732401</v>
      </c>
      <c r="H355" s="6">
        <v>28.942651748657202</v>
      </c>
      <c r="I355" s="6">
        <v>28.925045013427699</v>
      </c>
      <c r="J355" s="6">
        <v>28.9409065246582</v>
      </c>
      <c r="K355" s="6">
        <v>28.9686679840088</v>
      </c>
      <c r="L355" s="6">
        <v>26.2798957824707</v>
      </c>
    </row>
    <row r="356" spans="1:12" x14ac:dyDescent="0.25">
      <c r="A356">
        <v>2204352</v>
      </c>
      <c r="B356" t="str">
        <f t="shared" si="5"/>
        <v>GEMINIANO, PI, Brasil</v>
      </c>
      <c r="C356" s="4" t="str">
        <f>_xlfn.XLOOKUP(A356,[1]!DadosGHD[CD_GEOCMU],[1]!DadosGHD[Região])</f>
        <v>NE</v>
      </c>
      <c r="D356" s="4" t="str">
        <f>_xlfn.XLOOKUP(A356,[1]!DadosGHD[CD_GEOCMU],[1]!DadosGHD[uf])</f>
        <v>PI</v>
      </c>
      <c r="E356" s="5" t="str">
        <f>_xlfn.XLOOKUP(A356,[1]!DadosGHD[CD_GEOCMU],[1]!DadosGHD[MUNICIPIO])</f>
        <v>GEMINIANO</v>
      </c>
      <c r="F356" s="6">
        <v>28.832521438598601</v>
      </c>
      <c r="G356" s="6">
        <v>28.907878875732401</v>
      </c>
      <c r="H356" s="6">
        <v>28.942651748657202</v>
      </c>
      <c r="I356" s="6">
        <v>28.925045013427699</v>
      </c>
      <c r="J356" s="6">
        <v>28.941242218017599</v>
      </c>
      <c r="K356" s="6">
        <v>28.9978218078613</v>
      </c>
      <c r="L356" s="6">
        <v>35.135383605957003</v>
      </c>
    </row>
    <row r="357" spans="1:12" x14ac:dyDescent="0.25">
      <c r="A357">
        <v>5106703</v>
      </c>
      <c r="B357" t="str">
        <f t="shared" si="5"/>
        <v>PONTE BRANCA, MT, Brasil</v>
      </c>
      <c r="C357" s="4" t="str">
        <f>_xlfn.XLOOKUP(A357,[1]!DadosGHD[CD_GEOCMU],[1]!DadosGHD[Região])</f>
        <v>CO</v>
      </c>
      <c r="D357" s="4" t="str">
        <f>_xlfn.XLOOKUP(A357,[1]!DadosGHD[CD_GEOCMU],[1]!DadosGHD[uf])</f>
        <v>MT</v>
      </c>
      <c r="E357" s="5" t="str">
        <f>_xlfn.XLOOKUP(A357,[1]!DadosGHD[CD_GEOCMU],[1]!DadosGHD[MUNICIPIO])</f>
        <v>PONTE BRANCA</v>
      </c>
      <c r="F357" s="6">
        <v>28.832521438598601</v>
      </c>
      <c r="G357" s="6">
        <v>28.907878875732401</v>
      </c>
      <c r="H357" s="6">
        <v>28.942651748657202</v>
      </c>
      <c r="I357" s="6">
        <v>28.9310188293457</v>
      </c>
      <c r="J357" s="6">
        <v>28.9409065246582</v>
      </c>
      <c r="K357" s="6">
        <v>28.9686679840088</v>
      </c>
      <c r="L357" s="6">
        <v>26.289028167724599</v>
      </c>
    </row>
    <row r="358" spans="1:12" x14ac:dyDescent="0.25">
      <c r="A358">
        <v>2411700</v>
      </c>
      <c r="B358" t="str">
        <f t="shared" si="5"/>
        <v>SAO BENTO DO TRAIRI, RN, Brasil</v>
      </c>
      <c r="C358" s="4" t="str">
        <f>_xlfn.XLOOKUP(A358,[1]!DadosGHD[CD_GEOCMU],[1]!DadosGHD[Região])</f>
        <v>NE</v>
      </c>
      <c r="D358" s="4" t="str">
        <f>_xlfn.XLOOKUP(A358,[1]!DadosGHD[CD_GEOCMU],[1]!DadosGHD[uf])</f>
        <v>RN</v>
      </c>
      <c r="E358" s="5" t="str">
        <f>_xlfn.XLOOKUP(A358,[1]!DadosGHD[CD_GEOCMU],[1]!DadosGHD[MUNICIPIO])</f>
        <v>SAO BENTO DO TRAIRI</v>
      </c>
      <c r="F358" s="6">
        <v>28.832521438598601</v>
      </c>
      <c r="G358" s="6">
        <v>28.907878875732401</v>
      </c>
      <c r="H358" s="6">
        <v>28.942651748657202</v>
      </c>
      <c r="I358" s="6">
        <v>28.925045013427699</v>
      </c>
      <c r="J358" s="6">
        <v>28.9409065246582</v>
      </c>
      <c r="K358" s="6">
        <v>28.9686679840088</v>
      </c>
      <c r="L358" s="6">
        <v>26.2798957824707</v>
      </c>
    </row>
    <row r="359" spans="1:12" x14ac:dyDescent="0.25">
      <c r="A359">
        <v>4323358</v>
      </c>
      <c r="B359" t="str">
        <f t="shared" si="5"/>
        <v>VILA LANGARO, RS, Brasil</v>
      </c>
      <c r="C359" s="4" t="str">
        <f>_xlfn.XLOOKUP(A359,[1]!DadosGHD[CD_GEOCMU],[1]!DadosGHD[Região])</f>
        <v>SL</v>
      </c>
      <c r="D359" s="4" t="str">
        <f>_xlfn.XLOOKUP(A359,[1]!DadosGHD[CD_GEOCMU],[1]!DadosGHD[uf])</f>
        <v>RS</v>
      </c>
      <c r="E359" s="5" t="str">
        <f>_xlfn.XLOOKUP(A359,[1]!DadosGHD[CD_GEOCMU],[1]!DadosGHD[MUNICIPIO])</f>
        <v>VILA LANGARO</v>
      </c>
      <c r="F359" s="6">
        <v>28.832521438598601</v>
      </c>
      <c r="G359" s="6">
        <v>38.719383239746101</v>
      </c>
      <c r="H359" s="6">
        <v>38.767951965332003</v>
      </c>
      <c r="I359" s="6">
        <v>38.744155883789098</v>
      </c>
      <c r="J359" s="6">
        <v>38.778152465820298</v>
      </c>
      <c r="K359" s="6">
        <v>38.808509826660199</v>
      </c>
      <c r="L359" s="6">
        <v>30.712467193603501</v>
      </c>
    </row>
    <row r="360" spans="1:12" x14ac:dyDescent="0.25">
      <c r="A360">
        <v>1508126</v>
      </c>
      <c r="B360" t="str">
        <f t="shared" si="5"/>
        <v>ULIANOPOLIS, PA, Brasil</v>
      </c>
      <c r="C360" s="4" t="str">
        <f>_xlfn.XLOOKUP(A360,[1]!DadosGHD[CD_GEOCMU],[1]!DadosGHD[Região])</f>
        <v>NO</v>
      </c>
      <c r="D360" s="4" t="str">
        <f>_xlfn.XLOOKUP(A360,[1]!DadosGHD[CD_GEOCMU],[1]!DadosGHD[uf])</f>
        <v>PA</v>
      </c>
      <c r="E360" s="5" t="str">
        <f>_xlfn.XLOOKUP(A360,[1]!DadosGHD[CD_GEOCMU],[1]!DadosGHD[MUNICIPIO])</f>
        <v>ULIANOPOLIS</v>
      </c>
      <c r="F360" s="6">
        <v>28.832521438598601</v>
      </c>
      <c r="G360" s="6">
        <v>28.907878875732401</v>
      </c>
      <c r="H360" s="6">
        <v>28.942651748657202</v>
      </c>
      <c r="I360" s="6">
        <v>28.925045013427699</v>
      </c>
      <c r="J360" s="6">
        <v>28.9409065246582</v>
      </c>
      <c r="K360" s="6">
        <v>28.9686679840088</v>
      </c>
      <c r="L360" s="6">
        <v>26.282546997070298</v>
      </c>
    </row>
    <row r="361" spans="1:12" x14ac:dyDescent="0.25">
      <c r="A361">
        <v>1505205</v>
      </c>
      <c r="B361" t="str">
        <f t="shared" si="5"/>
        <v>OEIRAS DO PARA, PA, Brasil</v>
      </c>
      <c r="C361" s="4" t="str">
        <f>_xlfn.XLOOKUP(A361,[1]!DadosGHD[CD_GEOCMU],[1]!DadosGHD[Região])</f>
        <v>NO</v>
      </c>
      <c r="D361" s="4" t="str">
        <f>_xlfn.XLOOKUP(A361,[1]!DadosGHD[CD_GEOCMU],[1]!DadosGHD[uf])</f>
        <v>PA</v>
      </c>
      <c r="E361" s="5" t="str">
        <f>_xlfn.XLOOKUP(A361,[1]!DadosGHD[CD_GEOCMU],[1]!DadosGHD[MUNICIPIO])</f>
        <v>OEIRAS DO PARA</v>
      </c>
      <c r="F361" s="6">
        <v>28.832521438598601</v>
      </c>
      <c r="G361" s="6">
        <v>28.907878875732401</v>
      </c>
      <c r="H361" s="6">
        <v>28.942651748657202</v>
      </c>
      <c r="I361" s="6">
        <v>28.925045013427699</v>
      </c>
      <c r="J361" s="6">
        <v>28.9409065246582</v>
      </c>
      <c r="K361" s="6">
        <v>28.9686679840088</v>
      </c>
      <c r="L361" s="6">
        <v>26.2798957824707</v>
      </c>
    </row>
    <row r="362" spans="1:12" x14ac:dyDescent="0.25">
      <c r="A362">
        <v>2510303</v>
      </c>
      <c r="B362" t="str">
        <f t="shared" si="5"/>
        <v>NOVA PALMEIRA, PB, Brasil</v>
      </c>
      <c r="C362" s="4" t="str">
        <f>_xlfn.XLOOKUP(A362,[1]!DadosGHD[CD_GEOCMU],[1]!DadosGHD[Região])</f>
        <v>NE</v>
      </c>
      <c r="D362" s="4" t="str">
        <f>_xlfn.XLOOKUP(A362,[1]!DadosGHD[CD_GEOCMU],[1]!DadosGHD[uf])</f>
        <v>PB</v>
      </c>
      <c r="E362" s="5" t="str">
        <f>_xlfn.XLOOKUP(A362,[1]!DadosGHD[CD_GEOCMU],[1]!DadosGHD[MUNICIPIO])</f>
        <v>NOVA PALMEIRA</v>
      </c>
      <c r="F362" s="6">
        <v>28.832521438598601</v>
      </c>
      <c r="G362" s="6">
        <v>28.907878875732401</v>
      </c>
      <c r="H362" s="6">
        <v>28.942651748657202</v>
      </c>
      <c r="I362" s="6">
        <v>28.939455032348601</v>
      </c>
      <c r="J362" s="6">
        <v>33.844230651855497</v>
      </c>
      <c r="K362" s="6">
        <v>28.991752624511701</v>
      </c>
      <c r="L362" s="6">
        <v>35.129829406738303</v>
      </c>
    </row>
    <row r="363" spans="1:12" x14ac:dyDescent="0.25">
      <c r="A363">
        <v>2209377</v>
      </c>
      <c r="B363" t="str">
        <f t="shared" si="5"/>
        <v>SANTA ROSA DO PIAUI, PI, Brasil</v>
      </c>
      <c r="C363" s="4" t="str">
        <f>_xlfn.XLOOKUP(A363,[1]!DadosGHD[CD_GEOCMU],[1]!DadosGHD[Região])</f>
        <v>NE</v>
      </c>
      <c r="D363" s="4" t="str">
        <f>_xlfn.XLOOKUP(A363,[1]!DadosGHD[CD_GEOCMU],[1]!DadosGHD[uf])</f>
        <v>PI</v>
      </c>
      <c r="E363" s="5" t="str">
        <f>_xlfn.XLOOKUP(A363,[1]!DadosGHD[CD_GEOCMU],[1]!DadosGHD[MUNICIPIO])</f>
        <v>SANTA ROSA DO PIAUI</v>
      </c>
      <c r="F363" s="6">
        <v>28.832521438598601</v>
      </c>
      <c r="G363" s="6">
        <v>28.907878875732401</v>
      </c>
      <c r="H363" s="6">
        <v>28.942651748657202</v>
      </c>
      <c r="I363" s="6">
        <v>28.925045013427699</v>
      </c>
      <c r="J363" s="6">
        <v>28.9409065246582</v>
      </c>
      <c r="K363" s="6">
        <v>28.9686679840088</v>
      </c>
      <c r="L363" s="6">
        <v>26.2798957824707</v>
      </c>
    </row>
    <row r="364" spans="1:12" x14ac:dyDescent="0.25">
      <c r="A364">
        <v>2512754</v>
      </c>
      <c r="B364" t="str">
        <f t="shared" si="5"/>
        <v>RIACHAO DO BACAMARTE, PB, Brasil</v>
      </c>
      <c r="C364" s="4" t="str">
        <f>_xlfn.XLOOKUP(A364,[1]!DadosGHD[CD_GEOCMU],[1]!DadosGHD[Região])</f>
        <v>NE</v>
      </c>
      <c r="D364" s="4" t="str">
        <f>_xlfn.XLOOKUP(A364,[1]!DadosGHD[CD_GEOCMU],[1]!DadosGHD[uf])</f>
        <v>PB</v>
      </c>
      <c r="E364" s="5" t="str">
        <f>_xlfn.XLOOKUP(A364,[1]!DadosGHD[CD_GEOCMU],[1]!DadosGHD[MUNICIPIO])</f>
        <v>RIACHAO DO BACAMARTE</v>
      </c>
      <c r="F364" s="6">
        <v>28.832521438598601</v>
      </c>
      <c r="G364" s="6">
        <v>28.907878875732401</v>
      </c>
      <c r="H364" s="6">
        <v>28.942651748657202</v>
      </c>
      <c r="I364" s="6">
        <v>28.925045013427699</v>
      </c>
      <c r="J364" s="6">
        <v>28.9409065246582</v>
      </c>
      <c r="K364" s="6">
        <v>28.9686679840088</v>
      </c>
      <c r="L364" s="6">
        <v>26.2798957824707</v>
      </c>
    </row>
    <row r="365" spans="1:12" x14ac:dyDescent="0.25">
      <c r="A365">
        <v>2414308</v>
      </c>
      <c r="B365" t="str">
        <f t="shared" si="5"/>
        <v>TIMBAUBA DOS BATISTAS, RN, Brasil</v>
      </c>
      <c r="C365" s="4" t="str">
        <f>_xlfn.XLOOKUP(A365,[1]!DadosGHD[CD_GEOCMU],[1]!DadosGHD[Região])</f>
        <v>NE</v>
      </c>
      <c r="D365" s="4" t="str">
        <f>_xlfn.XLOOKUP(A365,[1]!DadosGHD[CD_GEOCMU],[1]!DadosGHD[uf])</f>
        <v>RN</v>
      </c>
      <c r="E365" s="5" t="str">
        <f>_xlfn.XLOOKUP(A365,[1]!DadosGHD[CD_GEOCMU],[1]!DadosGHD[MUNICIPIO])</f>
        <v>TIMBAUBA DOS BATISTAS</v>
      </c>
      <c r="F365" s="6">
        <v>28.832521438598601</v>
      </c>
      <c r="G365" s="6">
        <v>28.907878875732401</v>
      </c>
      <c r="H365" s="6">
        <v>28.942651748657202</v>
      </c>
      <c r="I365" s="6">
        <v>28.925045013427699</v>
      </c>
      <c r="J365" s="6">
        <v>28.9409065246582</v>
      </c>
      <c r="K365" s="6">
        <v>33.897178649902301</v>
      </c>
      <c r="L365" s="6">
        <v>35.151702880859403</v>
      </c>
    </row>
    <row r="366" spans="1:12" x14ac:dyDescent="0.25">
      <c r="A366">
        <v>5006275</v>
      </c>
      <c r="B366" t="str">
        <f t="shared" si="5"/>
        <v>PARAISO DAS AGUAS, MS, Brasil</v>
      </c>
      <c r="C366" s="4" t="str">
        <f>_xlfn.XLOOKUP(A366,[1]!DadosGHD[CD_GEOCMU],[1]!DadosGHD[Região])</f>
        <v>CO</v>
      </c>
      <c r="D366" s="4" t="str">
        <f>_xlfn.XLOOKUP(A366,[1]!DadosGHD[CD_GEOCMU],[1]!DadosGHD[uf])</f>
        <v>MS</v>
      </c>
      <c r="E366" s="5" t="str">
        <f>_xlfn.XLOOKUP(A366,[1]!DadosGHD[CD_GEOCMU],[1]!DadosGHD[MUNICIPIO])</f>
        <v>PARAISO DAS AGUAS</v>
      </c>
      <c r="F366" s="6">
        <v>28.832521438598601</v>
      </c>
      <c r="G366" s="6">
        <v>33.777782440185597</v>
      </c>
      <c r="H366" s="6">
        <v>33.8258666992188</v>
      </c>
      <c r="I366" s="6">
        <v>33.797611236572301</v>
      </c>
      <c r="J366" s="6">
        <v>28.978458404541001</v>
      </c>
      <c r="K366" s="6">
        <v>33.8477973937988</v>
      </c>
      <c r="L366" s="6">
        <v>26.284366607666001</v>
      </c>
    </row>
    <row r="367" spans="1:12" x14ac:dyDescent="0.25">
      <c r="A367">
        <v>3136579</v>
      </c>
      <c r="B367" t="str">
        <f t="shared" si="5"/>
        <v>JOSENOPOLIS, MG, Brasil</v>
      </c>
      <c r="C367" s="4" t="str">
        <f>_xlfn.XLOOKUP(A367,[1]!DadosGHD[CD_GEOCMU],[1]!DadosGHD[Região])</f>
        <v>SD</v>
      </c>
      <c r="D367" s="4" t="str">
        <f>_xlfn.XLOOKUP(A367,[1]!DadosGHD[CD_GEOCMU],[1]!DadosGHD[uf])</f>
        <v>MG</v>
      </c>
      <c r="E367" s="5" t="str">
        <f>_xlfn.XLOOKUP(A367,[1]!DadosGHD[CD_GEOCMU],[1]!DadosGHD[MUNICIPIO])</f>
        <v>JOSENOPOLIS</v>
      </c>
      <c r="F367" s="6">
        <v>28.832521438598601</v>
      </c>
      <c r="G367" s="6">
        <v>28.907878875732401</v>
      </c>
      <c r="H367" s="6">
        <v>28.942651748657202</v>
      </c>
      <c r="I367" s="6">
        <v>28.925045013427699</v>
      </c>
      <c r="J367" s="6">
        <v>28.9409065246582</v>
      </c>
      <c r="K367" s="6">
        <v>28.9686679840088</v>
      </c>
      <c r="L367" s="6">
        <v>26.296766281127901</v>
      </c>
    </row>
    <row r="368" spans="1:12" x14ac:dyDescent="0.25">
      <c r="A368">
        <v>4212650</v>
      </c>
      <c r="B368" t="str">
        <f t="shared" si="5"/>
        <v>PESCARIA BRAVA, SC, Brasil</v>
      </c>
      <c r="C368" s="4" t="str">
        <f>_xlfn.XLOOKUP(A368,[1]!DadosGHD[CD_GEOCMU],[1]!DadosGHD[Região])</f>
        <v>SL</v>
      </c>
      <c r="D368" s="4" t="str">
        <f>_xlfn.XLOOKUP(A368,[1]!DadosGHD[CD_GEOCMU],[1]!DadosGHD[uf])</f>
        <v>SC</v>
      </c>
      <c r="E368" s="5" t="str">
        <f>_xlfn.XLOOKUP(A368,[1]!DadosGHD[CD_GEOCMU],[1]!DadosGHD[MUNICIPIO])</f>
        <v>PESCARIA BRAVA</v>
      </c>
      <c r="F368" s="6">
        <v>28.832521438598601</v>
      </c>
      <c r="G368" s="6">
        <v>28.907878875732401</v>
      </c>
      <c r="H368" s="6">
        <v>28.9566650390625</v>
      </c>
      <c r="I368" s="6">
        <v>33.831172943115199</v>
      </c>
      <c r="J368" s="6">
        <v>33.845069885253899</v>
      </c>
      <c r="K368" s="6">
        <v>33.850723266601598</v>
      </c>
      <c r="L368" s="6">
        <v>44.0429496765137</v>
      </c>
    </row>
    <row r="369" spans="1:12" x14ac:dyDescent="0.25">
      <c r="A369">
        <v>2505907</v>
      </c>
      <c r="B369" t="str">
        <f t="shared" si="5"/>
        <v>EMAS, PB, Brasil</v>
      </c>
      <c r="C369" s="4" t="str">
        <f>_xlfn.XLOOKUP(A369,[1]!DadosGHD[CD_GEOCMU],[1]!DadosGHD[Região])</f>
        <v>NE</v>
      </c>
      <c r="D369" s="4" t="str">
        <f>_xlfn.XLOOKUP(A369,[1]!DadosGHD[CD_GEOCMU],[1]!DadosGHD[uf])</f>
        <v>PB</v>
      </c>
      <c r="E369" s="5" t="str">
        <f>_xlfn.XLOOKUP(A369,[1]!DadosGHD[CD_GEOCMU],[1]!DadosGHD[MUNICIPIO])</f>
        <v>EMAS</v>
      </c>
      <c r="F369" s="6">
        <v>28.832521438598601</v>
      </c>
      <c r="G369" s="6">
        <v>28.907878875732401</v>
      </c>
      <c r="H369" s="6">
        <v>28.942651748657202</v>
      </c>
      <c r="I369" s="6">
        <v>28.925045013427699</v>
      </c>
      <c r="J369" s="6">
        <v>28.9409065246582</v>
      </c>
      <c r="K369" s="6">
        <v>28.9686679840088</v>
      </c>
      <c r="L369" s="6">
        <v>26.291347503662099</v>
      </c>
    </row>
    <row r="370" spans="1:12" x14ac:dyDescent="0.25">
      <c r="A370">
        <v>2100436</v>
      </c>
      <c r="B370" t="str">
        <f t="shared" si="5"/>
        <v>ALTO ALEGRE DO MARANHAO, MA, Brasil</v>
      </c>
      <c r="C370" s="4" t="str">
        <f>_xlfn.XLOOKUP(A370,[1]!DadosGHD[CD_GEOCMU],[1]!DadosGHD[Região])</f>
        <v>NE</v>
      </c>
      <c r="D370" s="4" t="str">
        <f>_xlfn.XLOOKUP(A370,[1]!DadosGHD[CD_GEOCMU],[1]!DadosGHD[uf])</f>
        <v>MA</v>
      </c>
      <c r="E370" s="5" t="str">
        <f>_xlfn.XLOOKUP(A370,[1]!DadosGHD[CD_GEOCMU],[1]!DadosGHD[MUNICIPIO])</f>
        <v>ALTO ALEGRE DO MARANHAO</v>
      </c>
      <c r="F370" s="6">
        <v>28.832521438598601</v>
      </c>
      <c r="G370" s="6">
        <v>28.907878875732401</v>
      </c>
      <c r="H370" s="6">
        <v>28.942651748657202</v>
      </c>
      <c r="I370" s="6">
        <v>28.925045013427699</v>
      </c>
      <c r="J370" s="6">
        <v>28.9409065246582</v>
      </c>
      <c r="K370" s="6">
        <v>28.9686679840088</v>
      </c>
      <c r="L370" s="6">
        <v>26.297197341918899</v>
      </c>
    </row>
    <row r="371" spans="1:12" x14ac:dyDescent="0.25">
      <c r="A371">
        <v>2503407</v>
      </c>
      <c r="B371" t="str">
        <f t="shared" si="5"/>
        <v>CACIMBA DE AREIA, PB, Brasil</v>
      </c>
      <c r="C371" s="4" t="str">
        <f>_xlfn.XLOOKUP(A371,[1]!DadosGHD[CD_GEOCMU],[1]!DadosGHD[Região])</f>
        <v>NE</v>
      </c>
      <c r="D371" s="4" t="str">
        <f>_xlfn.XLOOKUP(A371,[1]!DadosGHD[CD_GEOCMU],[1]!DadosGHD[uf])</f>
        <v>PB</v>
      </c>
      <c r="E371" s="5" t="str">
        <f>_xlfn.XLOOKUP(A371,[1]!DadosGHD[CD_GEOCMU],[1]!DadosGHD[MUNICIPIO])</f>
        <v>CACIMBA DE AREIA</v>
      </c>
      <c r="F371" s="6">
        <v>28.832521438598601</v>
      </c>
      <c r="G371" s="6">
        <v>28.907878875732401</v>
      </c>
      <c r="H371" s="6">
        <v>28.942651748657202</v>
      </c>
      <c r="I371" s="6">
        <v>28.925045013427699</v>
      </c>
      <c r="J371" s="6">
        <v>28.9409065246582</v>
      </c>
      <c r="K371" s="6">
        <v>28.9686679840088</v>
      </c>
      <c r="L371" s="6">
        <v>26.2798957824707</v>
      </c>
    </row>
    <row r="372" spans="1:12" x14ac:dyDescent="0.25">
      <c r="A372">
        <v>2209872</v>
      </c>
      <c r="B372" t="str">
        <f t="shared" si="5"/>
        <v>SAO JOAO DA FRONTEIRA, PI, Brasil</v>
      </c>
      <c r="C372" s="4" t="str">
        <f>_xlfn.XLOOKUP(A372,[1]!DadosGHD[CD_GEOCMU],[1]!DadosGHD[Região])</f>
        <v>NE</v>
      </c>
      <c r="D372" s="4" t="str">
        <f>_xlfn.XLOOKUP(A372,[1]!DadosGHD[CD_GEOCMU],[1]!DadosGHD[uf])</f>
        <v>PI</v>
      </c>
      <c r="E372" s="5" t="str">
        <f>_xlfn.XLOOKUP(A372,[1]!DadosGHD[CD_GEOCMU],[1]!DadosGHD[MUNICIPIO])</f>
        <v>SAO JOAO DA FRONTEIRA</v>
      </c>
      <c r="F372" s="6">
        <v>28.832521438598601</v>
      </c>
      <c r="G372" s="6">
        <v>28.907878875732401</v>
      </c>
      <c r="H372" s="6">
        <v>28.942651748657202</v>
      </c>
      <c r="I372" s="6">
        <v>28.925045013427699</v>
      </c>
      <c r="J372" s="6">
        <v>28.9409065246582</v>
      </c>
      <c r="K372" s="6">
        <v>28.9686679840088</v>
      </c>
      <c r="L372" s="6">
        <v>26.281154632568398</v>
      </c>
    </row>
    <row r="373" spans="1:12" x14ac:dyDescent="0.25">
      <c r="A373">
        <v>2510659</v>
      </c>
      <c r="B373" t="str">
        <f t="shared" si="5"/>
        <v>PARARI, PB, Brasil</v>
      </c>
      <c r="C373" s="4" t="str">
        <f>_xlfn.XLOOKUP(A373,[1]!DadosGHD[CD_GEOCMU],[1]!DadosGHD[Região])</f>
        <v>NE</v>
      </c>
      <c r="D373" s="4" t="str">
        <f>_xlfn.XLOOKUP(A373,[1]!DadosGHD[CD_GEOCMU],[1]!DadosGHD[uf])</f>
        <v>PB</v>
      </c>
      <c r="E373" s="5" t="str">
        <f>_xlfn.XLOOKUP(A373,[1]!DadosGHD[CD_GEOCMU],[1]!DadosGHD[MUNICIPIO])</f>
        <v>PARARI</v>
      </c>
      <c r="F373" s="6">
        <v>28.832521438598601</v>
      </c>
      <c r="G373" s="6">
        <v>28.907878875732401</v>
      </c>
      <c r="H373" s="6">
        <v>33.871173858642599</v>
      </c>
      <c r="I373" s="6">
        <v>33.808338165283203</v>
      </c>
      <c r="J373" s="6">
        <v>28.9751796722412</v>
      </c>
      <c r="K373" s="6">
        <v>28.9686679840088</v>
      </c>
      <c r="L373" s="6">
        <v>26.2798957824707</v>
      </c>
    </row>
    <row r="374" spans="1:12" x14ac:dyDescent="0.25">
      <c r="A374">
        <v>2510600</v>
      </c>
      <c r="B374" t="str">
        <f t="shared" si="5"/>
        <v>OURO VELHO, PB, Brasil</v>
      </c>
      <c r="C374" s="4" t="str">
        <f>_xlfn.XLOOKUP(A374,[1]!DadosGHD[CD_GEOCMU],[1]!DadosGHD[Região])</f>
        <v>NE</v>
      </c>
      <c r="D374" s="4" t="str">
        <f>_xlfn.XLOOKUP(A374,[1]!DadosGHD[CD_GEOCMU],[1]!DadosGHD[uf])</f>
        <v>PB</v>
      </c>
      <c r="E374" s="5" t="str">
        <f>_xlfn.XLOOKUP(A374,[1]!DadosGHD[CD_GEOCMU],[1]!DadosGHD[MUNICIPIO])</f>
        <v>OURO VELHO</v>
      </c>
      <c r="F374" s="6">
        <v>28.832521438598601</v>
      </c>
      <c r="G374" s="6">
        <v>38.696540832519503</v>
      </c>
      <c r="H374" s="6">
        <v>38.741302490234403</v>
      </c>
      <c r="I374" s="6">
        <v>38.716201782226598</v>
      </c>
      <c r="J374" s="6">
        <v>38.739227294921903</v>
      </c>
      <c r="K374" s="6">
        <v>33.925155639648402</v>
      </c>
      <c r="L374" s="6">
        <v>30.693555831909201</v>
      </c>
    </row>
    <row r="375" spans="1:12" x14ac:dyDescent="0.25">
      <c r="A375">
        <v>2510501</v>
      </c>
      <c r="B375" t="str">
        <f t="shared" si="5"/>
        <v>OLIVEDOS, PB, Brasil</v>
      </c>
      <c r="C375" s="4" t="str">
        <f>_xlfn.XLOOKUP(A375,[1]!DadosGHD[CD_GEOCMU],[1]!DadosGHD[Região])</f>
        <v>NE</v>
      </c>
      <c r="D375" s="4" t="str">
        <f>_xlfn.XLOOKUP(A375,[1]!DadosGHD[CD_GEOCMU],[1]!DadosGHD[uf])</f>
        <v>PB</v>
      </c>
      <c r="E375" s="5" t="str">
        <f>_xlfn.XLOOKUP(A375,[1]!DadosGHD[CD_GEOCMU],[1]!DadosGHD[MUNICIPIO])</f>
        <v>OLIVEDOS</v>
      </c>
      <c r="F375" s="6">
        <v>28.832534790039102</v>
      </c>
      <c r="G375" s="6">
        <v>28.916225433349599</v>
      </c>
      <c r="H375" s="6">
        <v>28.947467803955099</v>
      </c>
      <c r="I375" s="6">
        <v>28.926742553710898</v>
      </c>
      <c r="J375" s="6">
        <v>28.9561977386475</v>
      </c>
      <c r="K375" s="6">
        <v>33.858242034912102</v>
      </c>
      <c r="L375" s="6">
        <v>39.575965881347699</v>
      </c>
    </row>
    <row r="376" spans="1:12" x14ac:dyDescent="0.25">
      <c r="A376">
        <v>5108352</v>
      </c>
      <c r="B376" t="str">
        <f t="shared" si="5"/>
        <v>VALE DE SAO DOMINGOS, MT, Brasil</v>
      </c>
      <c r="C376" s="4" t="str">
        <f>_xlfn.XLOOKUP(A376,[1]!DadosGHD[CD_GEOCMU],[1]!DadosGHD[Região])</f>
        <v>CO</v>
      </c>
      <c r="D376" s="4" t="str">
        <f>_xlfn.XLOOKUP(A376,[1]!DadosGHD[CD_GEOCMU],[1]!DadosGHD[uf])</f>
        <v>MT</v>
      </c>
      <c r="E376" s="5" t="str">
        <f>_xlfn.XLOOKUP(A376,[1]!DadosGHD[CD_GEOCMU],[1]!DadosGHD[MUNICIPIO])</f>
        <v>VALE DE SAO DOMINGOS</v>
      </c>
      <c r="F376" s="6">
        <v>28.832805633544901</v>
      </c>
      <c r="G376" s="6">
        <v>38.736030578613303</v>
      </c>
      <c r="H376" s="6">
        <v>38.768268585205099</v>
      </c>
      <c r="I376" s="6">
        <v>38.7485160827637</v>
      </c>
      <c r="J376" s="6">
        <v>38.8082084655762</v>
      </c>
      <c r="K376" s="6">
        <v>38.810920715332003</v>
      </c>
      <c r="L376" s="6">
        <v>30.698408126831101</v>
      </c>
    </row>
    <row r="377" spans="1:12" x14ac:dyDescent="0.25">
      <c r="A377">
        <v>2103174</v>
      </c>
      <c r="B377" t="str">
        <f t="shared" si="5"/>
        <v>CENTRO NOVO DO MARANHAO, MA, Brasil</v>
      </c>
      <c r="C377" s="4" t="str">
        <f>_xlfn.XLOOKUP(A377,[1]!DadosGHD[CD_GEOCMU],[1]!DadosGHD[Região])</f>
        <v>NE</v>
      </c>
      <c r="D377" s="4" t="str">
        <f>_xlfn.XLOOKUP(A377,[1]!DadosGHD[CD_GEOCMU],[1]!DadosGHD[uf])</f>
        <v>MA</v>
      </c>
      <c r="E377" s="5" t="str">
        <f>_xlfn.XLOOKUP(A377,[1]!DadosGHD[CD_GEOCMU],[1]!DadosGHD[MUNICIPIO])</f>
        <v>CENTRO NOVO DO MARANHAO</v>
      </c>
      <c r="F377" s="6">
        <v>28.833206176757798</v>
      </c>
      <c r="G377" s="6">
        <v>28.907878875732401</v>
      </c>
      <c r="H377" s="6">
        <v>28.942651748657202</v>
      </c>
      <c r="I377" s="6">
        <v>28.925045013427699</v>
      </c>
      <c r="J377" s="6">
        <v>28.9409065246582</v>
      </c>
      <c r="K377" s="6">
        <v>28.9686679840088</v>
      </c>
      <c r="L377" s="6">
        <v>26.293270111083999</v>
      </c>
    </row>
    <row r="378" spans="1:12" x14ac:dyDescent="0.25">
      <c r="A378">
        <v>2920700</v>
      </c>
      <c r="B378" t="str">
        <f t="shared" si="5"/>
        <v>MARAU, BA, Brasil</v>
      </c>
      <c r="C378" s="4" t="str">
        <f>_xlfn.XLOOKUP(A378,[1]!DadosGHD[CD_GEOCMU],[1]!DadosGHD[Região])</f>
        <v>NE</v>
      </c>
      <c r="D378" s="4" t="str">
        <f>_xlfn.XLOOKUP(A378,[1]!DadosGHD[CD_GEOCMU],[1]!DadosGHD[uf])</f>
        <v>BA</v>
      </c>
      <c r="E378" s="5" t="str">
        <f>_xlfn.XLOOKUP(A378,[1]!DadosGHD[CD_GEOCMU],[1]!DadosGHD[MUNICIPIO])</f>
        <v>MARAU</v>
      </c>
      <c r="F378" s="6">
        <v>28.833311080932599</v>
      </c>
      <c r="G378" s="6">
        <v>28.907878875732401</v>
      </c>
      <c r="H378" s="6">
        <v>28.944120407104499</v>
      </c>
      <c r="I378" s="6">
        <v>28.936544418335</v>
      </c>
      <c r="J378" s="6">
        <v>28.9554328918457</v>
      </c>
      <c r="K378" s="6">
        <v>28.984521865844702</v>
      </c>
      <c r="L378" s="6">
        <v>26.2967720031738</v>
      </c>
    </row>
    <row r="379" spans="1:12" x14ac:dyDescent="0.25">
      <c r="A379">
        <v>4311270</v>
      </c>
      <c r="B379" t="str">
        <f t="shared" si="5"/>
        <v>LAGOA DOS TRES CANTOS, RS, Brasil</v>
      </c>
      <c r="C379" s="4" t="str">
        <f>_xlfn.XLOOKUP(A379,[1]!DadosGHD[CD_GEOCMU],[1]!DadosGHD[Região])</f>
        <v>SL</v>
      </c>
      <c r="D379" s="4" t="str">
        <f>_xlfn.XLOOKUP(A379,[1]!DadosGHD[CD_GEOCMU],[1]!DadosGHD[uf])</f>
        <v>RS</v>
      </c>
      <c r="E379" s="5" t="str">
        <f>_xlfn.XLOOKUP(A379,[1]!DadosGHD[CD_GEOCMU],[1]!DadosGHD[MUNICIPIO])</f>
        <v>LAGOA DOS TRES CANTOS</v>
      </c>
      <c r="F379" s="6">
        <v>28.833415985107401</v>
      </c>
      <c r="G379" s="6">
        <v>38.759201049804702</v>
      </c>
      <c r="H379" s="6">
        <v>38.787033081054702</v>
      </c>
      <c r="I379" s="6">
        <v>43.787555694580099</v>
      </c>
      <c r="J379" s="6">
        <v>48.730461120605497</v>
      </c>
      <c r="K379" s="6">
        <v>43.884342193603501</v>
      </c>
      <c r="L379" s="6">
        <v>48.5105171203613</v>
      </c>
    </row>
    <row r="380" spans="1:12" x14ac:dyDescent="0.25">
      <c r="A380">
        <v>5107768</v>
      </c>
      <c r="B380" t="str">
        <f t="shared" si="5"/>
        <v>SANTA RITA DO TRIVELATO, MT, Brasil</v>
      </c>
      <c r="C380" s="4" t="str">
        <f>_xlfn.XLOOKUP(A380,[1]!DadosGHD[CD_GEOCMU],[1]!DadosGHD[Região])</f>
        <v>CO</v>
      </c>
      <c r="D380" s="4" t="str">
        <f>_xlfn.XLOOKUP(A380,[1]!DadosGHD[CD_GEOCMU],[1]!DadosGHD[uf])</f>
        <v>MT</v>
      </c>
      <c r="E380" s="5" t="str">
        <f>_xlfn.XLOOKUP(A380,[1]!DadosGHD[CD_GEOCMU],[1]!DadosGHD[MUNICIPIO])</f>
        <v>SANTA RITA DO TRIVELATO</v>
      </c>
      <c r="F380" s="6">
        <v>28.833461761474599</v>
      </c>
      <c r="G380" s="6">
        <v>38.725959777832003</v>
      </c>
      <c r="H380" s="6">
        <v>43.7312202453613</v>
      </c>
      <c r="I380" s="6">
        <v>48.803585052490199</v>
      </c>
      <c r="J380" s="6">
        <v>48.78076171875</v>
      </c>
      <c r="K380" s="6">
        <v>48.789024353027301</v>
      </c>
      <c r="L380" s="6">
        <v>44.036533355712898</v>
      </c>
    </row>
    <row r="381" spans="1:12" x14ac:dyDescent="0.25">
      <c r="A381">
        <v>2303006</v>
      </c>
      <c r="B381" t="str">
        <f t="shared" si="5"/>
        <v>CARIDADE, CE, Brasil</v>
      </c>
      <c r="C381" s="4" t="str">
        <f>_xlfn.XLOOKUP(A381,[1]!DadosGHD[CD_GEOCMU],[1]!DadosGHD[Região])</f>
        <v>NE</v>
      </c>
      <c r="D381" s="4" t="str">
        <f>_xlfn.XLOOKUP(A381,[1]!DadosGHD[CD_GEOCMU],[1]!DadosGHD[uf])</f>
        <v>CE</v>
      </c>
      <c r="E381" s="5" t="str">
        <f>_xlfn.XLOOKUP(A381,[1]!DadosGHD[CD_GEOCMU],[1]!DadosGHD[MUNICIPIO])</f>
        <v>CARIDADE</v>
      </c>
      <c r="F381" s="6">
        <v>28.833646774291999</v>
      </c>
      <c r="G381" s="6">
        <v>28.907878875732401</v>
      </c>
      <c r="H381" s="6">
        <v>28.942651748657202</v>
      </c>
      <c r="I381" s="6">
        <v>28.925045013427699</v>
      </c>
      <c r="J381" s="6">
        <v>28.9409065246582</v>
      </c>
      <c r="K381" s="6">
        <v>28.9686679840088</v>
      </c>
      <c r="L381" s="6">
        <v>26.2798957824707</v>
      </c>
    </row>
    <row r="382" spans="1:12" x14ac:dyDescent="0.25">
      <c r="A382">
        <v>5101852</v>
      </c>
      <c r="B382" t="str">
        <f t="shared" si="5"/>
        <v>BOM JESUS DO ARAGUAIA, MT, Brasil</v>
      </c>
      <c r="C382" s="4" t="str">
        <f>_xlfn.XLOOKUP(A382,[1]!DadosGHD[CD_GEOCMU],[1]!DadosGHD[Região])</f>
        <v>CO</v>
      </c>
      <c r="D382" s="4" t="str">
        <f>_xlfn.XLOOKUP(A382,[1]!DadosGHD[CD_GEOCMU],[1]!DadosGHD[uf])</f>
        <v>MT</v>
      </c>
      <c r="E382" s="5" t="str">
        <f>_xlfn.XLOOKUP(A382,[1]!DadosGHD[CD_GEOCMU],[1]!DadosGHD[MUNICIPIO])</f>
        <v>BOM JESUS DO ARAGUAIA</v>
      </c>
      <c r="F382" s="6">
        <v>28.8338527679443</v>
      </c>
      <c r="G382" s="6">
        <v>33.814281463623097</v>
      </c>
      <c r="H382" s="6">
        <v>33.84033203125</v>
      </c>
      <c r="I382" s="6">
        <v>33.805244445800803</v>
      </c>
      <c r="J382" s="6">
        <v>33.812782287597699</v>
      </c>
      <c r="K382" s="6">
        <v>29.0020446777344</v>
      </c>
      <c r="L382" s="6">
        <v>26.284410476684599</v>
      </c>
    </row>
    <row r="383" spans="1:12" x14ac:dyDescent="0.25">
      <c r="A383">
        <v>1502806</v>
      </c>
      <c r="B383" t="str">
        <f t="shared" si="5"/>
        <v>CURRALINHO, PA, Brasil</v>
      </c>
      <c r="C383" s="4" t="str">
        <f>_xlfn.XLOOKUP(A383,[1]!DadosGHD[CD_GEOCMU],[1]!DadosGHD[Região])</f>
        <v>NO</v>
      </c>
      <c r="D383" s="4" t="str">
        <f>_xlfn.XLOOKUP(A383,[1]!DadosGHD[CD_GEOCMU],[1]!DadosGHD[uf])</f>
        <v>PA</v>
      </c>
      <c r="E383" s="5" t="str">
        <f>_xlfn.XLOOKUP(A383,[1]!DadosGHD[CD_GEOCMU],[1]!DadosGHD[MUNICIPIO])</f>
        <v>CURRALINHO</v>
      </c>
      <c r="F383" s="6">
        <v>28.833959579467798</v>
      </c>
      <c r="G383" s="6">
        <v>28.907878875732401</v>
      </c>
      <c r="H383" s="6">
        <v>28.944639205932599</v>
      </c>
      <c r="I383" s="6">
        <v>28.927177429199201</v>
      </c>
      <c r="J383" s="6">
        <v>28.941106796264702</v>
      </c>
      <c r="K383" s="6">
        <v>28.985187530517599</v>
      </c>
      <c r="L383" s="6">
        <v>26.2835083007813</v>
      </c>
    </row>
    <row r="384" spans="1:12" x14ac:dyDescent="0.25">
      <c r="A384">
        <v>4304697</v>
      </c>
      <c r="B384" t="str">
        <f t="shared" si="5"/>
        <v>CAPITAO, RS, Brasil</v>
      </c>
      <c r="C384" s="4" t="str">
        <f>_xlfn.XLOOKUP(A384,[1]!DadosGHD[CD_GEOCMU],[1]!DadosGHD[Região])</f>
        <v>SL</v>
      </c>
      <c r="D384" s="4" t="str">
        <f>_xlfn.XLOOKUP(A384,[1]!DadosGHD[CD_GEOCMU],[1]!DadosGHD[uf])</f>
        <v>RS</v>
      </c>
      <c r="E384" s="5" t="str">
        <f>_xlfn.XLOOKUP(A384,[1]!DadosGHD[CD_GEOCMU],[1]!DadosGHD[MUNICIPIO])</f>
        <v>CAPITAO</v>
      </c>
      <c r="F384" s="6">
        <v>28.834794998168899</v>
      </c>
      <c r="G384" s="6">
        <v>38.766334533691399</v>
      </c>
      <c r="H384" s="6">
        <v>48.776607513427699</v>
      </c>
      <c r="I384" s="6">
        <v>53.767536163330099</v>
      </c>
      <c r="J384" s="6">
        <v>53.809116363525398</v>
      </c>
      <c r="K384" s="6">
        <v>53.860622406005902</v>
      </c>
      <c r="L384" s="6">
        <v>53.063755035400398</v>
      </c>
    </row>
    <row r="385" spans="1:12" x14ac:dyDescent="0.25">
      <c r="A385">
        <v>4112603</v>
      </c>
      <c r="B385" t="str">
        <f t="shared" si="5"/>
        <v>JARDIM OLINDA, PR, Brasil</v>
      </c>
      <c r="C385" s="4" t="str">
        <f>_xlfn.XLOOKUP(A385,[1]!DadosGHD[CD_GEOCMU],[1]!DadosGHD[Região])</f>
        <v>SL</v>
      </c>
      <c r="D385" s="4" t="str">
        <f>_xlfn.XLOOKUP(A385,[1]!DadosGHD[CD_GEOCMU],[1]!DadosGHD[uf])</f>
        <v>PR</v>
      </c>
      <c r="E385" s="5" t="str">
        <f>_xlfn.XLOOKUP(A385,[1]!DadosGHD[CD_GEOCMU],[1]!DadosGHD[MUNICIPIO])</f>
        <v>JARDIM OLINDA</v>
      </c>
      <c r="F385" s="6">
        <v>28.834842681884801</v>
      </c>
      <c r="G385" s="6">
        <v>28.921449661254901</v>
      </c>
      <c r="H385" s="6">
        <v>28.9530544281006</v>
      </c>
      <c r="I385" s="6">
        <v>28.931791305541999</v>
      </c>
      <c r="J385" s="6">
        <v>28.944990158081101</v>
      </c>
      <c r="K385" s="6">
        <v>28.970413208007798</v>
      </c>
      <c r="L385" s="6">
        <v>30.688295364379901</v>
      </c>
    </row>
    <row r="386" spans="1:12" x14ac:dyDescent="0.25">
      <c r="A386">
        <v>2100956</v>
      </c>
      <c r="B386" t="str">
        <f t="shared" si="5"/>
        <v>ARAME, MA, Brasil</v>
      </c>
      <c r="C386" s="4" t="str">
        <f>_xlfn.XLOOKUP(A386,[1]!DadosGHD[CD_GEOCMU],[1]!DadosGHD[Região])</f>
        <v>NE</v>
      </c>
      <c r="D386" s="4" t="str">
        <f>_xlfn.XLOOKUP(A386,[1]!DadosGHD[CD_GEOCMU],[1]!DadosGHD[uf])</f>
        <v>MA</v>
      </c>
      <c r="E386" s="5" t="str">
        <f>_xlfn.XLOOKUP(A386,[1]!DadosGHD[CD_GEOCMU],[1]!DadosGHD[MUNICIPIO])</f>
        <v>ARAME</v>
      </c>
      <c r="F386" s="6">
        <v>28.8350620269775</v>
      </c>
      <c r="G386" s="6">
        <v>28.907878875732401</v>
      </c>
      <c r="H386" s="6">
        <v>28.942651748657202</v>
      </c>
      <c r="I386" s="6">
        <v>28.925045013427699</v>
      </c>
      <c r="J386" s="6">
        <v>28.9409065246582</v>
      </c>
      <c r="K386" s="6">
        <v>28.9686679840088</v>
      </c>
      <c r="L386" s="6">
        <v>26.298768997192401</v>
      </c>
    </row>
    <row r="387" spans="1:12" x14ac:dyDescent="0.25">
      <c r="A387">
        <v>1300144</v>
      </c>
      <c r="B387" t="str">
        <f t="shared" si="5"/>
        <v>APUI, AM, Brasil</v>
      </c>
      <c r="C387" s="4" t="str">
        <f>_xlfn.XLOOKUP(A387,[1]!DadosGHD[CD_GEOCMU],[1]!DadosGHD[Região])</f>
        <v>NO</v>
      </c>
      <c r="D387" s="4" t="str">
        <f>_xlfn.XLOOKUP(A387,[1]!DadosGHD[CD_GEOCMU],[1]!DadosGHD[uf])</f>
        <v>AM</v>
      </c>
      <c r="E387" s="5" t="str">
        <f>_xlfn.XLOOKUP(A387,[1]!DadosGHD[CD_GEOCMU],[1]!DadosGHD[MUNICIPIO])</f>
        <v>APUI</v>
      </c>
      <c r="F387" s="6">
        <v>28.835741043090799</v>
      </c>
      <c r="G387" s="6">
        <v>28.921514511108398</v>
      </c>
      <c r="H387" s="6">
        <v>28.954792022705099</v>
      </c>
      <c r="I387" s="6">
        <v>28.9350910186768</v>
      </c>
      <c r="J387" s="6">
        <v>28.948957443237301</v>
      </c>
      <c r="K387" s="6">
        <v>28.975563049316399</v>
      </c>
      <c r="L387" s="6">
        <v>26.2798957824707</v>
      </c>
    </row>
    <row r="388" spans="1:12" x14ac:dyDescent="0.25">
      <c r="A388">
        <v>1506005</v>
      </c>
      <c r="B388" t="str">
        <f t="shared" ref="B388:B451" si="6">_xlfn.CONCAT(E388, ", ", D388, ", Brasil")</f>
        <v>PRAINHA, PA, Brasil</v>
      </c>
      <c r="C388" s="4" t="str">
        <f>_xlfn.XLOOKUP(A388,[1]!DadosGHD[CD_GEOCMU],[1]!DadosGHD[Região])</f>
        <v>NO</v>
      </c>
      <c r="D388" s="4" t="str">
        <f>_xlfn.XLOOKUP(A388,[1]!DadosGHD[CD_GEOCMU],[1]!DadosGHD[uf])</f>
        <v>PA</v>
      </c>
      <c r="E388" s="5" t="str">
        <f>_xlfn.XLOOKUP(A388,[1]!DadosGHD[CD_GEOCMU],[1]!DadosGHD[MUNICIPIO])</f>
        <v>PRAINHA</v>
      </c>
      <c r="F388" s="6">
        <v>28.8359069824219</v>
      </c>
      <c r="G388" s="6">
        <v>28.907878875732401</v>
      </c>
      <c r="H388" s="6">
        <v>28.942651748657202</v>
      </c>
      <c r="I388" s="6">
        <v>28.925045013427699</v>
      </c>
      <c r="J388" s="6">
        <v>28.9409065246582</v>
      </c>
      <c r="K388" s="6">
        <v>28.9686679840088</v>
      </c>
      <c r="L388" s="6">
        <v>26.2798957824707</v>
      </c>
    </row>
    <row r="389" spans="1:12" x14ac:dyDescent="0.25">
      <c r="A389">
        <v>5107156</v>
      </c>
      <c r="B389" t="str">
        <f t="shared" si="6"/>
        <v>RESERVA DO CABACAL, MT, Brasil</v>
      </c>
      <c r="C389" s="4" t="str">
        <f>_xlfn.XLOOKUP(A389,[1]!DadosGHD[CD_GEOCMU],[1]!DadosGHD[Região])</f>
        <v>CO</v>
      </c>
      <c r="D389" s="4" t="str">
        <f>_xlfn.XLOOKUP(A389,[1]!DadosGHD[CD_GEOCMU],[1]!DadosGHD[uf])</f>
        <v>MT</v>
      </c>
      <c r="E389" s="5" t="str">
        <f>_xlfn.XLOOKUP(A389,[1]!DadosGHD[CD_GEOCMU],[1]!DadosGHD[MUNICIPIO])</f>
        <v>RESERVA DO CABACAL</v>
      </c>
      <c r="F389" s="6">
        <v>28.836093902587901</v>
      </c>
      <c r="G389" s="6">
        <v>38.760242462158203</v>
      </c>
      <c r="H389" s="6">
        <v>38.801925659179702</v>
      </c>
      <c r="I389" s="6">
        <v>38.775932312011697</v>
      </c>
      <c r="J389" s="6">
        <v>38.792411804199197</v>
      </c>
      <c r="K389" s="6">
        <v>38.821910858154297</v>
      </c>
      <c r="L389" s="6">
        <v>35.139945983886697</v>
      </c>
    </row>
    <row r="390" spans="1:12" x14ac:dyDescent="0.25">
      <c r="A390">
        <v>1300102</v>
      </c>
      <c r="B390" t="str">
        <f t="shared" si="6"/>
        <v>ANORI, AM, Brasil</v>
      </c>
      <c r="C390" s="4" t="str">
        <f>_xlfn.XLOOKUP(A390,[1]!DadosGHD[CD_GEOCMU],[1]!DadosGHD[Região])</f>
        <v>NO</v>
      </c>
      <c r="D390" s="4" t="str">
        <f>_xlfn.XLOOKUP(A390,[1]!DadosGHD[CD_GEOCMU],[1]!DadosGHD[uf])</f>
        <v>AM</v>
      </c>
      <c r="E390" s="5" t="str">
        <f>_xlfn.XLOOKUP(A390,[1]!DadosGHD[CD_GEOCMU],[1]!DadosGHD[MUNICIPIO])</f>
        <v>ANORI</v>
      </c>
      <c r="F390" s="6">
        <v>28.8365173339844</v>
      </c>
      <c r="G390" s="6">
        <v>28.907878875732401</v>
      </c>
      <c r="H390" s="6">
        <v>28.942651748657202</v>
      </c>
      <c r="I390" s="6">
        <v>28.925045013427699</v>
      </c>
      <c r="J390" s="6">
        <v>28.9409065246582</v>
      </c>
      <c r="K390" s="6">
        <v>28.9686679840088</v>
      </c>
      <c r="L390" s="6">
        <v>26.2798957824707</v>
      </c>
    </row>
    <row r="391" spans="1:12" x14ac:dyDescent="0.25">
      <c r="A391">
        <v>1303007</v>
      </c>
      <c r="B391" t="str">
        <f t="shared" si="6"/>
        <v>NHAMUNDA, AM, Brasil</v>
      </c>
      <c r="C391" s="4" t="str">
        <f>_xlfn.XLOOKUP(A391,[1]!DadosGHD[CD_GEOCMU],[1]!DadosGHD[Região])</f>
        <v>NO</v>
      </c>
      <c r="D391" s="4" t="str">
        <f>_xlfn.XLOOKUP(A391,[1]!DadosGHD[CD_GEOCMU],[1]!DadosGHD[uf])</f>
        <v>AM</v>
      </c>
      <c r="E391" s="5" t="str">
        <f>_xlfn.XLOOKUP(A391,[1]!DadosGHD[CD_GEOCMU],[1]!DadosGHD[MUNICIPIO])</f>
        <v>NHAMUNDA</v>
      </c>
      <c r="F391" s="6">
        <v>28.836605072021499</v>
      </c>
      <c r="G391" s="6">
        <v>28.907878875732401</v>
      </c>
      <c r="H391" s="6">
        <v>28.942651748657202</v>
      </c>
      <c r="I391" s="6">
        <v>28.925045013427699</v>
      </c>
      <c r="J391" s="6">
        <v>28.9409065246582</v>
      </c>
      <c r="K391" s="6">
        <v>28.970323562622099</v>
      </c>
      <c r="L391" s="6">
        <v>26.284278869628899</v>
      </c>
    </row>
    <row r="392" spans="1:12" x14ac:dyDescent="0.25">
      <c r="A392">
        <v>2517100</v>
      </c>
      <c r="B392" t="str">
        <f t="shared" si="6"/>
        <v>VARZEA, PB, Brasil</v>
      </c>
      <c r="C392" s="4" t="str">
        <f>_xlfn.XLOOKUP(A392,[1]!DadosGHD[CD_GEOCMU],[1]!DadosGHD[Região])</f>
        <v>NE</v>
      </c>
      <c r="D392" s="4" t="str">
        <f>_xlfn.XLOOKUP(A392,[1]!DadosGHD[CD_GEOCMU],[1]!DadosGHD[uf])</f>
        <v>PB</v>
      </c>
      <c r="E392" s="5" t="str">
        <f>_xlfn.XLOOKUP(A392,[1]!DadosGHD[CD_GEOCMU],[1]!DadosGHD[MUNICIPIO])</f>
        <v>VARZEA</v>
      </c>
      <c r="F392" s="6">
        <v>28.836666107177699</v>
      </c>
      <c r="G392" s="6">
        <v>28.922838211059599</v>
      </c>
      <c r="H392" s="6">
        <v>28.9578647613525</v>
      </c>
      <c r="I392" s="6">
        <v>28.9598274230957</v>
      </c>
      <c r="J392" s="6">
        <v>43.788299560546903</v>
      </c>
      <c r="K392" s="6">
        <v>38.831504821777301</v>
      </c>
      <c r="L392" s="6">
        <v>48.497753143310597</v>
      </c>
    </row>
    <row r="393" spans="1:12" x14ac:dyDescent="0.25">
      <c r="A393">
        <v>1505650</v>
      </c>
      <c r="B393" t="str">
        <f t="shared" si="6"/>
        <v>PLACAS, PA, Brasil</v>
      </c>
      <c r="C393" s="4" t="str">
        <f>_xlfn.XLOOKUP(A393,[1]!DadosGHD[CD_GEOCMU],[1]!DadosGHD[Região])</f>
        <v>NO</v>
      </c>
      <c r="D393" s="4" t="str">
        <f>_xlfn.XLOOKUP(A393,[1]!DadosGHD[CD_GEOCMU],[1]!DadosGHD[uf])</f>
        <v>PA</v>
      </c>
      <c r="E393" s="5" t="str">
        <f>_xlfn.XLOOKUP(A393,[1]!DadosGHD[CD_GEOCMU],[1]!DadosGHD[MUNICIPIO])</f>
        <v>PLACAS</v>
      </c>
      <c r="F393" s="6">
        <v>28.836961746215799</v>
      </c>
      <c r="G393" s="6">
        <v>28.907878875732401</v>
      </c>
      <c r="H393" s="6">
        <v>28.942651748657202</v>
      </c>
      <c r="I393" s="6">
        <v>28.925045013427699</v>
      </c>
      <c r="J393" s="6">
        <v>28.9409065246582</v>
      </c>
      <c r="K393" s="6">
        <v>28.9686679840088</v>
      </c>
      <c r="L393" s="6">
        <v>26.2964763641357</v>
      </c>
    </row>
    <row r="394" spans="1:12" x14ac:dyDescent="0.25">
      <c r="A394">
        <v>2601052</v>
      </c>
      <c r="B394" t="str">
        <f t="shared" si="6"/>
        <v>ARACOIABA, PE, Brasil</v>
      </c>
      <c r="C394" s="4" t="str">
        <f>_xlfn.XLOOKUP(A394,[1]!DadosGHD[CD_GEOCMU],[1]!DadosGHD[Região])</f>
        <v>NE</v>
      </c>
      <c r="D394" s="4" t="str">
        <f>_xlfn.XLOOKUP(A394,[1]!DadosGHD[CD_GEOCMU],[1]!DadosGHD[uf])</f>
        <v>PE</v>
      </c>
      <c r="E394" s="5" t="str">
        <f>_xlfn.XLOOKUP(A394,[1]!DadosGHD[CD_GEOCMU],[1]!DadosGHD[MUNICIPIO])</f>
        <v>ARACOIABA</v>
      </c>
      <c r="F394" s="6">
        <v>28.837171554565401</v>
      </c>
      <c r="G394" s="6">
        <v>28.907878875732401</v>
      </c>
      <c r="H394" s="6">
        <v>28.942651748657202</v>
      </c>
      <c r="I394" s="6">
        <v>28.925045013427699</v>
      </c>
      <c r="J394" s="6">
        <v>28.9409065246582</v>
      </c>
      <c r="K394" s="6">
        <v>28.9686679840088</v>
      </c>
      <c r="L394" s="6">
        <v>26.2798957824707</v>
      </c>
    </row>
    <row r="395" spans="1:12" x14ac:dyDescent="0.25">
      <c r="A395">
        <v>3170602</v>
      </c>
      <c r="B395" t="str">
        <f t="shared" si="6"/>
        <v>VARGEM BONITA, MG, Brasil</v>
      </c>
      <c r="C395" s="4" t="str">
        <f>_xlfn.XLOOKUP(A395,[1]!DadosGHD[CD_GEOCMU],[1]!DadosGHD[Região])</f>
        <v>SD</v>
      </c>
      <c r="D395" s="4" t="str">
        <f>_xlfn.XLOOKUP(A395,[1]!DadosGHD[CD_GEOCMU],[1]!DadosGHD[uf])</f>
        <v>MG</v>
      </c>
      <c r="E395" s="5" t="str">
        <f>_xlfn.XLOOKUP(A395,[1]!DadosGHD[CD_GEOCMU],[1]!DadosGHD[MUNICIPIO])</f>
        <v>VARGEM BONITA</v>
      </c>
      <c r="F395" s="6">
        <v>28.837347030639702</v>
      </c>
      <c r="G395" s="6">
        <v>43.678676605224602</v>
      </c>
      <c r="H395" s="6">
        <v>43.7885932922363</v>
      </c>
      <c r="I395" s="6">
        <v>43.707393646240199</v>
      </c>
      <c r="J395" s="6">
        <v>43.741703033447301</v>
      </c>
      <c r="K395" s="6">
        <v>43.817893981933601</v>
      </c>
      <c r="L395" s="6">
        <v>48.530189514160199</v>
      </c>
    </row>
    <row r="396" spans="1:12" x14ac:dyDescent="0.25">
      <c r="A396">
        <v>2107605</v>
      </c>
      <c r="B396" t="str">
        <f t="shared" si="6"/>
        <v>PALMEIRANDIA, MA, Brasil</v>
      </c>
      <c r="C396" s="4" t="str">
        <f>_xlfn.XLOOKUP(A396,[1]!DadosGHD[CD_GEOCMU],[1]!DadosGHD[Região])</f>
        <v>NE</v>
      </c>
      <c r="D396" s="4" t="str">
        <f>_xlfn.XLOOKUP(A396,[1]!DadosGHD[CD_GEOCMU],[1]!DadosGHD[uf])</f>
        <v>MA</v>
      </c>
      <c r="E396" s="5" t="str">
        <f>_xlfn.XLOOKUP(A396,[1]!DadosGHD[CD_GEOCMU],[1]!DadosGHD[MUNICIPIO])</f>
        <v>PALMEIRANDIA</v>
      </c>
      <c r="F396" s="6">
        <v>28.8374328613281</v>
      </c>
      <c r="G396" s="6">
        <v>28.907878875732401</v>
      </c>
      <c r="H396" s="6">
        <v>28.942651748657202</v>
      </c>
      <c r="I396" s="6">
        <v>28.925045013427699</v>
      </c>
      <c r="J396" s="6">
        <v>28.9447326660156</v>
      </c>
      <c r="K396" s="6">
        <v>28.9686679840088</v>
      </c>
      <c r="L396" s="6">
        <v>26.2798957824707</v>
      </c>
    </row>
    <row r="397" spans="1:12" x14ac:dyDescent="0.25">
      <c r="A397">
        <v>2310308</v>
      </c>
      <c r="B397" t="str">
        <f t="shared" si="6"/>
        <v>PARAMBU, CE, Brasil</v>
      </c>
      <c r="C397" s="4" t="str">
        <f>_xlfn.XLOOKUP(A397,[1]!DadosGHD[CD_GEOCMU],[1]!DadosGHD[Região])</f>
        <v>NE</v>
      </c>
      <c r="D397" s="4" t="str">
        <f>_xlfn.XLOOKUP(A397,[1]!DadosGHD[CD_GEOCMU],[1]!DadosGHD[uf])</f>
        <v>CE</v>
      </c>
      <c r="E397" s="5" t="str">
        <f>_xlfn.XLOOKUP(A397,[1]!DadosGHD[CD_GEOCMU],[1]!DadosGHD[MUNICIPIO])</f>
        <v>PARAMBU</v>
      </c>
      <c r="F397" s="6">
        <v>28.837467193603501</v>
      </c>
      <c r="G397" s="6">
        <v>28.912969589233398</v>
      </c>
      <c r="H397" s="6">
        <v>28.951257705688501</v>
      </c>
      <c r="I397" s="6">
        <v>28.941038131713899</v>
      </c>
      <c r="J397" s="6">
        <v>28.955717086791999</v>
      </c>
      <c r="K397" s="6">
        <v>28.9939994812012</v>
      </c>
      <c r="L397" s="6">
        <v>26.299221038818398</v>
      </c>
    </row>
    <row r="398" spans="1:12" x14ac:dyDescent="0.25">
      <c r="A398">
        <v>1300607</v>
      </c>
      <c r="B398" t="str">
        <f t="shared" si="6"/>
        <v>BENJAMIN CONSTANT, AM, Brasil</v>
      </c>
      <c r="C398" s="4" t="str">
        <f>_xlfn.XLOOKUP(A398,[1]!DadosGHD[CD_GEOCMU],[1]!DadosGHD[Região])</f>
        <v>NO</v>
      </c>
      <c r="D398" s="4" t="str">
        <f>_xlfn.XLOOKUP(A398,[1]!DadosGHD[CD_GEOCMU],[1]!DadosGHD[uf])</f>
        <v>AM</v>
      </c>
      <c r="E398" s="5" t="str">
        <f>_xlfn.XLOOKUP(A398,[1]!DadosGHD[CD_GEOCMU],[1]!DadosGHD[MUNICIPIO])</f>
        <v>BENJAMIN CONSTANT</v>
      </c>
      <c r="F398" s="6">
        <v>28.8383388519287</v>
      </c>
      <c r="G398" s="6">
        <v>28.9116096496582</v>
      </c>
      <c r="H398" s="6">
        <v>28.9446697235107</v>
      </c>
      <c r="I398" s="6">
        <v>28.925045013427699</v>
      </c>
      <c r="J398" s="6">
        <v>28.9409065246582</v>
      </c>
      <c r="K398" s="6">
        <v>28.9686679840088</v>
      </c>
      <c r="L398" s="6">
        <v>48.510848999023402</v>
      </c>
    </row>
    <row r="399" spans="1:12" x14ac:dyDescent="0.25">
      <c r="A399">
        <v>2932457</v>
      </c>
      <c r="B399" t="str">
        <f t="shared" si="6"/>
        <v>UMBURANAS, BA, Brasil</v>
      </c>
      <c r="C399" s="4" t="str">
        <f>_xlfn.XLOOKUP(A399,[1]!DadosGHD[CD_GEOCMU],[1]!DadosGHD[Região])</f>
        <v>NE</v>
      </c>
      <c r="D399" s="4" t="str">
        <f>_xlfn.XLOOKUP(A399,[1]!DadosGHD[CD_GEOCMU],[1]!DadosGHD[uf])</f>
        <v>BA</v>
      </c>
      <c r="E399" s="5" t="str">
        <f>_xlfn.XLOOKUP(A399,[1]!DadosGHD[CD_GEOCMU],[1]!DadosGHD[MUNICIPIO])</f>
        <v>UMBURANAS</v>
      </c>
      <c r="F399" s="6">
        <v>28.839056015014702</v>
      </c>
      <c r="G399" s="6">
        <v>28.907878875732401</v>
      </c>
      <c r="H399" s="6">
        <v>28.949754714965799</v>
      </c>
      <c r="I399" s="6">
        <v>28.928707122802699</v>
      </c>
      <c r="J399" s="6">
        <v>28.950563430786101</v>
      </c>
      <c r="K399" s="6">
        <v>28.9686679840088</v>
      </c>
      <c r="L399" s="6">
        <v>26.284154891967798</v>
      </c>
    </row>
    <row r="400" spans="1:12" x14ac:dyDescent="0.25">
      <c r="A400">
        <v>1304237</v>
      </c>
      <c r="B400" t="str">
        <f t="shared" si="6"/>
        <v>TONANTINS, AM, Brasil</v>
      </c>
      <c r="C400" s="4" t="str">
        <f>_xlfn.XLOOKUP(A400,[1]!DadosGHD[CD_GEOCMU],[1]!DadosGHD[Região])</f>
        <v>NO</v>
      </c>
      <c r="D400" s="4" t="str">
        <f>_xlfn.XLOOKUP(A400,[1]!DadosGHD[CD_GEOCMU],[1]!DadosGHD[uf])</f>
        <v>AM</v>
      </c>
      <c r="E400" s="5" t="str">
        <f>_xlfn.XLOOKUP(A400,[1]!DadosGHD[CD_GEOCMU],[1]!DadosGHD[MUNICIPIO])</f>
        <v>TONANTINS</v>
      </c>
      <c r="F400" s="6">
        <v>28.8392429351807</v>
      </c>
      <c r="G400" s="6">
        <v>28.907878875732401</v>
      </c>
      <c r="H400" s="6">
        <v>28.942651748657202</v>
      </c>
      <c r="I400" s="6">
        <v>28.925045013427699</v>
      </c>
      <c r="J400" s="6">
        <v>28.9409065246582</v>
      </c>
      <c r="K400" s="6">
        <v>28.9686679840088</v>
      </c>
      <c r="L400" s="6">
        <v>26.2798957824707</v>
      </c>
    </row>
    <row r="401" spans="1:12" x14ac:dyDescent="0.25">
      <c r="A401">
        <v>1303502</v>
      </c>
      <c r="B401" t="str">
        <f t="shared" si="6"/>
        <v>PAUINI, AM, Brasil</v>
      </c>
      <c r="C401" s="4" t="str">
        <f>_xlfn.XLOOKUP(A401,[1]!DadosGHD[CD_GEOCMU],[1]!DadosGHD[Região])</f>
        <v>NO</v>
      </c>
      <c r="D401" s="4" t="str">
        <f>_xlfn.XLOOKUP(A401,[1]!DadosGHD[CD_GEOCMU],[1]!DadosGHD[uf])</f>
        <v>AM</v>
      </c>
      <c r="E401" s="5" t="str">
        <f>_xlfn.XLOOKUP(A401,[1]!DadosGHD[CD_GEOCMU],[1]!DadosGHD[MUNICIPIO])</f>
        <v>PAUINI</v>
      </c>
      <c r="F401" s="6">
        <v>28.839282989501999</v>
      </c>
      <c r="G401" s="6">
        <v>28.907878875732401</v>
      </c>
      <c r="H401" s="6">
        <v>28.942651748657202</v>
      </c>
      <c r="I401" s="6">
        <v>28.930858612060501</v>
      </c>
      <c r="J401" s="6">
        <v>28.9522380828857</v>
      </c>
      <c r="K401" s="6">
        <v>28.9686679840088</v>
      </c>
      <c r="L401" s="6">
        <v>35.1169242858887</v>
      </c>
    </row>
    <row r="402" spans="1:12" x14ac:dyDescent="0.25">
      <c r="A402">
        <v>1302801</v>
      </c>
      <c r="B402" t="str">
        <f t="shared" si="6"/>
        <v>MARAA, AM, Brasil</v>
      </c>
      <c r="C402" s="4" t="str">
        <f>_xlfn.XLOOKUP(A402,[1]!DadosGHD[CD_GEOCMU],[1]!DadosGHD[Região])</f>
        <v>NO</v>
      </c>
      <c r="D402" s="4" t="str">
        <f>_xlfn.XLOOKUP(A402,[1]!DadosGHD[CD_GEOCMU],[1]!DadosGHD[uf])</f>
        <v>AM</v>
      </c>
      <c r="E402" s="5" t="str">
        <f>_xlfn.XLOOKUP(A402,[1]!DadosGHD[CD_GEOCMU],[1]!DadosGHD[MUNICIPIO])</f>
        <v>MARAA</v>
      </c>
      <c r="F402" s="6">
        <v>28.839649200439499</v>
      </c>
      <c r="G402" s="6">
        <v>28.907878875732401</v>
      </c>
      <c r="H402" s="6">
        <v>28.942651748657202</v>
      </c>
      <c r="I402" s="6">
        <v>28.9429607391357</v>
      </c>
      <c r="J402" s="6">
        <v>28.957757949829102</v>
      </c>
      <c r="K402" s="6">
        <v>28.984846115112301</v>
      </c>
      <c r="L402" s="6">
        <v>26.2806701660156</v>
      </c>
    </row>
    <row r="403" spans="1:12" x14ac:dyDescent="0.25">
      <c r="A403">
        <v>1508308</v>
      </c>
      <c r="B403" t="str">
        <f t="shared" si="6"/>
        <v>VISEU, PA, Brasil</v>
      </c>
      <c r="C403" s="4" t="str">
        <f>_xlfn.XLOOKUP(A403,[1]!DadosGHD[CD_GEOCMU],[1]!DadosGHD[Região])</f>
        <v>NO</v>
      </c>
      <c r="D403" s="4" t="str">
        <f>_xlfn.XLOOKUP(A403,[1]!DadosGHD[CD_GEOCMU],[1]!DadosGHD[uf])</f>
        <v>PA</v>
      </c>
      <c r="E403" s="5" t="str">
        <f>_xlfn.XLOOKUP(A403,[1]!DadosGHD[CD_GEOCMU],[1]!DadosGHD[MUNICIPIO])</f>
        <v>VISEU</v>
      </c>
      <c r="F403" s="6">
        <v>28.839723587036101</v>
      </c>
      <c r="G403" s="6">
        <v>28.908948898315401</v>
      </c>
      <c r="H403" s="6">
        <v>28.942651748657202</v>
      </c>
      <c r="I403" s="6">
        <v>28.925045013427699</v>
      </c>
      <c r="J403" s="6">
        <v>28.940977096557599</v>
      </c>
      <c r="K403" s="6">
        <v>28.970918655395501</v>
      </c>
      <c r="L403" s="6">
        <v>26.2798957824707</v>
      </c>
    </row>
    <row r="404" spans="1:12" x14ac:dyDescent="0.25">
      <c r="A404">
        <v>1508035</v>
      </c>
      <c r="B404" t="str">
        <f t="shared" si="6"/>
        <v>TRACUATEUA, PA, Brasil</v>
      </c>
      <c r="C404" s="4" t="str">
        <f>_xlfn.XLOOKUP(A404,[1]!DadosGHD[CD_GEOCMU],[1]!DadosGHD[Região])</f>
        <v>NO</v>
      </c>
      <c r="D404" s="4" t="str">
        <f>_xlfn.XLOOKUP(A404,[1]!DadosGHD[CD_GEOCMU],[1]!DadosGHD[uf])</f>
        <v>PA</v>
      </c>
      <c r="E404" s="5" t="str">
        <f>_xlfn.XLOOKUP(A404,[1]!DadosGHD[CD_GEOCMU],[1]!DadosGHD[MUNICIPIO])</f>
        <v>TRACUATEUA</v>
      </c>
      <c r="F404" s="6">
        <v>28.839765548706101</v>
      </c>
      <c r="G404" s="6">
        <v>28.9094848632813</v>
      </c>
      <c r="H404" s="6">
        <v>28.942651748657202</v>
      </c>
      <c r="I404" s="6">
        <v>28.925045013427699</v>
      </c>
      <c r="J404" s="6">
        <v>28.9409065246582</v>
      </c>
      <c r="K404" s="6">
        <v>28.9686679840088</v>
      </c>
      <c r="L404" s="6">
        <v>26.284423828125</v>
      </c>
    </row>
    <row r="405" spans="1:12" x14ac:dyDescent="0.25">
      <c r="A405">
        <v>1301506</v>
      </c>
      <c r="B405" t="str">
        <f t="shared" si="6"/>
        <v>ENVIRA, AM, Brasil</v>
      </c>
      <c r="C405" s="4" t="str">
        <f>_xlfn.XLOOKUP(A405,[1]!DadosGHD[CD_GEOCMU],[1]!DadosGHD[Região])</f>
        <v>NO</v>
      </c>
      <c r="D405" s="4" t="str">
        <f>_xlfn.XLOOKUP(A405,[1]!DadosGHD[CD_GEOCMU],[1]!DadosGHD[uf])</f>
        <v>AM</v>
      </c>
      <c r="E405" s="5" t="str">
        <f>_xlfn.XLOOKUP(A405,[1]!DadosGHD[CD_GEOCMU],[1]!DadosGHD[MUNICIPIO])</f>
        <v>ENVIRA</v>
      </c>
      <c r="F405" s="6">
        <v>28.840152740478501</v>
      </c>
      <c r="G405" s="6">
        <v>28.907878875732401</v>
      </c>
      <c r="H405" s="6">
        <v>28.942651748657202</v>
      </c>
      <c r="I405" s="6">
        <v>28.925045013427699</v>
      </c>
      <c r="J405" s="6">
        <v>28.9409065246582</v>
      </c>
      <c r="K405" s="6">
        <v>28.9686679840088</v>
      </c>
      <c r="L405" s="6">
        <v>26.2798957824707</v>
      </c>
    </row>
    <row r="406" spans="1:12" x14ac:dyDescent="0.25">
      <c r="A406">
        <v>1508050</v>
      </c>
      <c r="B406" t="str">
        <f t="shared" si="6"/>
        <v>TRAIRAO, PA, Brasil</v>
      </c>
      <c r="C406" s="4" t="str">
        <f>_xlfn.XLOOKUP(A406,[1]!DadosGHD[CD_GEOCMU],[1]!DadosGHD[Região])</f>
        <v>NO</v>
      </c>
      <c r="D406" s="4" t="str">
        <f>_xlfn.XLOOKUP(A406,[1]!DadosGHD[CD_GEOCMU],[1]!DadosGHD[uf])</f>
        <v>PA</v>
      </c>
      <c r="E406" s="5" t="str">
        <f>_xlfn.XLOOKUP(A406,[1]!DadosGHD[CD_GEOCMU],[1]!DadosGHD[MUNICIPIO])</f>
        <v>TRAIRAO</v>
      </c>
      <c r="F406" s="6">
        <v>28.840173721313501</v>
      </c>
      <c r="G406" s="6">
        <v>28.930103302001999</v>
      </c>
      <c r="H406" s="6">
        <v>28.962610244751001</v>
      </c>
      <c r="I406" s="6">
        <v>28.943220138549801</v>
      </c>
      <c r="J406" s="6">
        <v>28.957649230956999</v>
      </c>
      <c r="K406" s="6">
        <v>33.843536376953097</v>
      </c>
      <c r="L406" s="6">
        <v>26.2892456054688</v>
      </c>
    </row>
    <row r="407" spans="1:12" x14ac:dyDescent="0.25">
      <c r="A407">
        <v>2111078</v>
      </c>
      <c r="B407" t="str">
        <f t="shared" si="6"/>
        <v>SAO JOAO DO SOTER, MA, Brasil</v>
      </c>
      <c r="C407" s="4" t="str">
        <f>_xlfn.XLOOKUP(A407,[1]!DadosGHD[CD_GEOCMU],[1]!DadosGHD[Região])</f>
        <v>NE</v>
      </c>
      <c r="D407" s="4" t="str">
        <f>_xlfn.XLOOKUP(A407,[1]!DadosGHD[CD_GEOCMU],[1]!DadosGHD[uf])</f>
        <v>MA</v>
      </c>
      <c r="E407" s="5" t="str">
        <f>_xlfn.XLOOKUP(A407,[1]!DadosGHD[CD_GEOCMU],[1]!DadosGHD[MUNICIPIO])</f>
        <v>SAO JOAO DO SOTER</v>
      </c>
      <c r="F407" s="6">
        <v>28.8403224945068</v>
      </c>
      <c r="G407" s="6">
        <v>28.907878875732401</v>
      </c>
      <c r="H407" s="6">
        <v>28.942651748657202</v>
      </c>
      <c r="I407" s="6">
        <v>28.925045013427699</v>
      </c>
      <c r="J407" s="6">
        <v>28.9409065246582</v>
      </c>
      <c r="K407" s="6">
        <v>28.980035781860401</v>
      </c>
      <c r="L407" s="6">
        <v>26.294012069702202</v>
      </c>
    </row>
    <row r="408" spans="1:12" x14ac:dyDescent="0.25">
      <c r="A408">
        <v>2516151</v>
      </c>
      <c r="B408" t="str">
        <f t="shared" si="6"/>
        <v>SOSSEGO, PB, Brasil</v>
      </c>
      <c r="C408" s="4" t="str">
        <f>_xlfn.XLOOKUP(A408,[1]!DadosGHD[CD_GEOCMU],[1]!DadosGHD[Região])</f>
        <v>NE</v>
      </c>
      <c r="D408" s="4" t="str">
        <f>_xlfn.XLOOKUP(A408,[1]!DadosGHD[CD_GEOCMU],[1]!DadosGHD[uf])</f>
        <v>PB</v>
      </c>
      <c r="E408" s="5" t="str">
        <f>_xlfn.XLOOKUP(A408,[1]!DadosGHD[CD_GEOCMU],[1]!DadosGHD[MUNICIPIO])</f>
        <v>SOSSEGO</v>
      </c>
      <c r="F408" s="6">
        <v>28.840431213378899</v>
      </c>
      <c r="G408" s="6">
        <v>28.907878875732401</v>
      </c>
      <c r="H408" s="6">
        <v>28.942651748657202</v>
      </c>
      <c r="I408" s="6">
        <v>28.925045013427699</v>
      </c>
      <c r="J408" s="6">
        <v>28.9409065246582</v>
      </c>
      <c r="K408" s="6">
        <v>33.880088806152301</v>
      </c>
      <c r="L408" s="6">
        <v>39.561092376708999</v>
      </c>
    </row>
    <row r="409" spans="1:12" x14ac:dyDescent="0.25">
      <c r="A409">
        <v>2401859</v>
      </c>
      <c r="B409" t="str">
        <f t="shared" si="6"/>
        <v>CAICARA DO NORTE, RN, Brasil</v>
      </c>
      <c r="C409" s="4" t="str">
        <f>_xlfn.XLOOKUP(A409,[1]!DadosGHD[CD_GEOCMU],[1]!DadosGHD[Região])</f>
        <v>NE</v>
      </c>
      <c r="D409" s="4" t="str">
        <f>_xlfn.XLOOKUP(A409,[1]!DadosGHD[CD_GEOCMU],[1]!DadosGHD[uf])</f>
        <v>RN</v>
      </c>
      <c r="E409" s="5" t="str">
        <f>_xlfn.XLOOKUP(A409,[1]!DadosGHD[CD_GEOCMU],[1]!DadosGHD[MUNICIPIO])</f>
        <v>CAICARA DO NORTE</v>
      </c>
      <c r="F409" s="6">
        <v>28.840496063232401</v>
      </c>
      <c r="G409" s="6">
        <v>28.907878875732401</v>
      </c>
      <c r="H409" s="6">
        <v>28.9591884613037</v>
      </c>
      <c r="I409" s="6">
        <v>28.925045013427699</v>
      </c>
      <c r="J409" s="6">
        <v>28.9409065246582</v>
      </c>
      <c r="K409" s="6">
        <v>28.9686679840088</v>
      </c>
      <c r="L409" s="6">
        <v>26.2798957824707</v>
      </c>
    </row>
    <row r="410" spans="1:12" x14ac:dyDescent="0.25">
      <c r="A410">
        <v>1300680</v>
      </c>
      <c r="B410" t="str">
        <f t="shared" si="6"/>
        <v>BOA VISTA DO RAMOS, AM, Brasil</v>
      </c>
      <c r="C410" s="4" t="str">
        <f>_xlfn.XLOOKUP(A410,[1]!DadosGHD[CD_GEOCMU],[1]!DadosGHD[Região])</f>
        <v>NO</v>
      </c>
      <c r="D410" s="4" t="str">
        <f>_xlfn.XLOOKUP(A410,[1]!DadosGHD[CD_GEOCMU],[1]!DadosGHD[uf])</f>
        <v>AM</v>
      </c>
      <c r="E410" s="5" t="str">
        <f>_xlfn.XLOOKUP(A410,[1]!DadosGHD[CD_GEOCMU],[1]!DadosGHD[MUNICIPIO])</f>
        <v>BOA VISTA DO RAMOS</v>
      </c>
      <c r="F410" s="6">
        <v>28.840715408325199</v>
      </c>
      <c r="G410" s="6">
        <v>28.907878875732401</v>
      </c>
      <c r="H410" s="6">
        <v>28.942651748657202</v>
      </c>
      <c r="I410" s="6">
        <v>28.925045013427699</v>
      </c>
      <c r="J410" s="6">
        <v>28.9409065246582</v>
      </c>
      <c r="K410" s="6">
        <v>28.9686679840088</v>
      </c>
      <c r="L410" s="6">
        <v>26.2798957824707</v>
      </c>
    </row>
    <row r="411" spans="1:12" x14ac:dyDescent="0.25">
      <c r="A411">
        <v>2104552</v>
      </c>
      <c r="B411" t="str">
        <f t="shared" si="6"/>
        <v>GOVERNADOR EDISON LOBAO, MA, Brasil</v>
      </c>
      <c r="C411" s="4" t="str">
        <f>_xlfn.XLOOKUP(A411,[1]!DadosGHD[CD_GEOCMU],[1]!DadosGHD[Região])</f>
        <v>NE</v>
      </c>
      <c r="D411" s="4" t="str">
        <f>_xlfn.XLOOKUP(A411,[1]!DadosGHD[CD_GEOCMU],[1]!DadosGHD[uf])</f>
        <v>MA</v>
      </c>
      <c r="E411" s="5" t="str">
        <f>_xlfn.XLOOKUP(A411,[1]!DadosGHD[CD_GEOCMU],[1]!DadosGHD[MUNICIPIO])</f>
        <v>GOVERNADOR EDISON LOBAO</v>
      </c>
      <c r="F411" s="6">
        <v>28.8408203125</v>
      </c>
      <c r="G411" s="6">
        <v>28.907878875732401</v>
      </c>
      <c r="H411" s="6">
        <v>28.942651748657202</v>
      </c>
      <c r="I411" s="6">
        <v>28.925117492675799</v>
      </c>
      <c r="J411" s="6">
        <v>28.948183059692401</v>
      </c>
      <c r="K411" s="6">
        <v>28.9839267730713</v>
      </c>
      <c r="L411" s="6">
        <v>30.708187103271499</v>
      </c>
    </row>
    <row r="412" spans="1:12" x14ac:dyDescent="0.25">
      <c r="A412">
        <v>2104099</v>
      </c>
      <c r="B412" t="str">
        <f t="shared" si="6"/>
        <v>FORMOSA DA SERRA NEGRA, MA, Brasil</v>
      </c>
      <c r="C412" s="4" t="str">
        <f>_xlfn.XLOOKUP(A412,[1]!DadosGHD[CD_GEOCMU],[1]!DadosGHD[Região])</f>
        <v>NE</v>
      </c>
      <c r="D412" s="4" t="str">
        <f>_xlfn.XLOOKUP(A412,[1]!DadosGHD[CD_GEOCMU],[1]!DadosGHD[uf])</f>
        <v>MA</v>
      </c>
      <c r="E412" s="5" t="str">
        <f>_xlfn.XLOOKUP(A412,[1]!DadosGHD[CD_GEOCMU],[1]!DadosGHD[MUNICIPIO])</f>
        <v>FORMOSA DA SERRA NEGRA</v>
      </c>
      <c r="F412" s="6">
        <v>28.841068267822301</v>
      </c>
      <c r="G412" s="6">
        <v>28.929634094238299</v>
      </c>
      <c r="H412" s="6">
        <v>33.839317321777301</v>
      </c>
      <c r="I412" s="6">
        <v>33.814647674560597</v>
      </c>
      <c r="J412" s="6">
        <v>33.839954376220703</v>
      </c>
      <c r="K412" s="6">
        <v>33.864063262939503</v>
      </c>
      <c r="L412" s="6">
        <v>30.69753074646</v>
      </c>
    </row>
    <row r="413" spans="1:12" x14ac:dyDescent="0.25">
      <c r="A413">
        <v>1504000</v>
      </c>
      <c r="B413" t="str">
        <f t="shared" si="6"/>
        <v>LIMOEIRO DO AJURU, PA, Brasil</v>
      </c>
      <c r="C413" s="4" t="str">
        <f>_xlfn.XLOOKUP(A413,[1]!DadosGHD[CD_GEOCMU],[1]!DadosGHD[Região])</f>
        <v>NO</v>
      </c>
      <c r="D413" s="4" t="str">
        <f>_xlfn.XLOOKUP(A413,[1]!DadosGHD[CD_GEOCMU],[1]!DadosGHD[uf])</f>
        <v>PA</v>
      </c>
      <c r="E413" s="5" t="str">
        <f>_xlfn.XLOOKUP(A413,[1]!DadosGHD[CD_GEOCMU],[1]!DadosGHD[MUNICIPIO])</f>
        <v>LIMOEIRO DO AJURU</v>
      </c>
      <c r="F413" s="6">
        <v>28.8410835266113</v>
      </c>
      <c r="G413" s="6">
        <v>28.911334991455099</v>
      </c>
      <c r="H413" s="6">
        <v>28.944717407226602</v>
      </c>
      <c r="I413" s="6">
        <v>28.925045013427699</v>
      </c>
      <c r="J413" s="6">
        <v>28.9409065246582</v>
      </c>
      <c r="K413" s="6">
        <v>28.9686679840088</v>
      </c>
      <c r="L413" s="6">
        <v>26.2798957824707</v>
      </c>
    </row>
    <row r="414" spans="1:12" x14ac:dyDescent="0.25">
      <c r="A414">
        <v>3103207</v>
      </c>
      <c r="B414" t="str">
        <f t="shared" si="6"/>
        <v>ARACAI, MG, Brasil</v>
      </c>
      <c r="C414" s="4" t="str">
        <f>_xlfn.XLOOKUP(A414,[1]!DadosGHD[CD_GEOCMU],[1]!DadosGHD[Região])</f>
        <v>SD</v>
      </c>
      <c r="D414" s="4" t="str">
        <f>_xlfn.XLOOKUP(A414,[1]!DadosGHD[CD_GEOCMU],[1]!DadosGHD[uf])</f>
        <v>MG</v>
      </c>
      <c r="E414" s="5" t="str">
        <f>_xlfn.XLOOKUP(A414,[1]!DadosGHD[CD_GEOCMU],[1]!DadosGHD[MUNICIPIO])</f>
        <v>ARACAI</v>
      </c>
      <c r="F414" s="6">
        <v>28.841405868530298</v>
      </c>
      <c r="G414" s="6">
        <v>38.752162933349602</v>
      </c>
      <c r="H414" s="6">
        <v>38.818840026855497</v>
      </c>
      <c r="I414" s="6">
        <v>38.785781860351598</v>
      </c>
      <c r="J414" s="6">
        <v>38.785667419433601</v>
      </c>
      <c r="K414" s="6">
        <v>38.841281890869098</v>
      </c>
      <c r="L414" s="6">
        <v>35.158851623535199</v>
      </c>
    </row>
    <row r="415" spans="1:12" x14ac:dyDescent="0.25">
      <c r="A415">
        <v>2509602</v>
      </c>
      <c r="B415" t="str">
        <f t="shared" si="6"/>
        <v>MONTE HOREBE, PB, Brasil</v>
      </c>
      <c r="C415" s="4" t="str">
        <f>_xlfn.XLOOKUP(A415,[1]!DadosGHD[CD_GEOCMU],[1]!DadosGHD[Região])</f>
        <v>NE</v>
      </c>
      <c r="D415" s="4" t="str">
        <f>_xlfn.XLOOKUP(A415,[1]!DadosGHD[CD_GEOCMU],[1]!DadosGHD[uf])</f>
        <v>PB</v>
      </c>
      <c r="E415" s="5" t="str">
        <f>_xlfn.XLOOKUP(A415,[1]!DadosGHD[CD_GEOCMU],[1]!DadosGHD[MUNICIPIO])</f>
        <v>MONTE HOREBE</v>
      </c>
      <c r="F415" s="6">
        <v>28.841495513916001</v>
      </c>
      <c r="G415" s="6">
        <v>28.924962997436499</v>
      </c>
      <c r="H415" s="6">
        <v>28.957201004028299</v>
      </c>
      <c r="I415" s="6">
        <v>28.9471340179443</v>
      </c>
      <c r="J415" s="6">
        <v>28.9542636871338</v>
      </c>
      <c r="K415" s="6">
        <v>28.9686679840088</v>
      </c>
      <c r="L415" s="6">
        <v>30.6877326965332</v>
      </c>
    </row>
    <row r="416" spans="1:12" x14ac:dyDescent="0.25">
      <c r="A416">
        <v>3103306</v>
      </c>
      <c r="B416" t="str">
        <f t="shared" si="6"/>
        <v>ARACITABA, MG, Brasil</v>
      </c>
      <c r="C416" s="4" t="str">
        <f>_xlfn.XLOOKUP(A416,[1]!DadosGHD[CD_GEOCMU],[1]!DadosGHD[Região])</f>
        <v>SD</v>
      </c>
      <c r="D416" s="4" t="str">
        <f>_xlfn.XLOOKUP(A416,[1]!DadosGHD[CD_GEOCMU],[1]!DadosGHD[uf])</f>
        <v>MG</v>
      </c>
      <c r="E416" s="5" t="str">
        <f>_xlfn.XLOOKUP(A416,[1]!DadosGHD[CD_GEOCMU],[1]!DadosGHD[MUNICIPIO])</f>
        <v>ARACITABA</v>
      </c>
      <c r="F416" s="6">
        <v>28.841577529907202</v>
      </c>
      <c r="G416" s="6">
        <v>28.916730880737301</v>
      </c>
      <c r="H416" s="6">
        <v>28.950860977172901</v>
      </c>
      <c r="I416" s="6">
        <v>33.788444519042997</v>
      </c>
      <c r="J416" s="6">
        <v>28.969554901123001</v>
      </c>
      <c r="K416" s="6">
        <v>28.996412277221701</v>
      </c>
      <c r="L416" s="6">
        <v>26.296331405639702</v>
      </c>
    </row>
    <row r="417" spans="1:12" x14ac:dyDescent="0.25">
      <c r="A417">
        <v>1300631</v>
      </c>
      <c r="B417" t="str">
        <f t="shared" si="6"/>
        <v>BERURI, AM, Brasil</v>
      </c>
      <c r="C417" s="4" t="str">
        <f>_xlfn.XLOOKUP(A417,[1]!DadosGHD[CD_GEOCMU],[1]!DadosGHD[Região])</f>
        <v>NO</v>
      </c>
      <c r="D417" s="4" t="str">
        <f>_xlfn.XLOOKUP(A417,[1]!DadosGHD[CD_GEOCMU],[1]!DadosGHD[uf])</f>
        <v>AM</v>
      </c>
      <c r="E417" s="5" t="str">
        <f>_xlfn.XLOOKUP(A417,[1]!DadosGHD[CD_GEOCMU],[1]!DadosGHD[MUNICIPIO])</f>
        <v>BERURI</v>
      </c>
      <c r="F417" s="6">
        <v>28.8416423797607</v>
      </c>
      <c r="G417" s="6">
        <v>28.907878875732401</v>
      </c>
      <c r="H417" s="6">
        <v>28.942651748657202</v>
      </c>
      <c r="I417" s="6">
        <v>28.925045013427699</v>
      </c>
      <c r="J417" s="6">
        <v>28.9409065246582</v>
      </c>
      <c r="K417" s="6">
        <v>28.9686679840088</v>
      </c>
      <c r="L417" s="6">
        <v>26.2798957824707</v>
      </c>
    </row>
    <row r="418" spans="1:12" x14ac:dyDescent="0.25">
      <c r="A418">
        <v>3101003</v>
      </c>
      <c r="B418" t="str">
        <f t="shared" si="6"/>
        <v>AGUAS VERMELHAS, MG, Brasil</v>
      </c>
      <c r="C418" s="4" t="str">
        <f>_xlfn.XLOOKUP(A418,[1]!DadosGHD[CD_GEOCMU],[1]!DadosGHD[Região])</f>
        <v>SD</v>
      </c>
      <c r="D418" s="4" t="str">
        <f>_xlfn.XLOOKUP(A418,[1]!DadosGHD[CD_GEOCMU],[1]!DadosGHD[uf])</f>
        <v>MG</v>
      </c>
      <c r="E418" s="5" t="str">
        <f>_xlfn.XLOOKUP(A418,[1]!DadosGHD[CD_GEOCMU],[1]!DadosGHD[MUNICIPIO])</f>
        <v>AGUAS VERMELHAS</v>
      </c>
      <c r="F418" s="6">
        <v>28.841846466064499</v>
      </c>
      <c r="G418" s="6">
        <v>28.9176731109619</v>
      </c>
      <c r="H418" s="6">
        <v>28.9504795074463</v>
      </c>
      <c r="I418" s="6">
        <v>28.929244995117202</v>
      </c>
      <c r="J418" s="6">
        <v>28.943067550659201</v>
      </c>
      <c r="K418" s="6">
        <v>28.987037658691399</v>
      </c>
      <c r="L418" s="6">
        <v>26.2981147766113</v>
      </c>
    </row>
    <row r="419" spans="1:12" x14ac:dyDescent="0.25">
      <c r="A419">
        <v>1500206</v>
      </c>
      <c r="B419" t="str">
        <f t="shared" si="6"/>
        <v>ACARA, PA, Brasil</v>
      </c>
      <c r="C419" s="4" t="str">
        <f>_xlfn.XLOOKUP(A419,[1]!DadosGHD[CD_GEOCMU],[1]!DadosGHD[Região])</f>
        <v>NO</v>
      </c>
      <c r="D419" s="4" t="str">
        <f>_xlfn.XLOOKUP(A419,[1]!DadosGHD[CD_GEOCMU],[1]!DadosGHD[uf])</f>
        <v>PA</v>
      </c>
      <c r="E419" s="5" t="str">
        <f>_xlfn.XLOOKUP(A419,[1]!DadosGHD[CD_GEOCMU],[1]!DadosGHD[MUNICIPIO])</f>
        <v>ACARA</v>
      </c>
      <c r="F419" s="6">
        <v>28.8420524597168</v>
      </c>
      <c r="G419" s="6">
        <v>28.911026000976602</v>
      </c>
      <c r="H419" s="6">
        <v>28.942651748657202</v>
      </c>
      <c r="I419" s="6">
        <v>28.925045013427699</v>
      </c>
      <c r="J419" s="6">
        <v>28.9409065246582</v>
      </c>
      <c r="K419" s="6">
        <v>28.9686679840088</v>
      </c>
      <c r="L419" s="6">
        <v>26.2798957824707</v>
      </c>
    </row>
    <row r="420" spans="1:12" x14ac:dyDescent="0.25">
      <c r="A420">
        <v>1501907</v>
      </c>
      <c r="B420" t="str">
        <f t="shared" si="6"/>
        <v>BUJARU, PA, Brasil</v>
      </c>
      <c r="C420" s="4" t="str">
        <f>_xlfn.XLOOKUP(A420,[1]!DadosGHD[CD_GEOCMU],[1]!DadosGHD[Região])</f>
        <v>NO</v>
      </c>
      <c r="D420" s="4" t="str">
        <f>_xlfn.XLOOKUP(A420,[1]!DadosGHD[CD_GEOCMU],[1]!DadosGHD[uf])</f>
        <v>PA</v>
      </c>
      <c r="E420" s="5" t="str">
        <f>_xlfn.XLOOKUP(A420,[1]!DadosGHD[CD_GEOCMU],[1]!DadosGHD[MUNICIPIO])</f>
        <v>BUJARU</v>
      </c>
      <c r="F420" s="6">
        <v>28.84206199646</v>
      </c>
      <c r="G420" s="6">
        <v>28.9096984863281</v>
      </c>
      <c r="H420" s="6">
        <v>28.944984436035199</v>
      </c>
      <c r="I420" s="6">
        <v>28.927680969238299</v>
      </c>
      <c r="J420" s="6">
        <v>28.941770553588899</v>
      </c>
      <c r="K420" s="6">
        <v>28.9686679840088</v>
      </c>
      <c r="L420" s="6">
        <v>26.2798957824707</v>
      </c>
    </row>
    <row r="421" spans="1:12" x14ac:dyDescent="0.25">
      <c r="A421">
        <v>1715150</v>
      </c>
      <c r="B421" t="str">
        <f t="shared" si="6"/>
        <v>NOVO ALEGRE, TO, Brasil</v>
      </c>
      <c r="C421" s="4" t="str">
        <f>_xlfn.XLOOKUP(A421,[1]!DadosGHD[CD_GEOCMU],[1]!DadosGHD[Região])</f>
        <v>NO</v>
      </c>
      <c r="D421" s="4" t="str">
        <f>_xlfn.XLOOKUP(A421,[1]!DadosGHD[CD_GEOCMU],[1]!DadosGHD[uf])</f>
        <v>TO</v>
      </c>
      <c r="E421" s="5" t="str">
        <f>_xlfn.XLOOKUP(A421,[1]!DadosGHD[CD_GEOCMU],[1]!DadosGHD[MUNICIPIO])</f>
        <v>NOVO ALEGRE</v>
      </c>
      <c r="F421" s="6">
        <v>28.8421821594238</v>
      </c>
      <c r="G421" s="6">
        <v>28.911563873291001</v>
      </c>
      <c r="H421" s="6">
        <v>28.9443168640137</v>
      </c>
      <c r="I421" s="6">
        <v>28.925045013427699</v>
      </c>
      <c r="J421" s="6">
        <v>28.9409065246582</v>
      </c>
      <c r="K421" s="6">
        <v>28.9686679840088</v>
      </c>
      <c r="L421" s="6">
        <v>26.2798957824707</v>
      </c>
    </row>
    <row r="422" spans="1:12" x14ac:dyDescent="0.25">
      <c r="A422">
        <v>2411429</v>
      </c>
      <c r="B422" t="str">
        <f t="shared" si="6"/>
        <v>SANTANA DO SERIDO, RN, Brasil</v>
      </c>
      <c r="C422" s="4" t="str">
        <f>_xlfn.XLOOKUP(A422,[1]!DadosGHD[CD_GEOCMU],[1]!DadosGHD[Região])</f>
        <v>NE</v>
      </c>
      <c r="D422" s="4" t="str">
        <f>_xlfn.XLOOKUP(A422,[1]!DadosGHD[CD_GEOCMU],[1]!DadosGHD[uf])</f>
        <v>RN</v>
      </c>
      <c r="E422" s="5" t="str">
        <f>_xlfn.XLOOKUP(A422,[1]!DadosGHD[CD_GEOCMU],[1]!DadosGHD[MUNICIPIO])</f>
        <v>SANTANA DO SERIDO</v>
      </c>
      <c r="F422" s="6">
        <v>28.842226028442401</v>
      </c>
      <c r="G422" s="6">
        <v>28.931856155395501</v>
      </c>
      <c r="H422" s="6">
        <v>28.942651748657202</v>
      </c>
      <c r="I422" s="6">
        <v>28.951423645019499</v>
      </c>
      <c r="J422" s="6">
        <v>28.971965789794901</v>
      </c>
      <c r="K422" s="6">
        <v>33.917350769042997</v>
      </c>
      <c r="L422" s="6">
        <v>48.498985290527301</v>
      </c>
    </row>
    <row r="423" spans="1:12" x14ac:dyDescent="0.25">
      <c r="A423">
        <v>2100709</v>
      </c>
      <c r="B423" t="str">
        <f t="shared" si="6"/>
        <v>ANAJATUBA, MA, Brasil</v>
      </c>
      <c r="C423" s="4" t="str">
        <f>_xlfn.XLOOKUP(A423,[1]!DadosGHD[CD_GEOCMU],[1]!DadosGHD[Região])</f>
        <v>NE</v>
      </c>
      <c r="D423" s="4" t="str">
        <f>_xlfn.XLOOKUP(A423,[1]!DadosGHD[CD_GEOCMU],[1]!DadosGHD[uf])</f>
        <v>MA</v>
      </c>
      <c r="E423" s="5" t="str">
        <f>_xlfn.XLOOKUP(A423,[1]!DadosGHD[CD_GEOCMU],[1]!DadosGHD[MUNICIPIO])</f>
        <v>ANAJATUBA</v>
      </c>
      <c r="F423" s="6">
        <v>28.842256546020501</v>
      </c>
      <c r="G423" s="6">
        <v>28.907878875732401</v>
      </c>
      <c r="H423" s="6">
        <v>28.942651748657202</v>
      </c>
      <c r="I423" s="6">
        <v>28.925045013427699</v>
      </c>
      <c r="J423" s="6">
        <v>28.9409065246582</v>
      </c>
      <c r="K423" s="6">
        <v>28.9686679840088</v>
      </c>
      <c r="L423" s="6">
        <v>26.2798957824707</v>
      </c>
    </row>
    <row r="424" spans="1:12" x14ac:dyDescent="0.25">
      <c r="A424">
        <v>3157278</v>
      </c>
      <c r="B424" t="str">
        <f t="shared" si="6"/>
        <v>SANTA BARBARA DO MONTE VERDE, MG, Brasil</v>
      </c>
      <c r="C424" s="4" t="str">
        <f>_xlfn.XLOOKUP(A424,[1]!DadosGHD[CD_GEOCMU],[1]!DadosGHD[Região])</f>
        <v>SD</v>
      </c>
      <c r="D424" s="4" t="str">
        <f>_xlfn.XLOOKUP(A424,[1]!DadosGHD[CD_GEOCMU],[1]!DadosGHD[uf])</f>
        <v>MG</v>
      </c>
      <c r="E424" s="5" t="str">
        <f>_xlfn.XLOOKUP(A424,[1]!DadosGHD[CD_GEOCMU],[1]!DadosGHD[MUNICIPIO])</f>
        <v>SANTA BARBARA DO MONTE VERDE</v>
      </c>
      <c r="F424" s="6">
        <v>28.8422756195068</v>
      </c>
      <c r="G424" s="6">
        <v>28.912631988525401</v>
      </c>
      <c r="H424" s="6">
        <v>28.950370788574201</v>
      </c>
      <c r="I424" s="6">
        <v>28.9317741394043</v>
      </c>
      <c r="J424" s="6">
        <v>28.949581146240199</v>
      </c>
      <c r="K424" s="6">
        <v>33.8566703796387</v>
      </c>
      <c r="L424" s="6">
        <v>39.606159210205099</v>
      </c>
    </row>
    <row r="425" spans="1:12" x14ac:dyDescent="0.25">
      <c r="A425">
        <v>2602605</v>
      </c>
      <c r="B425" t="str">
        <f t="shared" si="6"/>
        <v>BREJO DA MADRE DE DEUS, PE, Brasil</v>
      </c>
      <c r="C425" s="4" t="str">
        <f>_xlfn.XLOOKUP(A425,[1]!DadosGHD[CD_GEOCMU],[1]!DadosGHD[Região])</f>
        <v>NE</v>
      </c>
      <c r="D425" s="4" t="str">
        <f>_xlfn.XLOOKUP(A425,[1]!DadosGHD[CD_GEOCMU],[1]!DadosGHD[uf])</f>
        <v>PE</v>
      </c>
      <c r="E425" s="5" t="str">
        <f>_xlfn.XLOOKUP(A425,[1]!DadosGHD[CD_GEOCMU],[1]!DadosGHD[MUNICIPIO])</f>
        <v>BREJO DA MADRE DE DEUS</v>
      </c>
      <c r="F425" s="6">
        <v>28.842500686645501</v>
      </c>
      <c r="G425" s="6">
        <v>28.909702301025401</v>
      </c>
      <c r="H425" s="6">
        <v>28.942651748657202</v>
      </c>
      <c r="I425" s="6">
        <v>28.946229934692401</v>
      </c>
      <c r="J425" s="6">
        <v>28.9598293304443</v>
      </c>
      <c r="K425" s="6">
        <v>28.983278274536101</v>
      </c>
      <c r="L425" s="6">
        <v>30.687191009521499</v>
      </c>
    </row>
    <row r="426" spans="1:12" x14ac:dyDescent="0.25">
      <c r="A426">
        <v>2100907</v>
      </c>
      <c r="B426" t="str">
        <f t="shared" si="6"/>
        <v>ARAIOSES, MA, Brasil</v>
      </c>
      <c r="C426" s="4" t="str">
        <f>_xlfn.XLOOKUP(A426,[1]!DadosGHD[CD_GEOCMU],[1]!DadosGHD[Região])</f>
        <v>NE</v>
      </c>
      <c r="D426" s="4" t="str">
        <f>_xlfn.XLOOKUP(A426,[1]!DadosGHD[CD_GEOCMU],[1]!DadosGHD[uf])</f>
        <v>MA</v>
      </c>
      <c r="E426" s="5" t="str">
        <f>_xlfn.XLOOKUP(A426,[1]!DadosGHD[CD_GEOCMU],[1]!DadosGHD[MUNICIPIO])</f>
        <v>ARAIOSES</v>
      </c>
      <c r="F426" s="6">
        <v>28.8425693511963</v>
      </c>
      <c r="G426" s="6">
        <v>28.907878875732401</v>
      </c>
      <c r="H426" s="6">
        <v>28.942651748657202</v>
      </c>
      <c r="I426" s="6">
        <v>28.925045013427699</v>
      </c>
      <c r="J426" s="6">
        <v>28.9409065246582</v>
      </c>
      <c r="K426" s="6">
        <v>28.975162506103501</v>
      </c>
      <c r="L426" s="6">
        <v>26.282535552978501</v>
      </c>
    </row>
    <row r="427" spans="1:12" x14ac:dyDescent="0.25">
      <c r="A427">
        <v>4106555</v>
      </c>
      <c r="B427" t="str">
        <f t="shared" si="6"/>
        <v>CORUMBATAI DO SUL, PR, Brasil</v>
      </c>
      <c r="C427" s="4" t="str">
        <f>_xlfn.XLOOKUP(A427,[1]!DadosGHD[CD_GEOCMU],[1]!DadosGHD[Região])</f>
        <v>SL</v>
      </c>
      <c r="D427" s="4" t="str">
        <f>_xlfn.XLOOKUP(A427,[1]!DadosGHD[CD_GEOCMU],[1]!DadosGHD[uf])</f>
        <v>PR</v>
      </c>
      <c r="E427" s="5" t="str">
        <f>_xlfn.XLOOKUP(A427,[1]!DadosGHD[CD_GEOCMU],[1]!DadosGHD[MUNICIPIO])</f>
        <v>CORUMBATAI DO SUL</v>
      </c>
      <c r="F427" s="6">
        <v>28.842979431152301</v>
      </c>
      <c r="G427" s="6">
        <v>38.773277282714801</v>
      </c>
      <c r="H427" s="6">
        <v>43.719062805175803</v>
      </c>
      <c r="I427" s="6">
        <v>38.823478698730497</v>
      </c>
      <c r="J427" s="6">
        <v>43.738777160644503</v>
      </c>
      <c r="K427" s="6">
        <v>43.798549652099602</v>
      </c>
      <c r="L427" s="6">
        <v>44.017379760742202</v>
      </c>
    </row>
    <row r="428" spans="1:12" x14ac:dyDescent="0.25">
      <c r="A428">
        <v>2300754</v>
      </c>
      <c r="B428" t="str">
        <f t="shared" si="6"/>
        <v>AMONTADA, CE, Brasil</v>
      </c>
      <c r="C428" s="4" t="str">
        <f>_xlfn.XLOOKUP(A428,[1]!DadosGHD[CD_GEOCMU],[1]!DadosGHD[Região])</f>
        <v>NE</v>
      </c>
      <c r="D428" s="4" t="str">
        <f>_xlfn.XLOOKUP(A428,[1]!DadosGHD[CD_GEOCMU],[1]!DadosGHD[uf])</f>
        <v>CE</v>
      </c>
      <c r="E428" s="5" t="str">
        <f>_xlfn.XLOOKUP(A428,[1]!DadosGHD[CD_GEOCMU],[1]!DadosGHD[MUNICIPIO])</f>
        <v>AMONTADA</v>
      </c>
      <c r="F428" s="6">
        <v>28.843074798583999</v>
      </c>
      <c r="G428" s="6">
        <v>28.907878875732401</v>
      </c>
      <c r="H428" s="6">
        <v>28.942651748657202</v>
      </c>
      <c r="I428" s="6">
        <v>28.925045013427699</v>
      </c>
      <c r="J428" s="6">
        <v>28.967473983764702</v>
      </c>
      <c r="K428" s="6">
        <v>43.758922576904297</v>
      </c>
      <c r="L428" s="6">
        <v>35.117225646972699</v>
      </c>
    </row>
    <row r="429" spans="1:12" x14ac:dyDescent="0.25">
      <c r="A429">
        <v>1304104</v>
      </c>
      <c r="B429" t="str">
        <f t="shared" si="6"/>
        <v>TAPAUA, AM, Brasil</v>
      </c>
      <c r="C429" s="4" t="str">
        <f>_xlfn.XLOOKUP(A429,[1]!DadosGHD[CD_GEOCMU],[1]!DadosGHD[Região])</f>
        <v>NO</v>
      </c>
      <c r="D429" s="4" t="str">
        <f>_xlfn.XLOOKUP(A429,[1]!DadosGHD[CD_GEOCMU],[1]!DadosGHD[uf])</f>
        <v>AM</v>
      </c>
      <c r="E429" s="5" t="str">
        <f>_xlfn.XLOOKUP(A429,[1]!DadosGHD[CD_GEOCMU],[1]!DadosGHD[MUNICIPIO])</f>
        <v>TAPAUA</v>
      </c>
      <c r="F429" s="6">
        <v>28.8431606292725</v>
      </c>
      <c r="G429" s="6">
        <v>28.907878875732401</v>
      </c>
      <c r="H429" s="6">
        <v>28.942651748657202</v>
      </c>
      <c r="I429" s="6">
        <v>28.925045013427699</v>
      </c>
      <c r="J429" s="6">
        <v>28.9409065246582</v>
      </c>
      <c r="K429" s="6">
        <v>28.9686679840088</v>
      </c>
      <c r="L429" s="6">
        <v>26.2798957824707</v>
      </c>
    </row>
    <row r="430" spans="1:12" x14ac:dyDescent="0.25">
      <c r="A430">
        <v>1504505</v>
      </c>
      <c r="B430" t="str">
        <f t="shared" si="6"/>
        <v>MELGACO, PA, Brasil</v>
      </c>
      <c r="C430" s="4" t="str">
        <f>_xlfn.XLOOKUP(A430,[1]!DadosGHD[CD_GEOCMU],[1]!DadosGHD[Região])</f>
        <v>NO</v>
      </c>
      <c r="D430" s="4" t="str">
        <f>_xlfn.XLOOKUP(A430,[1]!DadosGHD[CD_GEOCMU],[1]!DadosGHD[uf])</f>
        <v>PA</v>
      </c>
      <c r="E430" s="5" t="str">
        <f>_xlfn.XLOOKUP(A430,[1]!DadosGHD[CD_GEOCMU],[1]!DadosGHD[MUNICIPIO])</f>
        <v>MELGACO</v>
      </c>
      <c r="F430" s="6">
        <v>28.843164443969702</v>
      </c>
      <c r="G430" s="6">
        <v>28.911666870117202</v>
      </c>
      <c r="H430" s="6">
        <v>28.948217391967798</v>
      </c>
      <c r="I430" s="6">
        <v>28.930685043335</v>
      </c>
      <c r="J430" s="6">
        <v>28.9459629058838</v>
      </c>
      <c r="K430" s="6">
        <v>28.972898483276399</v>
      </c>
      <c r="L430" s="6">
        <v>26.2798957824707</v>
      </c>
    </row>
    <row r="431" spans="1:12" x14ac:dyDescent="0.25">
      <c r="A431">
        <v>2112704</v>
      </c>
      <c r="B431" t="str">
        <f t="shared" si="6"/>
        <v>VARGEM GRANDE, MA, Brasil</v>
      </c>
      <c r="C431" s="4" t="str">
        <f>_xlfn.XLOOKUP(A431,[1]!DadosGHD[CD_GEOCMU],[1]!DadosGHD[Região])</f>
        <v>NE</v>
      </c>
      <c r="D431" s="4" t="str">
        <f>_xlfn.XLOOKUP(A431,[1]!DadosGHD[CD_GEOCMU],[1]!DadosGHD[uf])</f>
        <v>MA</v>
      </c>
      <c r="E431" s="5" t="str">
        <f>_xlfn.XLOOKUP(A431,[1]!DadosGHD[CD_GEOCMU],[1]!DadosGHD[MUNICIPIO])</f>
        <v>VARGEM GRANDE</v>
      </c>
      <c r="F431" s="6">
        <v>28.8434238433838</v>
      </c>
      <c r="G431" s="6">
        <v>28.907878875732401</v>
      </c>
      <c r="H431" s="6">
        <v>28.942651748657202</v>
      </c>
      <c r="I431" s="6">
        <v>28.925045013427699</v>
      </c>
      <c r="J431" s="6">
        <v>28.944309234619102</v>
      </c>
      <c r="K431" s="6">
        <v>28.9686679840088</v>
      </c>
      <c r="L431" s="6">
        <v>26.2798957824707</v>
      </c>
    </row>
    <row r="432" spans="1:12" x14ac:dyDescent="0.25">
      <c r="A432">
        <v>1501451</v>
      </c>
      <c r="B432" t="str">
        <f t="shared" si="6"/>
        <v>BELTERRA, PA, Brasil</v>
      </c>
      <c r="C432" s="4" t="str">
        <f>_xlfn.XLOOKUP(A432,[1]!DadosGHD[CD_GEOCMU],[1]!DadosGHD[Região])</f>
        <v>NO</v>
      </c>
      <c r="D432" s="4" t="str">
        <f>_xlfn.XLOOKUP(A432,[1]!DadosGHD[CD_GEOCMU],[1]!DadosGHD[uf])</f>
        <v>PA</v>
      </c>
      <c r="E432" s="5" t="str">
        <f>_xlfn.XLOOKUP(A432,[1]!DadosGHD[CD_GEOCMU],[1]!DadosGHD[MUNICIPIO])</f>
        <v>BELTERRA</v>
      </c>
      <c r="F432" s="6">
        <v>28.843425750732401</v>
      </c>
      <c r="G432" s="6">
        <v>28.907878875732401</v>
      </c>
      <c r="H432" s="6">
        <v>28.942651748657202</v>
      </c>
      <c r="I432" s="6">
        <v>28.925045013427699</v>
      </c>
      <c r="J432" s="6">
        <v>28.9630222320557</v>
      </c>
      <c r="K432" s="6">
        <v>33.844211578369098</v>
      </c>
      <c r="L432" s="6">
        <v>35.1522827148438</v>
      </c>
    </row>
    <row r="433" spans="1:12" x14ac:dyDescent="0.25">
      <c r="A433">
        <v>2407906</v>
      </c>
      <c r="B433" t="str">
        <f t="shared" si="6"/>
        <v>MONTE DAS GAMELEIRAS, RN, Brasil</v>
      </c>
      <c r="C433" s="4" t="str">
        <f>_xlfn.XLOOKUP(A433,[1]!DadosGHD[CD_GEOCMU],[1]!DadosGHD[Região])</f>
        <v>NE</v>
      </c>
      <c r="D433" s="4" t="str">
        <f>_xlfn.XLOOKUP(A433,[1]!DadosGHD[CD_GEOCMU],[1]!DadosGHD[uf])</f>
        <v>RN</v>
      </c>
      <c r="E433" s="5" t="str">
        <f>_xlfn.XLOOKUP(A433,[1]!DadosGHD[CD_GEOCMU],[1]!DadosGHD[MUNICIPIO])</f>
        <v>MONTE DAS GAMELEIRAS</v>
      </c>
      <c r="F433" s="6">
        <v>28.8436489105225</v>
      </c>
      <c r="G433" s="6">
        <v>33.766532897949197</v>
      </c>
      <c r="H433" s="6">
        <v>28.9734802246094</v>
      </c>
      <c r="I433" s="6">
        <v>33.797901153564503</v>
      </c>
      <c r="J433" s="6">
        <v>33.839405059814503</v>
      </c>
      <c r="K433" s="6">
        <v>33.872447967529297</v>
      </c>
      <c r="L433" s="6">
        <v>35.1296997070313</v>
      </c>
    </row>
    <row r="434" spans="1:12" x14ac:dyDescent="0.25">
      <c r="A434">
        <v>1507706</v>
      </c>
      <c r="B434" t="str">
        <f t="shared" si="6"/>
        <v>SAO SEBASTIAO DA BOA VISTA, PA, Brasil</v>
      </c>
      <c r="C434" s="4" t="str">
        <f>_xlfn.XLOOKUP(A434,[1]!DadosGHD[CD_GEOCMU],[1]!DadosGHD[Região])</f>
        <v>NO</v>
      </c>
      <c r="D434" s="4" t="str">
        <f>_xlfn.XLOOKUP(A434,[1]!DadosGHD[CD_GEOCMU],[1]!DadosGHD[uf])</f>
        <v>PA</v>
      </c>
      <c r="E434" s="5" t="str">
        <f>_xlfn.XLOOKUP(A434,[1]!DadosGHD[CD_GEOCMU],[1]!DadosGHD[MUNICIPIO])</f>
        <v>SAO SEBASTIAO DA BOA VISTA</v>
      </c>
      <c r="F434" s="6">
        <v>28.8437900543213</v>
      </c>
      <c r="G434" s="6">
        <v>28.910406112670898</v>
      </c>
      <c r="H434" s="6">
        <v>28.943475723266602</v>
      </c>
      <c r="I434" s="6">
        <v>28.926866531372099</v>
      </c>
      <c r="J434" s="6">
        <v>28.944135665893601</v>
      </c>
      <c r="K434" s="6">
        <v>28.9686679840088</v>
      </c>
      <c r="L434" s="6">
        <v>26.2798957824707</v>
      </c>
    </row>
    <row r="435" spans="1:12" x14ac:dyDescent="0.25">
      <c r="A435">
        <v>2803807</v>
      </c>
      <c r="B435" t="str">
        <f t="shared" si="6"/>
        <v>MALHADA DOS BOIS, SE, Brasil</v>
      </c>
      <c r="C435" s="4" t="str">
        <f>_xlfn.XLOOKUP(A435,[1]!DadosGHD[CD_GEOCMU],[1]!DadosGHD[Região])</f>
        <v>NE</v>
      </c>
      <c r="D435" s="4" t="str">
        <f>_xlfn.XLOOKUP(A435,[1]!DadosGHD[CD_GEOCMU],[1]!DadosGHD[uf])</f>
        <v>SE</v>
      </c>
      <c r="E435" s="5" t="str">
        <f>_xlfn.XLOOKUP(A435,[1]!DadosGHD[CD_GEOCMU],[1]!DadosGHD[MUNICIPIO])</f>
        <v>MALHADA DOS BOIS</v>
      </c>
      <c r="F435" s="6">
        <v>28.843870162963899</v>
      </c>
      <c r="G435" s="6">
        <v>28.918949127197301</v>
      </c>
      <c r="H435" s="6">
        <v>38.760871887207003</v>
      </c>
      <c r="I435" s="6">
        <v>38.739315032958999</v>
      </c>
      <c r="J435" s="6">
        <v>38.758262634277301</v>
      </c>
      <c r="K435" s="6">
        <v>38.818470001220703</v>
      </c>
      <c r="L435" s="6">
        <v>35.148967742919901</v>
      </c>
    </row>
    <row r="436" spans="1:12" x14ac:dyDescent="0.25">
      <c r="A436">
        <v>2111805</v>
      </c>
      <c r="B436" t="str">
        <f t="shared" si="6"/>
        <v>SITIO NOVO, MA, Brasil</v>
      </c>
      <c r="C436" s="4" t="str">
        <f>_xlfn.XLOOKUP(A436,[1]!DadosGHD[CD_GEOCMU],[1]!DadosGHD[Região])</f>
        <v>NE</v>
      </c>
      <c r="D436" s="4" t="str">
        <f>_xlfn.XLOOKUP(A436,[1]!DadosGHD[CD_GEOCMU],[1]!DadosGHD[uf])</f>
        <v>MA</v>
      </c>
      <c r="E436" s="5" t="str">
        <f>_xlfn.XLOOKUP(A436,[1]!DadosGHD[CD_GEOCMU],[1]!DadosGHD[MUNICIPIO])</f>
        <v>SITIO NOVO</v>
      </c>
      <c r="F436" s="6">
        <v>28.843978881835898</v>
      </c>
      <c r="G436" s="6">
        <v>33.764266967773402</v>
      </c>
      <c r="H436" s="6">
        <v>33.815773010253899</v>
      </c>
      <c r="I436" s="6">
        <v>33.800941467285199</v>
      </c>
      <c r="J436" s="6">
        <v>33.828586578369098</v>
      </c>
      <c r="K436" s="6">
        <v>33.861183166503899</v>
      </c>
      <c r="L436" s="6">
        <v>30.706130981445298</v>
      </c>
    </row>
    <row r="437" spans="1:12" x14ac:dyDescent="0.25">
      <c r="A437">
        <v>2615508</v>
      </c>
      <c r="B437" t="str">
        <f t="shared" si="6"/>
        <v>TRACUNHAEM, PE, Brasil</v>
      </c>
      <c r="C437" s="4" t="str">
        <f>_xlfn.XLOOKUP(A437,[1]!DadosGHD[CD_GEOCMU],[1]!DadosGHD[Região])</f>
        <v>NE</v>
      </c>
      <c r="D437" s="4" t="str">
        <f>_xlfn.XLOOKUP(A437,[1]!DadosGHD[CD_GEOCMU],[1]!DadosGHD[uf])</f>
        <v>PE</v>
      </c>
      <c r="E437" s="5" t="str">
        <f>_xlfn.XLOOKUP(A437,[1]!DadosGHD[CD_GEOCMU],[1]!DadosGHD[MUNICIPIO])</f>
        <v>TRACUNHAEM</v>
      </c>
      <c r="F437" s="6">
        <v>28.8440952301025</v>
      </c>
      <c r="G437" s="6">
        <v>28.907878875732401</v>
      </c>
      <c r="H437" s="6">
        <v>28.942651748657202</v>
      </c>
      <c r="I437" s="6">
        <v>28.925045013427699</v>
      </c>
      <c r="J437" s="6">
        <v>28.9409065246582</v>
      </c>
      <c r="K437" s="6">
        <v>28.980169296264702</v>
      </c>
      <c r="L437" s="6">
        <v>30.696691513061499</v>
      </c>
    </row>
    <row r="438" spans="1:12" x14ac:dyDescent="0.25">
      <c r="A438">
        <v>1303908</v>
      </c>
      <c r="B438" t="str">
        <f t="shared" si="6"/>
        <v>SAO PAULO DE OLIVENCA, AM, Brasil</v>
      </c>
      <c r="C438" s="4" t="str">
        <f>_xlfn.XLOOKUP(A438,[1]!DadosGHD[CD_GEOCMU],[1]!DadosGHD[Região])</f>
        <v>NO</v>
      </c>
      <c r="D438" s="4" t="str">
        <f>_xlfn.XLOOKUP(A438,[1]!DadosGHD[CD_GEOCMU],[1]!DadosGHD[uf])</f>
        <v>AM</v>
      </c>
      <c r="E438" s="5" t="str">
        <f>_xlfn.XLOOKUP(A438,[1]!DadosGHD[CD_GEOCMU],[1]!DadosGHD[MUNICIPIO])</f>
        <v>SAO PAULO DE OLIVENCA</v>
      </c>
      <c r="F438" s="6">
        <v>28.844123840331999</v>
      </c>
      <c r="G438" s="6">
        <v>28.908502578735401</v>
      </c>
      <c r="H438" s="6">
        <v>28.942651748657202</v>
      </c>
      <c r="I438" s="6">
        <v>28.925045013427699</v>
      </c>
      <c r="J438" s="6">
        <v>28.9409065246582</v>
      </c>
      <c r="K438" s="6">
        <v>28.9686679840088</v>
      </c>
      <c r="L438" s="6">
        <v>26.2798957824707</v>
      </c>
    </row>
    <row r="439" spans="1:12" x14ac:dyDescent="0.25">
      <c r="A439">
        <v>2105104</v>
      </c>
      <c r="B439" t="str">
        <f t="shared" si="6"/>
        <v>ICATU, MA, Brasil</v>
      </c>
      <c r="C439" s="4" t="str">
        <f>_xlfn.XLOOKUP(A439,[1]!DadosGHD[CD_GEOCMU],[1]!DadosGHD[Região])</f>
        <v>NE</v>
      </c>
      <c r="D439" s="4" t="str">
        <f>_xlfn.XLOOKUP(A439,[1]!DadosGHD[CD_GEOCMU],[1]!DadosGHD[uf])</f>
        <v>MA</v>
      </c>
      <c r="E439" s="5" t="str">
        <f>_xlfn.XLOOKUP(A439,[1]!DadosGHD[CD_GEOCMU],[1]!DadosGHD[MUNICIPIO])</f>
        <v>ICATU</v>
      </c>
      <c r="F439" s="6">
        <v>28.844312667846701</v>
      </c>
      <c r="G439" s="6">
        <v>28.907878875732401</v>
      </c>
      <c r="H439" s="6">
        <v>28.942651748657202</v>
      </c>
      <c r="I439" s="6">
        <v>28.925045013427699</v>
      </c>
      <c r="J439" s="6">
        <v>28.9409065246582</v>
      </c>
      <c r="K439" s="6">
        <v>28.9686679840088</v>
      </c>
      <c r="L439" s="6">
        <v>26.2798957824707</v>
      </c>
    </row>
    <row r="440" spans="1:12" x14ac:dyDescent="0.25">
      <c r="A440">
        <v>1301100</v>
      </c>
      <c r="B440" t="str">
        <f t="shared" si="6"/>
        <v>CAREIRO, AM, Brasil</v>
      </c>
      <c r="C440" s="4" t="str">
        <f>_xlfn.XLOOKUP(A440,[1]!DadosGHD[CD_GEOCMU],[1]!DadosGHD[Região])</f>
        <v>NO</v>
      </c>
      <c r="D440" s="4" t="str">
        <f>_xlfn.XLOOKUP(A440,[1]!DadosGHD[CD_GEOCMU],[1]!DadosGHD[uf])</f>
        <v>AM</v>
      </c>
      <c r="E440" s="5" t="str">
        <f>_xlfn.XLOOKUP(A440,[1]!DadosGHD[CD_GEOCMU],[1]!DadosGHD[MUNICIPIO])</f>
        <v>CAREIRO</v>
      </c>
      <c r="F440" s="6">
        <v>28.844367980956999</v>
      </c>
      <c r="G440" s="6">
        <v>28.907878875732401</v>
      </c>
      <c r="H440" s="6">
        <v>28.942651748657202</v>
      </c>
      <c r="I440" s="6">
        <v>28.925045013427699</v>
      </c>
      <c r="J440" s="6">
        <v>28.9475212097168</v>
      </c>
      <c r="K440" s="6">
        <v>28.972669601440401</v>
      </c>
      <c r="L440" s="6">
        <v>26.284593582153299</v>
      </c>
    </row>
    <row r="441" spans="1:12" x14ac:dyDescent="0.25">
      <c r="A441">
        <v>1503705</v>
      </c>
      <c r="B441" t="str">
        <f t="shared" si="6"/>
        <v>ITUPIRANGA, PA, Brasil</v>
      </c>
      <c r="C441" s="4" t="str">
        <f>_xlfn.XLOOKUP(A441,[1]!DadosGHD[CD_GEOCMU],[1]!DadosGHD[Região])</f>
        <v>NO</v>
      </c>
      <c r="D441" s="4" t="str">
        <f>_xlfn.XLOOKUP(A441,[1]!DadosGHD[CD_GEOCMU],[1]!DadosGHD[uf])</f>
        <v>PA</v>
      </c>
      <c r="E441" s="5" t="str">
        <f>_xlfn.XLOOKUP(A441,[1]!DadosGHD[CD_GEOCMU],[1]!DadosGHD[MUNICIPIO])</f>
        <v>ITUPIRANGA</v>
      </c>
      <c r="F441" s="6">
        <v>28.844459533691399</v>
      </c>
      <c r="G441" s="6">
        <v>28.930839538574201</v>
      </c>
      <c r="H441" s="6">
        <v>28.961103439331101</v>
      </c>
      <c r="I441" s="6">
        <v>28.932737350463899</v>
      </c>
      <c r="J441" s="6">
        <v>28.952293395996101</v>
      </c>
      <c r="K441" s="6">
        <v>28.988397598266602</v>
      </c>
      <c r="L441" s="6">
        <v>26.290807723998999</v>
      </c>
    </row>
    <row r="442" spans="1:12" x14ac:dyDescent="0.25">
      <c r="A442">
        <v>1500859</v>
      </c>
      <c r="B442" t="str">
        <f t="shared" si="6"/>
        <v>ANAPU, PA, Brasil</v>
      </c>
      <c r="C442" s="4" t="str">
        <f>_xlfn.XLOOKUP(A442,[1]!DadosGHD[CD_GEOCMU],[1]!DadosGHD[Região])</f>
        <v>NO</v>
      </c>
      <c r="D442" s="4" t="str">
        <f>_xlfn.XLOOKUP(A442,[1]!DadosGHD[CD_GEOCMU],[1]!DadosGHD[uf])</f>
        <v>PA</v>
      </c>
      <c r="E442" s="5" t="str">
        <f>_xlfn.XLOOKUP(A442,[1]!DadosGHD[CD_GEOCMU],[1]!DadosGHD[MUNICIPIO])</f>
        <v>ANAPU</v>
      </c>
      <c r="F442" s="6">
        <v>28.8445339202881</v>
      </c>
      <c r="G442" s="6">
        <v>28.910749435424801</v>
      </c>
      <c r="H442" s="6">
        <v>28.947839736938501</v>
      </c>
      <c r="I442" s="6">
        <v>28.925472259521499</v>
      </c>
      <c r="J442" s="6">
        <v>28.953006744384801</v>
      </c>
      <c r="K442" s="6">
        <v>33.842292785644503</v>
      </c>
      <c r="L442" s="6">
        <v>26.2932033538818</v>
      </c>
    </row>
    <row r="443" spans="1:12" x14ac:dyDescent="0.25">
      <c r="A443">
        <v>2314102</v>
      </c>
      <c r="B443" t="str">
        <f t="shared" si="6"/>
        <v>VICOSA DO CEARA, CE, Brasil</v>
      </c>
      <c r="C443" s="4" t="str">
        <f>_xlfn.XLOOKUP(A443,[1]!DadosGHD[CD_GEOCMU],[1]!DadosGHD[Região])</f>
        <v>NE</v>
      </c>
      <c r="D443" s="4" t="str">
        <f>_xlfn.XLOOKUP(A443,[1]!DadosGHD[CD_GEOCMU],[1]!DadosGHD[uf])</f>
        <v>CE</v>
      </c>
      <c r="E443" s="5" t="str">
        <f>_xlfn.XLOOKUP(A443,[1]!DadosGHD[CD_GEOCMU],[1]!DadosGHD[MUNICIPIO])</f>
        <v>VICOSA DO CEARA</v>
      </c>
      <c r="F443" s="6">
        <v>28.844970703125</v>
      </c>
      <c r="G443" s="6">
        <v>28.917772293090799</v>
      </c>
      <c r="H443" s="6">
        <v>28.958175659179702</v>
      </c>
      <c r="I443" s="6">
        <v>28.954240798950199</v>
      </c>
      <c r="J443" s="6">
        <v>28.966173171997099</v>
      </c>
      <c r="K443" s="6">
        <v>28.998018264770501</v>
      </c>
      <c r="L443" s="6">
        <v>30.6880798339844</v>
      </c>
    </row>
    <row r="444" spans="1:12" x14ac:dyDescent="0.25">
      <c r="A444">
        <v>1500701</v>
      </c>
      <c r="B444" t="str">
        <f t="shared" si="6"/>
        <v>ANAJAS, PA, Brasil</v>
      </c>
      <c r="C444" s="4" t="str">
        <f>_xlfn.XLOOKUP(A444,[1]!DadosGHD[CD_GEOCMU],[1]!DadosGHD[Região])</f>
        <v>NO</v>
      </c>
      <c r="D444" s="4" t="str">
        <f>_xlfn.XLOOKUP(A444,[1]!DadosGHD[CD_GEOCMU],[1]!DadosGHD[uf])</f>
        <v>PA</v>
      </c>
      <c r="E444" s="5" t="str">
        <f>_xlfn.XLOOKUP(A444,[1]!DadosGHD[CD_GEOCMU],[1]!DadosGHD[MUNICIPIO])</f>
        <v>ANAJAS</v>
      </c>
      <c r="F444" s="6">
        <v>28.845048904418899</v>
      </c>
      <c r="G444" s="6">
        <v>28.921556472778299</v>
      </c>
      <c r="H444" s="6">
        <v>28.963499069213899</v>
      </c>
      <c r="I444" s="6">
        <v>28.948814392089801</v>
      </c>
      <c r="J444" s="6">
        <v>28.966436386108398</v>
      </c>
      <c r="K444" s="6">
        <v>28.986972808837901</v>
      </c>
      <c r="L444" s="6">
        <v>26.285444259643601</v>
      </c>
    </row>
    <row r="445" spans="1:12" x14ac:dyDescent="0.25">
      <c r="A445">
        <v>2413003</v>
      </c>
      <c r="B445" t="str">
        <f t="shared" si="6"/>
        <v>SAO VICENTE, RN, Brasil</v>
      </c>
      <c r="C445" s="4" t="str">
        <f>_xlfn.XLOOKUP(A445,[1]!DadosGHD[CD_GEOCMU],[1]!DadosGHD[Região])</f>
        <v>NE</v>
      </c>
      <c r="D445" s="4" t="str">
        <f>_xlfn.XLOOKUP(A445,[1]!DadosGHD[CD_GEOCMU],[1]!DadosGHD[uf])</f>
        <v>RN</v>
      </c>
      <c r="E445" s="5" t="str">
        <f>_xlfn.XLOOKUP(A445,[1]!DadosGHD[CD_GEOCMU],[1]!DadosGHD[MUNICIPIO])</f>
        <v>SAO VICENTE</v>
      </c>
      <c r="F445" s="6">
        <v>28.845146179199201</v>
      </c>
      <c r="G445" s="6">
        <v>33.765338897705099</v>
      </c>
      <c r="H445" s="6">
        <v>28.945615768432599</v>
      </c>
      <c r="I445" s="6">
        <v>28.958702087402301</v>
      </c>
      <c r="J445" s="6">
        <v>33.8509712219238</v>
      </c>
      <c r="K445" s="6">
        <v>33.878997802734403</v>
      </c>
      <c r="L445" s="6">
        <v>39.5701293945313</v>
      </c>
    </row>
    <row r="446" spans="1:12" x14ac:dyDescent="0.25">
      <c r="A446">
        <v>1502103</v>
      </c>
      <c r="B446" t="str">
        <f t="shared" si="6"/>
        <v>CAMETA, PA, Brasil</v>
      </c>
      <c r="C446" s="4" t="str">
        <f>_xlfn.XLOOKUP(A446,[1]!DadosGHD[CD_GEOCMU],[1]!DadosGHD[Região])</f>
        <v>NO</v>
      </c>
      <c r="D446" s="4" t="str">
        <f>_xlfn.XLOOKUP(A446,[1]!DadosGHD[CD_GEOCMU],[1]!DadosGHD[uf])</f>
        <v>PA</v>
      </c>
      <c r="E446" s="5" t="str">
        <f>_xlfn.XLOOKUP(A446,[1]!DadosGHD[CD_GEOCMU],[1]!DadosGHD[MUNICIPIO])</f>
        <v>CAMETA</v>
      </c>
      <c r="F446" s="6">
        <v>28.845289230346701</v>
      </c>
      <c r="G446" s="6">
        <v>28.914127349853501</v>
      </c>
      <c r="H446" s="6">
        <v>28.9460849761963</v>
      </c>
      <c r="I446" s="6">
        <v>28.9340419769287</v>
      </c>
      <c r="J446" s="6">
        <v>28.954835891723601</v>
      </c>
      <c r="K446" s="6">
        <v>28.981573104858398</v>
      </c>
      <c r="L446" s="6">
        <v>26.2798957824707</v>
      </c>
    </row>
    <row r="447" spans="1:12" x14ac:dyDescent="0.25">
      <c r="A447">
        <v>2609154</v>
      </c>
      <c r="B447" t="str">
        <f t="shared" si="6"/>
        <v>MANARI, PE, Brasil</v>
      </c>
      <c r="C447" s="4" t="str">
        <f>_xlfn.XLOOKUP(A447,[1]!DadosGHD[CD_GEOCMU],[1]!DadosGHD[Região])</f>
        <v>NE</v>
      </c>
      <c r="D447" s="4" t="str">
        <f>_xlfn.XLOOKUP(A447,[1]!DadosGHD[CD_GEOCMU],[1]!DadosGHD[uf])</f>
        <v>PE</v>
      </c>
      <c r="E447" s="5" t="str">
        <f>_xlfn.XLOOKUP(A447,[1]!DadosGHD[CD_GEOCMU],[1]!DadosGHD[MUNICIPIO])</f>
        <v>MANARI</v>
      </c>
      <c r="F447" s="6">
        <v>28.8453254699707</v>
      </c>
      <c r="G447" s="6">
        <v>28.907878875732401</v>
      </c>
      <c r="H447" s="6">
        <v>28.942651748657202</v>
      </c>
      <c r="I447" s="6">
        <v>28.925045013427699</v>
      </c>
      <c r="J447" s="6">
        <v>28.9409065246582</v>
      </c>
      <c r="K447" s="6">
        <v>28.9686679840088</v>
      </c>
      <c r="L447" s="6">
        <v>26.2798957824707</v>
      </c>
    </row>
    <row r="448" spans="1:12" x14ac:dyDescent="0.25">
      <c r="A448">
        <v>2607802</v>
      </c>
      <c r="B448" t="str">
        <f t="shared" si="6"/>
        <v>ITAQUITINGA, PE, Brasil</v>
      </c>
      <c r="C448" s="4" t="str">
        <f>_xlfn.XLOOKUP(A448,[1]!DadosGHD[CD_GEOCMU],[1]!DadosGHD[Região])</f>
        <v>NE</v>
      </c>
      <c r="D448" s="4" t="str">
        <f>_xlfn.XLOOKUP(A448,[1]!DadosGHD[CD_GEOCMU],[1]!DadosGHD[uf])</f>
        <v>PE</v>
      </c>
      <c r="E448" s="5" t="str">
        <f>_xlfn.XLOOKUP(A448,[1]!DadosGHD[CD_GEOCMU],[1]!DadosGHD[MUNICIPIO])</f>
        <v>ITAQUITINGA</v>
      </c>
      <c r="F448" s="6">
        <v>28.845476150512699</v>
      </c>
      <c r="G448" s="6">
        <v>28.9139194488525</v>
      </c>
      <c r="H448" s="6">
        <v>28.944696426391602</v>
      </c>
      <c r="I448" s="6">
        <v>28.9274997711182</v>
      </c>
      <c r="J448" s="6">
        <v>28.9552707672119</v>
      </c>
      <c r="K448" s="6">
        <v>29.002098083496101</v>
      </c>
      <c r="L448" s="6">
        <v>30.697177886962901</v>
      </c>
    </row>
    <row r="449" spans="1:12" x14ac:dyDescent="0.25">
      <c r="A449">
        <v>4311643</v>
      </c>
      <c r="B449" t="str">
        <f t="shared" si="6"/>
        <v>LINHA NOVA, RS, Brasil</v>
      </c>
      <c r="C449" s="4" t="str">
        <f>_xlfn.XLOOKUP(A449,[1]!DadosGHD[CD_GEOCMU],[1]!DadosGHD[Região])</f>
        <v>SL</v>
      </c>
      <c r="D449" s="4" t="str">
        <f>_xlfn.XLOOKUP(A449,[1]!DadosGHD[CD_GEOCMU],[1]!DadosGHD[uf])</f>
        <v>RS</v>
      </c>
      <c r="E449" s="5" t="str">
        <f>_xlfn.XLOOKUP(A449,[1]!DadosGHD[CD_GEOCMU],[1]!DadosGHD[MUNICIPIO])</f>
        <v>LINHA NOVA</v>
      </c>
      <c r="F449" s="6">
        <v>28.8455486297607</v>
      </c>
      <c r="G449" s="6">
        <v>43.647274017333999</v>
      </c>
      <c r="H449" s="6">
        <v>43.7139892578125</v>
      </c>
      <c r="I449" s="6">
        <v>43.683956146240199</v>
      </c>
      <c r="J449" s="6">
        <v>43.725074768066399</v>
      </c>
      <c r="K449" s="6">
        <v>43.802703857421903</v>
      </c>
      <c r="L449" s="6">
        <v>44.058963775634801</v>
      </c>
    </row>
    <row r="450" spans="1:12" x14ac:dyDescent="0.25">
      <c r="A450">
        <v>2930808</v>
      </c>
      <c r="B450" t="str">
        <f t="shared" si="6"/>
        <v>SOUTO SOARES, BA, Brasil</v>
      </c>
      <c r="C450" s="4" t="str">
        <f>_xlfn.XLOOKUP(A450,[1]!DadosGHD[CD_GEOCMU],[1]!DadosGHD[Região])</f>
        <v>NE</v>
      </c>
      <c r="D450" s="4" t="str">
        <f>_xlfn.XLOOKUP(A450,[1]!DadosGHD[CD_GEOCMU],[1]!DadosGHD[uf])</f>
        <v>BA</v>
      </c>
      <c r="E450" s="5" t="str">
        <f>_xlfn.XLOOKUP(A450,[1]!DadosGHD[CD_GEOCMU],[1]!DadosGHD[MUNICIPIO])</f>
        <v>SOUTO SOARES</v>
      </c>
      <c r="F450" s="6">
        <v>28.8455905914307</v>
      </c>
      <c r="G450" s="6">
        <v>28.908147811889702</v>
      </c>
      <c r="H450" s="6">
        <v>28.943515777587901</v>
      </c>
      <c r="I450" s="6">
        <v>28.925045013427699</v>
      </c>
      <c r="J450" s="6">
        <v>33.838474273681598</v>
      </c>
      <c r="K450" s="6">
        <v>33.884960174560597</v>
      </c>
      <c r="L450" s="6">
        <v>35.128334045410199</v>
      </c>
    </row>
    <row r="451" spans="1:12" x14ac:dyDescent="0.25">
      <c r="A451">
        <v>2516755</v>
      </c>
      <c r="B451" t="str">
        <f t="shared" si="6"/>
        <v>TENORIO, PB, Brasil</v>
      </c>
      <c r="C451" s="4" t="str">
        <f>_xlfn.XLOOKUP(A451,[1]!DadosGHD[CD_GEOCMU],[1]!DadosGHD[Região])</f>
        <v>NE</v>
      </c>
      <c r="D451" s="4" t="str">
        <f>_xlfn.XLOOKUP(A451,[1]!DadosGHD[CD_GEOCMU],[1]!DadosGHD[uf])</f>
        <v>PB</v>
      </c>
      <c r="E451" s="5" t="str">
        <f>_xlfn.XLOOKUP(A451,[1]!DadosGHD[CD_GEOCMU],[1]!DadosGHD[MUNICIPIO])</f>
        <v>TENORIO</v>
      </c>
      <c r="F451" s="6">
        <v>28.8455924987793</v>
      </c>
      <c r="G451" s="6">
        <v>28.921655654907202</v>
      </c>
      <c r="H451" s="6">
        <v>28.959405899047901</v>
      </c>
      <c r="I451" s="6">
        <v>28.952709197998001</v>
      </c>
      <c r="J451" s="6">
        <v>33.835700988769503</v>
      </c>
      <c r="K451" s="6">
        <v>38.789878845214801</v>
      </c>
      <c r="L451" s="6">
        <v>44.042709350585902</v>
      </c>
    </row>
    <row r="452" spans="1:12" x14ac:dyDescent="0.25">
      <c r="A452">
        <v>2929701</v>
      </c>
      <c r="B452" t="str">
        <f t="shared" ref="B452:B515" si="7">_xlfn.CONCAT(E452, ", ", D452, ", Brasil")</f>
        <v>SATIRO DIAS, BA, Brasil</v>
      </c>
      <c r="C452" s="4" t="str">
        <f>_xlfn.XLOOKUP(A452,[1]!DadosGHD[CD_GEOCMU],[1]!DadosGHD[Região])</f>
        <v>NE</v>
      </c>
      <c r="D452" s="4" t="str">
        <f>_xlfn.XLOOKUP(A452,[1]!DadosGHD[CD_GEOCMU],[1]!DadosGHD[uf])</f>
        <v>BA</v>
      </c>
      <c r="E452" s="5" t="str">
        <f>_xlfn.XLOOKUP(A452,[1]!DadosGHD[CD_GEOCMU],[1]!DadosGHD[MUNICIPIO])</f>
        <v>SATIRO DIAS</v>
      </c>
      <c r="F452" s="6">
        <v>28.845680236816399</v>
      </c>
      <c r="G452" s="6">
        <v>28.907878875732401</v>
      </c>
      <c r="H452" s="6">
        <v>28.957597732543899</v>
      </c>
      <c r="I452" s="6">
        <v>28.9286289215088</v>
      </c>
      <c r="J452" s="6">
        <v>28.953018188476602</v>
      </c>
      <c r="K452" s="6">
        <v>28.970750808715799</v>
      </c>
      <c r="L452" s="6">
        <v>26.2798957824707</v>
      </c>
    </row>
    <row r="453" spans="1:12" x14ac:dyDescent="0.25">
      <c r="A453">
        <v>2106631</v>
      </c>
      <c r="B453" t="str">
        <f t="shared" si="7"/>
        <v>MATOES DO NORTE, MA, Brasil</v>
      </c>
      <c r="C453" s="4" t="str">
        <f>_xlfn.XLOOKUP(A453,[1]!DadosGHD[CD_GEOCMU],[1]!DadosGHD[Região])</f>
        <v>NE</v>
      </c>
      <c r="D453" s="4" t="str">
        <f>_xlfn.XLOOKUP(A453,[1]!DadosGHD[CD_GEOCMU],[1]!DadosGHD[uf])</f>
        <v>MA</v>
      </c>
      <c r="E453" s="5" t="str">
        <f>_xlfn.XLOOKUP(A453,[1]!DadosGHD[CD_GEOCMU],[1]!DadosGHD[MUNICIPIO])</f>
        <v>MATOES DO NORTE</v>
      </c>
      <c r="F453" s="6">
        <v>28.845817565918001</v>
      </c>
      <c r="G453" s="6">
        <v>28.907878875732401</v>
      </c>
      <c r="H453" s="6">
        <v>28.942651748657202</v>
      </c>
      <c r="I453" s="6">
        <v>28.925045013427699</v>
      </c>
      <c r="J453" s="6">
        <v>28.9409065246582</v>
      </c>
      <c r="K453" s="6">
        <v>28.9686679840088</v>
      </c>
      <c r="L453" s="6">
        <v>26.2798957824707</v>
      </c>
    </row>
    <row r="454" spans="1:12" x14ac:dyDescent="0.25">
      <c r="A454">
        <v>4107553</v>
      </c>
      <c r="B454" t="str">
        <f t="shared" si="7"/>
        <v>FAROL, PR, Brasil</v>
      </c>
      <c r="C454" s="4" t="str">
        <f>_xlfn.XLOOKUP(A454,[1]!DadosGHD[CD_GEOCMU],[1]!DadosGHD[Região])</f>
        <v>SL</v>
      </c>
      <c r="D454" s="4" t="str">
        <f>_xlfn.XLOOKUP(A454,[1]!DadosGHD[CD_GEOCMU],[1]!DadosGHD[uf])</f>
        <v>PR</v>
      </c>
      <c r="E454" s="5" t="str">
        <f>_xlfn.XLOOKUP(A454,[1]!DadosGHD[CD_GEOCMU],[1]!DadosGHD[MUNICIPIO])</f>
        <v>FAROL</v>
      </c>
      <c r="F454" s="6">
        <v>28.846063613891602</v>
      </c>
      <c r="G454" s="6">
        <v>38.719245910644503</v>
      </c>
      <c r="H454" s="6">
        <v>38.797534942627003</v>
      </c>
      <c r="I454" s="6">
        <v>38.745326995849602</v>
      </c>
      <c r="J454" s="6">
        <v>38.801624298095703</v>
      </c>
      <c r="K454" s="6">
        <v>38.872650146484403</v>
      </c>
      <c r="L454" s="6">
        <v>30.6941528320313</v>
      </c>
    </row>
    <row r="455" spans="1:12" x14ac:dyDescent="0.25">
      <c r="A455">
        <v>1304302</v>
      </c>
      <c r="B455" t="str">
        <f t="shared" si="7"/>
        <v>URUCARA, AM, Brasil</v>
      </c>
      <c r="C455" s="4" t="str">
        <f>_xlfn.XLOOKUP(A455,[1]!DadosGHD[CD_GEOCMU],[1]!DadosGHD[Região])</f>
        <v>NO</v>
      </c>
      <c r="D455" s="4" t="str">
        <f>_xlfn.XLOOKUP(A455,[1]!DadosGHD[CD_GEOCMU],[1]!DadosGHD[uf])</f>
        <v>AM</v>
      </c>
      <c r="E455" s="5" t="str">
        <f>_xlfn.XLOOKUP(A455,[1]!DadosGHD[CD_GEOCMU],[1]!DadosGHD[MUNICIPIO])</f>
        <v>URUCARA</v>
      </c>
      <c r="F455" s="6">
        <v>28.846136093139702</v>
      </c>
      <c r="G455" s="6">
        <v>28.909429550170898</v>
      </c>
      <c r="H455" s="6">
        <v>28.944847106933601</v>
      </c>
      <c r="I455" s="6">
        <v>28.9265537261963</v>
      </c>
      <c r="J455" s="6">
        <v>28.941596984863299</v>
      </c>
      <c r="K455" s="6">
        <v>28.969480514526399</v>
      </c>
      <c r="L455" s="6">
        <v>35.137535095214801</v>
      </c>
    </row>
    <row r="456" spans="1:12" x14ac:dyDescent="0.25">
      <c r="A456">
        <v>2103604</v>
      </c>
      <c r="B456" t="str">
        <f t="shared" si="7"/>
        <v>COROATA, MA, Brasil</v>
      </c>
      <c r="C456" s="4" t="str">
        <f>_xlfn.XLOOKUP(A456,[1]!DadosGHD[CD_GEOCMU],[1]!DadosGHD[Região])</f>
        <v>NE</v>
      </c>
      <c r="D456" s="4" t="str">
        <f>_xlfn.XLOOKUP(A456,[1]!DadosGHD[CD_GEOCMU],[1]!DadosGHD[uf])</f>
        <v>MA</v>
      </c>
      <c r="E456" s="5" t="str">
        <f>_xlfn.XLOOKUP(A456,[1]!DadosGHD[CD_GEOCMU],[1]!DadosGHD[MUNICIPIO])</f>
        <v>COROATA</v>
      </c>
      <c r="F456" s="6">
        <v>28.846174240112301</v>
      </c>
      <c r="G456" s="6">
        <v>28.9320259094238</v>
      </c>
      <c r="H456" s="6">
        <v>28.9639072418213</v>
      </c>
      <c r="I456" s="6">
        <v>28.953660964965799</v>
      </c>
      <c r="J456" s="6">
        <v>28.967515945434599</v>
      </c>
      <c r="K456" s="6">
        <v>33.854576110839801</v>
      </c>
      <c r="L456" s="6">
        <v>26.2932643890381</v>
      </c>
    </row>
    <row r="457" spans="1:12" x14ac:dyDescent="0.25">
      <c r="A457">
        <v>2102606</v>
      </c>
      <c r="B457" t="str">
        <f t="shared" si="7"/>
        <v>CANDIDO MENDES, MA, Brasil</v>
      </c>
      <c r="C457" s="4" t="str">
        <f>_xlfn.XLOOKUP(A457,[1]!DadosGHD[CD_GEOCMU],[1]!DadosGHD[Região])</f>
        <v>NE</v>
      </c>
      <c r="D457" s="4" t="str">
        <f>_xlfn.XLOOKUP(A457,[1]!DadosGHD[CD_GEOCMU],[1]!DadosGHD[uf])</f>
        <v>MA</v>
      </c>
      <c r="E457" s="5" t="str">
        <f>_xlfn.XLOOKUP(A457,[1]!DadosGHD[CD_GEOCMU],[1]!DadosGHD[MUNICIPIO])</f>
        <v>CANDIDO MENDES</v>
      </c>
      <c r="F457" s="6">
        <v>28.846178054809599</v>
      </c>
      <c r="G457" s="6">
        <v>28.9093914031982</v>
      </c>
      <c r="H457" s="6">
        <v>28.942651748657202</v>
      </c>
      <c r="I457" s="6">
        <v>28.933250427246101</v>
      </c>
      <c r="J457" s="6">
        <v>28.9715251922607</v>
      </c>
      <c r="K457" s="6">
        <v>28.992353439331101</v>
      </c>
      <c r="L457" s="6">
        <v>26.2798957824707</v>
      </c>
    </row>
    <row r="458" spans="1:12" x14ac:dyDescent="0.25">
      <c r="A458">
        <v>5211602</v>
      </c>
      <c r="B458" t="str">
        <f t="shared" si="7"/>
        <v>IVOLANDIA, GO, Brasil</v>
      </c>
      <c r="C458" s="4" t="str">
        <f>_xlfn.XLOOKUP(A458,[1]!DadosGHD[CD_GEOCMU],[1]!DadosGHD[Região])</f>
        <v>CO</v>
      </c>
      <c r="D458" s="4" t="str">
        <f>_xlfn.XLOOKUP(A458,[1]!DadosGHD[CD_GEOCMU],[1]!DadosGHD[uf])</f>
        <v>GO</v>
      </c>
      <c r="E458" s="5" t="str">
        <f>_xlfn.XLOOKUP(A458,[1]!DadosGHD[CD_GEOCMU],[1]!DadosGHD[MUNICIPIO])</f>
        <v>IVOLANDIA</v>
      </c>
      <c r="F458" s="6">
        <v>28.846199035644499</v>
      </c>
      <c r="G458" s="6">
        <v>28.90793800354</v>
      </c>
      <c r="H458" s="6">
        <v>28.942651748657202</v>
      </c>
      <c r="I458" s="6">
        <v>28.925045013427699</v>
      </c>
      <c r="J458" s="6">
        <v>28.9409065246582</v>
      </c>
      <c r="K458" s="6">
        <v>28.9686679840088</v>
      </c>
      <c r="L458" s="6">
        <v>35.1363716125488</v>
      </c>
    </row>
    <row r="459" spans="1:12" x14ac:dyDescent="0.25">
      <c r="A459">
        <v>2105476</v>
      </c>
      <c r="B459" t="str">
        <f t="shared" si="7"/>
        <v>JENIPAPO DOS VIEIRAS, MA, Brasil</v>
      </c>
      <c r="C459" s="4" t="str">
        <f>_xlfn.XLOOKUP(A459,[1]!DadosGHD[CD_GEOCMU],[1]!DadosGHD[Região])</f>
        <v>NE</v>
      </c>
      <c r="D459" s="4" t="str">
        <f>_xlfn.XLOOKUP(A459,[1]!DadosGHD[CD_GEOCMU],[1]!DadosGHD[uf])</f>
        <v>MA</v>
      </c>
      <c r="E459" s="5" t="str">
        <f>_xlfn.XLOOKUP(A459,[1]!DadosGHD[CD_GEOCMU],[1]!DadosGHD[MUNICIPIO])</f>
        <v>JENIPAPO DOS VIEIRAS</v>
      </c>
      <c r="F459" s="6">
        <v>28.846391677856399</v>
      </c>
      <c r="G459" s="6">
        <v>28.908359527587901</v>
      </c>
      <c r="H459" s="6">
        <v>28.944137573242202</v>
      </c>
      <c r="I459" s="6">
        <v>28.925479888916001</v>
      </c>
      <c r="J459" s="6">
        <v>28.9409065246582</v>
      </c>
      <c r="K459" s="6">
        <v>28.9686679840088</v>
      </c>
      <c r="L459" s="6">
        <v>26.2798957824707</v>
      </c>
    </row>
    <row r="460" spans="1:12" x14ac:dyDescent="0.25">
      <c r="A460">
        <v>1502756</v>
      </c>
      <c r="B460" t="str">
        <f t="shared" si="7"/>
        <v>CONCORDIA DO PARA, PA, Brasil</v>
      </c>
      <c r="C460" s="4" t="str">
        <f>_xlfn.XLOOKUP(A460,[1]!DadosGHD[CD_GEOCMU],[1]!DadosGHD[Região])</f>
        <v>NO</v>
      </c>
      <c r="D460" s="4" t="str">
        <f>_xlfn.XLOOKUP(A460,[1]!DadosGHD[CD_GEOCMU],[1]!DadosGHD[uf])</f>
        <v>PA</v>
      </c>
      <c r="E460" s="5" t="str">
        <f>_xlfn.XLOOKUP(A460,[1]!DadosGHD[CD_GEOCMU],[1]!DadosGHD[MUNICIPIO])</f>
        <v>CONCORDIA DO PARA</v>
      </c>
      <c r="F460" s="6">
        <v>28.846641540527301</v>
      </c>
      <c r="G460" s="6">
        <v>28.929807662963899</v>
      </c>
      <c r="H460" s="6">
        <v>28.975152969360401</v>
      </c>
      <c r="I460" s="6">
        <v>28.947553634643601</v>
      </c>
      <c r="J460" s="6">
        <v>28.961793899536101</v>
      </c>
      <c r="K460" s="6">
        <v>28.994775772094702</v>
      </c>
      <c r="L460" s="6">
        <v>26.2798957824707</v>
      </c>
    </row>
    <row r="461" spans="1:12" x14ac:dyDescent="0.25">
      <c r="A461">
        <v>2916500</v>
      </c>
      <c r="B461" t="str">
        <f t="shared" si="7"/>
        <v>ITAPICURU, BA, Brasil</v>
      </c>
      <c r="C461" s="4" t="str">
        <f>_xlfn.XLOOKUP(A461,[1]!DadosGHD[CD_GEOCMU],[1]!DadosGHD[Região])</f>
        <v>NE</v>
      </c>
      <c r="D461" s="4" t="str">
        <f>_xlfn.XLOOKUP(A461,[1]!DadosGHD[CD_GEOCMU],[1]!DadosGHD[uf])</f>
        <v>BA</v>
      </c>
      <c r="E461" s="5" t="str">
        <f>_xlfn.XLOOKUP(A461,[1]!DadosGHD[CD_GEOCMU],[1]!DadosGHD[MUNICIPIO])</f>
        <v>ITAPICURU</v>
      </c>
      <c r="F461" s="6">
        <v>28.846858978271499</v>
      </c>
      <c r="G461" s="6">
        <v>28.915418624877901</v>
      </c>
      <c r="H461" s="6">
        <v>28.948572158813501</v>
      </c>
      <c r="I461" s="6">
        <v>28.928236007690401</v>
      </c>
      <c r="J461" s="6">
        <v>28.941684722900401</v>
      </c>
      <c r="K461" s="6">
        <v>28.9686679840088</v>
      </c>
      <c r="L461" s="6">
        <v>26.2798957824707</v>
      </c>
    </row>
    <row r="462" spans="1:12" x14ac:dyDescent="0.25">
      <c r="A462">
        <v>1500909</v>
      </c>
      <c r="B462" t="str">
        <f t="shared" si="7"/>
        <v>AUGUSTO CORREA, PA, Brasil</v>
      </c>
      <c r="C462" s="4" t="str">
        <f>_xlfn.XLOOKUP(A462,[1]!DadosGHD[CD_GEOCMU],[1]!DadosGHD[Região])</f>
        <v>NO</v>
      </c>
      <c r="D462" s="4" t="str">
        <f>_xlfn.XLOOKUP(A462,[1]!DadosGHD[CD_GEOCMU],[1]!DadosGHD[uf])</f>
        <v>PA</v>
      </c>
      <c r="E462" s="5" t="str">
        <f>_xlfn.XLOOKUP(A462,[1]!DadosGHD[CD_GEOCMU],[1]!DadosGHD[MUNICIPIO])</f>
        <v>AUGUSTO CORREA</v>
      </c>
      <c r="F462" s="6">
        <v>28.846895217895501</v>
      </c>
      <c r="G462" s="6">
        <v>28.931880950927699</v>
      </c>
      <c r="H462" s="6">
        <v>28.96169090271</v>
      </c>
      <c r="I462" s="6">
        <v>28.9423427581787</v>
      </c>
      <c r="J462" s="6">
        <v>28.9575386047363</v>
      </c>
      <c r="K462" s="6">
        <v>28.9846591949463</v>
      </c>
      <c r="L462" s="6">
        <v>26.280714035034201</v>
      </c>
    </row>
    <row r="463" spans="1:12" x14ac:dyDescent="0.25">
      <c r="A463">
        <v>2905156</v>
      </c>
      <c r="B463" t="str">
        <f t="shared" si="7"/>
        <v>CAETANOS, BA, Brasil</v>
      </c>
      <c r="C463" s="4" t="str">
        <f>_xlfn.XLOOKUP(A463,[1]!DadosGHD[CD_GEOCMU],[1]!DadosGHD[Região])</f>
        <v>NE</v>
      </c>
      <c r="D463" s="4" t="str">
        <f>_xlfn.XLOOKUP(A463,[1]!DadosGHD[CD_GEOCMU],[1]!DadosGHD[uf])</f>
        <v>BA</v>
      </c>
      <c r="E463" s="5" t="str">
        <f>_xlfn.XLOOKUP(A463,[1]!DadosGHD[CD_GEOCMU],[1]!DadosGHD[MUNICIPIO])</f>
        <v>CAETANOS</v>
      </c>
      <c r="F463" s="6">
        <v>28.847017288208001</v>
      </c>
      <c r="G463" s="6">
        <v>28.9089031219482</v>
      </c>
      <c r="H463" s="6">
        <v>28.944166183471701</v>
      </c>
      <c r="I463" s="6">
        <v>28.928697586059599</v>
      </c>
      <c r="J463" s="6">
        <v>28.943954467773398</v>
      </c>
      <c r="K463" s="6">
        <v>28.9699306488037</v>
      </c>
      <c r="L463" s="6">
        <v>26.2798957824707</v>
      </c>
    </row>
    <row r="464" spans="1:12" x14ac:dyDescent="0.25">
      <c r="A464">
        <v>2102077</v>
      </c>
      <c r="B464" t="str">
        <f t="shared" si="7"/>
        <v>BOM LUGAR, MA, Brasil</v>
      </c>
      <c r="C464" s="4" t="str">
        <f>_xlfn.XLOOKUP(A464,[1]!DadosGHD[CD_GEOCMU],[1]!DadosGHD[Região])</f>
        <v>NE</v>
      </c>
      <c r="D464" s="4" t="str">
        <f>_xlfn.XLOOKUP(A464,[1]!DadosGHD[CD_GEOCMU],[1]!DadosGHD[uf])</f>
        <v>MA</v>
      </c>
      <c r="E464" s="5" t="str">
        <f>_xlfn.XLOOKUP(A464,[1]!DadosGHD[CD_GEOCMU],[1]!DadosGHD[MUNICIPIO])</f>
        <v>BOM LUGAR</v>
      </c>
      <c r="F464" s="6">
        <v>28.847030639648398</v>
      </c>
      <c r="G464" s="6">
        <v>28.908628463745099</v>
      </c>
      <c r="H464" s="6">
        <v>28.942651748657202</v>
      </c>
      <c r="I464" s="6">
        <v>28.931276321411101</v>
      </c>
      <c r="J464" s="6">
        <v>28.9409065246582</v>
      </c>
      <c r="K464" s="6">
        <v>28.9686679840088</v>
      </c>
      <c r="L464" s="6">
        <v>26.2798957824707</v>
      </c>
    </row>
    <row r="465" spans="1:12" x14ac:dyDescent="0.25">
      <c r="A465">
        <v>1504307</v>
      </c>
      <c r="B465" t="str">
        <f t="shared" si="7"/>
        <v>MARACANA, PA, Brasil</v>
      </c>
      <c r="C465" s="4" t="str">
        <f>_xlfn.XLOOKUP(A465,[1]!DadosGHD[CD_GEOCMU],[1]!DadosGHD[Região])</f>
        <v>NO</v>
      </c>
      <c r="D465" s="4" t="str">
        <f>_xlfn.XLOOKUP(A465,[1]!DadosGHD[CD_GEOCMU],[1]!DadosGHD[uf])</f>
        <v>PA</v>
      </c>
      <c r="E465" s="5" t="str">
        <f>_xlfn.XLOOKUP(A465,[1]!DadosGHD[CD_GEOCMU],[1]!DadosGHD[MUNICIPIO])</f>
        <v>MARACANA</v>
      </c>
      <c r="F465" s="6">
        <v>28.847040176391602</v>
      </c>
      <c r="G465" s="6">
        <v>28.915849685668899</v>
      </c>
      <c r="H465" s="6">
        <v>28.9634799957275</v>
      </c>
      <c r="I465" s="6">
        <v>28.944797515869102</v>
      </c>
      <c r="J465" s="6">
        <v>28.961286544799801</v>
      </c>
      <c r="K465" s="6">
        <v>28.9946613311768</v>
      </c>
      <c r="L465" s="6">
        <v>26.290214538574201</v>
      </c>
    </row>
    <row r="466" spans="1:12" x14ac:dyDescent="0.25">
      <c r="A466">
        <v>2102325</v>
      </c>
      <c r="B466" t="str">
        <f t="shared" si="7"/>
        <v>BURITICUPU, MA, Brasil</v>
      </c>
      <c r="C466" s="4" t="str">
        <f>_xlfn.XLOOKUP(A466,[1]!DadosGHD[CD_GEOCMU],[1]!DadosGHD[Região])</f>
        <v>NE</v>
      </c>
      <c r="D466" s="4" t="str">
        <f>_xlfn.XLOOKUP(A466,[1]!DadosGHD[CD_GEOCMU],[1]!DadosGHD[uf])</f>
        <v>MA</v>
      </c>
      <c r="E466" s="5" t="str">
        <f>_xlfn.XLOOKUP(A466,[1]!DadosGHD[CD_GEOCMU],[1]!DadosGHD[MUNICIPIO])</f>
        <v>BURITICUPU</v>
      </c>
      <c r="F466" s="6">
        <v>28.847042083740199</v>
      </c>
      <c r="G466" s="6">
        <v>28.923582077026399</v>
      </c>
      <c r="H466" s="6">
        <v>28.9780082702637</v>
      </c>
      <c r="I466" s="6">
        <v>28.942567825317401</v>
      </c>
      <c r="J466" s="6">
        <v>28.9731140136719</v>
      </c>
      <c r="K466" s="6">
        <v>33.860301971435597</v>
      </c>
      <c r="L466" s="6">
        <v>35.117095947265597</v>
      </c>
    </row>
    <row r="467" spans="1:12" x14ac:dyDescent="0.25">
      <c r="A467">
        <v>2923050</v>
      </c>
      <c r="B467" t="str">
        <f t="shared" si="7"/>
        <v>NOVO TRIUNFO, BA, Brasil</v>
      </c>
      <c r="C467" s="4" t="str">
        <f>_xlfn.XLOOKUP(A467,[1]!DadosGHD[CD_GEOCMU],[1]!DadosGHD[Região])</f>
        <v>NE</v>
      </c>
      <c r="D467" s="4" t="str">
        <f>_xlfn.XLOOKUP(A467,[1]!DadosGHD[CD_GEOCMU],[1]!DadosGHD[uf])</f>
        <v>BA</v>
      </c>
      <c r="E467" s="5" t="str">
        <f>_xlfn.XLOOKUP(A467,[1]!DadosGHD[CD_GEOCMU],[1]!DadosGHD[MUNICIPIO])</f>
        <v>NOVO TRIUNFO</v>
      </c>
      <c r="F467" s="6">
        <v>28.8471164703369</v>
      </c>
      <c r="G467" s="6">
        <v>28.909082412719702</v>
      </c>
      <c r="H467" s="6">
        <v>28.9445610046387</v>
      </c>
      <c r="I467" s="6">
        <v>28.932201385498001</v>
      </c>
      <c r="J467" s="6">
        <v>28.9478435516357</v>
      </c>
      <c r="K467" s="6">
        <v>28.9754543304443</v>
      </c>
      <c r="L467" s="6">
        <v>26.292699813842798</v>
      </c>
    </row>
    <row r="468" spans="1:12" x14ac:dyDescent="0.25">
      <c r="A468">
        <v>1502954</v>
      </c>
      <c r="B468" t="str">
        <f t="shared" si="7"/>
        <v>ELDORADO DO CARAJAS, PA, Brasil</v>
      </c>
      <c r="C468" s="4" t="str">
        <f>_xlfn.XLOOKUP(A468,[1]!DadosGHD[CD_GEOCMU],[1]!DadosGHD[Região])</f>
        <v>NO</v>
      </c>
      <c r="D468" s="4" t="str">
        <f>_xlfn.XLOOKUP(A468,[1]!DadosGHD[CD_GEOCMU],[1]!DadosGHD[uf])</f>
        <v>PA</v>
      </c>
      <c r="E468" s="5" t="str">
        <f>_xlfn.XLOOKUP(A468,[1]!DadosGHD[CD_GEOCMU],[1]!DadosGHD[MUNICIPIO])</f>
        <v>ELDORADO DO CARAJAS</v>
      </c>
      <c r="F468" s="6">
        <v>28.847122192382798</v>
      </c>
      <c r="G468" s="6">
        <v>28.9182834625244</v>
      </c>
      <c r="H468" s="6">
        <v>28.959182739257798</v>
      </c>
      <c r="I468" s="6">
        <v>28.940265655517599</v>
      </c>
      <c r="J468" s="6">
        <v>28.956007003784201</v>
      </c>
      <c r="K468" s="6">
        <v>28.9849758148193</v>
      </c>
      <c r="L468" s="6">
        <v>26.293119430541999</v>
      </c>
    </row>
    <row r="469" spans="1:12" x14ac:dyDescent="0.25">
      <c r="A469">
        <v>2103554</v>
      </c>
      <c r="B469" t="str">
        <f t="shared" si="7"/>
        <v>CONCEICAO DO LAGO-ACU, MA, Brasil</v>
      </c>
      <c r="C469" s="4" t="str">
        <f>_xlfn.XLOOKUP(A469,[1]!DadosGHD[CD_GEOCMU],[1]!DadosGHD[Região])</f>
        <v>NE</v>
      </c>
      <c r="D469" s="4" t="str">
        <f>_xlfn.XLOOKUP(A469,[1]!DadosGHD[CD_GEOCMU],[1]!DadosGHD[uf])</f>
        <v>MA</v>
      </c>
      <c r="E469" s="5" t="str">
        <f>_xlfn.XLOOKUP(A469,[1]!DadosGHD[CD_GEOCMU],[1]!DadosGHD[MUNICIPIO])</f>
        <v>CONCEICAO DO LAGO-ACU</v>
      </c>
      <c r="F469" s="6">
        <v>28.847190856933601</v>
      </c>
      <c r="G469" s="6">
        <v>28.908683776855501</v>
      </c>
      <c r="H469" s="6">
        <v>28.9427185058594</v>
      </c>
      <c r="I469" s="6">
        <v>28.925045013427699</v>
      </c>
      <c r="J469" s="6">
        <v>28.9409065246582</v>
      </c>
      <c r="K469" s="6">
        <v>28.9686679840088</v>
      </c>
      <c r="L469" s="6">
        <v>26.2798957824707</v>
      </c>
    </row>
    <row r="470" spans="1:12" x14ac:dyDescent="0.25">
      <c r="A470">
        <v>2924504</v>
      </c>
      <c r="B470" t="str">
        <f t="shared" si="7"/>
        <v>PINDAI, BA, Brasil</v>
      </c>
      <c r="C470" s="4" t="str">
        <f>_xlfn.XLOOKUP(A470,[1]!DadosGHD[CD_GEOCMU],[1]!DadosGHD[Região])</f>
        <v>NE</v>
      </c>
      <c r="D470" s="4" t="str">
        <f>_xlfn.XLOOKUP(A470,[1]!DadosGHD[CD_GEOCMU],[1]!DadosGHD[uf])</f>
        <v>BA</v>
      </c>
      <c r="E470" s="5" t="str">
        <f>_xlfn.XLOOKUP(A470,[1]!DadosGHD[CD_GEOCMU],[1]!DadosGHD[MUNICIPIO])</f>
        <v>PINDAI</v>
      </c>
      <c r="F470" s="6">
        <v>28.847194671630898</v>
      </c>
      <c r="G470" s="6">
        <v>28.909624099731399</v>
      </c>
      <c r="H470" s="6">
        <v>28.9452419281006</v>
      </c>
      <c r="I470" s="6">
        <v>28.926542282104499</v>
      </c>
      <c r="J470" s="6">
        <v>28.94118309021</v>
      </c>
      <c r="K470" s="6">
        <v>28.9686679840088</v>
      </c>
      <c r="L470" s="6">
        <v>26.2798957824707</v>
      </c>
    </row>
    <row r="471" spans="1:12" x14ac:dyDescent="0.25">
      <c r="A471">
        <v>1501006</v>
      </c>
      <c r="B471" t="str">
        <f t="shared" si="7"/>
        <v>AVEIRO, PA, Brasil</v>
      </c>
      <c r="C471" s="4" t="str">
        <f>_xlfn.XLOOKUP(A471,[1]!DadosGHD[CD_GEOCMU],[1]!DadosGHD[Região])</f>
        <v>NO</v>
      </c>
      <c r="D471" s="4" t="str">
        <f>_xlfn.XLOOKUP(A471,[1]!DadosGHD[CD_GEOCMU],[1]!DadosGHD[uf])</f>
        <v>PA</v>
      </c>
      <c r="E471" s="5" t="str">
        <f>_xlfn.XLOOKUP(A471,[1]!DadosGHD[CD_GEOCMU],[1]!DadosGHD[MUNICIPIO])</f>
        <v>AVEIRO</v>
      </c>
      <c r="F471" s="6">
        <v>28.847349166870099</v>
      </c>
      <c r="G471" s="6">
        <v>28.909315109252901</v>
      </c>
      <c r="H471" s="6">
        <v>28.942651748657202</v>
      </c>
      <c r="I471" s="6">
        <v>28.925045013427699</v>
      </c>
      <c r="J471" s="6">
        <v>28.9409065246582</v>
      </c>
      <c r="K471" s="6">
        <v>28.9686679840088</v>
      </c>
      <c r="L471" s="6">
        <v>26.2798957824707</v>
      </c>
    </row>
    <row r="472" spans="1:12" x14ac:dyDescent="0.25">
      <c r="A472">
        <v>2112605</v>
      </c>
      <c r="B472" t="str">
        <f t="shared" si="7"/>
        <v>URBANO SANTOS, MA, Brasil</v>
      </c>
      <c r="C472" s="4" t="str">
        <f>_xlfn.XLOOKUP(A472,[1]!DadosGHD[CD_GEOCMU],[1]!DadosGHD[Região])</f>
        <v>NE</v>
      </c>
      <c r="D472" s="4" t="str">
        <f>_xlfn.XLOOKUP(A472,[1]!DadosGHD[CD_GEOCMU],[1]!DadosGHD[uf])</f>
        <v>MA</v>
      </c>
      <c r="E472" s="5" t="str">
        <f>_xlfn.XLOOKUP(A472,[1]!DadosGHD[CD_GEOCMU],[1]!DadosGHD[MUNICIPIO])</f>
        <v>URBANO SANTOS</v>
      </c>
      <c r="F472" s="6">
        <v>28.8473796844482</v>
      </c>
      <c r="G472" s="6">
        <v>28.9092197418213</v>
      </c>
      <c r="H472" s="6">
        <v>28.943382263183601</v>
      </c>
      <c r="I472" s="6">
        <v>28.925045013427699</v>
      </c>
      <c r="J472" s="6">
        <v>28.9409065246582</v>
      </c>
      <c r="K472" s="6">
        <v>28.9686679840088</v>
      </c>
      <c r="L472" s="6">
        <v>26.2798957824707</v>
      </c>
    </row>
    <row r="473" spans="1:12" x14ac:dyDescent="0.25">
      <c r="A473">
        <v>2100600</v>
      </c>
      <c r="B473" t="str">
        <f t="shared" si="7"/>
        <v>AMARANTE DO MARANHAO, MA, Brasil</v>
      </c>
      <c r="C473" s="4" t="str">
        <f>_xlfn.XLOOKUP(A473,[1]!DadosGHD[CD_GEOCMU],[1]!DadosGHD[Região])</f>
        <v>NE</v>
      </c>
      <c r="D473" s="4" t="str">
        <f>_xlfn.XLOOKUP(A473,[1]!DadosGHD[CD_GEOCMU],[1]!DadosGHD[uf])</f>
        <v>MA</v>
      </c>
      <c r="E473" s="5" t="str">
        <f>_xlfn.XLOOKUP(A473,[1]!DadosGHD[CD_GEOCMU],[1]!DadosGHD[MUNICIPIO])</f>
        <v>AMARANTE DO MARANHAO</v>
      </c>
      <c r="F473" s="6">
        <v>28.8475456237793</v>
      </c>
      <c r="G473" s="6">
        <v>28.907878875732401</v>
      </c>
      <c r="H473" s="6">
        <v>28.942651748657202</v>
      </c>
      <c r="I473" s="6">
        <v>28.937650680541999</v>
      </c>
      <c r="J473" s="6">
        <v>28.958280563354499</v>
      </c>
      <c r="K473" s="6">
        <v>29.004947662353501</v>
      </c>
      <c r="L473" s="6">
        <v>30.699201583862301</v>
      </c>
    </row>
    <row r="474" spans="1:12" x14ac:dyDescent="0.25">
      <c r="A474">
        <v>2105609</v>
      </c>
      <c r="B474" t="str">
        <f t="shared" si="7"/>
        <v>JOSELANDIA, MA, Brasil</v>
      </c>
      <c r="C474" s="4" t="str">
        <f>_xlfn.XLOOKUP(A474,[1]!DadosGHD[CD_GEOCMU],[1]!DadosGHD[Região])</f>
        <v>NE</v>
      </c>
      <c r="D474" s="4" t="str">
        <f>_xlfn.XLOOKUP(A474,[1]!DadosGHD[CD_GEOCMU],[1]!DadosGHD[uf])</f>
        <v>MA</v>
      </c>
      <c r="E474" s="5" t="str">
        <f>_xlfn.XLOOKUP(A474,[1]!DadosGHD[CD_GEOCMU],[1]!DadosGHD[MUNICIPIO])</f>
        <v>JOSELANDIA</v>
      </c>
      <c r="F474" s="6">
        <v>28.847663879394499</v>
      </c>
      <c r="G474" s="6">
        <v>28.9094638824463</v>
      </c>
      <c r="H474" s="6">
        <v>28.942651748657202</v>
      </c>
      <c r="I474" s="6">
        <v>28.925045013427699</v>
      </c>
      <c r="J474" s="6">
        <v>28.9409065246582</v>
      </c>
      <c r="K474" s="6">
        <v>28.9686679840088</v>
      </c>
      <c r="L474" s="6">
        <v>26.2798957824707</v>
      </c>
    </row>
    <row r="475" spans="1:12" x14ac:dyDescent="0.25">
      <c r="A475">
        <v>2513927</v>
      </c>
      <c r="B475" t="str">
        <f t="shared" si="7"/>
        <v>SAO BENTINHO, PB, Brasil</v>
      </c>
      <c r="C475" s="4" t="str">
        <f>_xlfn.XLOOKUP(A475,[1]!DadosGHD[CD_GEOCMU],[1]!DadosGHD[Região])</f>
        <v>NE</v>
      </c>
      <c r="D475" s="4" t="str">
        <f>_xlfn.XLOOKUP(A475,[1]!DadosGHD[CD_GEOCMU],[1]!DadosGHD[uf])</f>
        <v>PB</v>
      </c>
      <c r="E475" s="5" t="str">
        <f>_xlfn.XLOOKUP(A475,[1]!DadosGHD[CD_GEOCMU],[1]!DadosGHD[MUNICIPIO])</f>
        <v>SAO BENTINHO</v>
      </c>
      <c r="F475" s="6">
        <v>28.847721099853501</v>
      </c>
      <c r="G475" s="6">
        <v>28.917539596557599</v>
      </c>
      <c r="H475" s="6">
        <v>28.951587677001999</v>
      </c>
      <c r="I475" s="6">
        <v>28.939113616943398</v>
      </c>
      <c r="J475" s="6">
        <v>28.9692783355713</v>
      </c>
      <c r="K475" s="6">
        <v>33.887542724609403</v>
      </c>
      <c r="L475" s="6">
        <v>44.0369262695313</v>
      </c>
    </row>
    <row r="476" spans="1:12" x14ac:dyDescent="0.25">
      <c r="A476">
        <v>2105351</v>
      </c>
      <c r="B476" t="str">
        <f t="shared" si="7"/>
        <v>ITAIPAVA DO GRAJAU, MA, Brasil</v>
      </c>
      <c r="C476" s="4" t="str">
        <f>_xlfn.XLOOKUP(A476,[1]!DadosGHD[CD_GEOCMU],[1]!DadosGHD[Região])</f>
        <v>NE</v>
      </c>
      <c r="D476" s="4" t="str">
        <f>_xlfn.XLOOKUP(A476,[1]!DadosGHD[CD_GEOCMU],[1]!DadosGHD[uf])</f>
        <v>MA</v>
      </c>
      <c r="E476" s="5" t="str">
        <f>_xlfn.XLOOKUP(A476,[1]!DadosGHD[CD_GEOCMU],[1]!DadosGHD[MUNICIPIO])</f>
        <v>ITAIPAVA DO GRAJAU</v>
      </c>
      <c r="F476" s="6">
        <v>28.847822189331101</v>
      </c>
      <c r="G476" s="6">
        <v>28.909154891967798</v>
      </c>
      <c r="H476" s="6">
        <v>28.94797706604</v>
      </c>
      <c r="I476" s="6">
        <v>28.927001953125</v>
      </c>
      <c r="J476" s="6">
        <v>28.9418048858643</v>
      </c>
      <c r="K476" s="6">
        <v>28.9686679840088</v>
      </c>
      <c r="L476" s="6">
        <v>26.2843017578125</v>
      </c>
    </row>
    <row r="477" spans="1:12" x14ac:dyDescent="0.25">
      <c r="A477">
        <v>2101251</v>
      </c>
      <c r="B477" t="str">
        <f t="shared" si="7"/>
        <v>BACABEIRA, MA, Brasil</v>
      </c>
      <c r="C477" s="4" t="str">
        <f>_xlfn.XLOOKUP(A477,[1]!DadosGHD[CD_GEOCMU],[1]!DadosGHD[Região])</f>
        <v>NE</v>
      </c>
      <c r="D477" s="4" t="str">
        <f>_xlfn.XLOOKUP(A477,[1]!DadosGHD[CD_GEOCMU],[1]!DadosGHD[uf])</f>
        <v>MA</v>
      </c>
      <c r="E477" s="5" t="str">
        <f>_xlfn.XLOOKUP(A477,[1]!DadosGHD[CD_GEOCMU],[1]!DadosGHD[MUNICIPIO])</f>
        <v>BACABEIRA</v>
      </c>
      <c r="F477" s="6">
        <v>28.848106384277301</v>
      </c>
      <c r="G477" s="6">
        <v>28.907878875732401</v>
      </c>
      <c r="H477" s="6">
        <v>28.942651748657202</v>
      </c>
      <c r="I477" s="6">
        <v>28.925045013427699</v>
      </c>
      <c r="J477" s="6">
        <v>28.947898864746101</v>
      </c>
      <c r="K477" s="6">
        <v>28.9792881011963</v>
      </c>
      <c r="L477" s="6">
        <v>26.2978839874268</v>
      </c>
    </row>
    <row r="478" spans="1:12" x14ac:dyDescent="0.25">
      <c r="A478">
        <v>3540853</v>
      </c>
      <c r="B478" t="str">
        <f t="shared" si="7"/>
        <v>PRACINHA, SP, Brasil</v>
      </c>
      <c r="C478" s="4" t="str">
        <f>_xlfn.XLOOKUP(A478,[1]!DadosGHD[CD_GEOCMU],[1]!DadosGHD[Região])</f>
        <v>SD</v>
      </c>
      <c r="D478" s="4" t="str">
        <f>_xlfn.XLOOKUP(A478,[1]!DadosGHD[CD_GEOCMU],[1]!DadosGHD[uf])</f>
        <v>SP</v>
      </c>
      <c r="E478" s="5" t="str">
        <f>_xlfn.XLOOKUP(A478,[1]!DadosGHD[CD_GEOCMU],[1]!DadosGHD[MUNICIPIO])</f>
        <v>PRACINHA</v>
      </c>
      <c r="F478" s="6">
        <v>28.848121643066399</v>
      </c>
      <c r="G478" s="6">
        <v>28.9261474609375</v>
      </c>
      <c r="H478" s="6">
        <v>28.947999954223601</v>
      </c>
      <c r="I478" s="6">
        <v>28.925045013427699</v>
      </c>
      <c r="J478" s="6">
        <v>28.9409065246582</v>
      </c>
      <c r="K478" s="6">
        <v>28.9686679840088</v>
      </c>
      <c r="L478" s="6">
        <v>30.718793869018601</v>
      </c>
    </row>
    <row r="479" spans="1:12" x14ac:dyDescent="0.25">
      <c r="A479">
        <v>1300029</v>
      </c>
      <c r="B479" t="str">
        <f t="shared" si="7"/>
        <v>ALVARAES, AM, Brasil</v>
      </c>
      <c r="C479" s="4" t="str">
        <f>_xlfn.XLOOKUP(A479,[1]!DadosGHD[CD_GEOCMU],[1]!DadosGHD[Região])</f>
        <v>NO</v>
      </c>
      <c r="D479" s="4" t="str">
        <f>_xlfn.XLOOKUP(A479,[1]!DadosGHD[CD_GEOCMU],[1]!DadosGHD[uf])</f>
        <v>AM</v>
      </c>
      <c r="E479" s="5" t="str">
        <f>_xlfn.XLOOKUP(A479,[1]!DadosGHD[CD_GEOCMU],[1]!DadosGHD[MUNICIPIO])</f>
        <v>ALVARAES</v>
      </c>
      <c r="F479" s="6">
        <v>28.848140716552699</v>
      </c>
      <c r="G479" s="6">
        <v>28.909418106079102</v>
      </c>
      <c r="H479" s="6">
        <v>28.9432678222656</v>
      </c>
      <c r="I479" s="6">
        <v>28.925045013427699</v>
      </c>
      <c r="J479" s="6">
        <v>28.9409065246582</v>
      </c>
      <c r="K479" s="6">
        <v>28.9686679840088</v>
      </c>
      <c r="L479" s="6">
        <v>35.117366790771499</v>
      </c>
    </row>
    <row r="480" spans="1:12" x14ac:dyDescent="0.25">
      <c r="A480">
        <v>1505908</v>
      </c>
      <c r="B480" t="str">
        <f t="shared" si="7"/>
        <v>PORTO DE MOZ, PA, Brasil</v>
      </c>
      <c r="C480" s="4" t="str">
        <f>_xlfn.XLOOKUP(A480,[1]!DadosGHD[CD_GEOCMU],[1]!DadosGHD[Região])</f>
        <v>NO</v>
      </c>
      <c r="D480" s="4" t="str">
        <f>_xlfn.XLOOKUP(A480,[1]!DadosGHD[CD_GEOCMU],[1]!DadosGHD[uf])</f>
        <v>PA</v>
      </c>
      <c r="E480" s="5" t="str">
        <f>_xlfn.XLOOKUP(A480,[1]!DadosGHD[CD_GEOCMU],[1]!DadosGHD[MUNICIPIO])</f>
        <v>PORTO DE MOZ</v>
      </c>
      <c r="F480" s="6">
        <v>28.848300933837901</v>
      </c>
      <c r="G480" s="6">
        <v>28.914155960083001</v>
      </c>
      <c r="H480" s="6">
        <v>28.9533805847168</v>
      </c>
      <c r="I480" s="6">
        <v>28.9412841796875</v>
      </c>
      <c r="J480" s="6">
        <v>28.955766677856399</v>
      </c>
      <c r="K480" s="6">
        <v>28.9811305999756</v>
      </c>
      <c r="L480" s="6">
        <v>26.2798957824707</v>
      </c>
    </row>
    <row r="481" spans="1:12" x14ac:dyDescent="0.25">
      <c r="A481">
        <v>1506708</v>
      </c>
      <c r="B481" t="str">
        <f t="shared" si="7"/>
        <v>SANTANA DO ARAGUAIA, PA, Brasil</v>
      </c>
      <c r="C481" s="4" t="str">
        <f>_xlfn.XLOOKUP(A481,[1]!DadosGHD[CD_GEOCMU],[1]!DadosGHD[Região])</f>
        <v>NO</v>
      </c>
      <c r="D481" s="4" t="str">
        <f>_xlfn.XLOOKUP(A481,[1]!DadosGHD[CD_GEOCMU],[1]!DadosGHD[uf])</f>
        <v>PA</v>
      </c>
      <c r="E481" s="5" t="str">
        <f>_xlfn.XLOOKUP(A481,[1]!DadosGHD[CD_GEOCMU],[1]!DadosGHD[MUNICIPIO])</f>
        <v>SANTANA DO ARAGUAIA</v>
      </c>
      <c r="F481" s="6">
        <v>28.848314285278299</v>
      </c>
      <c r="G481" s="6">
        <v>28.919258117675799</v>
      </c>
      <c r="H481" s="6">
        <v>28.953269958496101</v>
      </c>
      <c r="I481" s="6">
        <v>28.935379028320298</v>
      </c>
      <c r="J481" s="6">
        <v>28.951667785644499</v>
      </c>
      <c r="K481" s="6">
        <v>29.005643844604499</v>
      </c>
      <c r="L481" s="6">
        <v>35.142005920410199</v>
      </c>
    </row>
    <row r="482" spans="1:12" x14ac:dyDescent="0.25">
      <c r="A482">
        <v>2901908</v>
      </c>
      <c r="B482" t="str">
        <f t="shared" si="7"/>
        <v>APORA, BA, Brasil</v>
      </c>
      <c r="C482" s="4" t="str">
        <f>_xlfn.XLOOKUP(A482,[1]!DadosGHD[CD_GEOCMU],[1]!DadosGHD[Região])</f>
        <v>NE</v>
      </c>
      <c r="D482" s="4" t="str">
        <f>_xlfn.XLOOKUP(A482,[1]!DadosGHD[CD_GEOCMU],[1]!DadosGHD[uf])</f>
        <v>BA</v>
      </c>
      <c r="E482" s="5" t="str">
        <f>_xlfn.XLOOKUP(A482,[1]!DadosGHD[CD_GEOCMU],[1]!DadosGHD[MUNICIPIO])</f>
        <v>APORA</v>
      </c>
      <c r="F482" s="6">
        <v>28.848424911498999</v>
      </c>
      <c r="G482" s="6">
        <v>28.907878875732401</v>
      </c>
      <c r="H482" s="6">
        <v>28.9649868011475</v>
      </c>
      <c r="I482" s="6">
        <v>33.797817230224602</v>
      </c>
      <c r="J482" s="6">
        <v>33.830535888671903</v>
      </c>
      <c r="K482" s="6">
        <v>28.9793586730957</v>
      </c>
      <c r="L482" s="6">
        <v>26.297815322876001</v>
      </c>
    </row>
    <row r="483" spans="1:12" x14ac:dyDescent="0.25">
      <c r="A483">
        <v>4112900</v>
      </c>
      <c r="B483" t="str">
        <f t="shared" si="7"/>
        <v>JUNDIAI DO SUL, PR, Brasil</v>
      </c>
      <c r="C483" s="4" t="str">
        <f>_xlfn.XLOOKUP(A483,[1]!DadosGHD[CD_GEOCMU],[1]!DadosGHD[Região])</f>
        <v>SL</v>
      </c>
      <c r="D483" s="4" t="str">
        <f>_xlfn.XLOOKUP(A483,[1]!DadosGHD[CD_GEOCMU],[1]!DadosGHD[uf])</f>
        <v>PR</v>
      </c>
      <c r="E483" s="5" t="str">
        <f>_xlfn.XLOOKUP(A483,[1]!DadosGHD[CD_GEOCMU],[1]!DadosGHD[MUNICIPIO])</f>
        <v>JUNDIAI DO SUL</v>
      </c>
      <c r="F483" s="6">
        <v>28.848461151123001</v>
      </c>
      <c r="G483" s="6">
        <v>38.735389709472699</v>
      </c>
      <c r="H483" s="6">
        <v>38.793766021728501</v>
      </c>
      <c r="I483" s="6">
        <v>38.764678955078097</v>
      </c>
      <c r="J483" s="6">
        <v>38.753463745117202</v>
      </c>
      <c r="K483" s="6">
        <v>38.804149627685597</v>
      </c>
      <c r="L483" s="6">
        <v>35.137535095214801</v>
      </c>
    </row>
    <row r="484" spans="1:12" x14ac:dyDescent="0.25">
      <c r="A484">
        <v>2110278</v>
      </c>
      <c r="B484" t="str">
        <f t="shared" si="7"/>
        <v>SANTO AMARO DO MARANHAO, MA, Brasil</v>
      </c>
      <c r="C484" s="4" t="str">
        <f>_xlfn.XLOOKUP(A484,[1]!DadosGHD[CD_GEOCMU],[1]!DadosGHD[Região])</f>
        <v>NE</v>
      </c>
      <c r="D484" s="4" t="str">
        <f>_xlfn.XLOOKUP(A484,[1]!DadosGHD[CD_GEOCMU],[1]!DadosGHD[uf])</f>
        <v>MA</v>
      </c>
      <c r="E484" s="5" t="str">
        <f>_xlfn.XLOOKUP(A484,[1]!DadosGHD[CD_GEOCMU],[1]!DadosGHD[MUNICIPIO])</f>
        <v>SANTO AMARO DO MARANHAO</v>
      </c>
      <c r="F484" s="6">
        <v>28.848527908325199</v>
      </c>
      <c r="G484" s="6">
        <v>28.9095649719238</v>
      </c>
      <c r="H484" s="6">
        <v>28.945713043212901</v>
      </c>
      <c r="I484" s="6">
        <v>28.925092697143601</v>
      </c>
      <c r="J484" s="6">
        <v>28.9409065246582</v>
      </c>
      <c r="K484" s="6">
        <v>28.9686679840088</v>
      </c>
      <c r="L484" s="6">
        <v>26.2798957824707</v>
      </c>
    </row>
    <row r="485" spans="1:12" x14ac:dyDescent="0.25">
      <c r="A485">
        <v>2700508</v>
      </c>
      <c r="B485" t="str">
        <f t="shared" si="7"/>
        <v>BARRA DE SANTO ANTONIO, AL, Brasil</v>
      </c>
      <c r="C485" s="4" t="str">
        <f>_xlfn.XLOOKUP(A485,[1]!DadosGHD[CD_GEOCMU],[1]!DadosGHD[Região])</f>
        <v>NE</v>
      </c>
      <c r="D485" s="4" t="str">
        <f>_xlfn.XLOOKUP(A485,[1]!DadosGHD[CD_GEOCMU],[1]!DadosGHD[uf])</f>
        <v>AL</v>
      </c>
      <c r="E485" s="5" t="str">
        <f>_xlfn.XLOOKUP(A485,[1]!DadosGHD[CD_GEOCMU],[1]!DadosGHD[MUNICIPIO])</f>
        <v>BARRA DE SANTO ANTONIO</v>
      </c>
      <c r="F485" s="6">
        <v>28.848609924316399</v>
      </c>
      <c r="G485" s="6">
        <v>28.912021636962901</v>
      </c>
      <c r="H485" s="6">
        <v>28.944341659545898</v>
      </c>
      <c r="I485" s="6">
        <v>28.925045013427699</v>
      </c>
      <c r="J485" s="6">
        <v>28.9415588378906</v>
      </c>
      <c r="K485" s="6">
        <v>29.0046710968018</v>
      </c>
      <c r="L485" s="6">
        <v>35.123893737792997</v>
      </c>
    </row>
    <row r="486" spans="1:12" x14ac:dyDescent="0.25">
      <c r="A486">
        <v>1302306</v>
      </c>
      <c r="B486" t="str">
        <f t="shared" si="7"/>
        <v>JUTAI, AM, Brasil</v>
      </c>
      <c r="C486" s="4" t="str">
        <f>_xlfn.XLOOKUP(A486,[1]!DadosGHD[CD_GEOCMU],[1]!DadosGHD[Região])</f>
        <v>NO</v>
      </c>
      <c r="D486" s="4" t="str">
        <f>_xlfn.XLOOKUP(A486,[1]!DadosGHD[CD_GEOCMU],[1]!DadosGHD[uf])</f>
        <v>AM</v>
      </c>
      <c r="E486" s="5" t="str">
        <f>_xlfn.XLOOKUP(A486,[1]!DadosGHD[CD_GEOCMU],[1]!DadosGHD[MUNICIPIO])</f>
        <v>JUTAI</v>
      </c>
      <c r="F486" s="6">
        <v>28.849073410034201</v>
      </c>
      <c r="G486" s="6">
        <v>28.9124660491943</v>
      </c>
      <c r="H486" s="6">
        <v>28.9496040344238</v>
      </c>
      <c r="I486" s="6">
        <v>28.9324054718018</v>
      </c>
      <c r="J486" s="6">
        <v>28.948585510253899</v>
      </c>
      <c r="K486" s="6">
        <v>28.977783203125</v>
      </c>
      <c r="L486" s="6">
        <v>35.1541748046875</v>
      </c>
    </row>
    <row r="487" spans="1:12" x14ac:dyDescent="0.25">
      <c r="A487">
        <v>4108957</v>
      </c>
      <c r="B487" t="str">
        <f t="shared" si="7"/>
        <v>GUAMIRANGA, PR, Brasil</v>
      </c>
      <c r="C487" s="4" t="str">
        <f>_xlfn.XLOOKUP(A487,[1]!DadosGHD[CD_GEOCMU],[1]!DadosGHD[Região])</f>
        <v>SL</v>
      </c>
      <c r="D487" s="4" t="str">
        <f>_xlfn.XLOOKUP(A487,[1]!DadosGHD[CD_GEOCMU],[1]!DadosGHD[uf])</f>
        <v>PR</v>
      </c>
      <c r="E487" s="5" t="str">
        <f>_xlfn.XLOOKUP(A487,[1]!DadosGHD[CD_GEOCMU],[1]!DadosGHD[MUNICIPIO])</f>
        <v>GUAMIRANGA</v>
      </c>
      <c r="F487" s="6">
        <v>28.849149703979499</v>
      </c>
      <c r="G487" s="6">
        <v>33.808841705322301</v>
      </c>
      <c r="H487" s="6">
        <v>33.864303588867202</v>
      </c>
      <c r="I487" s="6">
        <v>33.825885772705099</v>
      </c>
      <c r="J487" s="6">
        <v>33.832992553710902</v>
      </c>
      <c r="K487" s="6">
        <v>33.886482238769503</v>
      </c>
      <c r="L487" s="6">
        <v>35.118614196777301</v>
      </c>
    </row>
    <row r="488" spans="1:12" x14ac:dyDescent="0.25">
      <c r="A488">
        <v>2112209</v>
      </c>
      <c r="B488" t="str">
        <f t="shared" si="7"/>
        <v>TIMON, MA, Brasil</v>
      </c>
      <c r="C488" s="4" t="str">
        <f>_xlfn.XLOOKUP(A488,[1]!DadosGHD[CD_GEOCMU],[1]!DadosGHD[Região])</f>
        <v>NE</v>
      </c>
      <c r="D488" s="4" t="str">
        <f>_xlfn.XLOOKUP(A488,[1]!DadosGHD[CD_GEOCMU],[1]!DadosGHD[uf])</f>
        <v>MA</v>
      </c>
      <c r="E488" s="5" t="str">
        <f>_xlfn.XLOOKUP(A488,[1]!DadosGHD[CD_GEOCMU],[1]!DadosGHD[MUNICIPIO])</f>
        <v>TIMON</v>
      </c>
      <c r="F488" s="6">
        <v>28.8491611480713</v>
      </c>
      <c r="G488" s="6">
        <v>28.919906616210898</v>
      </c>
      <c r="H488" s="6">
        <v>28.960035324096701</v>
      </c>
      <c r="I488" s="6">
        <v>28.9478435516357</v>
      </c>
      <c r="J488" s="6">
        <v>28.9746417999268</v>
      </c>
      <c r="K488" s="6">
        <v>33.886882781982401</v>
      </c>
      <c r="L488" s="6">
        <v>35.141201019287102</v>
      </c>
    </row>
    <row r="489" spans="1:12" x14ac:dyDescent="0.25">
      <c r="A489">
        <v>2930402</v>
      </c>
      <c r="B489" t="str">
        <f t="shared" si="7"/>
        <v>SERRA PRETA, BA, Brasil</v>
      </c>
      <c r="C489" s="4" t="str">
        <f>_xlfn.XLOOKUP(A489,[1]!DadosGHD[CD_GEOCMU],[1]!DadosGHD[Região])</f>
        <v>NE</v>
      </c>
      <c r="D489" s="4" t="str">
        <f>_xlfn.XLOOKUP(A489,[1]!DadosGHD[CD_GEOCMU],[1]!DadosGHD[uf])</f>
        <v>BA</v>
      </c>
      <c r="E489" s="5" t="str">
        <f>_xlfn.XLOOKUP(A489,[1]!DadosGHD[CD_GEOCMU],[1]!DadosGHD[MUNICIPIO])</f>
        <v>SERRA PRETA</v>
      </c>
      <c r="F489" s="6">
        <v>28.849180221557599</v>
      </c>
      <c r="G489" s="6">
        <v>28.911870956420898</v>
      </c>
      <c r="H489" s="6">
        <v>28.954811096191399</v>
      </c>
      <c r="I489" s="6">
        <v>33.793590545654297</v>
      </c>
      <c r="J489" s="6">
        <v>33.842922210693402</v>
      </c>
      <c r="K489" s="6">
        <v>33.857940673828097</v>
      </c>
      <c r="L489" s="6">
        <v>30.707374572753899</v>
      </c>
    </row>
    <row r="490" spans="1:12" x14ac:dyDescent="0.25">
      <c r="A490">
        <v>1501204</v>
      </c>
      <c r="B490" t="str">
        <f t="shared" si="7"/>
        <v>BAIAO, PA, Brasil</v>
      </c>
      <c r="C490" s="4" t="str">
        <f>_xlfn.XLOOKUP(A490,[1]!DadosGHD[CD_GEOCMU],[1]!DadosGHD[Região])</f>
        <v>NO</v>
      </c>
      <c r="D490" s="4" t="str">
        <f>_xlfn.XLOOKUP(A490,[1]!DadosGHD[CD_GEOCMU],[1]!DadosGHD[uf])</f>
        <v>PA</v>
      </c>
      <c r="E490" s="5" t="str">
        <f>_xlfn.XLOOKUP(A490,[1]!DadosGHD[CD_GEOCMU],[1]!DadosGHD[MUNICIPIO])</f>
        <v>BAIAO</v>
      </c>
      <c r="F490" s="6">
        <v>28.849195480346701</v>
      </c>
      <c r="G490" s="6">
        <v>28.91552734375</v>
      </c>
      <c r="H490" s="6">
        <v>28.958223342895501</v>
      </c>
      <c r="I490" s="6">
        <v>28.939214706420898</v>
      </c>
      <c r="J490" s="6">
        <v>28.952650070190401</v>
      </c>
      <c r="K490" s="6">
        <v>28.9796047210693</v>
      </c>
      <c r="L490" s="6">
        <v>26.2798957824707</v>
      </c>
    </row>
    <row r="491" spans="1:12" x14ac:dyDescent="0.25">
      <c r="A491">
        <v>3515806</v>
      </c>
      <c r="B491" t="str">
        <f t="shared" si="7"/>
        <v>FLORA RICA, SP, Brasil</v>
      </c>
      <c r="C491" s="4" t="str">
        <f>_xlfn.XLOOKUP(A491,[1]!DadosGHD[CD_GEOCMU],[1]!DadosGHD[Região])</f>
        <v>SD</v>
      </c>
      <c r="D491" s="4" t="str">
        <f>_xlfn.XLOOKUP(A491,[1]!DadosGHD[CD_GEOCMU],[1]!DadosGHD[uf])</f>
        <v>SP</v>
      </c>
      <c r="E491" s="5" t="str">
        <f>_xlfn.XLOOKUP(A491,[1]!DadosGHD[CD_GEOCMU],[1]!DadosGHD[MUNICIPIO])</f>
        <v>FLORA RICA</v>
      </c>
      <c r="F491" s="6">
        <v>28.8492622375488</v>
      </c>
      <c r="G491" s="6">
        <v>28.917503356933601</v>
      </c>
      <c r="H491" s="6">
        <v>28.944932937622099</v>
      </c>
      <c r="I491" s="6">
        <v>28.925045013427699</v>
      </c>
      <c r="J491" s="6">
        <v>28.94508934021</v>
      </c>
      <c r="K491" s="6">
        <v>33.845344543457003</v>
      </c>
      <c r="L491" s="6">
        <v>30.6954441070557</v>
      </c>
    </row>
    <row r="492" spans="1:12" x14ac:dyDescent="0.25">
      <c r="A492">
        <v>1301407</v>
      </c>
      <c r="B492" t="str">
        <f t="shared" si="7"/>
        <v>EIRUNEPE, AM, Brasil</v>
      </c>
      <c r="C492" s="4" t="str">
        <f>_xlfn.XLOOKUP(A492,[1]!DadosGHD[CD_GEOCMU],[1]!DadosGHD[Região])</f>
        <v>NO</v>
      </c>
      <c r="D492" s="4" t="str">
        <f>_xlfn.XLOOKUP(A492,[1]!DadosGHD[CD_GEOCMU],[1]!DadosGHD[uf])</f>
        <v>AM</v>
      </c>
      <c r="E492" s="5" t="str">
        <f>_xlfn.XLOOKUP(A492,[1]!DadosGHD[CD_GEOCMU],[1]!DadosGHD[MUNICIPIO])</f>
        <v>EIRUNEPE</v>
      </c>
      <c r="F492" s="6">
        <v>28.849584579467798</v>
      </c>
      <c r="G492" s="6">
        <v>28.9107055664063</v>
      </c>
      <c r="H492" s="6">
        <v>28.943849563598601</v>
      </c>
      <c r="I492" s="6">
        <v>28.925045013427699</v>
      </c>
      <c r="J492" s="6">
        <v>28.9409065246582</v>
      </c>
      <c r="K492" s="6">
        <v>28.9686679840088</v>
      </c>
      <c r="L492" s="6">
        <v>26.2798957824707</v>
      </c>
    </row>
    <row r="493" spans="1:12" x14ac:dyDescent="0.25">
      <c r="A493">
        <v>2308401</v>
      </c>
      <c r="B493" t="str">
        <f t="shared" si="7"/>
        <v>MISSAO VELHA, CE, Brasil</v>
      </c>
      <c r="C493" s="4" t="str">
        <f>_xlfn.XLOOKUP(A493,[1]!DadosGHD[CD_GEOCMU],[1]!DadosGHD[Região])</f>
        <v>NE</v>
      </c>
      <c r="D493" s="4" t="str">
        <f>_xlfn.XLOOKUP(A493,[1]!DadosGHD[CD_GEOCMU],[1]!DadosGHD[uf])</f>
        <v>CE</v>
      </c>
      <c r="E493" s="5" t="str">
        <f>_xlfn.XLOOKUP(A493,[1]!DadosGHD[CD_GEOCMU],[1]!DadosGHD[MUNICIPIO])</f>
        <v>MISSAO VELHA</v>
      </c>
      <c r="F493" s="6">
        <v>28.849756240844702</v>
      </c>
      <c r="G493" s="6">
        <v>28.929468154907202</v>
      </c>
      <c r="H493" s="6">
        <v>28.9680061340332</v>
      </c>
      <c r="I493" s="6">
        <v>33.815975189208999</v>
      </c>
      <c r="J493" s="6">
        <v>33.8382568359375</v>
      </c>
      <c r="K493" s="6">
        <v>33.884368896484403</v>
      </c>
      <c r="L493" s="6">
        <v>35.135211944580099</v>
      </c>
    </row>
    <row r="494" spans="1:12" x14ac:dyDescent="0.25">
      <c r="A494">
        <v>2108801</v>
      </c>
      <c r="B494" t="str">
        <f t="shared" si="7"/>
        <v>PIRAPEMAS, MA, Brasil</v>
      </c>
      <c r="C494" s="4" t="str">
        <f>_xlfn.XLOOKUP(A494,[1]!DadosGHD[CD_GEOCMU],[1]!DadosGHD[Região])</f>
        <v>NE</v>
      </c>
      <c r="D494" s="4" t="str">
        <f>_xlfn.XLOOKUP(A494,[1]!DadosGHD[CD_GEOCMU],[1]!DadosGHD[uf])</f>
        <v>MA</v>
      </c>
      <c r="E494" s="5" t="str">
        <f>_xlfn.XLOOKUP(A494,[1]!DadosGHD[CD_GEOCMU],[1]!DadosGHD[MUNICIPIO])</f>
        <v>PIRAPEMAS</v>
      </c>
      <c r="F494" s="6">
        <v>28.849800109863299</v>
      </c>
      <c r="G494" s="6">
        <v>28.9119358062744</v>
      </c>
      <c r="H494" s="6">
        <v>28.942651748657202</v>
      </c>
      <c r="I494" s="6">
        <v>28.925045013427699</v>
      </c>
      <c r="J494" s="6">
        <v>28.9409065246582</v>
      </c>
      <c r="K494" s="6">
        <v>28.9686679840088</v>
      </c>
      <c r="L494" s="6">
        <v>26.2798957824707</v>
      </c>
    </row>
    <row r="495" spans="1:12" x14ac:dyDescent="0.25">
      <c r="A495">
        <v>2105906</v>
      </c>
      <c r="B495" t="str">
        <f t="shared" si="7"/>
        <v>LAGO VERDE, MA, Brasil</v>
      </c>
      <c r="C495" s="4" t="str">
        <f>_xlfn.XLOOKUP(A495,[1]!DadosGHD[CD_GEOCMU],[1]!DadosGHD[Região])</f>
        <v>NE</v>
      </c>
      <c r="D495" s="4" t="str">
        <f>_xlfn.XLOOKUP(A495,[1]!DadosGHD[CD_GEOCMU],[1]!DadosGHD[uf])</f>
        <v>MA</v>
      </c>
      <c r="E495" s="5" t="str">
        <f>_xlfn.XLOOKUP(A495,[1]!DadosGHD[CD_GEOCMU],[1]!DadosGHD[MUNICIPIO])</f>
        <v>LAGO VERDE</v>
      </c>
      <c r="F495" s="6">
        <v>28.849939346313501</v>
      </c>
      <c r="G495" s="6">
        <v>28.911901473998999</v>
      </c>
      <c r="H495" s="6">
        <v>28.945335388183601</v>
      </c>
      <c r="I495" s="6">
        <v>28.926549911498999</v>
      </c>
      <c r="J495" s="6">
        <v>28.941106796264702</v>
      </c>
      <c r="K495" s="6">
        <v>28.9686679840088</v>
      </c>
      <c r="L495" s="6">
        <v>26.2798957824707</v>
      </c>
    </row>
    <row r="496" spans="1:12" x14ac:dyDescent="0.25">
      <c r="A496">
        <v>1503101</v>
      </c>
      <c r="B496" t="str">
        <f t="shared" si="7"/>
        <v>GURUPA, PA, Brasil</v>
      </c>
      <c r="C496" s="4" t="str">
        <f>_xlfn.XLOOKUP(A496,[1]!DadosGHD[CD_GEOCMU],[1]!DadosGHD[Região])</f>
        <v>NO</v>
      </c>
      <c r="D496" s="4" t="str">
        <f>_xlfn.XLOOKUP(A496,[1]!DadosGHD[CD_GEOCMU],[1]!DadosGHD[uf])</f>
        <v>PA</v>
      </c>
      <c r="E496" s="5" t="str">
        <f>_xlfn.XLOOKUP(A496,[1]!DadosGHD[CD_GEOCMU],[1]!DadosGHD[MUNICIPIO])</f>
        <v>GURUPA</v>
      </c>
      <c r="F496" s="6">
        <v>28.850000381469702</v>
      </c>
      <c r="G496" s="6">
        <v>28.9124565124512</v>
      </c>
      <c r="H496" s="6">
        <v>28.9482421875</v>
      </c>
      <c r="I496" s="6">
        <v>28.931514739990199</v>
      </c>
      <c r="J496" s="6">
        <v>28.947191238403299</v>
      </c>
      <c r="K496" s="6">
        <v>28.9761753082275</v>
      </c>
      <c r="L496" s="6">
        <v>26.2798957824707</v>
      </c>
    </row>
    <row r="497" spans="1:12" x14ac:dyDescent="0.25">
      <c r="A497">
        <v>2406809</v>
      </c>
      <c r="B497" t="str">
        <f t="shared" si="7"/>
        <v>LAJES PINTADAS, RN, Brasil</v>
      </c>
      <c r="C497" s="4" t="str">
        <f>_xlfn.XLOOKUP(A497,[1]!DadosGHD[CD_GEOCMU],[1]!DadosGHD[Região])</f>
        <v>NE</v>
      </c>
      <c r="D497" s="4" t="str">
        <f>_xlfn.XLOOKUP(A497,[1]!DadosGHD[CD_GEOCMU],[1]!DadosGHD[uf])</f>
        <v>RN</v>
      </c>
      <c r="E497" s="5" t="str">
        <f>_xlfn.XLOOKUP(A497,[1]!DadosGHD[CD_GEOCMU],[1]!DadosGHD[MUNICIPIO])</f>
        <v>LAJES PINTADAS</v>
      </c>
      <c r="F497" s="6">
        <v>28.8500576019287</v>
      </c>
      <c r="G497" s="6">
        <v>28.9290161132813</v>
      </c>
      <c r="H497" s="6">
        <v>28.978288650512699</v>
      </c>
      <c r="I497" s="6">
        <v>28.925045013427699</v>
      </c>
      <c r="J497" s="6">
        <v>28.9409065246582</v>
      </c>
      <c r="K497" s="6">
        <v>28.9686679840088</v>
      </c>
      <c r="L497" s="6">
        <v>26.284839630126999</v>
      </c>
    </row>
    <row r="498" spans="1:12" x14ac:dyDescent="0.25">
      <c r="A498">
        <v>2310506</v>
      </c>
      <c r="B498" t="str">
        <f t="shared" si="7"/>
        <v>PEDRA BRANCA, CE, Brasil</v>
      </c>
      <c r="C498" s="4" t="str">
        <f>_xlfn.XLOOKUP(A498,[1]!DadosGHD[CD_GEOCMU],[1]!DadosGHD[Região])</f>
        <v>NE</v>
      </c>
      <c r="D498" s="4" t="str">
        <f>_xlfn.XLOOKUP(A498,[1]!DadosGHD[CD_GEOCMU],[1]!DadosGHD[uf])</f>
        <v>CE</v>
      </c>
      <c r="E498" s="5" t="str">
        <f>_xlfn.XLOOKUP(A498,[1]!DadosGHD[CD_GEOCMU],[1]!DadosGHD[MUNICIPIO])</f>
        <v>PEDRA BRANCA</v>
      </c>
      <c r="F498" s="6">
        <v>28.850122451782202</v>
      </c>
      <c r="G498" s="6">
        <v>28.917514801025401</v>
      </c>
      <c r="H498" s="6">
        <v>28.942651748657202</v>
      </c>
      <c r="I498" s="6">
        <v>28.925045013427699</v>
      </c>
      <c r="J498" s="6">
        <v>28.953844070434599</v>
      </c>
      <c r="K498" s="6">
        <v>28.984369277954102</v>
      </c>
      <c r="L498" s="6">
        <v>30.691766738891602</v>
      </c>
    </row>
    <row r="499" spans="1:12" x14ac:dyDescent="0.25">
      <c r="A499">
        <v>2112506</v>
      </c>
      <c r="B499" t="str">
        <f t="shared" si="7"/>
        <v>TUTOIA, MA, Brasil</v>
      </c>
      <c r="C499" s="4" t="str">
        <f>_xlfn.XLOOKUP(A499,[1]!DadosGHD[CD_GEOCMU],[1]!DadosGHD[Região])</f>
        <v>NE</v>
      </c>
      <c r="D499" s="4" t="str">
        <f>_xlfn.XLOOKUP(A499,[1]!DadosGHD[CD_GEOCMU],[1]!DadosGHD[uf])</f>
        <v>MA</v>
      </c>
      <c r="E499" s="5" t="str">
        <f>_xlfn.XLOOKUP(A499,[1]!DadosGHD[CD_GEOCMU],[1]!DadosGHD[MUNICIPIO])</f>
        <v>TUTOIA</v>
      </c>
      <c r="F499" s="6">
        <v>28.850202560424801</v>
      </c>
      <c r="G499" s="6">
        <v>28.919549942016602</v>
      </c>
      <c r="H499" s="6">
        <v>28.956977844238299</v>
      </c>
      <c r="I499" s="6">
        <v>28.938917160034201</v>
      </c>
      <c r="J499" s="6">
        <v>28.9542446136475</v>
      </c>
      <c r="K499" s="6">
        <v>28.9912929534912</v>
      </c>
      <c r="L499" s="6">
        <v>26.285406112670898</v>
      </c>
    </row>
    <row r="500" spans="1:12" x14ac:dyDescent="0.25">
      <c r="A500">
        <v>4122107</v>
      </c>
      <c r="B500" t="str">
        <f t="shared" si="7"/>
        <v>RIO BOM, PR, Brasil</v>
      </c>
      <c r="C500" s="4" t="str">
        <f>_xlfn.XLOOKUP(A500,[1]!DadosGHD[CD_GEOCMU],[1]!DadosGHD[Região])</f>
        <v>SL</v>
      </c>
      <c r="D500" s="4" t="str">
        <f>_xlfn.XLOOKUP(A500,[1]!DadosGHD[CD_GEOCMU],[1]!DadosGHD[uf])</f>
        <v>PR</v>
      </c>
      <c r="E500" s="5" t="str">
        <f>_xlfn.XLOOKUP(A500,[1]!DadosGHD[CD_GEOCMU],[1]!DadosGHD[MUNICIPIO])</f>
        <v>RIO BOM</v>
      </c>
      <c r="F500" s="6">
        <v>28.850307464599599</v>
      </c>
      <c r="G500" s="6">
        <v>38.733161926269503</v>
      </c>
      <c r="H500" s="6">
        <v>38.786170959472699</v>
      </c>
      <c r="I500" s="6">
        <v>38.767158508300803</v>
      </c>
      <c r="J500" s="6">
        <v>38.793289184570298</v>
      </c>
      <c r="K500" s="6">
        <v>38.818386077880902</v>
      </c>
      <c r="L500" s="6">
        <v>30.717023849487301</v>
      </c>
    </row>
    <row r="501" spans="1:12" x14ac:dyDescent="0.25">
      <c r="A501">
        <v>1501808</v>
      </c>
      <c r="B501" t="str">
        <f t="shared" si="7"/>
        <v>BREVES, PA, Brasil</v>
      </c>
      <c r="C501" s="4" t="str">
        <f>_xlfn.XLOOKUP(A501,[1]!DadosGHD[CD_GEOCMU],[1]!DadosGHD[Região])</f>
        <v>NO</v>
      </c>
      <c r="D501" s="4" t="str">
        <f>_xlfn.XLOOKUP(A501,[1]!DadosGHD[CD_GEOCMU],[1]!DadosGHD[uf])</f>
        <v>PA</v>
      </c>
      <c r="E501" s="5" t="str">
        <f>_xlfn.XLOOKUP(A501,[1]!DadosGHD[CD_GEOCMU],[1]!DadosGHD[MUNICIPIO])</f>
        <v>BREVES</v>
      </c>
      <c r="F501" s="6">
        <v>28.850313186645501</v>
      </c>
      <c r="G501" s="6">
        <v>28.916204452514702</v>
      </c>
      <c r="H501" s="6">
        <v>28.969312667846701</v>
      </c>
      <c r="I501" s="6">
        <v>28.953031539916999</v>
      </c>
      <c r="J501" s="6">
        <v>28.956060409545898</v>
      </c>
      <c r="K501" s="6">
        <v>28.994806289672901</v>
      </c>
      <c r="L501" s="6">
        <v>26.292818069458001</v>
      </c>
    </row>
    <row r="502" spans="1:12" x14ac:dyDescent="0.25">
      <c r="A502">
        <v>2102358</v>
      </c>
      <c r="B502" t="str">
        <f t="shared" si="7"/>
        <v>BURITIRANA, MA, Brasil</v>
      </c>
      <c r="C502" s="4" t="str">
        <f>_xlfn.XLOOKUP(A502,[1]!DadosGHD[CD_GEOCMU],[1]!DadosGHD[Região])</f>
        <v>NE</v>
      </c>
      <c r="D502" s="4" t="str">
        <f>_xlfn.XLOOKUP(A502,[1]!DadosGHD[CD_GEOCMU],[1]!DadosGHD[uf])</f>
        <v>MA</v>
      </c>
      <c r="E502" s="5" t="str">
        <f>_xlfn.XLOOKUP(A502,[1]!DadosGHD[CD_GEOCMU],[1]!DadosGHD[MUNICIPIO])</f>
        <v>BURITIRANA</v>
      </c>
      <c r="F502" s="6">
        <v>28.8503532409668</v>
      </c>
      <c r="G502" s="6">
        <v>28.911430358886701</v>
      </c>
      <c r="H502" s="6">
        <v>28.944524765014702</v>
      </c>
      <c r="I502" s="6">
        <v>28.925594329833999</v>
      </c>
      <c r="J502" s="6">
        <v>28.9409065246582</v>
      </c>
      <c r="K502" s="6">
        <v>28.969141006469702</v>
      </c>
      <c r="L502" s="6">
        <v>26.291164398193398</v>
      </c>
    </row>
    <row r="503" spans="1:12" x14ac:dyDescent="0.25">
      <c r="A503">
        <v>1302702</v>
      </c>
      <c r="B503" t="str">
        <f t="shared" si="7"/>
        <v>MANICORE, AM, Brasil</v>
      </c>
      <c r="C503" s="4" t="str">
        <f>_xlfn.XLOOKUP(A503,[1]!DadosGHD[CD_GEOCMU],[1]!DadosGHD[Região])</f>
        <v>NO</v>
      </c>
      <c r="D503" s="4" t="str">
        <f>_xlfn.XLOOKUP(A503,[1]!DadosGHD[CD_GEOCMU],[1]!DadosGHD[uf])</f>
        <v>AM</v>
      </c>
      <c r="E503" s="5" t="str">
        <f>_xlfn.XLOOKUP(A503,[1]!DadosGHD[CD_GEOCMU],[1]!DadosGHD[MUNICIPIO])</f>
        <v>MANICORE</v>
      </c>
      <c r="F503" s="6">
        <v>28.850578308105501</v>
      </c>
      <c r="G503" s="6">
        <v>28.924850463867202</v>
      </c>
      <c r="H503" s="6">
        <v>28.9578037261963</v>
      </c>
      <c r="I503" s="6">
        <v>28.937761306762699</v>
      </c>
      <c r="J503" s="6">
        <v>28.957036972045898</v>
      </c>
      <c r="K503" s="6">
        <v>28.9870719909668</v>
      </c>
      <c r="L503" s="6">
        <v>26.285047531127901</v>
      </c>
    </row>
    <row r="504" spans="1:12" x14ac:dyDescent="0.25">
      <c r="A504">
        <v>2109403</v>
      </c>
      <c r="B504" t="str">
        <f t="shared" si="7"/>
        <v>PRIMEIRA CRUZ, MA, Brasil</v>
      </c>
      <c r="C504" s="4" t="str">
        <f>_xlfn.XLOOKUP(A504,[1]!DadosGHD[CD_GEOCMU],[1]!DadosGHD[Região])</f>
        <v>NE</v>
      </c>
      <c r="D504" s="4" t="str">
        <f>_xlfn.XLOOKUP(A504,[1]!DadosGHD[CD_GEOCMU],[1]!DadosGHD[uf])</f>
        <v>MA</v>
      </c>
      <c r="E504" s="5" t="str">
        <f>_xlfn.XLOOKUP(A504,[1]!DadosGHD[CD_GEOCMU],[1]!DadosGHD[MUNICIPIO])</f>
        <v>PRIMEIRA CRUZ</v>
      </c>
      <c r="F504" s="6">
        <v>28.850645065307599</v>
      </c>
      <c r="G504" s="6">
        <v>28.91135597229</v>
      </c>
      <c r="H504" s="6">
        <v>28.9461345672607</v>
      </c>
      <c r="I504" s="6">
        <v>28.926074981689499</v>
      </c>
      <c r="J504" s="6">
        <v>28.9409065246582</v>
      </c>
      <c r="K504" s="6">
        <v>28.9686679840088</v>
      </c>
      <c r="L504" s="6">
        <v>26.2798957824707</v>
      </c>
    </row>
    <row r="505" spans="1:12" x14ac:dyDescent="0.25">
      <c r="A505">
        <v>2501575</v>
      </c>
      <c r="B505" t="str">
        <f t="shared" si="7"/>
        <v>BARRA DE SANTANA, PB, Brasil</v>
      </c>
      <c r="C505" s="4" t="str">
        <f>_xlfn.XLOOKUP(A505,[1]!DadosGHD[CD_GEOCMU],[1]!DadosGHD[Região])</f>
        <v>NE</v>
      </c>
      <c r="D505" s="4" t="str">
        <f>_xlfn.XLOOKUP(A505,[1]!DadosGHD[CD_GEOCMU],[1]!DadosGHD[uf])</f>
        <v>PB</v>
      </c>
      <c r="E505" s="5" t="str">
        <f>_xlfn.XLOOKUP(A505,[1]!DadosGHD[CD_GEOCMU],[1]!DadosGHD[MUNICIPIO])</f>
        <v>BARRA DE SANTANA</v>
      </c>
      <c r="F505" s="6">
        <v>28.8507900238037</v>
      </c>
      <c r="G505" s="6">
        <v>28.925048828125</v>
      </c>
      <c r="H505" s="6">
        <v>28.961492538452202</v>
      </c>
      <c r="I505" s="6">
        <v>28.9465007781982</v>
      </c>
      <c r="J505" s="6">
        <v>28.955224990844702</v>
      </c>
      <c r="K505" s="6">
        <v>28.977943420410199</v>
      </c>
      <c r="L505" s="6">
        <v>35.130317687988303</v>
      </c>
    </row>
    <row r="506" spans="1:12" x14ac:dyDescent="0.25">
      <c r="A506">
        <v>2304707</v>
      </c>
      <c r="B506" t="str">
        <f t="shared" si="7"/>
        <v>GRANJA, CE, Brasil</v>
      </c>
      <c r="C506" s="4" t="str">
        <f>_xlfn.XLOOKUP(A506,[1]!DadosGHD[CD_GEOCMU],[1]!DadosGHD[Região])</f>
        <v>NE</v>
      </c>
      <c r="D506" s="4" t="str">
        <f>_xlfn.XLOOKUP(A506,[1]!DadosGHD[CD_GEOCMU],[1]!DadosGHD[uf])</f>
        <v>CE</v>
      </c>
      <c r="E506" s="5" t="str">
        <f>_xlfn.XLOOKUP(A506,[1]!DadosGHD[CD_GEOCMU],[1]!DadosGHD[MUNICIPIO])</f>
        <v>GRANJA</v>
      </c>
      <c r="F506" s="6">
        <v>28.8507976531982</v>
      </c>
      <c r="G506" s="6">
        <v>28.918519973754901</v>
      </c>
      <c r="H506" s="6">
        <v>28.958768844604499</v>
      </c>
      <c r="I506" s="6">
        <v>28.939603805541999</v>
      </c>
      <c r="J506" s="6">
        <v>28.958295822143601</v>
      </c>
      <c r="K506" s="6">
        <v>28.9886169433594</v>
      </c>
      <c r="L506" s="6">
        <v>30.706537246704102</v>
      </c>
    </row>
    <row r="507" spans="1:12" x14ac:dyDescent="0.25">
      <c r="A507">
        <v>2201507</v>
      </c>
      <c r="B507" t="str">
        <f t="shared" si="7"/>
        <v>BATALHA, PI, Brasil</v>
      </c>
      <c r="C507" s="4" t="str">
        <f>_xlfn.XLOOKUP(A507,[1]!DadosGHD[CD_GEOCMU],[1]!DadosGHD[Região])</f>
        <v>NE</v>
      </c>
      <c r="D507" s="4" t="str">
        <f>_xlfn.XLOOKUP(A507,[1]!DadosGHD[CD_GEOCMU],[1]!DadosGHD[uf])</f>
        <v>PI</v>
      </c>
      <c r="E507" s="5" t="str">
        <f>_xlfn.XLOOKUP(A507,[1]!DadosGHD[CD_GEOCMU],[1]!DadosGHD[MUNICIPIO])</f>
        <v>BATALHA</v>
      </c>
      <c r="F507" s="6">
        <v>28.850946426391602</v>
      </c>
      <c r="G507" s="6">
        <v>28.916999816894499</v>
      </c>
      <c r="H507" s="6">
        <v>28.951622009277301</v>
      </c>
      <c r="I507" s="6">
        <v>28.9314575195313</v>
      </c>
      <c r="J507" s="6">
        <v>28.941102981567401</v>
      </c>
      <c r="K507" s="6">
        <v>28.970138549804702</v>
      </c>
      <c r="L507" s="6">
        <v>26.287061691284201</v>
      </c>
    </row>
    <row r="508" spans="1:12" x14ac:dyDescent="0.25">
      <c r="A508">
        <v>2106375</v>
      </c>
      <c r="B508" t="str">
        <f t="shared" si="7"/>
        <v>MARANHAOZINHO, MA, Brasil</v>
      </c>
      <c r="C508" s="4" t="str">
        <f>_xlfn.XLOOKUP(A508,[1]!DadosGHD[CD_GEOCMU],[1]!DadosGHD[Região])</f>
        <v>NE</v>
      </c>
      <c r="D508" s="4" t="str">
        <f>_xlfn.XLOOKUP(A508,[1]!DadosGHD[CD_GEOCMU],[1]!DadosGHD[uf])</f>
        <v>MA</v>
      </c>
      <c r="E508" s="5" t="str">
        <f>_xlfn.XLOOKUP(A508,[1]!DadosGHD[CD_GEOCMU],[1]!DadosGHD[MUNICIPIO])</f>
        <v>MARANHAOZINHO</v>
      </c>
      <c r="F508" s="6">
        <v>28.850996017456101</v>
      </c>
      <c r="G508" s="6">
        <v>28.9098815917969</v>
      </c>
      <c r="H508" s="6">
        <v>28.942869186401399</v>
      </c>
      <c r="I508" s="6">
        <v>28.925045013427699</v>
      </c>
      <c r="J508" s="6">
        <v>28.9409065246582</v>
      </c>
      <c r="K508" s="6">
        <v>28.9686679840088</v>
      </c>
      <c r="L508" s="6">
        <v>26.2798957824707</v>
      </c>
    </row>
    <row r="509" spans="1:12" x14ac:dyDescent="0.25">
      <c r="A509">
        <v>4128658</v>
      </c>
      <c r="B509" t="str">
        <f t="shared" si="7"/>
        <v>VIRMOND, PR, Brasil</v>
      </c>
      <c r="C509" s="4" t="str">
        <f>_xlfn.XLOOKUP(A509,[1]!DadosGHD[CD_GEOCMU],[1]!DadosGHD[Região])</f>
        <v>SL</v>
      </c>
      <c r="D509" s="4" t="str">
        <f>_xlfn.XLOOKUP(A509,[1]!DadosGHD[CD_GEOCMU],[1]!DadosGHD[uf])</f>
        <v>PR</v>
      </c>
      <c r="E509" s="5" t="str">
        <f>_xlfn.XLOOKUP(A509,[1]!DadosGHD[CD_GEOCMU],[1]!DadosGHD[MUNICIPIO])</f>
        <v>VIRMOND</v>
      </c>
      <c r="F509" s="6">
        <v>28.8511066436768</v>
      </c>
      <c r="G509" s="6">
        <v>38.708602905273402</v>
      </c>
      <c r="H509" s="6">
        <v>43.767734527587898</v>
      </c>
      <c r="I509" s="6">
        <v>43.727027893066399</v>
      </c>
      <c r="J509" s="6">
        <v>43.7688598632813</v>
      </c>
      <c r="K509" s="6">
        <v>43.8799438476563</v>
      </c>
      <c r="L509" s="6">
        <v>44.066761016845703</v>
      </c>
    </row>
    <row r="510" spans="1:12" x14ac:dyDescent="0.25">
      <c r="A510">
        <v>1504703</v>
      </c>
      <c r="B510" t="str">
        <f t="shared" si="7"/>
        <v>MOJU, PA, Brasil</v>
      </c>
      <c r="C510" s="4" t="str">
        <f>_xlfn.XLOOKUP(A510,[1]!DadosGHD[CD_GEOCMU],[1]!DadosGHD[Região])</f>
        <v>NO</v>
      </c>
      <c r="D510" s="4" t="str">
        <f>_xlfn.XLOOKUP(A510,[1]!DadosGHD[CD_GEOCMU],[1]!DadosGHD[uf])</f>
        <v>PA</v>
      </c>
      <c r="E510" s="5" t="str">
        <f>_xlfn.XLOOKUP(A510,[1]!DadosGHD[CD_GEOCMU],[1]!DadosGHD[MUNICIPIO])</f>
        <v>MOJU</v>
      </c>
      <c r="F510" s="6">
        <v>28.8512668609619</v>
      </c>
      <c r="G510" s="6">
        <v>28.9172687530518</v>
      </c>
      <c r="H510" s="6">
        <v>28.959445953369102</v>
      </c>
      <c r="I510" s="6">
        <v>28.938114166259801</v>
      </c>
      <c r="J510" s="6">
        <v>28.9527397155762</v>
      </c>
      <c r="K510" s="6">
        <v>28.9774379730225</v>
      </c>
      <c r="L510" s="6">
        <v>26.289356231689499</v>
      </c>
    </row>
    <row r="511" spans="1:12" x14ac:dyDescent="0.25">
      <c r="A511">
        <v>2913804</v>
      </c>
      <c r="B511" t="str">
        <f t="shared" si="7"/>
        <v>IPECAETA, BA, Brasil</v>
      </c>
      <c r="C511" s="4" t="str">
        <f>_xlfn.XLOOKUP(A511,[1]!DadosGHD[CD_GEOCMU],[1]!DadosGHD[Região])</f>
        <v>NE</v>
      </c>
      <c r="D511" s="4" t="str">
        <f>_xlfn.XLOOKUP(A511,[1]!DadosGHD[CD_GEOCMU],[1]!DadosGHD[uf])</f>
        <v>BA</v>
      </c>
      <c r="E511" s="5" t="str">
        <f>_xlfn.XLOOKUP(A511,[1]!DadosGHD[CD_GEOCMU],[1]!DadosGHD[MUNICIPIO])</f>
        <v>IPECAETA</v>
      </c>
      <c r="F511" s="6">
        <v>28.851324081420898</v>
      </c>
      <c r="G511" s="6">
        <v>28.913408279418899</v>
      </c>
      <c r="H511" s="6">
        <v>28.9500217437744</v>
      </c>
      <c r="I511" s="6">
        <v>28.935562133789102</v>
      </c>
      <c r="J511" s="6">
        <v>28.9505004882813</v>
      </c>
      <c r="K511" s="6">
        <v>28.9841823577881</v>
      </c>
      <c r="L511" s="6">
        <v>26.281173706054702</v>
      </c>
    </row>
    <row r="512" spans="1:12" x14ac:dyDescent="0.25">
      <c r="A512">
        <v>1301654</v>
      </c>
      <c r="B512" t="str">
        <f t="shared" si="7"/>
        <v>GUAJARA, AM, Brasil</v>
      </c>
      <c r="C512" s="4" t="str">
        <f>_xlfn.XLOOKUP(A512,[1]!DadosGHD[CD_GEOCMU],[1]!DadosGHD[Região])</f>
        <v>NO</v>
      </c>
      <c r="D512" s="4" t="str">
        <f>_xlfn.XLOOKUP(A512,[1]!DadosGHD[CD_GEOCMU],[1]!DadosGHD[uf])</f>
        <v>AM</v>
      </c>
      <c r="E512" s="5" t="str">
        <f>_xlfn.XLOOKUP(A512,[1]!DadosGHD[CD_GEOCMU],[1]!DadosGHD[MUNICIPIO])</f>
        <v>GUAJARA</v>
      </c>
      <c r="F512" s="6">
        <v>28.851732254028299</v>
      </c>
      <c r="G512" s="6">
        <v>28.911808013916001</v>
      </c>
      <c r="H512" s="6">
        <v>28.944677352905298</v>
      </c>
      <c r="I512" s="6">
        <v>28.925045013427699</v>
      </c>
      <c r="J512" s="6">
        <v>28.945110321044901</v>
      </c>
      <c r="K512" s="6">
        <v>28.9686679840088</v>
      </c>
      <c r="L512" s="6">
        <v>48.552219390869098</v>
      </c>
    </row>
    <row r="513" spans="1:12" x14ac:dyDescent="0.25">
      <c r="A513">
        <v>2600500</v>
      </c>
      <c r="B513" t="str">
        <f t="shared" si="7"/>
        <v>AGUAS BELAS, PE, Brasil</v>
      </c>
      <c r="C513" s="4" t="str">
        <f>_xlfn.XLOOKUP(A513,[1]!DadosGHD[CD_GEOCMU],[1]!DadosGHD[Região])</f>
        <v>NE</v>
      </c>
      <c r="D513" s="4" t="str">
        <f>_xlfn.XLOOKUP(A513,[1]!DadosGHD[CD_GEOCMU],[1]!DadosGHD[uf])</f>
        <v>PE</v>
      </c>
      <c r="E513" s="5" t="str">
        <f>_xlfn.XLOOKUP(A513,[1]!DadosGHD[CD_GEOCMU],[1]!DadosGHD[MUNICIPIO])</f>
        <v>AGUAS BELAS</v>
      </c>
      <c r="F513" s="6">
        <v>28.852098464965799</v>
      </c>
      <c r="G513" s="6">
        <v>28.9151802062988</v>
      </c>
      <c r="H513" s="6">
        <v>28.962713241577202</v>
      </c>
      <c r="I513" s="6">
        <v>28.951423645019499</v>
      </c>
      <c r="J513" s="6">
        <v>28.970312118530298</v>
      </c>
      <c r="K513" s="6">
        <v>29.0015163421631</v>
      </c>
      <c r="L513" s="6">
        <v>26.289731979370099</v>
      </c>
    </row>
    <row r="514" spans="1:12" x14ac:dyDescent="0.25">
      <c r="A514">
        <v>1506302</v>
      </c>
      <c r="B514" t="str">
        <f t="shared" si="7"/>
        <v>SALVATERRA, PA, Brasil</v>
      </c>
      <c r="C514" s="4" t="str">
        <f>_xlfn.XLOOKUP(A514,[1]!DadosGHD[CD_GEOCMU],[1]!DadosGHD[Região])</f>
        <v>NO</v>
      </c>
      <c r="D514" s="4" t="str">
        <f>_xlfn.XLOOKUP(A514,[1]!DadosGHD[CD_GEOCMU],[1]!DadosGHD[uf])</f>
        <v>PA</v>
      </c>
      <c r="E514" s="5" t="str">
        <f>_xlfn.XLOOKUP(A514,[1]!DadosGHD[CD_GEOCMU],[1]!DadosGHD[MUNICIPIO])</f>
        <v>SALVATERRA</v>
      </c>
      <c r="F514" s="6">
        <v>28.852237701416001</v>
      </c>
      <c r="G514" s="6">
        <v>28.924009323120099</v>
      </c>
      <c r="H514" s="6">
        <v>28.962547302246101</v>
      </c>
      <c r="I514" s="6">
        <v>28.940483093261701</v>
      </c>
      <c r="J514" s="6">
        <v>28.956853866577202</v>
      </c>
      <c r="K514" s="6">
        <v>28.9856567382813</v>
      </c>
      <c r="L514" s="6">
        <v>26.2798957824707</v>
      </c>
    </row>
    <row r="515" spans="1:12" x14ac:dyDescent="0.25">
      <c r="A515">
        <v>1500958</v>
      </c>
      <c r="B515" t="str">
        <f t="shared" si="7"/>
        <v>AURORA DO PARA, PA, Brasil</v>
      </c>
      <c r="C515" s="4" t="str">
        <f>_xlfn.XLOOKUP(A515,[1]!DadosGHD[CD_GEOCMU],[1]!DadosGHD[Região])</f>
        <v>NO</v>
      </c>
      <c r="D515" s="4" t="str">
        <f>_xlfn.XLOOKUP(A515,[1]!DadosGHD[CD_GEOCMU],[1]!DadosGHD[uf])</f>
        <v>PA</v>
      </c>
      <c r="E515" s="5" t="str">
        <f>_xlfn.XLOOKUP(A515,[1]!DadosGHD[CD_GEOCMU],[1]!DadosGHD[MUNICIPIO])</f>
        <v>AURORA DO PARA</v>
      </c>
      <c r="F515" s="6">
        <v>28.8523349761963</v>
      </c>
      <c r="G515" s="6">
        <v>28.920036315918001</v>
      </c>
      <c r="H515" s="6">
        <v>28.953933715820298</v>
      </c>
      <c r="I515" s="6">
        <v>28.935564041137699</v>
      </c>
      <c r="J515" s="6">
        <v>28.951370239257798</v>
      </c>
      <c r="K515" s="6">
        <v>28.979175567626999</v>
      </c>
      <c r="L515" s="6">
        <v>26.2798957824707</v>
      </c>
    </row>
    <row r="516" spans="1:12" x14ac:dyDescent="0.25">
      <c r="A516">
        <v>2108058</v>
      </c>
      <c r="B516" t="str">
        <f t="shared" ref="B516:B579" si="8">_xlfn.CONCAT(E516, ", ", D516, ", Brasil")</f>
        <v>PAULINO NEVES, MA, Brasil</v>
      </c>
      <c r="C516" s="4" t="str">
        <f>_xlfn.XLOOKUP(A516,[1]!DadosGHD[CD_GEOCMU],[1]!DadosGHD[Região])</f>
        <v>NE</v>
      </c>
      <c r="D516" s="4" t="str">
        <f>_xlfn.XLOOKUP(A516,[1]!DadosGHD[CD_GEOCMU],[1]!DadosGHD[uf])</f>
        <v>MA</v>
      </c>
      <c r="E516" s="5" t="str">
        <f>_xlfn.XLOOKUP(A516,[1]!DadosGHD[CD_GEOCMU],[1]!DadosGHD[MUNICIPIO])</f>
        <v>PAULINO NEVES</v>
      </c>
      <c r="F516" s="6">
        <v>28.852392196655298</v>
      </c>
      <c r="G516" s="6">
        <v>28.913885116577202</v>
      </c>
      <c r="H516" s="6">
        <v>28.9490871429443</v>
      </c>
      <c r="I516" s="6">
        <v>28.930871963501001</v>
      </c>
      <c r="J516" s="6">
        <v>28.949277877807599</v>
      </c>
      <c r="K516" s="6">
        <v>28.981775283813501</v>
      </c>
      <c r="L516" s="6">
        <v>26.2924900054932</v>
      </c>
    </row>
    <row r="517" spans="1:12" x14ac:dyDescent="0.25">
      <c r="A517">
        <v>1300904</v>
      </c>
      <c r="B517" t="str">
        <f t="shared" si="8"/>
        <v>CANUTAMA, AM, Brasil</v>
      </c>
      <c r="C517" s="4" t="str">
        <f>_xlfn.XLOOKUP(A517,[1]!DadosGHD[CD_GEOCMU],[1]!DadosGHD[Região])</f>
        <v>NO</v>
      </c>
      <c r="D517" s="4" t="str">
        <f>_xlfn.XLOOKUP(A517,[1]!DadosGHD[CD_GEOCMU],[1]!DadosGHD[uf])</f>
        <v>AM</v>
      </c>
      <c r="E517" s="5" t="str">
        <f>_xlfn.XLOOKUP(A517,[1]!DadosGHD[CD_GEOCMU],[1]!DadosGHD[MUNICIPIO])</f>
        <v>CANUTAMA</v>
      </c>
      <c r="F517" s="6">
        <v>28.852441787719702</v>
      </c>
      <c r="G517" s="6">
        <v>28.913434982299801</v>
      </c>
      <c r="H517" s="6">
        <v>28.947444915771499</v>
      </c>
      <c r="I517" s="6">
        <v>28.928287506103501</v>
      </c>
      <c r="J517" s="6">
        <v>28.942480087280298</v>
      </c>
      <c r="K517" s="6">
        <v>28.969551086425799</v>
      </c>
      <c r="L517" s="6">
        <v>26.2798957824707</v>
      </c>
    </row>
    <row r="518" spans="1:12" x14ac:dyDescent="0.25">
      <c r="A518">
        <v>2915353</v>
      </c>
      <c r="B518" t="str">
        <f t="shared" si="8"/>
        <v>ITAGUACU DA BAHIA, BA, Brasil</v>
      </c>
      <c r="C518" s="4" t="str">
        <f>_xlfn.XLOOKUP(A518,[1]!DadosGHD[CD_GEOCMU],[1]!DadosGHD[Região])</f>
        <v>NE</v>
      </c>
      <c r="D518" s="4" t="str">
        <f>_xlfn.XLOOKUP(A518,[1]!DadosGHD[CD_GEOCMU],[1]!DadosGHD[uf])</f>
        <v>BA</v>
      </c>
      <c r="E518" s="5" t="str">
        <f>_xlfn.XLOOKUP(A518,[1]!DadosGHD[CD_GEOCMU],[1]!DadosGHD[MUNICIPIO])</f>
        <v>ITAGUACU DA BAHIA</v>
      </c>
      <c r="F518" s="6">
        <v>28.852537155151399</v>
      </c>
      <c r="G518" s="6">
        <v>28.9128112792969</v>
      </c>
      <c r="H518" s="6">
        <v>28.947755813598601</v>
      </c>
      <c r="I518" s="6">
        <v>28.928525924682599</v>
      </c>
      <c r="J518" s="6">
        <v>28.972986221313501</v>
      </c>
      <c r="K518" s="6">
        <v>33.851280212402301</v>
      </c>
      <c r="L518" s="6">
        <v>30.719066619873001</v>
      </c>
    </row>
    <row r="519" spans="1:12" x14ac:dyDescent="0.25">
      <c r="A519">
        <v>1501782</v>
      </c>
      <c r="B519" t="str">
        <f t="shared" si="8"/>
        <v>BREU BRANCO, PA, Brasil</v>
      </c>
      <c r="C519" s="4" t="str">
        <f>_xlfn.XLOOKUP(A519,[1]!DadosGHD[CD_GEOCMU],[1]!DadosGHD[Região])</f>
        <v>NO</v>
      </c>
      <c r="D519" s="4" t="str">
        <f>_xlfn.XLOOKUP(A519,[1]!DadosGHD[CD_GEOCMU],[1]!DadosGHD[uf])</f>
        <v>PA</v>
      </c>
      <c r="E519" s="5" t="str">
        <f>_xlfn.XLOOKUP(A519,[1]!DadosGHD[CD_GEOCMU],[1]!DadosGHD[MUNICIPIO])</f>
        <v>BREU BRANCO</v>
      </c>
      <c r="F519" s="6">
        <v>28.852727890014702</v>
      </c>
      <c r="G519" s="6">
        <v>28.918889999389702</v>
      </c>
      <c r="H519" s="6">
        <v>28.953311920166001</v>
      </c>
      <c r="I519" s="6">
        <v>28.9349460601807</v>
      </c>
      <c r="J519" s="6">
        <v>28.950502395629901</v>
      </c>
      <c r="K519" s="6">
        <v>28.986028671264702</v>
      </c>
      <c r="L519" s="6">
        <v>26.284158706665</v>
      </c>
    </row>
    <row r="520" spans="1:12" x14ac:dyDescent="0.25">
      <c r="A520">
        <v>2111029</v>
      </c>
      <c r="B520" t="str">
        <f t="shared" si="8"/>
        <v>SAO JOAO DO CARU, MA, Brasil</v>
      </c>
      <c r="C520" s="4" t="str">
        <f>_xlfn.XLOOKUP(A520,[1]!DadosGHD[CD_GEOCMU],[1]!DadosGHD[Região])</f>
        <v>NE</v>
      </c>
      <c r="D520" s="4" t="str">
        <f>_xlfn.XLOOKUP(A520,[1]!DadosGHD[CD_GEOCMU],[1]!DadosGHD[uf])</f>
        <v>MA</v>
      </c>
      <c r="E520" s="5" t="str">
        <f>_xlfn.XLOOKUP(A520,[1]!DadosGHD[CD_GEOCMU],[1]!DadosGHD[MUNICIPIO])</f>
        <v>SAO JOAO DO CARU</v>
      </c>
      <c r="F520" s="6">
        <v>28.8527526855469</v>
      </c>
      <c r="G520" s="6">
        <v>28.913887023925799</v>
      </c>
      <c r="H520" s="6">
        <v>28.9520587921143</v>
      </c>
      <c r="I520" s="6">
        <v>28.932767868041999</v>
      </c>
      <c r="J520" s="6">
        <v>28.9409065246582</v>
      </c>
      <c r="K520" s="6">
        <v>28.9686679840088</v>
      </c>
      <c r="L520" s="6">
        <v>26.2798957824707</v>
      </c>
    </row>
    <row r="521" spans="1:12" x14ac:dyDescent="0.25">
      <c r="A521">
        <v>2103257</v>
      </c>
      <c r="B521" t="str">
        <f t="shared" si="8"/>
        <v>CIDELANDIA, MA, Brasil</v>
      </c>
      <c r="C521" s="4" t="str">
        <f>_xlfn.XLOOKUP(A521,[1]!DadosGHD[CD_GEOCMU],[1]!DadosGHD[Região])</f>
        <v>NE</v>
      </c>
      <c r="D521" s="4" t="str">
        <f>_xlfn.XLOOKUP(A521,[1]!DadosGHD[CD_GEOCMU],[1]!DadosGHD[uf])</f>
        <v>MA</v>
      </c>
      <c r="E521" s="5" t="str">
        <f>_xlfn.XLOOKUP(A521,[1]!DadosGHD[CD_GEOCMU],[1]!DadosGHD[MUNICIPIO])</f>
        <v>CIDELANDIA</v>
      </c>
      <c r="F521" s="6">
        <v>28.853336334228501</v>
      </c>
      <c r="G521" s="6">
        <v>33.7679252624512</v>
      </c>
      <c r="H521" s="6">
        <v>28.9767665863037</v>
      </c>
      <c r="I521" s="6">
        <v>33.792900085449197</v>
      </c>
      <c r="J521" s="6">
        <v>33.825492858886697</v>
      </c>
      <c r="K521" s="6">
        <v>33.870086669921903</v>
      </c>
      <c r="L521" s="6">
        <v>30.7116508483887</v>
      </c>
    </row>
    <row r="522" spans="1:12" x14ac:dyDescent="0.25">
      <c r="A522">
        <v>2106607</v>
      </c>
      <c r="B522" t="str">
        <f t="shared" si="8"/>
        <v>MATOES, MA, Brasil</v>
      </c>
      <c r="C522" s="4" t="str">
        <f>_xlfn.XLOOKUP(A522,[1]!DadosGHD[CD_GEOCMU],[1]!DadosGHD[Região])</f>
        <v>NE</v>
      </c>
      <c r="D522" s="4" t="str">
        <f>_xlfn.XLOOKUP(A522,[1]!DadosGHD[CD_GEOCMU],[1]!DadosGHD[uf])</f>
        <v>MA</v>
      </c>
      <c r="E522" s="5" t="str">
        <f>_xlfn.XLOOKUP(A522,[1]!DadosGHD[CD_GEOCMU],[1]!DadosGHD[MUNICIPIO])</f>
        <v>MATOES</v>
      </c>
      <c r="F522" s="6">
        <v>28.853660583496101</v>
      </c>
      <c r="G522" s="6">
        <v>28.907878875732401</v>
      </c>
      <c r="H522" s="6">
        <v>28.942651748657202</v>
      </c>
      <c r="I522" s="6">
        <v>28.925045013427699</v>
      </c>
      <c r="J522" s="6">
        <v>28.9409065246582</v>
      </c>
      <c r="K522" s="6">
        <v>28.986909866333001</v>
      </c>
      <c r="L522" s="6">
        <v>30.6844367980957</v>
      </c>
    </row>
    <row r="523" spans="1:12" x14ac:dyDescent="0.25">
      <c r="A523">
        <v>2110500</v>
      </c>
      <c r="B523" t="str">
        <f t="shared" si="8"/>
        <v>SAO BENTO, MA, Brasil</v>
      </c>
      <c r="C523" s="4" t="str">
        <f>_xlfn.XLOOKUP(A523,[1]!DadosGHD[CD_GEOCMU],[1]!DadosGHD[Região])</f>
        <v>NE</v>
      </c>
      <c r="D523" s="4" t="str">
        <f>_xlfn.XLOOKUP(A523,[1]!DadosGHD[CD_GEOCMU],[1]!DadosGHD[uf])</f>
        <v>MA</v>
      </c>
      <c r="E523" s="5" t="str">
        <f>_xlfn.XLOOKUP(A523,[1]!DadosGHD[CD_GEOCMU],[1]!DadosGHD[MUNICIPIO])</f>
        <v>SAO BENTO</v>
      </c>
      <c r="F523" s="6">
        <v>28.8536682128906</v>
      </c>
      <c r="G523" s="6">
        <v>28.921627044677699</v>
      </c>
      <c r="H523" s="6">
        <v>28.961217880248999</v>
      </c>
      <c r="I523" s="6">
        <v>28.939411163330099</v>
      </c>
      <c r="J523" s="6">
        <v>28.952562332153299</v>
      </c>
      <c r="K523" s="6">
        <v>28.983495712280298</v>
      </c>
      <c r="L523" s="6">
        <v>26.2798957824707</v>
      </c>
    </row>
    <row r="524" spans="1:12" x14ac:dyDescent="0.25">
      <c r="A524">
        <v>2512507</v>
      </c>
      <c r="B524" t="str">
        <f t="shared" si="8"/>
        <v>QUEIMADAS, PB, Brasil</v>
      </c>
      <c r="C524" s="4" t="str">
        <f>_xlfn.XLOOKUP(A524,[1]!DadosGHD[CD_GEOCMU],[1]!DadosGHD[Região])</f>
        <v>NE</v>
      </c>
      <c r="D524" s="4" t="str">
        <f>_xlfn.XLOOKUP(A524,[1]!DadosGHD[CD_GEOCMU],[1]!DadosGHD[uf])</f>
        <v>PB</v>
      </c>
      <c r="E524" s="5" t="str">
        <f>_xlfn.XLOOKUP(A524,[1]!DadosGHD[CD_GEOCMU],[1]!DadosGHD[MUNICIPIO])</f>
        <v>QUEIMADAS</v>
      </c>
      <c r="F524" s="6">
        <v>28.853839874267599</v>
      </c>
      <c r="G524" s="6">
        <v>28.925306320190401</v>
      </c>
      <c r="H524" s="6">
        <v>28.966123580932599</v>
      </c>
      <c r="I524" s="6">
        <v>28.941911697387699</v>
      </c>
      <c r="J524" s="6">
        <v>28.959428787231399</v>
      </c>
      <c r="K524" s="6">
        <v>33.848304748535199</v>
      </c>
      <c r="L524" s="6">
        <v>30.683618545532202</v>
      </c>
    </row>
    <row r="525" spans="1:12" x14ac:dyDescent="0.25">
      <c r="A525">
        <v>2909109</v>
      </c>
      <c r="B525" t="str">
        <f t="shared" si="8"/>
        <v>CORIBE, BA, Brasil</v>
      </c>
      <c r="C525" s="4" t="str">
        <f>_xlfn.XLOOKUP(A525,[1]!DadosGHD[CD_GEOCMU],[1]!DadosGHD[Região])</f>
        <v>NE</v>
      </c>
      <c r="D525" s="4" t="str">
        <f>_xlfn.XLOOKUP(A525,[1]!DadosGHD[CD_GEOCMU],[1]!DadosGHD[uf])</f>
        <v>BA</v>
      </c>
      <c r="E525" s="5" t="str">
        <f>_xlfn.XLOOKUP(A525,[1]!DadosGHD[CD_GEOCMU],[1]!DadosGHD[MUNICIPIO])</f>
        <v>CORIBE</v>
      </c>
      <c r="F525" s="6">
        <v>28.853910446166999</v>
      </c>
      <c r="G525" s="6">
        <v>28.9151496887207</v>
      </c>
      <c r="H525" s="6">
        <v>28.9513244628906</v>
      </c>
      <c r="I525" s="6">
        <v>28.9328308105469</v>
      </c>
      <c r="J525" s="6">
        <v>28.9476528167725</v>
      </c>
      <c r="K525" s="6">
        <v>28.976606369018601</v>
      </c>
      <c r="L525" s="6">
        <v>26.2798957824707</v>
      </c>
    </row>
    <row r="526" spans="1:12" x14ac:dyDescent="0.25">
      <c r="A526">
        <v>2604155</v>
      </c>
      <c r="B526" t="str">
        <f t="shared" si="8"/>
        <v>CASINHAS, PE, Brasil</v>
      </c>
      <c r="C526" s="4" t="str">
        <f>_xlfn.XLOOKUP(A526,[1]!DadosGHD[CD_GEOCMU],[1]!DadosGHD[Região])</f>
        <v>NE</v>
      </c>
      <c r="D526" s="4" t="str">
        <f>_xlfn.XLOOKUP(A526,[1]!DadosGHD[CD_GEOCMU],[1]!DadosGHD[uf])</f>
        <v>PE</v>
      </c>
      <c r="E526" s="5" t="str">
        <f>_xlfn.XLOOKUP(A526,[1]!DadosGHD[CD_GEOCMU],[1]!DadosGHD[MUNICIPIO])</f>
        <v>CASINHAS</v>
      </c>
      <c r="F526" s="6">
        <v>28.8540744781494</v>
      </c>
      <c r="G526" s="6">
        <v>28.914222717285199</v>
      </c>
      <c r="H526" s="6">
        <v>28.947750091552699</v>
      </c>
      <c r="I526" s="6">
        <v>28.9288024902344</v>
      </c>
      <c r="J526" s="6">
        <v>28.943656921386701</v>
      </c>
      <c r="K526" s="6">
        <v>28.9946594238281</v>
      </c>
      <c r="L526" s="6">
        <v>26.2954216003418</v>
      </c>
    </row>
    <row r="527" spans="1:12" x14ac:dyDescent="0.25">
      <c r="A527">
        <v>2109809</v>
      </c>
      <c r="B527" t="str">
        <f t="shared" si="8"/>
        <v>SANTA HELENA, MA, Brasil</v>
      </c>
      <c r="C527" s="4" t="str">
        <f>_xlfn.XLOOKUP(A527,[1]!DadosGHD[CD_GEOCMU],[1]!DadosGHD[Região])</f>
        <v>NE</v>
      </c>
      <c r="D527" s="4" t="str">
        <f>_xlfn.XLOOKUP(A527,[1]!DadosGHD[CD_GEOCMU],[1]!DadosGHD[uf])</f>
        <v>MA</v>
      </c>
      <c r="E527" s="5" t="str">
        <f>_xlfn.XLOOKUP(A527,[1]!DadosGHD[CD_GEOCMU],[1]!DadosGHD[MUNICIPIO])</f>
        <v>SANTA HELENA</v>
      </c>
      <c r="F527" s="6">
        <v>28.854131698608398</v>
      </c>
      <c r="G527" s="6">
        <v>28.931409835815401</v>
      </c>
      <c r="H527" s="6">
        <v>28.956945419311499</v>
      </c>
      <c r="I527" s="6">
        <v>28.9328289031982</v>
      </c>
      <c r="J527" s="6">
        <v>28.954633712768601</v>
      </c>
      <c r="K527" s="6">
        <v>28.9901313781738</v>
      </c>
      <c r="L527" s="6">
        <v>26.2798957824707</v>
      </c>
    </row>
    <row r="528" spans="1:12" x14ac:dyDescent="0.25">
      <c r="A528">
        <v>1507953</v>
      </c>
      <c r="B528" t="str">
        <f t="shared" si="8"/>
        <v>TAILANDIA, PA, Brasil</v>
      </c>
      <c r="C528" s="4" t="str">
        <f>_xlfn.XLOOKUP(A528,[1]!DadosGHD[CD_GEOCMU],[1]!DadosGHD[Região])</f>
        <v>NO</v>
      </c>
      <c r="D528" s="4" t="str">
        <f>_xlfn.XLOOKUP(A528,[1]!DadosGHD[CD_GEOCMU],[1]!DadosGHD[uf])</f>
        <v>PA</v>
      </c>
      <c r="E528" s="5" t="str">
        <f>_xlfn.XLOOKUP(A528,[1]!DadosGHD[CD_GEOCMU],[1]!DadosGHD[MUNICIPIO])</f>
        <v>TAILANDIA</v>
      </c>
      <c r="F528" s="6">
        <v>28.854198455810501</v>
      </c>
      <c r="G528" s="6">
        <v>28.922178268432599</v>
      </c>
      <c r="H528" s="6">
        <v>28.956384658813501</v>
      </c>
      <c r="I528" s="6">
        <v>28.936769485473601</v>
      </c>
      <c r="J528" s="6">
        <v>28.955320358276399</v>
      </c>
      <c r="K528" s="6">
        <v>28.992324829101602</v>
      </c>
      <c r="L528" s="6">
        <v>30.695615768432599</v>
      </c>
    </row>
    <row r="529" spans="1:12" x14ac:dyDescent="0.25">
      <c r="A529">
        <v>2612455</v>
      </c>
      <c r="B529" t="str">
        <f t="shared" si="8"/>
        <v>SANTA CRUZ, PE, Brasil</v>
      </c>
      <c r="C529" s="4" t="str">
        <f>_xlfn.XLOOKUP(A529,[1]!DadosGHD[CD_GEOCMU],[1]!DadosGHD[Região])</f>
        <v>NE</v>
      </c>
      <c r="D529" s="4" t="str">
        <f>_xlfn.XLOOKUP(A529,[1]!DadosGHD[CD_GEOCMU],[1]!DadosGHD[uf])</f>
        <v>PE</v>
      </c>
      <c r="E529" s="5" t="str">
        <f>_xlfn.XLOOKUP(A529,[1]!DadosGHD[CD_GEOCMU],[1]!DadosGHD[MUNICIPIO])</f>
        <v>SANTA CRUZ</v>
      </c>
      <c r="F529" s="6">
        <v>28.854251861572301</v>
      </c>
      <c r="G529" s="6">
        <v>38.714080810546903</v>
      </c>
      <c r="H529" s="6">
        <v>33.883293151855497</v>
      </c>
      <c r="I529" s="6">
        <v>38.719215393066399</v>
      </c>
      <c r="J529" s="6">
        <v>33.879356384277301</v>
      </c>
      <c r="K529" s="6">
        <v>33.846832275390597</v>
      </c>
      <c r="L529" s="6">
        <v>26.2798957824707</v>
      </c>
    </row>
    <row r="530" spans="1:12" x14ac:dyDescent="0.25">
      <c r="A530">
        <v>2410108</v>
      </c>
      <c r="B530" t="str">
        <f t="shared" si="8"/>
        <v>POCO BRANCO, RN, Brasil</v>
      </c>
      <c r="C530" s="4" t="str">
        <f>_xlfn.XLOOKUP(A530,[1]!DadosGHD[CD_GEOCMU],[1]!DadosGHD[Região])</f>
        <v>NE</v>
      </c>
      <c r="D530" s="4" t="str">
        <f>_xlfn.XLOOKUP(A530,[1]!DadosGHD[CD_GEOCMU],[1]!DadosGHD[uf])</f>
        <v>RN</v>
      </c>
      <c r="E530" s="5" t="str">
        <f>_xlfn.XLOOKUP(A530,[1]!DadosGHD[CD_GEOCMU],[1]!DadosGHD[MUNICIPIO])</f>
        <v>POCO BRANCO</v>
      </c>
      <c r="F530" s="6">
        <v>28.854446411132798</v>
      </c>
      <c r="G530" s="6">
        <v>28.9228916168213</v>
      </c>
      <c r="H530" s="6">
        <v>28.955421447753899</v>
      </c>
      <c r="I530" s="6">
        <v>28.9319152832031</v>
      </c>
      <c r="J530" s="6">
        <v>28.944562911987301</v>
      </c>
      <c r="K530" s="6">
        <v>28.9790859222412</v>
      </c>
      <c r="L530" s="6">
        <v>26.291038513183601</v>
      </c>
    </row>
    <row r="531" spans="1:12" x14ac:dyDescent="0.25">
      <c r="A531">
        <v>2105005</v>
      </c>
      <c r="B531" t="str">
        <f t="shared" si="8"/>
        <v>HUMBERTO DE CAMPOS, MA, Brasil</v>
      </c>
      <c r="C531" s="4" t="str">
        <f>_xlfn.XLOOKUP(A531,[1]!DadosGHD[CD_GEOCMU],[1]!DadosGHD[Região])</f>
        <v>NE</v>
      </c>
      <c r="D531" s="4" t="str">
        <f>_xlfn.XLOOKUP(A531,[1]!DadosGHD[CD_GEOCMU],[1]!DadosGHD[uf])</f>
        <v>MA</v>
      </c>
      <c r="E531" s="5" t="str">
        <f>_xlfn.XLOOKUP(A531,[1]!DadosGHD[CD_GEOCMU],[1]!DadosGHD[MUNICIPIO])</f>
        <v>HUMBERTO DE CAMPOS</v>
      </c>
      <c r="F531" s="6">
        <v>28.854616165161101</v>
      </c>
      <c r="G531" s="6">
        <v>28.91428565979</v>
      </c>
      <c r="H531" s="6">
        <v>28.947956085205099</v>
      </c>
      <c r="I531" s="6">
        <v>28.9287509918213</v>
      </c>
      <c r="J531" s="6">
        <v>28.9433498382568</v>
      </c>
      <c r="K531" s="6">
        <v>28.970232009887699</v>
      </c>
      <c r="L531" s="6">
        <v>26.2798957824707</v>
      </c>
    </row>
    <row r="532" spans="1:12" x14ac:dyDescent="0.25">
      <c r="A532">
        <v>2804458</v>
      </c>
      <c r="B532" t="str">
        <f t="shared" si="8"/>
        <v>NOSSA SENHORA APARECIDA, SE, Brasil</v>
      </c>
      <c r="C532" s="4" t="str">
        <f>_xlfn.XLOOKUP(A532,[1]!DadosGHD[CD_GEOCMU],[1]!DadosGHD[Região])</f>
        <v>NE</v>
      </c>
      <c r="D532" s="4" t="str">
        <f>_xlfn.XLOOKUP(A532,[1]!DadosGHD[CD_GEOCMU],[1]!DadosGHD[uf])</f>
        <v>SE</v>
      </c>
      <c r="E532" s="5" t="str">
        <f>_xlfn.XLOOKUP(A532,[1]!DadosGHD[CD_GEOCMU],[1]!DadosGHD[MUNICIPIO])</f>
        <v>NOSSA SENHORA APARECIDA</v>
      </c>
      <c r="F532" s="6">
        <v>28.854719161987301</v>
      </c>
      <c r="G532" s="6">
        <v>28.930486679077202</v>
      </c>
      <c r="H532" s="6">
        <v>28.959720611572301</v>
      </c>
      <c r="I532" s="6">
        <v>28.941186904907202</v>
      </c>
      <c r="J532" s="6">
        <v>28.962976455688501</v>
      </c>
      <c r="K532" s="6">
        <v>28.997438430786101</v>
      </c>
      <c r="L532" s="6">
        <v>26.296829223632798</v>
      </c>
    </row>
    <row r="533" spans="1:12" x14ac:dyDescent="0.25">
      <c r="A533">
        <v>2601300</v>
      </c>
      <c r="B533" t="str">
        <f t="shared" si="8"/>
        <v>BARRA DE GUABIRABA, PE, Brasil</v>
      </c>
      <c r="C533" s="4" t="str">
        <f>_xlfn.XLOOKUP(A533,[1]!DadosGHD[CD_GEOCMU],[1]!DadosGHD[Região])</f>
        <v>NE</v>
      </c>
      <c r="D533" s="4" t="str">
        <f>_xlfn.XLOOKUP(A533,[1]!DadosGHD[CD_GEOCMU],[1]!DadosGHD[uf])</f>
        <v>PE</v>
      </c>
      <c r="E533" s="5" t="str">
        <f>_xlfn.XLOOKUP(A533,[1]!DadosGHD[CD_GEOCMU],[1]!DadosGHD[MUNICIPIO])</f>
        <v>BARRA DE GUABIRABA</v>
      </c>
      <c r="F533" s="6">
        <v>28.854772567748999</v>
      </c>
      <c r="G533" s="6">
        <v>33.770084381103501</v>
      </c>
      <c r="H533" s="6">
        <v>33.825031280517599</v>
      </c>
      <c r="I533" s="6">
        <v>33.811939239502003</v>
      </c>
      <c r="J533" s="6">
        <v>33.810413360595703</v>
      </c>
      <c r="K533" s="6">
        <v>29.003837585449201</v>
      </c>
      <c r="L533" s="6">
        <v>30.719030380248999</v>
      </c>
    </row>
    <row r="534" spans="1:12" x14ac:dyDescent="0.25">
      <c r="A534">
        <v>2616308</v>
      </c>
      <c r="B534" t="str">
        <f t="shared" si="8"/>
        <v>VICENCIA, PE, Brasil</v>
      </c>
      <c r="C534" s="4" t="str">
        <f>_xlfn.XLOOKUP(A534,[1]!DadosGHD[CD_GEOCMU],[1]!DadosGHD[Região])</f>
        <v>NE</v>
      </c>
      <c r="D534" s="4" t="str">
        <f>_xlfn.XLOOKUP(A534,[1]!DadosGHD[CD_GEOCMU],[1]!DadosGHD[uf])</f>
        <v>PE</v>
      </c>
      <c r="E534" s="5" t="str">
        <f>_xlfn.XLOOKUP(A534,[1]!DadosGHD[CD_GEOCMU],[1]!DadosGHD[MUNICIPIO])</f>
        <v>VICENCIA</v>
      </c>
      <c r="F534" s="6">
        <v>28.854845046997099</v>
      </c>
      <c r="G534" s="6">
        <v>28.917589187622099</v>
      </c>
      <c r="H534" s="6">
        <v>28.942651748657202</v>
      </c>
      <c r="I534" s="6">
        <v>28.9329738616943</v>
      </c>
      <c r="J534" s="6">
        <v>28.9481296539307</v>
      </c>
      <c r="K534" s="6">
        <v>28.978784561157202</v>
      </c>
      <c r="L534" s="6">
        <v>26.2798957824707</v>
      </c>
    </row>
    <row r="535" spans="1:12" x14ac:dyDescent="0.25">
      <c r="A535">
        <v>1504802</v>
      </c>
      <c r="B535" t="str">
        <f t="shared" si="8"/>
        <v>MONTE ALEGRE, PA, Brasil</v>
      </c>
      <c r="C535" s="4" t="str">
        <f>_xlfn.XLOOKUP(A535,[1]!DadosGHD[CD_GEOCMU],[1]!DadosGHD[Região])</f>
        <v>NO</v>
      </c>
      <c r="D535" s="4" t="str">
        <f>_xlfn.XLOOKUP(A535,[1]!DadosGHD[CD_GEOCMU],[1]!DadosGHD[uf])</f>
        <v>PA</v>
      </c>
      <c r="E535" s="5" t="str">
        <f>_xlfn.XLOOKUP(A535,[1]!DadosGHD[CD_GEOCMU],[1]!DadosGHD[MUNICIPIO])</f>
        <v>MONTE ALEGRE</v>
      </c>
      <c r="F535" s="6">
        <v>28.855018615722699</v>
      </c>
      <c r="G535" s="6">
        <v>28.9288005828857</v>
      </c>
      <c r="H535" s="6">
        <v>28.964118957519499</v>
      </c>
      <c r="I535" s="6">
        <v>28.956304550170898</v>
      </c>
      <c r="J535" s="6">
        <v>33.819911956787102</v>
      </c>
      <c r="K535" s="6">
        <v>33.863983154296903</v>
      </c>
      <c r="L535" s="6">
        <v>30.6946411132813</v>
      </c>
    </row>
    <row r="536" spans="1:12" x14ac:dyDescent="0.25">
      <c r="A536">
        <v>2612554</v>
      </c>
      <c r="B536" t="str">
        <f t="shared" si="8"/>
        <v>SANTA FILOMENA, PE, Brasil</v>
      </c>
      <c r="C536" s="4" t="str">
        <f>_xlfn.XLOOKUP(A536,[1]!DadosGHD[CD_GEOCMU],[1]!DadosGHD[Região])</f>
        <v>NE</v>
      </c>
      <c r="D536" s="4" t="str">
        <f>_xlfn.XLOOKUP(A536,[1]!DadosGHD[CD_GEOCMU],[1]!DadosGHD[uf])</f>
        <v>PE</v>
      </c>
      <c r="E536" s="5" t="str">
        <f>_xlfn.XLOOKUP(A536,[1]!DadosGHD[CD_GEOCMU],[1]!DadosGHD[MUNICIPIO])</f>
        <v>SANTA FILOMENA</v>
      </c>
      <c r="F536" s="6">
        <v>28.855125427246101</v>
      </c>
      <c r="G536" s="6">
        <v>28.914344787597699</v>
      </c>
      <c r="H536" s="6">
        <v>28.947504043579102</v>
      </c>
      <c r="I536" s="6">
        <v>28.9283771514893</v>
      </c>
      <c r="J536" s="6">
        <v>28.943052291870099</v>
      </c>
      <c r="K536" s="6">
        <v>28.9700107574463</v>
      </c>
      <c r="L536" s="6">
        <v>30.701906204223601</v>
      </c>
    </row>
    <row r="537" spans="1:12" x14ac:dyDescent="0.25">
      <c r="A537">
        <v>2917805</v>
      </c>
      <c r="B537" t="str">
        <f t="shared" si="8"/>
        <v>JAGUARIPE, BA, Brasil</v>
      </c>
      <c r="C537" s="4" t="str">
        <f>_xlfn.XLOOKUP(A537,[1]!DadosGHD[CD_GEOCMU],[1]!DadosGHD[Região])</f>
        <v>NE</v>
      </c>
      <c r="D537" s="4" t="str">
        <f>_xlfn.XLOOKUP(A537,[1]!DadosGHD[CD_GEOCMU],[1]!DadosGHD[uf])</f>
        <v>BA</v>
      </c>
      <c r="E537" s="5" t="str">
        <f>_xlfn.XLOOKUP(A537,[1]!DadosGHD[CD_GEOCMU],[1]!DadosGHD[MUNICIPIO])</f>
        <v>JAGUARIPE</v>
      </c>
      <c r="F537" s="6">
        <v>28.855247497558601</v>
      </c>
      <c r="G537" s="6">
        <v>28.922288894653299</v>
      </c>
      <c r="H537" s="6">
        <v>28.9661350250244</v>
      </c>
      <c r="I537" s="6">
        <v>28.953752517700199</v>
      </c>
      <c r="J537" s="6">
        <v>28.965694427490199</v>
      </c>
      <c r="K537" s="6">
        <v>28.997383117675799</v>
      </c>
      <c r="L537" s="6">
        <v>30.701639175415</v>
      </c>
    </row>
    <row r="538" spans="1:12" x14ac:dyDescent="0.25">
      <c r="A538">
        <v>2608107</v>
      </c>
      <c r="B538" t="str">
        <f t="shared" si="8"/>
        <v>JOAO ALFREDO, PE, Brasil</v>
      </c>
      <c r="C538" s="4" t="str">
        <f>_xlfn.XLOOKUP(A538,[1]!DadosGHD[CD_GEOCMU],[1]!DadosGHD[Região])</f>
        <v>NE</v>
      </c>
      <c r="D538" s="4" t="str">
        <f>_xlfn.XLOOKUP(A538,[1]!DadosGHD[CD_GEOCMU],[1]!DadosGHD[uf])</f>
        <v>PE</v>
      </c>
      <c r="E538" s="5" t="str">
        <f>_xlfn.XLOOKUP(A538,[1]!DadosGHD[CD_GEOCMU],[1]!DadosGHD[MUNICIPIO])</f>
        <v>JOAO ALFREDO</v>
      </c>
      <c r="F538" s="6">
        <v>28.8552761077881</v>
      </c>
      <c r="G538" s="6">
        <v>28.9162082672119</v>
      </c>
      <c r="H538" s="6">
        <v>28.9490871429443</v>
      </c>
      <c r="I538" s="6">
        <v>28.9335842132568</v>
      </c>
      <c r="J538" s="6">
        <v>28.9536457061768</v>
      </c>
      <c r="K538" s="6">
        <v>29.003919601440401</v>
      </c>
      <c r="L538" s="6">
        <v>30.697717666626001</v>
      </c>
    </row>
    <row r="539" spans="1:12" x14ac:dyDescent="0.25">
      <c r="A539">
        <v>2708956</v>
      </c>
      <c r="B539" t="str">
        <f t="shared" si="8"/>
        <v>SENADOR RUI PALMEIRA, AL, Brasil</v>
      </c>
      <c r="C539" s="4" t="str">
        <f>_xlfn.XLOOKUP(A539,[1]!DadosGHD[CD_GEOCMU],[1]!DadosGHD[Região])</f>
        <v>NE</v>
      </c>
      <c r="D539" s="4" t="str">
        <f>_xlfn.XLOOKUP(A539,[1]!DadosGHD[CD_GEOCMU],[1]!DadosGHD[uf])</f>
        <v>AL</v>
      </c>
      <c r="E539" s="5" t="str">
        <f>_xlfn.XLOOKUP(A539,[1]!DadosGHD[CD_GEOCMU],[1]!DadosGHD[MUNICIPIO])</f>
        <v>SENADOR RUI PALMEIRA</v>
      </c>
      <c r="F539" s="6">
        <v>28.8553066253662</v>
      </c>
      <c r="G539" s="6">
        <v>28.915014266967798</v>
      </c>
      <c r="H539" s="6">
        <v>28.949398040771499</v>
      </c>
      <c r="I539" s="6">
        <v>28.930347442626999</v>
      </c>
      <c r="J539" s="6">
        <v>28.945110321044901</v>
      </c>
      <c r="K539" s="6">
        <v>28.972415924072301</v>
      </c>
      <c r="L539" s="6">
        <v>26.2798957824707</v>
      </c>
    </row>
    <row r="540" spans="1:12" x14ac:dyDescent="0.25">
      <c r="A540">
        <v>3115904</v>
      </c>
      <c r="B540" t="str">
        <f t="shared" si="8"/>
        <v>CHACARA, MG, Brasil</v>
      </c>
      <c r="C540" s="4" t="str">
        <f>_xlfn.XLOOKUP(A540,[1]!DadosGHD[CD_GEOCMU],[1]!DadosGHD[Região])</f>
        <v>SD</v>
      </c>
      <c r="D540" s="4" t="str">
        <f>_xlfn.XLOOKUP(A540,[1]!DadosGHD[CD_GEOCMU],[1]!DadosGHD[uf])</f>
        <v>MG</v>
      </c>
      <c r="E540" s="5" t="str">
        <f>_xlfn.XLOOKUP(A540,[1]!DadosGHD[CD_GEOCMU],[1]!DadosGHD[MUNICIPIO])</f>
        <v>CHACARA</v>
      </c>
      <c r="F540" s="6">
        <v>28.855310440063501</v>
      </c>
      <c r="G540" s="6">
        <v>33.778457641601598</v>
      </c>
      <c r="H540" s="6">
        <v>33.863857269287102</v>
      </c>
      <c r="I540" s="6">
        <v>38.715938568115199</v>
      </c>
      <c r="J540" s="6">
        <v>33.8582153320313</v>
      </c>
      <c r="K540" s="6">
        <v>33.866245269775398</v>
      </c>
      <c r="L540" s="6">
        <v>35.159317016601598</v>
      </c>
    </row>
    <row r="541" spans="1:12" x14ac:dyDescent="0.25">
      <c r="A541">
        <v>4304713</v>
      </c>
      <c r="B541" t="str">
        <f t="shared" si="8"/>
        <v>CARAA, RS, Brasil</v>
      </c>
      <c r="C541" s="4" t="str">
        <f>_xlfn.XLOOKUP(A541,[1]!DadosGHD[CD_GEOCMU],[1]!DadosGHD[Região])</f>
        <v>SL</v>
      </c>
      <c r="D541" s="4" t="str">
        <f>_xlfn.XLOOKUP(A541,[1]!DadosGHD[CD_GEOCMU],[1]!DadosGHD[uf])</f>
        <v>RS</v>
      </c>
      <c r="E541" s="5" t="str">
        <f>_xlfn.XLOOKUP(A541,[1]!DadosGHD[CD_GEOCMU],[1]!DadosGHD[MUNICIPIO])</f>
        <v>CARAA</v>
      </c>
      <c r="F541" s="6">
        <v>28.855319976806602</v>
      </c>
      <c r="G541" s="6">
        <v>28.931079864501999</v>
      </c>
      <c r="H541" s="6">
        <v>28.9770622253418</v>
      </c>
      <c r="I541" s="6">
        <v>33.817039489746101</v>
      </c>
      <c r="J541" s="6">
        <v>33.836647033691399</v>
      </c>
      <c r="K541" s="6">
        <v>29.006414413452202</v>
      </c>
      <c r="L541" s="6">
        <v>26.2850646972656</v>
      </c>
    </row>
    <row r="542" spans="1:12" x14ac:dyDescent="0.25">
      <c r="A542">
        <v>2709202</v>
      </c>
      <c r="B542" t="str">
        <f t="shared" si="8"/>
        <v>TRAIPU, AL, Brasil</v>
      </c>
      <c r="C542" s="4" t="str">
        <f>_xlfn.XLOOKUP(A542,[1]!DadosGHD[CD_GEOCMU],[1]!DadosGHD[Região])</f>
        <v>NE</v>
      </c>
      <c r="D542" s="4" t="str">
        <f>_xlfn.XLOOKUP(A542,[1]!DadosGHD[CD_GEOCMU],[1]!DadosGHD[uf])</f>
        <v>AL</v>
      </c>
      <c r="E542" s="5" t="str">
        <f>_xlfn.XLOOKUP(A542,[1]!DadosGHD[CD_GEOCMU],[1]!DadosGHD[MUNICIPIO])</f>
        <v>TRAIPU</v>
      </c>
      <c r="F542" s="6">
        <v>28.855331420898398</v>
      </c>
      <c r="G542" s="6">
        <v>28.915018081665</v>
      </c>
      <c r="H542" s="6">
        <v>28.942651748657202</v>
      </c>
      <c r="I542" s="6">
        <v>28.925045013427699</v>
      </c>
      <c r="J542" s="6">
        <v>28.9409065246582</v>
      </c>
      <c r="K542" s="6">
        <v>28.9686679840088</v>
      </c>
      <c r="L542" s="6">
        <v>26.286436080932599</v>
      </c>
    </row>
    <row r="543" spans="1:12" x14ac:dyDescent="0.25">
      <c r="A543">
        <v>2931608</v>
      </c>
      <c r="B543" t="str">
        <f t="shared" si="8"/>
        <v>TEOLANDIA, BA, Brasil</v>
      </c>
      <c r="C543" s="4" t="str">
        <f>_xlfn.XLOOKUP(A543,[1]!DadosGHD[CD_GEOCMU],[1]!DadosGHD[Região])</f>
        <v>NE</v>
      </c>
      <c r="D543" s="4" t="str">
        <f>_xlfn.XLOOKUP(A543,[1]!DadosGHD[CD_GEOCMU],[1]!DadosGHD[uf])</f>
        <v>BA</v>
      </c>
      <c r="E543" s="5" t="str">
        <f>_xlfn.XLOOKUP(A543,[1]!DadosGHD[CD_GEOCMU],[1]!DadosGHD[MUNICIPIO])</f>
        <v>TEOLANDIA</v>
      </c>
      <c r="F543" s="6">
        <v>28.8553657531738</v>
      </c>
      <c r="G543" s="6">
        <v>28.914945602416999</v>
      </c>
      <c r="H543" s="6">
        <v>28.974086761474599</v>
      </c>
      <c r="I543" s="6">
        <v>28.954999923706101</v>
      </c>
      <c r="J543" s="6">
        <v>28.944786071777301</v>
      </c>
      <c r="K543" s="6">
        <v>28.9721279144287</v>
      </c>
      <c r="L543" s="6">
        <v>26.2798957824707</v>
      </c>
    </row>
    <row r="544" spans="1:12" x14ac:dyDescent="0.25">
      <c r="A544">
        <v>2902005</v>
      </c>
      <c r="B544" t="str">
        <f t="shared" si="8"/>
        <v>ARACATU, BA, Brasil</v>
      </c>
      <c r="C544" s="4" t="str">
        <f>_xlfn.XLOOKUP(A544,[1]!DadosGHD[CD_GEOCMU],[1]!DadosGHD[Região])</f>
        <v>NE</v>
      </c>
      <c r="D544" s="4" t="str">
        <f>_xlfn.XLOOKUP(A544,[1]!DadosGHD[CD_GEOCMU],[1]!DadosGHD[uf])</f>
        <v>BA</v>
      </c>
      <c r="E544" s="5" t="str">
        <f>_xlfn.XLOOKUP(A544,[1]!DadosGHD[CD_GEOCMU],[1]!DadosGHD[MUNICIPIO])</f>
        <v>ARACATU</v>
      </c>
      <c r="F544" s="6">
        <v>28.855566024780298</v>
      </c>
      <c r="G544" s="6">
        <v>28.915266036987301</v>
      </c>
      <c r="H544" s="6">
        <v>28.951515197753899</v>
      </c>
      <c r="I544" s="6">
        <v>28.932977676391602</v>
      </c>
      <c r="J544" s="6">
        <v>28.9482517242432</v>
      </c>
      <c r="K544" s="6">
        <v>28.993299484252901</v>
      </c>
      <c r="L544" s="6">
        <v>26.2996616363525</v>
      </c>
    </row>
    <row r="545" spans="1:12" x14ac:dyDescent="0.25">
      <c r="A545">
        <v>3118502</v>
      </c>
      <c r="B545" t="str">
        <f t="shared" si="8"/>
        <v>CONSOLACAO, MG, Brasil</v>
      </c>
      <c r="C545" s="4" t="str">
        <f>_xlfn.XLOOKUP(A545,[1]!DadosGHD[CD_GEOCMU],[1]!DadosGHD[Região])</f>
        <v>SD</v>
      </c>
      <c r="D545" s="4" t="str">
        <f>_xlfn.XLOOKUP(A545,[1]!DadosGHD[CD_GEOCMU],[1]!DadosGHD[uf])</f>
        <v>MG</v>
      </c>
      <c r="E545" s="5" t="str">
        <f>_xlfn.XLOOKUP(A545,[1]!DadosGHD[CD_GEOCMU],[1]!DadosGHD[MUNICIPIO])</f>
        <v>CONSOLACAO</v>
      </c>
      <c r="F545" s="6">
        <v>28.855991363525401</v>
      </c>
      <c r="G545" s="6">
        <v>33.7665824890137</v>
      </c>
      <c r="H545" s="6">
        <v>33.8157958984375</v>
      </c>
      <c r="I545" s="6">
        <v>28.9498386383057</v>
      </c>
      <c r="J545" s="6">
        <v>33.821548461914098</v>
      </c>
      <c r="K545" s="6">
        <v>33.906341552734403</v>
      </c>
      <c r="L545" s="6">
        <v>39.593662261962898</v>
      </c>
    </row>
    <row r="546" spans="1:12" x14ac:dyDescent="0.25">
      <c r="A546">
        <v>2107209</v>
      </c>
      <c r="B546" t="str">
        <f t="shared" si="8"/>
        <v>NINA RODRIGUES, MA, Brasil</v>
      </c>
      <c r="C546" s="4" t="str">
        <f>_xlfn.XLOOKUP(A546,[1]!DadosGHD[CD_GEOCMU],[1]!DadosGHD[Região])</f>
        <v>NE</v>
      </c>
      <c r="D546" s="4" t="str">
        <f>_xlfn.XLOOKUP(A546,[1]!DadosGHD[CD_GEOCMU],[1]!DadosGHD[uf])</f>
        <v>MA</v>
      </c>
      <c r="E546" s="5" t="str">
        <f>_xlfn.XLOOKUP(A546,[1]!DadosGHD[CD_GEOCMU],[1]!DadosGHD[MUNICIPIO])</f>
        <v>NINA RODRIGUES</v>
      </c>
      <c r="F546" s="6">
        <v>28.856002807617202</v>
      </c>
      <c r="G546" s="6">
        <v>28.913526535034201</v>
      </c>
      <c r="H546" s="6">
        <v>28.9479084014893</v>
      </c>
      <c r="I546" s="6">
        <v>28.9284477233887</v>
      </c>
      <c r="J546" s="6">
        <v>28.942808151245099</v>
      </c>
      <c r="K546" s="6">
        <v>28.969465255737301</v>
      </c>
      <c r="L546" s="6">
        <v>26.2798957824707</v>
      </c>
    </row>
    <row r="547" spans="1:12" x14ac:dyDescent="0.25">
      <c r="A547">
        <v>2913457</v>
      </c>
      <c r="B547" t="str">
        <f t="shared" si="8"/>
        <v>IGRAPIUNA, BA, Brasil</v>
      </c>
      <c r="C547" s="4" t="str">
        <f>_xlfn.XLOOKUP(A547,[1]!DadosGHD[CD_GEOCMU],[1]!DadosGHD[Região])</f>
        <v>NE</v>
      </c>
      <c r="D547" s="4" t="str">
        <f>_xlfn.XLOOKUP(A547,[1]!DadosGHD[CD_GEOCMU],[1]!DadosGHD[uf])</f>
        <v>BA</v>
      </c>
      <c r="E547" s="5" t="str">
        <f>_xlfn.XLOOKUP(A547,[1]!DadosGHD[CD_GEOCMU],[1]!DadosGHD[MUNICIPIO])</f>
        <v>IGRAPIUNA</v>
      </c>
      <c r="F547" s="6">
        <v>28.85618019104</v>
      </c>
      <c r="G547" s="6">
        <v>28.915458679199201</v>
      </c>
      <c r="H547" s="6">
        <v>33.820224761962898</v>
      </c>
      <c r="I547" s="6">
        <v>33.802524566650398</v>
      </c>
      <c r="J547" s="6">
        <v>33.823776245117202</v>
      </c>
      <c r="K547" s="6">
        <v>28.9792995452881</v>
      </c>
      <c r="L547" s="6">
        <v>26.2798957824707</v>
      </c>
    </row>
    <row r="548" spans="1:12" x14ac:dyDescent="0.25">
      <c r="A548">
        <v>2602209</v>
      </c>
      <c r="B548" t="str">
        <f t="shared" si="8"/>
        <v>BOM JARDIM, PE, Brasil</v>
      </c>
      <c r="C548" s="4" t="str">
        <f>_xlfn.XLOOKUP(A548,[1]!DadosGHD[CD_GEOCMU],[1]!DadosGHD[Região])</f>
        <v>NE</v>
      </c>
      <c r="D548" s="4" t="str">
        <f>_xlfn.XLOOKUP(A548,[1]!DadosGHD[CD_GEOCMU],[1]!DadosGHD[uf])</f>
        <v>PE</v>
      </c>
      <c r="E548" s="5" t="str">
        <f>_xlfn.XLOOKUP(A548,[1]!DadosGHD[CD_GEOCMU],[1]!DadosGHD[MUNICIPIO])</f>
        <v>BOM JARDIM</v>
      </c>
      <c r="F548" s="6">
        <v>28.8562202453613</v>
      </c>
      <c r="G548" s="6">
        <v>28.9145622253418</v>
      </c>
      <c r="H548" s="6">
        <v>28.948266983032202</v>
      </c>
      <c r="I548" s="6">
        <v>28.930604934692401</v>
      </c>
      <c r="J548" s="6">
        <v>28.941860198974599</v>
      </c>
      <c r="K548" s="6">
        <v>28.969171524047901</v>
      </c>
      <c r="L548" s="6">
        <v>26.2798957824707</v>
      </c>
    </row>
    <row r="549" spans="1:12" x14ac:dyDescent="0.25">
      <c r="A549">
        <v>2300903</v>
      </c>
      <c r="B549" t="str">
        <f t="shared" si="8"/>
        <v>APUIARES, CE, Brasil</v>
      </c>
      <c r="C549" s="4" t="str">
        <f>_xlfn.XLOOKUP(A549,[1]!DadosGHD[CD_GEOCMU],[1]!DadosGHD[Região])</f>
        <v>NE</v>
      </c>
      <c r="D549" s="4" t="str">
        <f>_xlfn.XLOOKUP(A549,[1]!DadosGHD[CD_GEOCMU],[1]!DadosGHD[uf])</f>
        <v>CE</v>
      </c>
      <c r="E549" s="5" t="str">
        <f>_xlfn.XLOOKUP(A549,[1]!DadosGHD[CD_GEOCMU],[1]!DadosGHD[MUNICIPIO])</f>
        <v>APUIARES</v>
      </c>
      <c r="F549" s="6">
        <v>28.8562831878662</v>
      </c>
      <c r="G549" s="6">
        <v>28.9148063659668</v>
      </c>
      <c r="H549" s="6">
        <v>28.9461975097656</v>
      </c>
      <c r="I549" s="6">
        <v>28.9279975891113</v>
      </c>
      <c r="J549" s="6">
        <v>28.9427185058594</v>
      </c>
      <c r="K549" s="6">
        <v>28.9697170257568</v>
      </c>
      <c r="L549" s="6">
        <v>26.2798957824707</v>
      </c>
    </row>
    <row r="550" spans="1:12" x14ac:dyDescent="0.25">
      <c r="A550">
        <v>2110658</v>
      </c>
      <c r="B550" t="str">
        <f t="shared" si="8"/>
        <v>SAO DOMINGOS DO AZEITAO, MA, Brasil</v>
      </c>
      <c r="C550" s="4" t="str">
        <f>_xlfn.XLOOKUP(A550,[1]!DadosGHD[CD_GEOCMU],[1]!DadosGHD[Região])</f>
        <v>NE</v>
      </c>
      <c r="D550" s="4" t="str">
        <f>_xlfn.XLOOKUP(A550,[1]!DadosGHD[CD_GEOCMU],[1]!DadosGHD[uf])</f>
        <v>MA</v>
      </c>
      <c r="E550" s="5" t="str">
        <f>_xlfn.XLOOKUP(A550,[1]!DadosGHD[CD_GEOCMU],[1]!DadosGHD[MUNICIPIO])</f>
        <v>SAO DOMINGOS DO AZEITAO</v>
      </c>
      <c r="F550" s="6">
        <v>28.856349945068398</v>
      </c>
      <c r="G550" s="6">
        <v>28.907878875732401</v>
      </c>
      <c r="H550" s="6">
        <v>28.942651748657202</v>
      </c>
      <c r="I550" s="6">
        <v>28.925045013427699</v>
      </c>
      <c r="J550" s="6">
        <v>28.9409065246582</v>
      </c>
      <c r="K550" s="6">
        <v>28.9686679840088</v>
      </c>
      <c r="L550" s="6">
        <v>26.2798957824707</v>
      </c>
    </row>
    <row r="551" spans="1:12" x14ac:dyDescent="0.25">
      <c r="A551">
        <v>2916856</v>
      </c>
      <c r="B551" t="str">
        <f t="shared" si="8"/>
        <v>ITATIM, BA, Brasil</v>
      </c>
      <c r="C551" s="4" t="str">
        <f>_xlfn.XLOOKUP(A551,[1]!DadosGHD[CD_GEOCMU],[1]!DadosGHD[Região])</f>
        <v>NE</v>
      </c>
      <c r="D551" s="4" t="str">
        <f>_xlfn.XLOOKUP(A551,[1]!DadosGHD[CD_GEOCMU],[1]!DadosGHD[uf])</f>
        <v>BA</v>
      </c>
      <c r="E551" s="5" t="str">
        <f>_xlfn.XLOOKUP(A551,[1]!DadosGHD[CD_GEOCMU],[1]!DadosGHD[MUNICIPIO])</f>
        <v>ITATIM</v>
      </c>
      <c r="F551" s="6">
        <v>28.8564128875732</v>
      </c>
      <c r="G551" s="6">
        <v>28.930513381958001</v>
      </c>
      <c r="H551" s="6">
        <v>33.813308715820298</v>
      </c>
      <c r="I551" s="6">
        <v>33.788478851318402</v>
      </c>
      <c r="J551" s="6">
        <v>28.972650527954102</v>
      </c>
      <c r="K551" s="6">
        <v>29.002876281738299</v>
      </c>
      <c r="L551" s="6">
        <v>39.558059692382798</v>
      </c>
    </row>
    <row r="552" spans="1:12" x14ac:dyDescent="0.25">
      <c r="A552">
        <v>2111722</v>
      </c>
      <c r="B552" t="str">
        <f t="shared" si="8"/>
        <v>SATUBINHA, MA, Brasil</v>
      </c>
      <c r="C552" s="4" t="str">
        <f>_xlfn.XLOOKUP(A552,[1]!DadosGHD[CD_GEOCMU],[1]!DadosGHD[Região])</f>
        <v>NE</v>
      </c>
      <c r="D552" s="4" t="str">
        <f>_xlfn.XLOOKUP(A552,[1]!DadosGHD[CD_GEOCMU],[1]!DadosGHD[uf])</f>
        <v>MA</v>
      </c>
      <c r="E552" s="5" t="str">
        <f>_xlfn.XLOOKUP(A552,[1]!DadosGHD[CD_GEOCMU],[1]!DadosGHD[MUNICIPIO])</f>
        <v>SATUBINHA</v>
      </c>
      <c r="F552" s="6">
        <v>28.856462478637699</v>
      </c>
      <c r="G552" s="6">
        <v>28.915309906005898</v>
      </c>
      <c r="H552" s="6">
        <v>28.949701309204102</v>
      </c>
      <c r="I552" s="6">
        <v>28.930198669433601</v>
      </c>
      <c r="J552" s="6">
        <v>28.944532394409201</v>
      </c>
      <c r="K552" s="6">
        <v>28.971164703369102</v>
      </c>
      <c r="L552" s="6">
        <v>26.2817783355713</v>
      </c>
    </row>
    <row r="553" spans="1:12" x14ac:dyDescent="0.25">
      <c r="A553">
        <v>1600709</v>
      </c>
      <c r="B553" t="str">
        <f t="shared" si="8"/>
        <v>TARTARUGALZINHO, AP, Brasil</v>
      </c>
      <c r="C553" s="4" t="str">
        <f>_xlfn.XLOOKUP(A553,[1]!DadosGHD[CD_GEOCMU],[1]!DadosGHD[Região])</f>
        <v>NO</v>
      </c>
      <c r="D553" s="4" t="str">
        <f>_xlfn.XLOOKUP(A553,[1]!DadosGHD[CD_GEOCMU],[1]!DadosGHD[uf])</f>
        <v>AP</v>
      </c>
      <c r="E553" s="5" t="str">
        <f>_xlfn.XLOOKUP(A553,[1]!DadosGHD[CD_GEOCMU],[1]!DadosGHD[MUNICIPIO])</f>
        <v>TARTARUGALZINHO</v>
      </c>
      <c r="F553" s="6">
        <v>28.856723785400401</v>
      </c>
      <c r="G553" s="6">
        <v>28.9119758605957</v>
      </c>
      <c r="H553" s="6">
        <v>28.942651748657202</v>
      </c>
      <c r="I553" s="6">
        <v>28.925045013427699</v>
      </c>
      <c r="J553" s="6">
        <v>28.9690341949463</v>
      </c>
      <c r="K553" s="6">
        <v>28.988151550293001</v>
      </c>
      <c r="L553" s="6">
        <v>39.558277130127003</v>
      </c>
    </row>
    <row r="554" spans="1:12" x14ac:dyDescent="0.25">
      <c r="A554">
        <v>2600708</v>
      </c>
      <c r="B554" t="str">
        <f t="shared" si="8"/>
        <v>ALIANCA, PE, Brasil</v>
      </c>
      <c r="C554" s="4" t="str">
        <f>_xlfn.XLOOKUP(A554,[1]!DadosGHD[CD_GEOCMU],[1]!DadosGHD[Região])</f>
        <v>NE</v>
      </c>
      <c r="D554" s="4" t="str">
        <f>_xlfn.XLOOKUP(A554,[1]!DadosGHD[CD_GEOCMU],[1]!DadosGHD[uf])</f>
        <v>PE</v>
      </c>
      <c r="E554" s="5" t="str">
        <f>_xlfn.XLOOKUP(A554,[1]!DadosGHD[CD_GEOCMU],[1]!DadosGHD[MUNICIPIO])</f>
        <v>ALIANCA</v>
      </c>
      <c r="F554" s="6">
        <v>28.8567790985107</v>
      </c>
      <c r="G554" s="6">
        <v>28.921155929565401</v>
      </c>
      <c r="H554" s="6">
        <v>28.967206954956101</v>
      </c>
      <c r="I554" s="6">
        <v>28.947595596313501</v>
      </c>
      <c r="J554" s="6">
        <v>28.9532375335693</v>
      </c>
      <c r="K554" s="6">
        <v>28.9781894683838</v>
      </c>
      <c r="L554" s="6">
        <v>26.281614303588899</v>
      </c>
    </row>
    <row r="555" spans="1:12" x14ac:dyDescent="0.25">
      <c r="A555">
        <v>2909901</v>
      </c>
      <c r="B555" t="str">
        <f t="shared" si="8"/>
        <v>CURACA, BA, Brasil</v>
      </c>
      <c r="C555" s="4" t="str">
        <f>_xlfn.XLOOKUP(A555,[1]!DadosGHD[CD_GEOCMU],[1]!DadosGHD[Região])</f>
        <v>NE</v>
      </c>
      <c r="D555" s="4" t="str">
        <f>_xlfn.XLOOKUP(A555,[1]!DadosGHD[CD_GEOCMU],[1]!DadosGHD[uf])</f>
        <v>BA</v>
      </c>
      <c r="E555" s="5" t="str">
        <f>_xlfn.XLOOKUP(A555,[1]!DadosGHD[CD_GEOCMU],[1]!DadosGHD[MUNICIPIO])</f>
        <v>CURACA</v>
      </c>
      <c r="F555" s="6">
        <v>28.856836318969702</v>
      </c>
      <c r="G555" s="6">
        <v>28.925653457641602</v>
      </c>
      <c r="H555" s="6">
        <v>28.950704574585</v>
      </c>
      <c r="I555" s="6">
        <v>28.927797317504901</v>
      </c>
      <c r="J555" s="6">
        <v>28.947120666503899</v>
      </c>
      <c r="K555" s="6">
        <v>28.988813400268601</v>
      </c>
      <c r="L555" s="6">
        <v>30.685050964355501</v>
      </c>
    </row>
    <row r="556" spans="1:12" x14ac:dyDescent="0.25">
      <c r="A556">
        <v>2102002</v>
      </c>
      <c r="B556" t="str">
        <f t="shared" si="8"/>
        <v>BOM JARDIM, MA, Brasil</v>
      </c>
      <c r="C556" s="4" t="str">
        <f>_xlfn.XLOOKUP(A556,[1]!DadosGHD[CD_GEOCMU],[1]!DadosGHD[Região])</f>
        <v>NE</v>
      </c>
      <c r="D556" s="4" t="str">
        <f>_xlfn.XLOOKUP(A556,[1]!DadosGHD[CD_GEOCMU],[1]!DadosGHD[uf])</f>
        <v>MA</v>
      </c>
      <c r="E556" s="5" t="str">
        <f>_xlfn.XLOOKUP(A556,[1]!DadosGHD[CD_GEOCMU],[1]!DadosGHD[MUNICIPIO])</f>
        <v>BOM JARDIM</v>
      </c>
      <c r="F556" s="6">
        <v>28.856849670410199</v>
      </c>
      <c r="G556" s="6">
        <v>28.919734954833999</v>
      </c>
      <c r="H556" s="6">
        <v>28.954347610473601</v>
      </c>
      <c r="I556" s="6">
        <v>28.936092376708999</v>
      </c>
      <c r="J556" s="6">
        <v>28.954708099365199</v>
      </c>
      <c r="K556" s="6">
        <v>28.9949626922607</v>
      </c>
      <c r="L556" s="6">
        <v>30.710161209106399</v>
      </c>
    </row>
    <row r="557" spans="1:12" x14ac:dyDescent="0.25">
      <c r="A557">
        <v>2924405</v>
      </c>
      <c r="B557" t="str">
        <f t="shared" si="8"/>
        <v>PILAO ARCADO, BA, Brasil</v>
      </c>
      <c r="C557" s="4" t="str">
        <f>_xlfn.XLOOKUP(A557,[1]!DadosGHD[CD_GEOCMU],[1]!DadosGHD[Região])</f>
        <v>NE</v>
      </c>
      <c r="D557" s="4" t="str">
        <f>_xlfn.XLOOKUP(A557,[1]!DadosGHD[CD_GEOCMU],[1]!DadosGHD[uf])</f>
        <v>BA</v>
      </c>
      <c r="E557" s="5" t="str">
        <f>_xlfn.XLOOKUP(A557,[1]!DadosGHD[CD_GEOCMU],[1]!DadosGHD[MUNICIPIO])</f>
        <v>PILAO ARCADO</v>
      </c>
      <c r="F557" s="6">
        <v>28.856861114501999</v>
      </c>
      <c r="G557" s="6">
        <v>28.916313171386701</v>
      </c>
      <c r="H557" s="6">
        <v>28.954614639282202</v>
      </c>
      <c r="I557" s="6">
        <v>28.942621231079102</v>
      </c>
      <c r="J557" s="6">
        <v>28.955846786498999</v>
      </c>
      <c r="K557" s="6">
        <v>28.9852294921875</v>
      </c>
      <c r="L557" s="6">
        <v>26.2798957824707</v>
      </c>
    </row>
    <row r="558" spans="1:12" x14ac:dyDescent="0.25">
      <c r="A558">
        <v>2922607</v>
      </c>
      <c r="B558" t="str">
        <f t="shared" si="8"/>
        <v>NILO PECANHA, BA, Brasil</v>
      </c>
      <c r="C558" s="4" t="str">
        <f>_xlfn.XLOOKUP(A558,[1]!DadosGHD[CD_GEOCMU],[1]!DadosGHD[Região])</f>
        <v>NE</v>
      </c>
      <c r="D558" s="4" t="str">
        <f>_xlfn.XLOOKUP(A558,[1]!DadosGHD[CD_GEOCMU],[1]!DadosGHD[uf])</f>
        <v>BA</v>
      </c>
      <c r="E558" s="5" t="str">
        <f>_xlfn.XLOOKUP(A558,[1]!DadosGHD[CD_GEOCMU],[1]!DadosGHD[MUNICIPIO])</f>
        <v>NILO PECANHA</v>
      </c>
      <c r="F558" s="6">
        <v>28.856878280639702</v>
      </c>
      <c r="G558" s="6">
        <v>28.917028427123999</v>
      </c>
      <c r="H558" s="6">
        <v>28.963926315307599</v>
      </c>
      <c r="I558" s="6">
        <v>28.950901031494102</v>
      </c>
      <c r="J558" s="6">
        <v>28.9731140136719</v>
      </c>
      <c r="K558" s="6">
        <v>28.9928302764893</v>
      </c>
      <c r="L558" s="6">
        <v>26.288753509521499</v>
      </c>
    </row>
    <row r="559" spans="1:12" x14ac:dyDescent="0.25">
      <c r="A559">
        <v>2107456</v>
      </c>
      <c r="B559" t="str">
        <f t="shared" si="8"/>
        <v>OLINDA NOVA DO MARANHAO, MA, Brasil</v>
      </c>
      <c r="C559" s="4" t="str">
        <f>_xlfn.XLOOKUP(A559,[1]!DadosGHD[CD_GEOCMU],[1]!DadosGHD[Região])</f>
        <v>NE</v>
      </c>
      <c r="D559" s="4" t="str">
        <f>_xlfn.XLOOKUP(A559,[1]!DadosGHD[CD_GEOCMU],[1]!DadosGHD[uf])</f>
        <v>MA</v>
      </c>
      <c r="E559" s="5" t="str">
        <f>_xlfn.XLOOKUP(A559,[1]!DadosGHD[CD_GEOCMU],[1]!DadosGHD[MUNICIPIO])</f>
        <v>OLINDA NOVA DO MARANHAO</v>
      </c>
      <c r="F559" s="6">
        <v>28.856918334960898</v>
      </c>
      <c r="G559" s="6">
        <v>28.914392471313501</v>
      </c>
      <c r="H559" s="6">
        <v>28.9469604492188</v>
      </c>
      <c r="I559" s="6">
        <v>28.931859970092798</v>
      </c>
      <c r="J559" s="6">
        <v>28.952577590942401</v>
      </c>
      <c r="K559" s="6">
        <v>28.9811305999756</v>
      </c>
      <c r="L559" s="6">
        <v>26.2798957824707</v>
      </c>
    </row>
    <row r="560" spans="1:12" x14ac:dyDescent="0.25">
      <c r="A560">
        <v>3102704</v>
      </c>
      <c r="B560" t="str">
        <f t="shared" si="8"/>
        <v>CACHOEIRA DE PAJEU, MG, Brasil</v>
      </c>
      <c r="C560" s="4" t="str">
        <f>_xlfn.XLOOKUP(A560,[1]!DadosGHD[CD_GEOCMU],[1]!DadosGHD[Região])</f>
        <v>SD</v>
      </c>
      <c r="D560" s="4" t="str">
        <f>_xlfn.XLOOKUP(A560,[1]!DadosGHD[CD_GEOCMU],[1]!DadosGHD[uf])</f>
        <v>MG</v>
      </c>
      <c r="E560" s="5" t="str">
        <f>_xlfn.XLOOKUP(A560,[1]!DadosGHD[CD_GEOCMU],[1]!DadosGHD[MUNICIPIO])</f>
        <v>CACHOEIRA DE PAJEU</v>
      </c>
      <c r="F560" s="6">
        <v>28.8570671081543</v>
      </c>
      <c r="G560" s="6">
        <v>28.936990737915</v>
      </c>
      <c r="H560" s="6">
        <v>28.970504760742202</v>
      </c>
      <c r="I560" s="6">
        <v>28.9470405578613</v>
      </c>
      <c r="J560" s="6">
        <v>28.957445144653299</v>
      </c>
      <c r="K560" s="6">
        <v>29.0006008148193</v>
      </c>
      <c r="L560" s="6">
        <v>30.705795288085898</v>
      </c>
    </row>
    <row r="561" spans="1:12" x14ac:dyDescent="0.25">
      <c r="A561">
        <v>1500404</v>
      </c>
      <c r="B561" t="str">
        <f t="shared" si="8"/>
        <v>ALENQUER, PA, Brasil</v>
      </c>
      <c r="C561" s="4" t="str">
        <f>_xlfn.XLOOKUP(A561,[1]!DadosGHD[CD_GEOCMU],[1]!DadosGHD[Região])</f>
        <v>NO</v>
      </c>
      <c r="D561" s="4" t="str">
        <f>_xlfn.XLOOKUP(A561,[1]!DadosGHD[CD_GEOCMU],[1]!DadosGHD[uf])</f>
        <v>PA</v>
      </c>
      <c r="E561" s="5" t="str">
        <f>_xlfn.XLOOKUP(A561,[1]!DadosGHD[CD_GEOCMU],[1]!DadosGHD[MUNICIPIO])</f>
        <v>ALENQUER</v>
      </c>
      <c r="F561" s="6">
        <v>28.8570671081543</v>
      </c>
      <c r="G561" s="6">
        <v>28.922937393188501</v>
      </c>
      <c r="H561" s="6">
        <v>28.955530166626001</v>
      </c>
      <c r="I561" s="6">
        <v>28.937797546386701</v>
      </c>
      <c r="J561" s="6">
        <v>28.9557495117188</v>
      </c>
      <c r="K561" s="6">
        <v>28.987911224365199</v>
      </c>
      <c r="L561" s="6">
        <v>26.2798957824707</v>
      </c>
    </row>
    <row r="562" spans="1:12" x14ac:dyDescent="0.25">
      <c r="A562">
        <v>1506583</v>
      </c>
      <c r="B562" t="str">
        <f t="shared" si="8"/>
        <v>SANTA MARIA DAS BARREIRAS, PA, Brasil</v>
      </c>
      <c r="C562" s="4" t="str">
        <f>_xlfn.XLOOKUP(A562,[1]!DadosGHD[CD_GEOCMU],[1]!DadosGHD[Região])</f>
        <v>NO</v>
      </c>
      <c r="D562" s="4" t="str">
        <f>_xlfn.XLOOKUP(A562,[1]!DadosGHD[CD_GEOCMU],[1]!DadosGHD[uf])</f>
        <v>PA</v>
      </c>
      <c r="E562" s="5" t="str">
        <f>_xlfn.XLOOKUP(A562,[1]!DadosGHD[CD_GEOCMU],[1]!DadosGHD[MUNICIPIO])</f>
        <v>SANTA MARIA DAS BARREIRAS</v>
      </c>
      <c r="F562" s="6">
        <v>28.857084274291999</v>
      </c>
      <c r="G562" s="6">
        <v>28.9101467132568</v>
      </c>
      <c r="H562" s="6">
        <v>28.943473815918001</v>
      </c>
      <c r="I562" s="6">
        <v>28.925045013427699</v>
      </c>
      <c r="J562" s="6">
        <v>28.9409065246582</v>
      </c>
      <c r="K562" s="6">
        <v>33.910552978515597</v>
      </c>
      <c r="L562" s="6">
        <v>44.065582275390597</v>
      </c>
    </row>
    <row r="563" spans="1:12" x14ac:dyDescent="0.25">
      <c r="A563">
        <v>5222302</v>
      </c>
      <c r="B563" t="str">
        <f t="shared" si="8"/>
        <v>VILA PROPICIO, GO, Brasil</v>
      </c>
      <c r="C563" s="4" t="str">
        <f>_xlfn.XLOOKUP(A563,[1]!DadosGHD[CD_GEOCMU],[1]!DadosGHD[Região])</f>
        <v>CO</v>
      </c>
      <c r="D563" s="4" t="str">
        <f>_xlfn.XLOOKUP(A563,[1]!DadosGHD[CD_GEOCMU],[1]!DadosGHD[uf])</f>
        <v>GO</v>
      </c>
      <c r="E563" s="5" t="str">
        <f>_xlfn.XLOOKUP(A563,[1]!DadosGHD[CD_GEOCMU],[1]!DadosGHD[MUNICIPIO])</f>
        <v>VILA PROPICIO</v>
      </c>
      <c r="F563" s="6">
        <v>28.857151031494102</v>
      </c>
      <c r="G563" s="6">
        <v>28.924781799316399</v>
      </c>
      <c r="H563" s="6">
        <v>28.9520874023438</v>
      </c>
      <c r="I563" s="6">
        <v>28.925045013427699</v>
      </c>
      <c r="J563" s="6">
        <v>28.9409065246582</v>
      </c>
      <c r="K563" s="6">
        <v>28.977361679077202</v>
      </c>
      <c r="L563" s="6">
        <v>35.136337280273402</v>
      </c>
    </row>
    <row r="564" spans="1:12" x14ac:dyDescent="0.25">
      <c r="A564">
        <v>1302207</v>
      </c>
      <c r="B564" t="str">
        <f t="shared" si="8"/>
        <v>JURUA, AM, Brasil</v>
      </c>
      <c r="C564" s="4" t="str">
        <f>_xlfn.XLOOKUP(A564,[1]!DadosGHD[CD_GEOCMU],[1]!DadosGHD[Região])</f>
        <v>NO</v>
      </c>
      <c r="D564" s="4" t="str">
        <f>_xlfn.XLOOKUP(A564,[1]!DadosGHD[CD_GEOCMU],[1]!DadosGHD[uf])</f>
        <v>AM</v>
      </c>
      <c r="E564" s="5" t="str">
        <f>_xlfn.XLOOKUP(A564,[1]!DadosGHD[CD_GEOCMU],[1]!DadosGHD[MUNICIPIO])</f>
        <v>JURUA</v>
      </c>
      <c r="F564" s="6">
        <v>28.857164382934599</v>
      </c>
      <c r="G564" s="6">
        <v>28.915285110473601</v>
      </c>
      <c r="H564" s="6">
        <v>28.94775390625</v>
      </c>
      <c r="I564" s="6">
        <v>28.927658081054702</v>
      </c>
      <c r="J564" s="6">
        <v>28.941444396972699</v>
      </c>
      <c r="K564" s="6">
        <v>28.9686679840088</v>
      </c>
      <c r="L564" s="6">
        <v>26.2798957824707</v>
      </c>
    </row>
    <row r="565" spans="1:12" x14ac:dyDescent="0.25">
      <c r="A565">
        <v>2602803</v>
      </c>
      <c r="B565" t="str">
        <f t="shared" si="8"/>
        <v>BUIQUE, PE, Brasil</v>
      </c>
      <c r="C565" s="4" t="str">
        <f>_xlfn.XLOOKUP(A565,[1]!DadosGHD[CD_GEOCMU],[1]!DadosGHD[Região])</f>
        <v>NE</v>
      </c>
      <c r="D565" s="4" t="str">
        <f>_xlfn.XLOOKUP(A565,[1]!DadosGHD[CD_GEOCMU],[1]!DadosGHD[uf])</f>
        <v>PE</v>
      </c>
      <c r="E565" s="5" t="str">
        <f>_xlfn.XLOOKUP(A565,[1]!DadosGHD[CD_GEOCMU],[1]!DadosGHD[MUNICIPIO])</f>
        <v>BUIQUE</v>
      </c>
      <c r="F565" s="6">
        <v>28.8571872711182</v>
      </c>
      <c r="G565" s="6">
        <v>28.922880172729499</v>
      </c>
      <c r="H565" s="6">
        <v>28.957750320434599</v>
      </c>
      <c r="I565" s="6">
        <v>28.937131881713899</v>
      </c>
      <c r="J565" s="6">
        <v>28.962648391723601</v>
      </c>
      <c r="K565" s="6">
        <v>28.9969367980957</v>
      </c>
      <c r="L565" s="6">
        <v>30.6868991851807</v>
      </c>
    </row>
    <row r="566" spans="1:12" x14ac:dyDescent="0.25">
      <c r="A566">
        <v>1507508</v>
      </c>
      <c r="B566" t="str">
        <f t="shared" si="8"/>
        <v>SAO JOAO DO ARAGUAIA, PA, Brasil</v>
      </c>
      <c r="C566" s="4" t="str">
        <f>_xlfn.XLOOKUP(A566,[1]!DadosGHD[CD_GEOCMU],[1]!DadosGHD[Região])</f>
        <v>NO</v>
      </c>
      <c r="D566" s="4" t="str">
        <f>_xlfn.XLOOKUP(A566,[1]!DadosGHD[CD_GEOCMU],[1]!DadosGHD[uf])</f>
        <v>PA</v>
      </c>
      <c r="E566" s="5" t="str">
        <f>_xlfn.XLOOKUP(A566,[1]!DadosGHD[CD_GEOCMU],[1]!DadosGHD[MUNICIPIO])</f>
        <v>SAO JOAO DO ARAGUAIA</v>
      </c>
      <c r="F566" s="6">
        <v>28.857225418090799</v>
      </c>
      <c r="G566" s="6">
        <v>28.916479110717798</v>
      </c>
      <c r="H566" s="6">
        <v>28.948980331420898</v>
      </c>
      <c r="I566" s="6">
        <v>28.929924011230501</v>
      </c>
      <c r="J566" s="6">
        <v>28.9446811676025</v>
      </c>
      <c r="K566" s="6">
        <v>33.8483695983887</v>
      </c>
      <c r="L566" s="6">
        <v>26.299848556518601</v>
      </c>
    </row>
    <row r="567" spans="1:12" x14ac:dyDescent="0.25">
      <c r="A567">
        <v>1503507</v>
      </c>
      <c r="B567" t="str">
        <f t="shared" si="8"/>
        <v>IRITUIA, PA, Brasil</v>
      </c>
      <c r="C567" s="4" t="str">
        <f>_xlfn.XLOOKUP(A567,[1]!DadosGHD[CD_GEOCMU],[1]!DadosGHD[Região])</f>
        <v>NO</v>
      </c>
      <c r="D567" s="4" t="str">
        <f>_xlfn.XLOOKUP(A567,[1]!DadosGHD[CD_GEOCMU],[1]!DadosGHD[uf])</f>
        <v>PA</v>
      </c>
      <c r="E567" s="5" t="str">
        <f>_xlfn.XLOOKUP(A567,[1]!DadosGHD[CD_GEOCMU],[1]!DadosGHD[MUNICIPIO])</f>
        <v>IRITUIA</v>
      </c>
      <c r="F567" s="6">
        <v>28.857467651367202</v>
      </c>
      <c r="G567" s="6">
        <v>28.919561386108398</v>
      </c>
      <c r="H567" s="6">
        <v>28.959323883056602</v>
      </c>
      <c r="I567" s="6">
        <v>28.941328048706101</v>
      </c>
      <c r="J567" s="6">
        <v>28.957389831543001</v>
      </c>
      <c r="K567" s="6">
        <v>29.0004177093506</v>
      </c>
      <c r="L567" s="6">
        <v>26.283136367797901</v>
      </c>
    </row>
    <row r="568" spans="1:12" x14ac:dyDescent="0.25">
      <c r="A568">
        <v>2930204</v>
      </c>
      <c r="B568" t="str">
        <f t="shared" si="8"/>
        <v>SENTO SE, BA, Brasil</v>
      </c>
      <c r="C568" s="4" t="str">
        <f>_xlfn.XLOOKUP(A568,[1]!DadosGHD[CD_GEOCMU],[1]!DadosGHD[Região])</f>
        <v>NE</v>
      </c>
      <c r="D568" s="4" t="str">
        <f>_xlfn.XLOOKUP(A568,[1]!DadosGHD[CD_GEOCMU],[1]!DadosGHD[uf])</f>
        <v>BA</v>
      </c>
      <c r="E568" s="5" t="str">
        <f>_xlfn.XLOOKUP(A568,[1]!DadosGHD[CD_GEOCMU],[1]!DadosGHD[MUNICIPIO])</f>
        <v>SENTO SE</v>
      </c>
      <c r="F568" s="6">
        <v>28.8575649261475</v>
      </c>
      <c r="G568" s="6">
        <v>28.916210174560501</v>
      </c>
      <c r="H568" s="6">
        <v>28.9520454406738</v>
      </c>
      <c r="I568" s="6">
        <v>28.939773559570298</v>
      </c>
      <c r="J568" s="6">
        <v>28.9631233215332</v>
      </c>
      <c r="K568" s="6">
        <v>33.845653533935597</v>
      </c>
      <c r="L568" s="6">
        <v>30.690258026123001</v>
      </c>
    </row>
    <row r="569" spans="1:12" x14ac:dyDescent="0.25">
      <c r="A569">
        <v>2613107</v>
      </c>
      <c r="B569" t="str">
        <f t="shared" si="8"/>
        <v>SAO CAITANO, PE, Brasil</v>
      </c>
      <c r="C569" s="4" t="str">
        <f>_xlfn.XLOOKUP(A569,[1]!DadosGHD[CD_GEOCMU],[1]!DadosGHD[Região])</f>
        <v>NE</v>
      </c>
      <c r="D569" s="4" t="str">
        <f>_xlfn.XLOOKUP(A569,[1]!DadosGHD[CD_GEOCMU],[1]!DadosGHD[uf])</f>
        <v>PE</v>
      </c>
      <c r="E569" s="5" t="str">
        <f>_xlfn.XLOOKUP(A569,[1]!DadosGHD[CD_GEOCMU],[1]!DadosGHD[MUNICIPIO])</f>
        <v>SAO CAITANO</v>
      </c>
      <c r="F569" s="6">
        <v>28.8576145172119</v>
      </c>
      <c r="G569" s="6">
        <v>28.922916412353501</v>
      </c>
      <c r="H569" s="6">
        <v>28.973718643188501</v>
      </c>
      <c r="I569" s="6">
        <v>28.956520080566399</v>
      </c>
      <c r="J569" s="6">
        <v>28.9767150878906</v>
      </c>
      <c r="K569" s="6">
        <v>28.9852619171143</v>
      </c>
      <c r="L569" s="6">
        <v>26.2891750335693</v>
      </c>
    </row>
    <row r="570" spans="1:12" x14ac:dyDescent="0.25">
      <c r="A570">
        <v>2107803</v>
      </c>
      <c r="B570" t="str">
        <f t="shared" si="8"/>
        <v>PARNARAMA, MA, Brasil</v>
      </c>
      <c r="C570" s="4" t="str">
        <f>_xlfn.XLOOKUP(A570,[1]!DadosGHD[CD_GEOCMU],[1]!DadosGHD[Região])</f>
        <v>NE</v>
      </c>
      <c r="D570" s="4" t="str">
        <f>_xlfn.XLOOKUP(A570,[1]!DadosGHD[CD_GEOCMU],[1]!DadosGHD[uf])</f>
        <v>MA</v>
      </c>
      <c r="E570" s="5" t="str">
        <f>_xlfn.XLOOKUP(A570,[1]!DadosGHD[CD_GEOCMU],[1]!DadosGHD[MUNICIPIO])</f>
        <v>PARNARAMA</v>
      </c>
      <c r="F570" s="6">
        <v>28.857637405395501</v>
      </c>
      <c r="G570" s="6">
        <v>28.907878875732401</v>
      </c>
      <c r="H570" s="6">
        <v>28.951616287231399</v>
      </c>
      <c r="I570" s="6">
        <v>28.93896484375</v>
      </c>
      <c r="J570" s="6">
        <v>28.945735931396499</v>
      </c>
      <c r="K570" s="6">
        <v>28.997541427612301</v>
      </c>
      <c r="L570" s="6">
        <v>26.296407699585</v>
      </c>
    </row>
    <row r="571" spans="1:12" x14ac:dyDescent="0.25">
      <c r="A571">
        <v>1500305</v>
      </c>
      <c r="B571" t="str">
        <f t="shared" si="8"/>
        <v>AFUA, PA, Brasil</v>
      </c>
      <c r="C571" s="4" t="str">
        <f>_xlfn.XLOOKUP(A571,[1]!DadosGHD[CD_GEOCMU],[1]!DadosGHD[Região])</f>
        <v>NO</v>
      </c>
      <c r="D571" s="4" t="str">
        <f>_xlfn.XLOOKUP(A571,[1]!DadosGHD[CD_GEOCMU],[1]!DadosGHD[uf])</f>
        <v>PA</v>
      </c>
      <c r="E571" s="5" t="str">
        <f>_xlfn.XLOOKUP(A571,[1]!DadosGHD[CD_GEOCMU],[1]!DadosGHD[MUNICIPIO])</f>
        <v>AFUA</v>
      </c>
      <c r="F571" s="6">
        <v>28.857683181762699</v>
      </c>
      <c r="G571" s="6">
        <v>28.9343967437744</v>
      </c>
      <c r="H571" s="6">
        <v>28.9727478027344</v>
      </c>
      <c r="I571" s="6">
        <v>28.953407287597699</v>
      </c>
      <c r="J571" s="6">
        <v>28.9692993164063</v>
      </c>
      <c r="K571" s="6">
        <v>28.992202758789102</v>
      </c>
      <c r="L571" s="6">
        <v>26.291828155517599</v>
      </c>
    </row>
    <row r="572" spans="1:12" x14ac:dyDescent="0.25">
      <c r="A572">
        <v>2111706</v>
      </c>
      <c r="B572" t="str">
        <f t="shared" si="8"/>
        <v>SAO VICENTE FERRER, MA, Brasil</v>
      </c>
      <c r="C572" s="4" t="str">
        <f>_xlfn.XLOOKUP(A572,[1]!DadosGHD[CD_GEOCMU],[1]!DadosGHD[Região])</f>
        <v>NE</v>
      </c>
      <c r="D572" s="4" t="str">
        <f>_xlfn.XLOOKUP(A572,[1]!DadosGHD[CD_GEOCMU],[1]!DadosGHD[uf])</f>
        <v>MA</v>
      </c>
      <c r="E572" s="5" t="str">
        <f>_xlfn.XLOOKUP(A572,[1]!DadosGHD[CD_GEOCMU],[1]!DadosGHD[MUNICIPIO])</f>
        <v>SAO VICENTE FERRER</v>
      </c>
      <c r="F572" s="6">
        <v>28.857824325561499</v>
      </c>
      <c r="G572" s="6">
        <v>28.912153244018601</v>
      </c>
      <c r="H572" s="6">
        <v>28.943550109863299</v>
      </c>
      <c r="I572" s="6">
        <v>28.925045013427699</v>
      </c>
      <c r="J572" s="6">
        <v>28.9409065246582</v>
      </c>
      <c r="K572" s="6">
        <v>28.9686679840088</v>
      </c>
      <c r="L572" s="6">
        <v>26.291688919067401</v>
      </c>
    </row>
    <row r="573" spans="1:12" x14ac:dyDescent="0.25">
      <c r="A573">
        <v>2500502</v>
      </c>
      <c r="B573" t="str">
        <f t="shared" si="8"/>
        <v>ALAGOINHA, PB, Brasil</v>
      </c>
      <c r="C573" s="4" t="str">
        <f>_xlfn.XLOOKUP(A573,[1]!DadosGHD[CD_GEOCMU],[1]!DadosGHD[Região])</f>
        <v>NE</v>
      </c>
      <c r="D573" s="4" t="str">
        <f>_xlfn.XLOOKUP(A573,[1]!DadosGHD[CD_GEOCMU],[1]!DadosGHD[uf])</f>
        <v>PB</v>
      </c>
      <c r="E573" s="5" t="str">
        <f>_xlfn.XLOOKUP(A573,[1]!DadosGHD[CD_GEOCMU],[1]!DadosGHD[MUNICIPIO])</f>
        <v>ALAGOINHA</v>
      </c>
      <c r="F573" s="6">
        <v>28.857851028442401</v>
      </c>
      <c r="G573" s="6">
        <v>28.917045593261701</v>
      </c>
      <c r="H573" s="6">
        <v>28.952013015747099</v>
      </c>
      <c r="I573" s="6">
        <v>28.929258346557599</v>
      </c>
      <c r="J573" s="6">
        <v>28.943059921264702</v>
      </c>
      <c r="K573" s="6">
        <v>28.970056533813501</v>
      </c>
      <c r="L573" s="6">
        <v>30.689777374267599</v>
      </c>
    </row>
    <row r="574" spans="1:12" x14ac:dyDescent="0.25">
      <c r="A574">
        <v>1300409</v>
      </c>
      <c r="B574" t="str">
        <f t="shared" si="8"/>
        <v>BARCELOS, AM, Brasil</v>
      </c>
      <c r="C574" s="4" t="str">
        <f>_xlfn.XLOOKUP(A574,[1]!DadosGHD[CD_GEOCMU],[1]!DadosGHD[Região])</f>
        <v>NO</v>
      </c>
      <c r="D574" s="4" t="str">
        <f>_xlfn.XLOOKUP(A574,[1]!DadosGHD[CD_GEOCMU],[1]!DadosGHD[uf])</f>
        <v>AM</v>
      </c>
      <c r="E574" s="5" t="str">
        <f>_xlfn.XLOOKUP(A574,[1]!DadosGHD[CD_GEOCMU],[1]!DadosGHD[MUNICIPIO])</f>
        <v>BARCELOS</v>
      </c>
      <c r="F574" s="6">
        <v>28.857851028442401</v>
      </c>
      <c r="G574" s="6">
        <v>28.9173183441162</v>
      </c>
      <c r="H574" s="6">
        <v>28.944259643554702</v>
      </c>
      <c r="I574" s="6">
        <v>28.9272136688232</v>
      </c>
      <c r="J574" s="6">
        <v>28.9430122375488</v>
      </c>
      <c r="K574" s="6">
        <v>28.971586227416999</v>
      </c>
      <c r="L574" s="6">
        <v>44.069011688232401</v>
      </c>
    </row>
    <row r="575" spans="1:12" x14ac:dyDescent="0.25">
      <c r="A575">
        <v>2603207</v>
      </c>
      <c r="B575" t="str">
        <f t="shared" si="8"/>
        <v>CAETES, PE, Brasil</v>
      </c>
      <c r="C575" s="4" t="str">
        <f>_xlfn.XLOOKUP(A575,[1]!DadosGHD[CD_GEOCMU],[1]!DadosGHD[Região])</f>
        <v>NE</v>
      </c>
      <c r="D575" s="4" t="str">
        <f>_xlfn.XLOOKUP(A575,[1]!DadosGHD[CD_GEOCMU],[1]!DadosGHD[uf])</f>
        <v>PE</v>
      </c>
      <c r="E575" s="5" t="str">
        <f>_xlfn.XLOOKUP(A575,[1]!DadosGHD[CD_GEOCMU],[1]!DadosGHD[MUNICIPIO])</f>
        <v>CAETES</v>
      </c>
      <c r="F575" s="6">
        <v>28.8578910827637</v>
      </c>
      <c r="G575" s="6">
        <v>28.9217834472656</v>
      </c>
      <c r="H575" s="6">
        <v>28.9668884277344</v>
      </c>
      <c r="I575" s="6">
        <v>28.9510498046875</v>
      </c>
      <c r="J575" s="6">
        <v>28.971406936645501</v>
      </c>
      <c r="K575" s="6">
        <v>28.988214492797901</v>
      </c>
      <c r="L575" s="6">
        <v>30.694179534912099</v>
      </c>
    </row>
    <row r="576" spans="1:12" x14ac:dyDescent="0.25">
      <c r="A576">
        <v>2608305</v>
      </c>
      <c r="B576" t="str">
        <f t="shared" si="8"/>
        <v>JUPI, PE, Brasil</v>
      </c>
      <c r="C576" s="4" t="str">
        <f>_xlfn.XLOOKUP(A576,[1]!DadosGHD[CD_GEOCMU],[1]!DadosGHD[Região])</f>
        <v>NE</v>
      </c>
      <c r="D576" s="4" t="str">
        <f>_xlfn.XLOOKUP(A576,[1]!DadosGHD[CD_GEOCMU],[1]!DadosGHD[uf])</f>
        <v>PE</v>
      </c>
      <c r="E576" s="5" t="str">
        <f>_xlfn.XLOOKUP(A576,[1]!DadosGHD[CD_GEOCMU],[1]!DadosGHD[MUNICIPIO])</f>
        <v>JUPI</v>
      </c>
      <c r="F576" s="6">
        <v>28.857925415039102</v>
      </c>
      <c r="G576" s="6">
        <v>28.919370651245099</v>
      </c>
      <c r="H576" s="6">
        <v>28.9512729644775</v>
      </c>
      <c r="I576" s="6">
        <v>28.934892654418899</v>
      </c>
      <c r="J576" s="6">
        <v>28.96559715271</v>
      </c>
      <c r="K576" s="6">
        <v>33.846393585205099</v>
      </c>
      <c r="L576" s="6">
        <v>39.5907592773438</v>
      </c>
    </row>
    <row r="577" spans="1:12" x14ac:dyDescent="0.25">
      <c r="A577">
        <v>2708204</v>
      </c>
      <c r="B577" t="str">
        <f t="shared" si="8"/>
        <v>SAO BRAS, AL, Brasil</v>
      </c>
      <c r="C577" s="4" t="str">
        <f>_xlfn.XLOOKUP(A577,[1]!DadosGHD[CD_GEOCMU],[1]!DadosGHD[Região])</f>
        <v>NE</v>
      </c>
      <c r="D577" s="4" t="str">
        <f>_xlfn.XLOOKUP(A577,[1]!DadosGHD[CD_GEOCMU],[1]!DadosGHD[uf])</f>
        <v>AL</v>
      </c>
      <c r="E577" s="5" t="str">
        <f>_xlfn.XLOOKUP(A577,[1]!DadosGHD[CD_GEOCMU],[1]!DadosGHD[MUNICIPIO])</f>
        <v>SAO BRAS</v>
      </c>
      <c r="F577" s="6">
        <v>28.858182907104499</v>
      </c>
      <c r="G577" s="6">
        <v>28.907878875732401</v>
      </c>
      <c r="H577" s="6">
        <v>28.942651748657202</v>
      </c>
      <c r="I577" s="6">
        <v>28.925045013427699</v>
      </c>
      <c r="J577" s="6">
        <v>28.9409065246582</v>
      </c>
      <c r="K577" s="6">
        <v>28.9686679840088</v>
      </c>
      <c r="L577" s="6">
        <v>26.2798957824707</v>
      </c>
    </row>
    <row r="578" spans="1:12" x14ac:dyDescent="0.25">
      <c r="A578">
        <v>2926103</v>
      </c>
      <c r="B578" t="str">
        <f t="shared" si="8"/>
        <v>RETIROLANDIA, BA, Brasil</v>
      </c>
      <c r="C578" s="4" t="str">
        <f>_xlfn.XLOOKUP(A578,[1]!DadosGHD[CD_GEOCMU],[1]!DadosGHD[Região])</f>
        <v>NE</v>
      </c>
      <c r="D578" s="4" t="str">
        <f>_xlfn.XLOOKUP(A578,[1]!DadosGHD[CD_GEOCMU],[1]!DadosGHD[uf])</f>
        <v>BA</v>
      </c>
      <c r="E578" s="5" t="str">
        <f>_xlfn.XLOOKUP(A578,[1]!DadosGHD[CD_GEOCMU],[1]!DadosGHD[MUNICIPIO])</f>
        <v>RETIROLANDIA</v>
      </c>
      <c r="F578" s="6">
        <v>28.858188629150401</v>
      </c>
      <c r="G578" s="6">
        <v>33.771812438964801</v>
      </c>
      <c r="H578" s="6">
        <v>33.831886291503899</v>
      </c>
      <c r="I578" s="6">
        <v>33.843101501464801</v>
      </c>
      <c r="J578" s="6">
        <v>33.864345550537102</v>
      </c>
      <c r="K578" s="6">
        <v>33.899421691894503</v>
      </c>
      <c r="L578" s="6">
        <v>30.7083950042725</v>
      </c>
    </row>
    <row r="579" spans="1:12" x14ac:dyDescent="0.25">
      <c r="A579">
        <v>2907202</v>
      </c>
      <c r="B579" t="str">
        <f t="shared" si="8"/>
        <v>CASA NOVA, BA, Brasil</v>
      </c>
      <c r="C579" s="4" t="str">
        <f>_xlfn.XLOOKUP(A579,[1]!DadosGHD[CD_GEOCMU],[1]!DadosGHD[Região])</f>
        <v>NE</v>
      </c>
      <c r="D579" s="4" t="str">
        <f>_xlfn.XLOOKUP(A579,[1]!DadosGHD[CD_GEOCMU],[1]!DadosGHD[uf])</f>
        <v>BA</v>
      </c>
      <c r="E579" s="5" t="str">
        <f>_xlfn.XLOOKUP(A579,[1]!DadosGHD[CD_GEOCMU],[1]!DadosGHD[MUNICIPIO])</f>
        <v>CASA NOVA</v>
      </c>
      <c r="F579" s="6">
        <v>28.8583278656006</v>
      </c>
      <c r="G579" s="6">
        <v>28.923646926879901</v>
      </c>
      <c r="H579" s="6">
        <v>28.95827293396</v>
      </c>
      <c r="I579" s="6">
        <v>28.9438362121582</v>
      </c>
      <c r="J579" s="6">
        <v>48.743637084960902</v>
      </c>
      <c r="K579" s="6">
        <v>33.882888793945298</v>
      </c>
      <c r="L579" s="6">
        <v>30.698606491088899</v>
      </c>
    </row>
    <row r="580" spans="1:12" x14ac:dyDescent="0.25">
      <c r="A580">
        <v>2509206</v>
      </c>
      <c r="B580" t="str">
        <f t="shared" ref="B580:B643" si="9">_xlfn.CONCAT(E580, ", ", D580, ", Brasil")</f>
        <v>MASSARANDUBA, PB, Brasil</v>
      </c>
      <c r="C580" s="4" t="str">
        <f>_xlfn.XLOOKUP(A580,[1]!DadosGHD[CD_GEOCMU],[1]!DadosGHD[Região])</f>
        <v>NE</v>
      </c>
      <c r="D580" s="4" t="str">
        <f>_xlfn.XLOOKUP(A580,[1]!DadosGHD[CD_GEOCMU],[1]!DadosGHD[uf])</f>
        <v>PB</v>
      </c>
      <c r="E580" s="5" t="str">
        <f>_xlfn.XLOOKUP(A580,[1]!DadosGHD[CD_GEOCMU],[1]!DadosGHD[MUNICIPIO])</f>
        <v>MASSARANDUBA</v>
      </c>
      <c r="F580" s="6">
        <v>28.8583869934082</v>
      </c>
      <c r="G580" s="6">
        <v>28.915857315063501</v>
      </c>
      <c r="H580" s="6">
        <v>28.951736450195298</v>
      </c>
      <c r="I580" s="6">
        <v>28.9334316253662</v>
      </c>
      <c r="J580" s="6">
        <v>28.9448547363281</v>
      </c>
      <c r="K580" s="6">
        <v>28.9951877593994</v>
      </c>
      <c r="L580" s="6">
        <v>30.6950283050537</v>
      </c>
    </row>
    <row r="581" spans="1:12" x14ac:dyDescent="0.25">
      <c r="A581">
        <v>5107750</v>
      </c>
      <c r="B581" t="str">
        <f t="shared" si="9"/>
        <v>SALTO DO CEU, MT, Brasil</v>
      </c>
      <c r="C581" s="4" t="str">
        <f>_xlfn.XLOOKUP(A581,[1]!DadosGHD[CD_GEOCMU],[1]!DadosGHD[Região])</f>
        <v>CO</v>
      </c>
      <c r="D581" s="4" t="str">
        <f>_xlfn.XLOOKUP(A581,[1]!DadosGHD[CD_GEOCMU],[1]!DadosGHD[uf])</f>
        <v>MT</v>
      </c>
      <c r="E581" s="5" t="str">
        <f>_xlfn.XLOOKUP(A581,[1]!DadosGHD[CD_GEOCMU],[1]!DadosGHD[MUNICIPIO])</f>
        <v>SALTO DO CEU</v>
      </c>
      <c r="F581" s="6">
        <v>28.858404159545898</v>
      </c>
      <c r="G581" s="6">
        <v>38.745254516601598</v>
      </c>
      <c r="H581" s="6">
        <v>38.776451110839801</v>
      </c>
      <c r="I581" s="6">
        <v>38.7706909179688</v>
      </c>
      <c r="J581" s="6">
        <v>38.790351867675803</v>
      </c>
      <c r="K581" s="6">
        <v>38.809604644775398</v>
      </c>
      <c r="L581" s="6">
        <v>35.121330261230497</v>
      </c>
    </row>
    <row r="582" spans="1:12" x14ac:dyDescent="0.25">
      <c r="A582">
        <v>2604403</v>
      </c>
      <c r="B582" t="str">
        <f t="shared" si="9"/>
        <v>CHA DE ALEGRIA, PE, Brasil</v>
      </c>
      <c r="C582" s="4" t="str">
        <f>_xlfn.XLOOKUP(A582,[1]!DadosGHD[CD_GEOCMU],[1]!DadosGHD[Região])</f>
        <v>NE</v>
      </c>
      <c r="D582" s="4" t="str">
        <f>_xlfn.XLOOKUP(A582,[1]!DadosGHD[CD_GEOCMU],[1]!DadosGHD[uf])</f>
        <v>PE</v>
      </c>
      <c r="E582" s="5" t="str">
        <f>_xlfn.XLOOKUP(A582,[1]!DadosGHD[CD_GEOCMU],[1]!DadosGHD[MUNICIPIO])</f>
        <v>CHA DE ALEGRIA</v>
      </c>
      <c r="F582" s="6">
        <v>28.858549118041999</v>
      </c>
      <c r="G582" s="6">
        <v>28.917284011840799</v>
      </c>
      <c r="H582" s="6">
        <v>28.952846527099599</v>
      </c>
      <c r="I582" s="6">
        <v>28.944032669067401</v>
      </c>
      <c r="J582" s="6">
        <v>28.9628086090088</v>
      </c>
      <c r="K582" s="6">
        <v>28.986228942871101</v>
      </c>
      <c r="L582" s="6">
        <v>26.289024353027301</v>
      </c>
    </row>
    <row r="583" spans="1:12" x14ac:dyDescent="0.25">
      <c r="A583">
        <v>2507101</v>
      </c>
      <c r="B583" t="str">
        <f t="shared" si="9"/>
        <v>ITAPOROROCA, PB, Brasil</v>
      </c>
      <c r="C583" s="4" t="str">
        <f>_xlfn.XLOOKUP(A583,[1]!DadosGHD[CD_GEOCMU],[1]!DadosGHD[Região])</f>
        <v>NE</v>
      </c>
      <c r="D583" s="4" t="str">
        <f>_xlfn.XLOOKUP(A583,[1]!DadosGHD[CD_GEOCMU],[1]!DadosGHD[uf])</f>
        <v>PB</v>
      </c>
      <c r="E583" s="5" t="str">
        <f>_xlfn.XLOOKUP(A583,[1]!DadosGHD[CD_GEOCMU],[1]!DadosGHD[MUNICIPIO])</f>
        <v>ITAPOROROCA</v>
      </c>
      <c r="F583" s="6">
        <v>28.858579635620099</v>
      </c>
      <c r="G583" s="6">
        <v>28.928993225097699</v>
      </c>
      <c r="H583" s="6">
        <v>28.972377777099599</v>
      </c>
      <c r="I583" s="6">
        <v>28.950386047363299</v>
      </c>
      <c r="J583" s="6">
        <v>28.9409065246582</v>
      </c>
      <c r="K583" s="6">
        <v>28.992265701293899</v>
      </c>
      <c r="L583" s="6">
        <v>26.294843673706101</v>
      </c>
    </row>
    <row r="584" spans="1:12" x14ac:dyDescent="0.25">
      <c r="A584">
        <v>2103158</v>
      </c>
      <c r="B584" t="str">
        <f t="shared" si="9"/>
        <v>CENTRO DO GUILHERME, MA, Brasil</v>
      </c>
      <c r="C584" s="4" t="str">
        <f>_xlfn.XLOOKUP(A584,[1]!DadosGHD[CD_GEOCMU],[1]!DadosGHD[Região])</f>
        <v>NE</v>
      </c>
      <c r="D584" s="4" t="str">
        <f>_xlfn.XLOOKUP(A584,[1]!DadosGHD[CD_GEOCMU],[1]!DadosGHD[uf])</f>
        <v>MA</v>
      </c>
      <c r="E584" s="5" t="str">
        <f>_xlfn.XLOOKUP(A584,[1]!DadosGHD[CD_GEOCMU],[1]!DadosGHD[MUNICIPIO])</f>
        <v>CENTRO DO GUILHERME</v>
      </c>
      <c r="F584" s="6">
        <v>28.858587265014702</v>
      </c>
      <c r="G584" s="6">
        <v>28.916700363159201</v>
      </c>
      <c r="H584" s="6">
        <v>28.952905654907202</v>
      </c>
      <c r="I584" s="6">
        <v>28.9366760253906</v>
      </c>
      <c r="J584" s="6">
        <v>28.963645935058601</v>
      </c>
      <c r="K584" s="6">
        <v>28.982774734497099</v>
      </c>
      <c r="L584" s="6">
        <v>26.286289215087901</v>
      </c>
    </row>
    <row r="585" spans="1:12" x14ac:dyDescent="0.25">
      <c r="A585">
        <v>3165602</v>
      </c>
      <c r="B585" t="str">
        <f t="shared" si="9"/>
        <v>SENADOR CORTES, MG, Brasil</v>
      </c>
      <c r="C585" s="4" t="str">
        <f>_xlfn.XLOOKUP(A585,[1]!DadosGHD[CD_GEOCMU],[1]!DadosGHD[Região])</f>
        <v>SD</v>
      </c>
      <c r="D585" s="4" t="str">
        <f>_xlfn.XLOOKUP(A585,[1]!DadosGHD[CD_GEOCMU],[1]!DadosGHD[uf])</f>
        <v>MG</v>
      </c>
      <c r="E585" s="5" t="str">
        <f>_xlfn.XLOOKUP(A585,[1]!DadosGHD[CD_GEOCMU],[1]!DadosGHD[MUNICIPIO])</f>
        <v>SENADOR CORTES</v>
      </c>
      <c r="F585" s="6">
        <v>28.85866355896</v>
      </c>
      <c r="G585" s="6">
        <v>43.749031066894503</v>
      </c>
      <c r="H585" s="6">
        <v>43.803997039794901</v>
      </c>
      <c r="I585" s="6">
        <v>43.793411254882798</v>
      </c>
      <c r="J585" s="6">
        <v>43.726009368896499</v>
      </c>
      <c r="K585" s="6">
        <v>43.7679252624512</v>
      </c>
      <c r="L585" s="6">
        <v>35.139820098877003</v>
      </c>
    </row>
    <row r="586" spans="1:12" x14ac:dyDescent="0.25">
      <c r="A586">
        <v>1304260</v>
      </c>
      <c r="B586" t="str">
        <f t="shared" si="9"/>
        <v>UARINI, AM, Brasil</v>
      </c>
      <c r="C586" s="4" t="str">
        <f>_xlfn.XLOOKUP(A586,[1]!DadosGHD[CD_GEOCMU],[1]!DadosGHD[Região])</f>
        <v>NO</v>
      </c>
      <c r="D586" s="4" t="str">
        <f>_xlfn.XLOOKUP(A586,[1]!DadosGHD[CD_GEOCMU],[1]!DadosGHD[uf])</f>
        <v>AM</v>
      </c>
      <c r="E586" s="5" t="str">
        <f>_xlfn.XLOOKUP(A586,[1]!DadosGHD[CD_GEOCMU],[1]!DadosGHD[MUNICIPIO])</f>
        <v>UARINI</v>
      </c>
      <c r="F586" s="6">
        <v>28.858684539794901</v>
      </c>
      <c r="G586" s="6">
        <v>28.9171657562256</v>
      </c>
      <c r="H586" s="6">
        <v>28.950929641723601</v>
      </c>
      <c r="I586" s="6">
        <v>28.931493759155298</v>
      </c>
      <c r="J586" s="6">
        <v>28.945899963378899</v>
      </c>
      <c r="K586" s="6">
        <v>28.972597122192401</v>
      </c>
      <c r="L586" s="6">
        <v>26.2798957824707</v>
      </c>
    </row>
    <row r="587" spans="1:12" x14ac:dyDescent="0.25">
      <c r="A587">
        <v>2305266</v>
      </c>
      <c r="B587" t="str">
        <f t="shared" si="9"/>
        <v>IBARETAMA, CE, Brasil</v>
      </c>
      <c r="C587" s="4" t="str">
        <f>_xlfn.XLOOKUP(A587,[1]!DadosGHD[CD_GEOCMU],[1]!DadosGHD[Região])</f>
        <v>NE</v>
      </c>
      <c r="D587" s="4" t="str">
        <f>_xlfn.XLOOKUP(A587,[1]!DadosGHD[CD_GEOCMU],[1]!DadosGHD[uf])</f>
        <v>CE</v>
      </c>
      <c r="E587" s="5" t="str">
        <f>_xlfn.XLOOKUP(A587,[1]!DadosGHD[CD_GEOCMU],[1]!DadosGHD[MUNICIPIO])</f>
        <v>IBARETAMA</v>
      </c>
      <c r="F587" s="6">
        <v>28.859056472778299</v>
      </c>
      <c r="G587" s="6">
        <v>28.924278259277301</v>
      </c>
      <c r="H587" s="6">
        <v>28.951187133789102</v>
      </c>
      <c r="I587" s="6">
        <v>28.932167053222699</v>
      </c>
      <c r="J587" s="6">
        <v>28.960054397583001</v>
      </c>
      <c r="K587" s="6">
        <v>28.9911708831787</v>
      </c>
      <c r="L587" s="6">
        <v>26.297325134277301</v>
      </c>
    </row>
    <row r="588" spans="1:12" x14ac:dyDescent="0.25">
      <c r="A588">
        <v>2110237</v>
      </c>
      <c r="B588" t="str">
        <f t="shared" si="9"/>
        <v>SANTANA DO MARANHAO, MA, Brasil</v>
      </c>
      <c r="C588" s="4" t="str">
        <f>_xlfn.XLOOKUP(A588,[1]!DadosGHD[CD_GEOCMU],[1]!DadosGHD[Região])</f>
        <v>NE</v>
      </c>
      <c r="D588" s="4" t="str">
        <f>_xlfn.XLOOKUP(A588,[1]!DadosGHD[CD_GEOCMU],[1]!DadosGHD[uf])</f>
        <v>MA</v>
      </c>
      <c r="E588" s="5" t="str">
        <f>_xlfn.XLOOKUP(A588,[1]!DadosGHD[CD_GEOCMU],[1]!DadosGHD[MUNICIPIO])</f>
        <v>SANTANA DO MARANHAO</v>
      </c>
      <c r="F588" s="6">
        <v>28.859075546264702</v>
      </c>
      <c r="G588" s="6">
        <v>28.9172878265381</v>
      </c>
      <c r="H588" s="6">
        <v>28.9522705078125</v>
      </c>
      <c r="I588" s="6">
        <v>28.932567596435501</v>
      </c>
      <c r="J588" s="6">
        <v>28.947069168090799</v>
      </c>
      <c r="K588" s="6">
        <v>28.975267410278299</v>
      </c>
      <c r="L588" s="6">
        <v>26.2798957824707</v>
      </c>
    </row>
    <row r="589" spans="1:12" x14ac:dyDescent="0.25">
      <c r="A589">
        <v>2933158</v>
      </c>
      <c r="B589" t="str">
        <f t="shared" si="9"/>
        <v>VARZEA NOVA, BA, Brasil</v>
      </c>
      <c r="C589" s="4" t="str">
        <f>_xlfn.XLOOKUP(A589,[1]!DadosGHD[CD_GEOCMU],[1]!DadosGHD[Região])</f>
        <v>NE</v>
      </c>
      <c r="D589" s="4" t="str">
        <f>_xlfn.XLOOKUP(A589,[1]!DadosGHD[CD_GEOCMU],[1]!DadosGHD[uf])</f>
        <v>BA</v>
      </c>
      <c r="E589" s="5" t="str">
        <f>_xlfn.XLOOKUP(A589,[1]!DadosGHD[CD_GEOCMU],[1]!DadosGHD[MUNICIPIO])</f>
        <v>VARZEA NOVA</v>
      </c>
      <c r="F589" s="6">
        <v>28.859325408935501</v>
      </c>
      <c r="G589" s="6">
        <v>28.926221847534201</v>
      </c>
      <c r="H589" s="6">
        <v>33.879631042480497</v>
      </c>
      <c r="I589" s="6">
        <v>28.941310882568398</v>
      </c>
      <c r="J589" s="6">
        <v>28.9499111175537</v>
      </c>
      <c r="K589" s="6">
        <v>29.002199172973601</v>
      </c>
      <c r="L589" s="6">
        <v>30.694837570190401</v>
      </c>
    </row>
    <row r="590" spans="1:12" x14ac:dyDescent="0.25">
      <c r="A590">
        <v>1506112</v>
      </c>
      <c r="B590" t="str">
        <f t="shared" si="9"/>
        <v>QUATIPURU, PA, Brasil</v>
      </c>
      <c r="C590" s="4" t="str">
        <f>_xlfn.XLOOKUP(A590,[1]!DadosGHD[CD_GEOCMU],[1]!DadosGHD[Região])</f>
        <v>NO</v>
      </c>
      <c r="D590" s="4" t="str">
        <f>_xlfn.XLOOKUP(A590,[1]!DadosGHD[CD_GEOCMU],[1]!DadosGHD[uf])</f>
        <v>PA</v>
      </c>
      <c r="E590" s="5" t="str">
        <f>_xlfn.XLOOKUP(A590,[1]!DadosGHD[CD_GEOCMU],[1]!DadosGHD[MUNICIPIO])</f>
        <v>QUATIPURU</v>
      </c>
      <c r="F590" s="6">
        <v>28.859371185302699</v>
      </c>
      <c r="G590" s="6">
        <v>28.917882919311499</v>
      </c>
      <c r="H590" s="6">
        <v>28.950475692748999</v>
      </c>
      <c r="I590" s="6">
        <v>28.931251525878899</v>
      </c>
      <c r="J590" s="6">
        <v>28.945859909057599</v>
      </c>
      <c r="K590" s="6">
        <v>29.0020561218262</v>
      </c>
      <c r="L590" s="6">
        <v>35.129772186279297</v>
      </c>
    </row>
    <row r="591" spans="1:12" x14ac:dyDescent="0.25">
      <c r="A591">
        <v>3124609</v>
      </c>
      <c r="B591" t="str">
        <f t="shared" si="9"/>
        <v>ESTRELA DALVA, MG, Brasil</v>
      </c>
      <c r="C591" s="4" t="str">
        <f>_xlfn.XLOOKUP(A591,[1]!DadosGHD[CD_GEOCMU],[1]!DadosGHD[Região])</f>
        <v>SD</v>
      </c>
      <c r="D591" s="4" t="str">
        <f>_xlfn.XLOOKUP(A591,[1]!DadosGHD[CD_GEOCMU],[1]!DadosGHD[uf])</f>
        <v>MG</v>
      </c>
      <c r="E591" s="5" t="str">
        <f>_xlfn.XLOOKUP(A591,[1]!DadosGHD[CD_GEOCMU],[1]!DadosGHD[MUNICIPIO])</f>
        <v>ESTRELA DALVA</v>
      </c>
      <c r="F591" s="6">
        <v>28.859399795532202</v>
      </c>
      <c r="G591" s="6">
        <v>38.782871246337898</v>
      </c>
      <c r="H591" s="6">
        <v>38.810531616210902</v>
      </c>
      <c r="I591" s="6">
        <v>28.925045013427699</v>
      </c>
      <c r="J591" s="6">
        <v>28.9409065246582</v>
      </c>
      <c r="K591" s="6">
        <v>28.9686679840088</v>
      </c>
      <c r="L591" s="6">
        <v>26.2798957824707</v>
      </c>
    </row>
    <row r="592" spans="1:12" x14ac:dyDescent="0.25">
      <c r="A592">
        <v>2206209</v>
      </c>
      <c r="B592" t="str">
        <f t="shared" si="9"/>
        <v>MIGUEL ALVES, PI, Brasil</v>
      </c>
      <c r="C592" s="4" t="str">
        <f>_xlfn.XLOOKUP(A592,[1]!DadosGHD[CD_GEOCMU],[1]!DadosGHD[Região])</f>
        <v>NE</v>
      </c>
      <c r="D592" s="4" t="str">
        <f>_xlfn.XLOOKUP(A592,[1]!DadosGHD[CD_GEOCMU],[1]!DadosGHD[uf])</f>
        <v>PI</v>
      </c>
      <c r="E592" s="5" t="str">
        <f>_xlfn.XLOOKUP(A592,[1]!DadosGHD[CD_GEOCMU],[1]!DadosGHD[MUNICIPIO])</f>
        <v>MIGUEL ALVES</v>
      </c>
      <c r="F592" s="6">
        <v>28.859403610229499</v>
      </c>
      <c r="G592" s="6">
        <v>28.922178268432599</v>
      </c>
      <c r="H592" s="6">
        <v>28.9552707672119</v>
      </c>
      <c r="I592" s="6">
        <v>28.937273025512699</v>
      </c>
      <c r="J592" s="6">
        <v>28.946165084838899</v>
      </c>
      <c r="K592" s="6">
        <v>28.9745998382568</v>
      </c>
      <c r="L592" s="6">
        <v>26.2798957824707</v>
      </c>
    </row>
    <row r="593" spans="1:12" x14ac:dyDescent="0.25">
      <c r="A593">
        <v>1600402</v>
      </c>
      <c r="B593" t="str">
        <f t="shared" si="9"/>
        <v>MAZAGAO, AP, Brasil</v>
      </c>
      <c r="C593" s="4" t="str">
        <f>_xlfn.XLOOKUP(A593,[1]!DadosGHD[CD_GEOCMU],[1]!DadosGHD[Região])</f>
        <v>NO</v>
      </c>
      <c r="D593" s="4" t="str">
        <f>_xlfn.XLOOKUP(A593,[1]!DadosGHD[CD_GEOCMU],[1]!DadosGHD[uf])</f>
        <v>AP</v>
      </c>
      <c r="E593" s="5" t="str">
        <f>_xlfn.XLOOKUP(A593,[1]!DadosGHD[CD_GEOCMU],[1]!DadosGHD[MUNICIPIO])</f>
        <v>MAZAGAO</v>
      </c>
      <c r="F593" s="6">
        <v>28.859428405761701</v>
      </c>
      <c r="G593" s="6">
        <v>28.935131072998001</v>
      </c>
      <c r="H593" s="6">
        <v>28.965753555297901</v>
      </c>
      <c r="I593" s="6">
        <v>28.9580192565918</v>
      </c>
      <c r="J593" s="6">
        <v>33.831459045410199</v>
      </c>
      <c r="K593" s="6">
        <v>33.871070861816399</v>
      </c>
      <c r="L593" s="6">
        <v>35.1482124328613</v>
      </c>
    </row>
    <row r="594" spans="1:12" x14ac:dyDescent="0.25">
      <c r="A594">
        <v>1303957</v>
      </c>
      <c r="B594" t="str">
        <f t="shared" si="9"/>
        <v>SAO SEBASTIAO DO UATUMA, AM, Brasil</v>
      </c>
      <c r="C594" s="4" t="str">
        <f>_xlfn.XLOOKUP(A594,[1]!DadosGHD[CD_GEOCMU],[1]!DadosGHD[Região])</f>
        <v>NO</v>
      </c>
      <c r="D594" s="4" t="str">
        <f>_xlfn.XLOOKUP(A594,[1]!DadosGHD[CD_GEOCMU],[1]!DadosGHD[uf])</f>
        <v>AM</v>
      </c>
      <c r="E594" s="5" t="str">
        <f>_xlfn.XLOOKUP(A594,[1]!DadosGHD[CD_GEOCMU],[1]!DadosGHD[MUNICIPIO])</f>
        <v>SAO SEBASTIAO DO UATUMA</v>
      </c>
      <c r="F594" s="6">
        <v>28.859565734863299</v>
      </c>
      <c r="G594" s="6">
        <v>28.917194366455099</v>
      </c>
      <c r="H594" s="6">
        <v>28.9505004882813</v>
      </c>
      <c r="I594" s="6">
        <v>28.9334106445313</v>
      </c>
      <c r="J594" s="6">
        <v>28.943864822387699</v>
      </c>
      <c r="K594" s="6">
        <v>28.969907760620099</v>
      </c>
      <c r="L594" s="6">
        <v>26.2798957824707</v>
      </c>
    </row>
    <row r="595" spans="1:12" x14ac:dyDescent="0.25">
      <c r="A595">
        <v>2610509</v>
      </c>
      <c r="B595" t="str">
        <f t="shared" si="9"/>
        <v>PASSIRA, PE, Brasil</v>
      </c>
      <c r="C595" s="4" t="str">
        <f>_xlfn.XLOOKUP(A595,[1]!DadosGHD[CD_GEOCMU],[1]!DadosGHD[Região])</f>
        <v>NE</v>
      </c>
      <c r="D595" s="4" t="str">
        <f>_xlfn.XLOOKUP(A595,[1]!DadosGHD[CD_GEOCMU],[1]!DadosGHD[uf])</f>
        <v>PE</v>
      </c>
      <c r="E595" s="5" t="str">
        <f>_xlfn.XLOOKUP(A595,[1]!DadosGHD[CD_GEOCMU],[1]!DadosGHD[MUNICIPIO])</f>
        <v>PASSIRA</v>
      </c>
      <c r="F595" s="6">
        <v>28.8597106933594</v>
      </c>
      <c r="G595" s="6">
        <v>28.938158035278299</v>
      </c>
      <c r="H595" s="6">
        <v>28.96364402771</v>
      </c>
      <c r="I595" s="6">
        <v>28.9570121765137</v>
      </c>
      <c r="J595" s="6">
        <v>33.812240600585902</v>
      </c>
      <c r="K595" s="6">
        <v>33.845432281494098</v>
      </c>
      <c r="L595" s="6">
        <v>30.711866378784201</v>
      </c>
    </row>
    <row r="596" spans="1:12" x14ac:dyDescent="0.25">
      <c r="A596">
        <v>2701407</v>
      </c>
      <c r="B596" t="str">
        <f t="shared" si="9"/>
        <v>CAMPO ALEGRE, AL, Brasil</v>
      </c>
      <c r="C596" s="4" t="str">
        <f>_xlfn.XLOOKUP(A596,[1]!DadosGHD[CD_GEOCMU],[1]!DadosGHD[Região])</f>
        <v>NE</v>
      </c>
      <c r="D596" s="4" t="str">
        <f>_xlfn.XLOOKUP(A596,[1]!DadosGHD[CD_GEOCMU],[1]!DadosGHD[uf])</f>
        <v>AL</v>
      </c>
      <c r="E596" s="5" t="str">
        <f>_xlfn.XLOOKUP(A596,[1]!DadosGHD[CD_GEOCMU],[1]!DadosGHD[MUNICIPIO])</f>
        <v>CAMPO ALEGRE</v>
      </c>
      <c r="F596" s="6">
        <v>28.859767913818398</v>
      </c>
      <c r="G596" s="6">
        <v>28.923149108886701</v>
      </c>
      <c r="H596" s="6">
        <v>28.957403182983398</v>
      </c>
      <c r="I596" s="6">
        <v>28.935836791992202</v>
      </c>
      <c r="J596" s="6">
        <v>28.954431533813501</v>
      </c>
      <c r="K596" s="6">
        <v>28.982965469360401</v>
      </c>
      <c r="L596" s="6">
        <v>30.6868591308594</v>
      </c>
    </row>
    <row r="597" spans="1:12" x14ac:dyDescent="0.25">
      <c r="A597">
        <v>2100303</v>
      </c>
      <c r="B597" t="str">
        <f t="shared" si="9"/>
        <v>ALDEIAS ALTAS, MA, Brasil</v>
      </c>
      <c r="C597" s="4" t="str">
        <f>_xlfn.XLOOKUP(A597,[1]!DadosGHD[CD_GEOCMU],[1]!DadosGHD[Região])</f>
        <v>NE</v>
      </c>
      <c r="D597" s="4" t="str">
        <f>_xlfn.XLOOKUP(A597,[1]!DadosGHD[CD_GEOCMU],[1]!DadosGHD[uf])</f>
        <v>MA</v>
      </c>
      <c r="E597" s="5" t="str">
        <f>_xlfn.XLOOKUP(A597,[1]!DadosGHD[CD_GEOCMU],[1]!DadosGHD[MUNICIPIO])</f>
        <v>ALDEIAS ALTAS</v>
      </c>
      <c r="F597" s="6">
        <v>28.859813690185501</v>
      </c>
      <c r="G597" s="6">
        <v>28.918046951293899</v>
      </c>
      <c r="H597" s="6">
        <v>28.951810836791999</v>
      </c>
      <c r="I597" s="6">
        <v>28.932487487793001</v>
      </c>
      <c r="J597" s="6">
        <v>28.963747024536101</v>
      </c>
      <c r="K597" s="6">
        <v>28.973817825317401</v>
      </c>
      <c r="L597" s="6">
        <v>26.2809543609619</v>
      </c>
    </row>
    <row r="598" spans="1:12" x14ac:dyDescent="0.25">
      <c r="A598">
        <v>1503093</v>
      </c>
      <c r="B598" t="str">
        <f t="shared" si="9"/>
        <v>GOIANESIA DO PARA, PA, Brasil</v>
      </c>
      <c r="C598" s="4" t="str">
        <f>_xlfn.XLOOKUP(A598,[1]!DadosGHD[CD_GEOCMU],[1]!DadosGHD[Região])</f>
        <v>NO</v>
      </c>
      <c r="D598" s="4" t="str">
        <f>_xlfn.XLOOKUP(A598,[1]!DadosGHD[CD_GEOCMU],[1]!DadosGHD[uf])</f>
        <v>PA</v>
      </c>
      <c r="E598" s="5" t="str">
        <f>_xlfn.XLOOKUP(A598,[1]!DadosGHD[CD_GEOCMU],[1]!DadosGHD[MUNICIPIO])</f>
        <v>GOIANESIA DO PARA</v>
      </c>
      <c r="F598" s="6">
        <v>28.8598823547363</v>
      </c>
      <c r="G598" s="6">
        <v>28.930627822876001</v>
      </c>
      <c r="H598" s="6">
        <v>28.968456268310501</v>
      </c>
      <c r="I598" s="6">
        <v>28.944337844848601</v>
      </c>
      <c r="J598" s="6">
        <v>28.9670505523682</v>
      </c>
      <c r="K598" s="6">
        <v>33.842758178710902</v>
      </c>
      <c r="L598" s="6">
        <v>26.298810958862301</v>
      </c>
    </row>
    <row r="599" spans="1:12" x14ac:dyDescent="0.25">
      <c r="A599">
        <v>2616506</v>
      </c>
      <c r="B599" t="str">
        <f t="shared" si="9"/>
        <v>XEXEU, PE, Brasil</v>
      </c>
      <c r="C599" s="4" t="str">
        <f>_xlfn.XLOOKUP(A599,[1]!DadosGHD[CD_GEOCMU],[1]!DadosGHD[Região])</f>
        <v>NE</v>
      </c>
      <c r="D599" s="4" t="str">
        <f>_xlfn.XLOOKUP(A599,[1]!DadosGHD[CD_GEOCMU],[1]!DadosGHD[uf])</f>
        <v>PE</v>
      </c>
      <c r="E599" s="5" t="str">
        <f>_xlfn.XLOOKUP(A599,[1]!DadosGHD[CD_GEOCMU],[1]!DadosGHD[MUNICIPIO])</f>
        <v>XEXEU</v>
      </c>
      <c r="F599" s="6">
        <v>28.859931945800799</v>
      </c>
      <c r="G599" s="6">
        <v>28.918991088867202</v>
      </c>
      <c r="H599" s="6">
        <v>28.955957412719702</v>
      </c>
      <c r="I599" s="6">
        <v>28.9547214508057</v>
      </c>
      <c r="J599" s="6">
        <v>28.967256546020501</v>
      </c>
      <c r="K599" s="6">
        <v>28.986993789672901</v>
      </c>
      <c r="L599" s="6">
        <v>26.2968425750732</v>
      </c>
    </row>
    <row r="600" spans="1:12" x14ac:dyDescent="0.25">
      <c r="A600">
        <v>2807204</v>
      </c>
      <c r="B600" t="str">
        <f t="shared" si="9"/>
        <v>SIRIRI, SE, Brasil</v>
      </c>
      <c r="C600" s="4" t="str">
        <f>_xlfn.XLOOKUP(A600,[1]!DadosGHD[CD_GEOCMU],[1]!DadosGHD[Região])</f>
        <v>NE</v>
      </c>
      <c r="D600" s="4" t="str">
        <f>_xlfn.XLOOKUP(A600,[1]!DadosGHD[CD_GEOCMU],[1]!DadosGHD[uf])</f>
        <v>SE</v>
      </c>
      <c r="E600" s="5" t="str">
        <f>_xlfn.XLOOKUP(A600,[1]!DadosGHD[CD_GEOCMU],[1]!DadosGHD[MUNICIPIO])</f>
        <v>SIRIRI</v>
      </c>
      <c r="F600" s="6">
        <v>28.860054016113299</v>
      </c>
      <c r="G600" s="6">
        <v>28.933650970458999</v>
      </c>
      <c r="H600" s="6">
        <v>28.9674682617188</v>
      </c>
      <c r="I600" s="6">
        <v>28.952085494995099</v>
      </c>
      <c r="J600" s="6">
        <v>33.869083404541001</v>
      </c>
      <c r="K600" s="6">
        <v>33.910316467285199</v>
      </c>
      <c r="L600" s="6">
        <v>35.141788482666001</v>
      </c>
    </row>
    <row r="601" spans="1:12" x14ac:dyDescent="0.25">
      <c r="A601">
        <v>2926509</v>
      </c>
      <c r="B601" t="str">
        <f t="shared" si="9"/>
        <v>RIBEIRA DO AMPARO, BA, Brasil</v>
      </c>
      <c r="C601" s="4" t="str">
        <f>_xlfn.XLOOKUP(A601,[1]!DadosGHD[CD_GEOCMU],[1]!DadosGHD[Região])</f>
        <v>NE</v>
      </c>
      <c r="D601" s="4" t="str">
        <f>_xlfn.XLOOKUP(A601,[1]!DadosGHD[CD_GEOCMU],[1]!DadosGHD[uf])</f>
        <v>BA</v>
      </c>
      <c r="E601" s="5" t="str">
        <f>_xlfn.XLOOKUP(A601,[1]!DadosGHD[CD_GEOCMU],[1]!DadosGHD[MUNICIPIO])</f>
        <v>RIBEIRA DO AMPARO</v>
      </c>
      <c r="F601" s="6">
        <v>28.860166549682599</v>
      </c>
      <c r="G601" s="6">
        <v>28.9107341766357</v>
      </c>
      <c r="H601" s="6">
        <v>33.824459075927699</v>
      </c>
      <c r="I601" s="6">
        <v>28.949892044067401</v>
      </c>
      <c r="J601" s="6">
        <v>28.9707221984863</v>
      </c>
      <c r="K601" s="6">
        <v>29.0025959014893</v>
      </c>
      <c r="L601" s="6">
        <v>26.2911586761475</v>
      </c>
    </row>
    <row r="602" spans="1:12" x14ac:dyDescent="0.25">
      <c r="A602">
        <v>2111763</v>
      </c>
      <c r="B602" t="str">
        <f t="shared" si="9"/>
        <v>SENADOR LA ROCQUE, MA, Brasil</v>
      </c>
      <c r="C602" s="4" t="str">
        <f>_xlfn.XLOOKUP(A602,[1]!DadosGHD[CD_GEOCMU],[1]!DadosGHD[Região])</f>
        <v>NE</v>
      </c>
      <c r="D602" s="4" t="str">
        <f>_xlfn.XLOOKUP(A602,[1]!DadosGHD[CD_GEOCMU],[1]!DadosGHD[uf])</f>
        <v>MA</v>
      </c>
      <c r="E602" s="5" t="str">
        <f>_xlfn.XLOOKUP(A602,[1]!DadosGHD[CD_GEOCMU],[1]!DadosGHD[MUNICIPIO])</f>
        <v>SENADOR LA ROCQUE</v>
      </c>
      <c r="F602" s="6">
        <v>28.8601970672607</v>
      </c>
      <c r="G602" s="6">
        <v>28.919507980346701</v>
      </c>
      <c r="H602" s="6">
        <v>28.9508876800537</v>
      </c>
      <c r="I602" s="6">
        <v>28.934232711791999</v>
      </c>
      <c r="J602" s="6">
        <v>28.958288192748999</v>
      </c>
      <c r="K602" s="6">
        <v>29.000837326049801</v>
      </c>
      <c r="L602" s="6">
        <v>30.695585250854499</v>
      </c>
    </row>
    <row r="603" spans="1:12" x14ac:dyDescent="0.25">
      <c r="A603">
        <v>2106755</v>
      </c>
      <c r="B603" t="str">
        <f t="shared" si="9"/>
        <v>MIRANDA DO NORTE, MA, Brasil</v>
      </c>
      <c r="C603" s="4" t="str">
        <f>_xlfn.XLOOKUP(A603,[1]!DadosGHD[CD_GEOCMU],[1]!DadosGHD[Região])</f>
        <v>NE</v>
      </c>
      <c r="D603" s="4" t="str">
        <f>_xlfn.XLOOKUP(A603,[1]!DadosGHD[CD_GEOCMU],[1]!DadosGHD[uf])</f>
        <v>MA</v>
      </c>
      <c r="E603" s="5" t="str">
        <f>_xlfn.XLOOKUP(A603,[1]!DadosGHD[CD_GEOCMU],[1]!DadosGHD[MUNICIPIO])</f>
        <v>MIRANDA DO NORTE</v>
      </c>
      <c r="F603" s="6">
        <v>28.860273361206101</v>
      </c>
      <c r="G603" s="6">
        <v>28.927476882934599</v>
      </c>
      <c r="H603" s="6">
        <v>28.9608478546143</v>
      </c>
      <c r="I603" s="6">
        <v>28.939455032348601</v>
      </c>
      <c r="J603" s="6">
        <v>28.9409065246582</v>
      </c>
      <c r="K603" s="6">
        <v>28.9686679840088</v>
      </c>
      <c r="L603" s="6">
        <v>26.2798957824707</v>
      </c>
    </row>
    <row r="604" spans="1:12" x14ac:dyDescent="0.25">
      <c r="A604">
        <v>2105153</v>
      </c>
      <c r="B604" t="str">
        <f t="shared" si="9"/>
        <v>IGARAPE DO MEIO, MA, Brasil</v>
      </c>
      <c r="C604" s="4" t="str">
        <f>_xlfn.XLOOKUP(A604,[1]!DadosGHD[CD_GEOCMU],[1]!DadosGHD[Região])</f>
        <v>NE</v>
      </c>
      <c r="D604" s="4" t="str">
        <f>_xlfn.XLOOKUP(A604,[1]!DadosGHD[CD_GEOCMU],[1]!DadosGHD[uf])</f>
        <v>MA</v>
      </c>
      <c r="E604" s="5" t="str">
        <f>_xlfn.XLOOKUP(A604,[1]!DadosGHD[CD_GEOCMU],[1]!DadosGHD[MUNICIPIO])</f>
        <v>IGARAPE DO MEIO</v>
      </c>
      <c r="F604" s="6">
        <v>28.860284805297901</v>
      </c>
      <c r="G604" s="6">
        <v>28.919486999511701</v>
      </c>
      <c r="H604" s="6">
        <v>28.956865310668899</v>
      </c>
      <c r="I604" s="6">
        <v>28.937528610229499</v>
      </c>
      <c r="J604" s="6">
        <v>28.950075149536101</v>
      </c>
      <c r="K604" s="6">
        <v>28.9999485015869</v>
      </c>
      <c r="L604" s="6">
        <v>35.144821166992202</v>
      </c>
    </row>
    <row r="605" spans="1:12" x14ac:dyDescent="0.25">
      <c r="A605">
        <v>2909703</v>
      </c>
      <c r="B605" t="str">
        <f t="shared" si="9"/>
        <v>CRISTOPOLIS, BA, Brasil</v>
      </c>
      <c r="C605" s="4" t="str">
        <f>_xlfn.XLOOKUP(A605,[1]!DadosGHD[CD_GEOCMU],[1]!DadosGHD[Região])</f>
        <v>NE</v>
      </c>
      <c r="D605" s="4" t="str">
        <f>_xlfn.XLOOKUP(A605,[1]!DadosGHD[CD_GEOCMU],[1]!DadosGHD[uf])</f>
        <v>BA</v>
      </c>
      <c r="E605" s="5" t="str">
        <f>_xlfn.XLOOKUP(A605,[1]!DadosGHD[CD_GEOCMU],[1]!DadosGHD[MUNICIPIO])</f>
        <v>CRISTOPOLIS</v>
      </c>
      <c r="F605" s="6">
        <v>28.8603000640869</v>
      </c>
      <c r="G605" s="6">
        <v>28.9200344085693</v>
      </c>
      <c r="H605" s="6">
        <v>28.953538894653299</v>
      </c>
      <c r="I605" s="6">
        <v>28.932323455810501</v>
      </c>
      <c r="J605" s="6">
        <v>28.945024490356399</v>
      </c>
      <c r="K605" s="6">
        <v>28.972120285034201</v>
      </c>
      <c r="L605" s="6">
        <v>26.292285919189499</v>
      </c>
    </row>
    <row r="606" spans="1:12" x14ac:dyDescent="0.25">
      <c r="A606">
        <v>2906204</v>
      </c>
      <c r="B606" t="str">
        <f t="shared" si="9"/>
        <v>CANARANA, BA, Brasil</v>
      </c>
      <c r="C606" s="4" t="str">
        <f>_xlfn.XLOOKUP(A606,[1]!DadosGHD[CD_GEOCMU],[1]!DadosGHD[Região])</f>
        <v>NE</v>
      </c>
      <c r="D606" s="4" t="str">
        <f>_xlfn.XLOOKUP(A606,[1]!DadosGHD[CD_GEOCMU],[1]!DadosGHD[uf])</f>
        <v>BA</v>
      </c>
      <c r="E606" s="5" t="str">
        <f>_xlfn.XLOOKUP(A606,[1]!DadosGHD[CD_GEOCMU],[1]!DadosGHD[MUNICIPIO])</f>
        <v>CANARANA</v>
      </c>
      <c r="F606" s="6">
        <v>28.860330581665</v>
      </c>
      <c r="G606" s="6">
        <v>28.9171543121338</v>
      </c>
      <c r="H606" s="6">
        <v>28.9523525238037</v>
      </c>
      <c r="I606" s="6">
        <v>33.8121147155762</v>
      </c>
      <c r="J606" s="6">
        <v>33.879825592041001</v>
      </c>
      <c r="K606" s="6">
        <v>33.912132263183601</v>
      </c>
      <c r="L606" s="6">
        <v>35.127193450927699</v>
      </c>
    </row>
    <row r="607" spans="1:12" x14ac:dyDescent="0.25">
      <c r="A607">
        <v>2504603</v>
      </c>
      <c r="B607" t="str">
        <f t="shared" si="9"/>
        <v>CONDE, PB, Brasil</v>
      </c>
      <c r="C607" s="4" t="str">
        <f>_xlfn.XLOOKUP(A607,[1]!DadosGHD[CD_GEOCMU],[1]!DadosGHD[Região])</f>
        <v>NE</v>
      </c>
      <c r="D607" s="4" t="str">
        <f>_xlfn.XLOOKUP(A607,[1]!DadosGHD[CD_GEOCMU],[1]!DadosGHD[uf])</f>
        <v>PB</v>
      </c>
      <c r="E607" s="5" t="str">
        <f>_xlfn.XLOOKUP(A607,[1]!DadosGHD[CD_GEOCMU],[1]!DadosGHD[MUNICIPIO])</f>
        <v>CONDE</v>
      </c>
      <c r="F607" s="6">
        <v>28.8604545593262</v>
      </c>
      <c r="G607" s="6">
        <v>28.927026748657202</v>
      </c>
      <c r="H607" s="6">
        <v>33.836563110351598</v>
      </c>
      <c r="I607" s="6">
        <v>33.8205375671387</v>
      </c>
      <c r="J607" s="6">
        <v>33.820037841796903</v>
      </c>
      <c r="K607" s="6">
        <v>28.990880966186499</v>
      </c>
      <c r="L607" s="6">
        <v>35.1299018859863</v>
      </c>
    </row>
    <row r="608" spans="1:12" x14ac:dyDescent="0.25">
      <c r="A608">
        <v>2513851</v>
      </c>
      <c r="B608" t="str">
        <f t="shared" si="9"/>
        <v>SANTO ANDRE, PB, Brasil</v>
      </c>
      <c r="C608" s="4" t="str">
        <f>_xlfn.XLOOKUP(A608,[1]!DadosGHD[CD_GEOCMU],[1]!DadosGHD[Região])</f>
        <v>NE</v>
      </c>
      <c r="D608" s="4" t="str">
        <f>_xlfn.XLOOKUP(A608,[1]!DadosGHD[CD_GEOCMU],[1]!DadosGHD[uf])</f>
        <v>PB</v>
      </c>
      <c r="E608" s="5" t="str">
        <f>_xlfn.XLOOKUP(A608,[1]!DadosGHD[CD_GEOCMU],[1]!DadosGHD[MUNICIPIO])</f>
        <v>SANTO ANDRE</v>
      </c>
      <c r="F608" s="6">
        <v>28.860521316528299</v>
      </c>
      <c r="G608" s="6">
        <v>33.769569396972699</v>
      </c>
      <c r="H608" s="6">
        <v>33.812168121337898</v>
      </c>
      <c r="I608" s="6">
        <v>28.951496124267599</v>
      </c>
      <c r="J608" s="6">
        <v>28.956724166870099</v>
      </c>
      <c r="K608" s="6">
        <v>28.976692199706999</v>
      </c>
      <c r="L608" s="6">
        <v>35.115684509277301</v>
      </c>
    </row>
    <row r="609" spans="1:12" x14ac:dyDescent="0.25">
      <c r="A609">
        <v>2308500</v>
      </c>
      <c r="B609" t="str">
        <f t="shared" si="9"/>
        <v>MOMBACA, CE, Brasil</v>
      </c>
      <c r="C609" s="4" t="str">
        <f>_xlfn.XLOOKUP(A609,[1]!DadosGHD[CD_GEOCMU],[1]!DadosGHD[Região])</f>
        <v>NE</v>
      </c>
      <c r="D609" s="4" t="str">
        <f>_xlfn.XLOOKUP(A609,[1]!DadosGHD[CD_GEOCMU],[1]!DadosGHD[uf])</f>
        <v>CE</v>
      </c>
      <c r="E609" s="5" t="str">
        <f>_xlfn.XLOOKUP(A609,[1]!DadosGHD[CD_GEOCMU],[1]!DadosGHD[MUNICIPIO])</f>
        <v>MOMBACA</v>
      </c>
      <c r="F609" s="6">
        <v>28.860521316528299</v>
      </c>
      <c r="G609" s="6">
        <v>28.925090789794901</v>
      </c>
      <c r="H609" s="6">
        <v>28.964952468872099</v>
      </c>
      <c r="I609" s="6">
        <v>33.827735900878899</v>
      </c>
      <c r="J609" s="6">
        <v>33.866298675537102</v>
      </c>
      <c r="K609" s="6">
        <v>33.9188423156738</v>
      </c>
      <c r="L609" s="6">
        <v>35.142322540283203</v>
      </c>
    </row>
    <row r="610" spans="1:12" x14ac:dyDescent="0.25">
      <c r="A610">
        <v>1505106</v>
      </c>
      <c r="B610" t="str">
        <f t="shared" si="9"/>
        <v>OBIDOS, PA, Brasil</v>
      </c>
      <c r="C610" s="4" t="str">
        <f>_xlfn.XLOOKUP(A610,[1]!DadosGHD[CD_GEOCMU],[1]!DadosGHD[Região])</f>
        <v>NO</v>
      </c>
      <c r="D610" s="4" t="str">
        <f>_xlfn.XLOOKUP(A610,[1]!DadosGHD[CD_GEOCMU],[1]!DadosGHD[uf])</f>
        <v>PA</v>
      </c>
      <c r="E610" s="5" t="str">
        <f>_xlfn.XLOOKUP(A610,[1]!DadosGHD[CD_GEOCMU],[1]!DadosGHD[MUNICIPIO])</f>
        <v>OBIDOS</v>
      </c>
      <c r="F610" s="6">
        <v>28.860639572143601</v>
      </c>
      <c r="G610" s="6">
        <v>28.930036544799801</v>
      </c>
      <c r="H610" s="6">
        <v>28.964723587036101</v>
      </c>
      <c r="I610" s="6">
        <v>28.946582794189499</v>
      </c>
      <c r="J610" s="6">
        <v>28.963497161865199</v>
      </c>
      <c r="K610" s="6">
        <v>28.997049331665</v>
      </c>
      <c r="L610" s="6">
        <v>26.281732559204102</v>
      </c>
    </row>
    <row r="611" spans="1:12" x14ac:dyDescent="0.25">
      <c r="A611">
        <v>3129608</v>
      </c>
      <c r="B611" t="str">
        <f t="shared" si="9"/>
        <v>IBIAI, MG, Brasil</v>
      </c>
      <c r="C611" s="4" t="str">
        <f>_xlfn.XLOOKUP(A611,[1]!DadosGHD[CD_GEOCMU],[1]!DadosGHD[Região])</f>
        <v>SD</v>
      </c>
      <c r="D611" s="4" t="str">
        <f>_xlfn.XLOOKUP(A611,[1]!DadosGHD[CD_GEOCMU],[1]!DadosGHD[uf])</f>
        <v>MG</v>
      </c>
      <c r="E611" s="5" t="str">
        <f>_xlfn.XLOOKUP(A611,[1]!DadosGHD[CD_GEOCMU],[1]!DadosGHD[MUNICIPIO])</f>
        <v>IBIAI</v>
      </c>
      <c r="F611" s="6">
        <v>28.8608207702637</v>
      </c>
      <c r="G611" s="6">
        <v>28.929918289184599</v>
      </c>
      <c r="H611" s="6">
        <v>28.956605911254901</v>
      </c>
      <c r="I611" s="6">
        <v>28.950145721435501</v>
      </c>
      <c r="J611" s="6">
        <v>33.827732086181598</v>
      </c>
      <c r="K611" s="6">
        <v>33.876358032226598</v>
      </c>
      <c r="L611" s="6">
        <v>35.141529083252003</v>
      </c>
    </row>
    <row r="612" spans="1:12" x14ac:dyDescent="0.25">
      <c r="A612">
        <v>2912400</v>
      </c>
      <c r="B612" t="str">
        <f t="shared" si="9"/>
        <v>IBIPEBA, BA, Brasil</v>
      </c>
      <c r="C612" s="4" t="str">
        <f>_xlfn.XLOOKUP(A612,[1]!DadosGHD[CD_GEOCMU],[1]!DadosGHD[Região])</f>
        <v>NE</v>
      </c>
      <c r="D612" s="4" t="str">
        <f>_xlfn.XLOOKUP(A612,[1]!DadosGHD[CD_GEOCMU],[1]!DadosGHD[uf])</f>
        <v>BA</v>
      </c>
      <c r="E612" s="5" t="str">
        <f>_xlfn.XLOOKUP(A612,[1]!DadosGHD[CD_GEOCMU],[1]!DadosGHD[MUNICIPIO])</f>
        <v>IBIPEBA</v>
      </c>
      <c r="F612" s="6">
        <v>28.860822677612301</v>
      </c>
      <c r="G612" s="6">
        <v>28.924654006958001</v>
      </c>
      <c r="H612" s="6">
        <v>28.960351943969702</v>
      </c>
      <c r="I612" s="6">
        <v>28.939088821411101</v>
      </c>
      <c r="J612" s="6">
        <v>28.967744827270501</v>
      </c>
      <c r="K612" s="6">
        <v>28.999078750610401</v>
      </c>
      <c r="L612" s="6">
        <v>30.708305358886701</v>
      </c>
    </row>
    <row r="613" spans="1:12" x14ac:dyDescent="0.25">
      <c r="A613">
        <v>2708402</v>
      </c>
      <c r="B613" t="str">
        <f t="shared" si="9"/>
        <v>SAO JOSE DA TAPERA, AL, Brasil</v>
      </c>
      <c r="C613" s="4" t="str">
        <f>_xlfn.XLOOKUP(A613,[1]!DadosGHD[CD_GEOCMU],[1]!DadosGHD[Região])</f>
        <v>NE</v>
      </c>
      <c r="D613" s="4" t="str">
        <f>_xlfn.XLOOKUP(A613,[1]!DadosGHD[CD_GEOCMU],[1]!DadosGHD[uf])</f>
        <v>AL</v>
      </c>
      <c r="E613" s="5" t="str">
        <f>_xlfn.XLOOKUP(A613,[1]!DadosGHD[CD_GEOCMU],[1]!DadosGHD[MUNICIPIO])</f>
        <v>SAO JOSE DA TAPERA</v>
      </c>
      <c r="F613" s="6">
        <v>28.860898971557599</v>
      </c>
      <c r="G613" s="6">
        <v>28.9362468719482</v>
      </c>
      <c r="H613" s="6">
        <v>28.969911575317401</v>
      </c>
      <c r="I613" s="6">
        <v>28.952556610107401</v>
      </c>
      <c r="J613" s="6">
        <v>28.971746444702202</v>
      </c>
      <c r="K613" s="6">
        <v>29.0033569335938</v>
      </c>
      <c r="L613" s="6">
        <v>26.280338287353501</v>
      </c>
    </row>
    <row r="614" spans="1:12" x14ac:dyDescent="0.25">
      <c r="A614">
        <v>1503309</v>
      </c>
      <c r="B614" t="str">
        <f t="shared" si="9"/>
        <v>IGARAPE-MIRI, PA, Brasil</v>
      </c>
      <c r="C614" s="4" t="str">
        <f>_xlfn.XLOOKUP(A614,[1]!DadosGHD[CD_GEOCMU],[1]!DadosGHD[Região])</f>
        <v>NO</v>
      </c>
      <c r="D614" s="4" t="str">
        <f>_xlfn.XLOOKUP(A614,[1]!DadosGHD[CD_GEOCMU],[1]!DadosGHD[uf])</f>
        <v>PA</v>
      </c>
      <c r="E614" s="5" t="str">
        <f>_xlfn.XLOOKUP(A614,[1]!DadosGHD[CD_GEOCMU],[1]!DadosGHD[MUNICIPIO])</f>
        <v>IGARAPE-MIRI</v>
      </c>
      <c r="F614" s="6">
        <v>28.861036300659201</v>
      </c>
      <c r="G614" s="6">
        <v>28.925329208373999</v>
      </c>
      <c r="H614" s="6">
        <v>28.964839935302699</v>
      </c>
      <c r="I614" s="6">
        <v>28.9461975097656</v>
      </c>
      <c r="J614" s="6">
        <v>28.9654541015625</v>
      </c>
      <c r="K614" s="6">
        <v>29.002326965331999</v>
      </c>
      <c r="L614" s="6">
        <v>26.2798957824707</v>
      </c>
    </row>
    <row r="615" spans="1:12" x14ac:dyDescent="0.25">
      <c r="A615">
        <v>2110005</v>
      </c>
      <c r="B615" t="str">
        <f t="shared" si="9"/>
        <v>SANTA LUZIA, MA, Brasil</v>
      </c>
      <c r="C615" s="4" t="str">
        <f>_xlfn.XLOOKUP(A615,[1]!DadosGHD[CD_GEOCMU],[1]!DadosGHD[Região])</f>
        <v>NE</v>
      </c>
      <c r="D615" s="4" t="str">
        <f>_xlfn.XLOOKUP(A615,[1]!DadosGHD[CD_GEOCMU],[1]!DadosGHD[uf])</f>
        <v>MA</v>
      </c>
      <c r="E615" s="5" t="str">
        <f>_xlfn.XLOOKUP(A615,[1]!DadosGHD[CD_GEOCMU],[1]!DadosGHD[MUNICIPIO])</f>
        <v>SANTA LUZIA</v>
      </c>
      <c r="F615" s="6">
        <v>28.861085891723601</v>
      </c>
      <c r="G615" s="6">
        <v>28.9335613250732</v>
      </c>
      <c r="H615" s="6">
        <v>28.9759521484375</v>
      </c>
      <c r="I615" s="6">
        <v>28.958887100219702</v>
      </c>
      <c r="J615" s="6">
        <v>28.9699802398682</v>
      </c>
      <c r="K615" s="6">
        <v>33.845222473144503</v>
      </c>
      <c r="L615" s="6">
        <v>30.688962936401399</v>
      </c>
    </row>
    <row r="616" spans="1:12" x14ac:dyDescent="0.25">
      <c r="A616">
        <v>2501906</v>
      </c>
      <c r="B616" t="str">
        <f t="shared" si="9"/>
        <v>BELEM, PB, Brasil</v>
      </c>
      <c r="C616" s="4" t="str">
        <f>_xlfn.XLOOKUP(A616,[1]!DadosGHD[CD_GEOCMU],[1]!DadosGHD[Região])</f>
        <v>NE</v>
      </c>
      <c r="D616" s="4" t="str">
        <f>_xlfn.XLOOKUP(A616,[1]!DadosGHD[CD_GEOCMU],[1]!DadosGHD[uf])</f>
        <v>PB</v>
      </c>
      <c r="E616" s="5" t="str">
        <f>_xlfn.XLOOKUP(A616,[1]!DadosGHD[CD_GEOCMU],[1]!DadosGHD[MUNICIPIO])</f>
        <v>BELEM</v>
      </c>
      <c r="F616" s="6">
        <v>28.8611850738525</v>
      </c>
      <c r="G616" s="6">
        <v>28.9253234863281</v>
      </c>
      <c r="H616" s="6">
        <v>28.956281661987301</v>
      </c>
      <c r="I616" s="6">
        <v>28.9331150054932</v>
      </c>
      <c r="J616" s="6">
        <v>28.947948455810501</v>
      </c>
      <c r="K616" s="6">
        <v>28.9686679840088</v>
      </c>
      <c r="L616" s="6">
        <v>26.279966354370099</v>
      </c>
    </row>
    <row r="617" spans="1:12" x14ac:dyDescent="0.25">
      <c r="A617">
        <v>2106300</v>
      </c>
      <c r="B617" t="str">
        <f t="shared" si="9"/>
        <v>MAGALHAES DE ALMEIDA, MA, Brasil</v>
      </c>
      <c r="C617" s="4" t="str">
        <f>_xlfn.XLOOKUP(A617,[1]!DadosGHD[CD_GEOCMU],[1]!DadosGHD[Região])</f>
        <v>NE</v>
      </c>
      <c r="D617" s="4" t="str">
        <f>_xlfn.XLOOKUP(A617,[1]!DadosGHD[CD_GEOCMU],[1]!DadosGHD[uf])</f>
        <v>MA</v>
      </c>
      <c r="E617" s="5" t="str">
        <f>_xlfn.XLOOKUP(A617,[1]!DadosGHD[CD_GEOCMU],[1]!DadosGHD[MUNICIPIO])</f>
        <v>MAGALHAES DE ALMEIDA</v>
      </c>
      <c r="F617" s="6">
        <v>28.861200332641602</v>
      </c>
      <c r="G617" s="6">
        <v>28.9124565124512</v>
      </c>
      <c r="H617" s="6">
        <v>28.942651748657202</v>
      </c>
      <c r="I617" s="6">
        <v>28.925045013427699</v>
      </c>
      <c r="J617" s="6">
        <v>28.9409065246582</v>
      </c>
      <c r="K617" s="6">
        <v>28.9686679840088</v>
      </c>
      <c r="L617" s="6">
        <v>26.2798957824707</v>
      </c>
    </row>
    <row r="618" spans="1:12" x14ac:dyDescent="0.25">
      <c r="A618">
        <v>3140308</v>
      </c>
      <c r="B618" t="str">
        <f t="shared" si="9"/>
        <v>MARLIERIA, MG, Brasil</v>
      </c>
      <c r="C618" s="4" t="str">
        <f>_xlfn.XLOOKUP(A618,[1]!DadosGHD[CD_GEOCMU],[1]!DadosGHD[Região])</f>
        <v>SD</v>
      </c>
      <c r="D618" s="4" t="str">
        <f>_xlfn.XLOOKUP(A618,[1]!DadosGHD[CD_GEOCMU],[1]!DadosGHD[uf])</f>
        <v>MG</v>
      </c>
      <c r="E618" s="5" t="str">
        <f>_xlfn.XLOOKUP(A618,[1]!DadosGHD[CD_GEOCMU],[1]!DadosGHD[MUNICIPIO])</f>
        <v>MARLIERIA</v>
      </c>
      <c r="F618" s="6">
        <v>28.861312866210898</v>
      </c>
      <c r="G618" s="6">
        <v>38.711067199707003</v>
      </c>
      <c r="H618" s="6">
        <v>38.744930267333999</v>
      </c>
      <c r="I618" s="6">
        <v>38.720497131347699</v>
      </c>
      <c r="J618" s="6">
        <v>38.841690063476598</v>
      </c>
      <c r="K618" s="6">
        <v>43.765327453613303</v>
      </c>
      <c r="L618" s="6">
        <v>39.583427429199197</v>
      </c>
    </row>
    <row r="619" spans="1:12" x14ac:dyDescent="0.25">
      <c r="A619">
        <v>1302900</v>
      </c>
      <c r="B619" t="str">
        <f t="shared" si="9"/>
        <v>MAUES, AM, Brasil</v>
      </c>
      <c r="C619" s="4" t="str">
        <f>_xlfn.XLOOKUP(A619,[1]!DadosGHD[CD_GEOCMU],[1]!DadosGHD[Região])</f>
        <v>NO</v>
      </c>
      <c r="D619" s="4" t="str">
        <f>_xlfn.XLOOKUP(A619,[1]!DadosGHD[CD_GEOCMU],[1]!DadosGHD[uf])</f>
        <v>AM</v>
      </c>
      <c r="E619" s="5" t="str">
        <f>_xlfn.XLOOKUP(A619,[1]!DadosGHD[CD_GEOCMU],[1]!DadosGHD[MUNICIPIO])</f>
        <v>MAUES</v>
      </c>
      <c r="F619" s="6">
        <v>28.861364364623999</v>
      </c>
      <c r="G619" s="6">
        <v>28.922061920166001</v>
      </c>
      <c r="H619" s="6">
        <v>28.954811096191399</v>
      </c>
      <c r="I619" s="6">
        <v>28.935182571411101</v>
      </c>
      <c r="J619" s="6">
        <v>28.9501247406006</v>
      </c>
      <c r="K619" s="6">
        <v>28.977594375610401</v>
      </c>
      <c r="L619" s="6">
        <v>26.2798957824707</v>
      </c>
    </row>
    <row r="620" spans="1:12" x14ac:dyDescent="0.25">
      <c r="A620">
        <v>3526506</v>
      </c>
      <c r="B620" t="str">
        <f t="shared" si="9"/>
        <v>LAVINIA, SP, Brasil</v>
      </c>
      <c r="C620" s="4" t="str">
        <f>_xlfn.XLOOKUP(A620,[1]!DadosGHD[CD_GEOCMU],[1]!DadosGHD[Região])</f>
        <v>SD</v>
      </c>
      <c r="D620" s="4" t="str">
        <f>_xlfn.XLOOKUP(A620,[1]!DadosGHD[CD_GEOCMU],[1]!DadosGHD[uf])</f>
        <v>SP</v>
      </c>
      <c r="E620" s="5" t="str">
        <f>_xlfn.XLOOKUP(A620,[1]!DadosGHD[CD_GEOCMU],[1]!DadosGHD[MUNICIPIO])</f>
        <v>LAVINIA</v>
      </c>
      <c r="F620" s="6">
        <v>28.861385345458999</v>
      </c>
      <c r="G620" s="6">
        <v>33.766525268554702</v>
      </c>
      <c r="H620" s="6">
        <v>28.9559211730957</v>
      </c>
      <c r="I620" s="6">
        <v>33.7929878234863</v>
      </c>
      <c r="J620" s="6">
        <v>33.817760467529297</v>
      </c>
      <c r="K620" s="6">
        <v>33.864608764648402</v>
      </c>
      <c r="L620" s="6">
        <v>35.1253471374512</v>
      </c>
    </row>
    <row r="621" spans="1:12" x14ac:dyDescent="0.25">
      <c r="A621">
        <v>1502764</v>
      </c>
      <c r="B621" t="str">
        <f t="shared" si="9"/>
        <v>CUMARU DO NORTE, PA, Brasil</v>
      </c>
      <c r="C621" s="4" t="str">
        <f>_xlfn.XLOOKUP(A621,[1]!DadosGHD[CD_GEOCMU],[1]!DadosGHD[Região])</f>
        <v>NO</v>
      </c>
      <c r="D621" s="4" t="str">
        <f>_xlfn.XLOOKUP(A621,[1]!DadosGHD[CD_GEOCMU],[1]!DadosGHD[uf])</f>
        <v>PA</v>
      </c>
      <c r="E621" s="5" t="str">
        <f>_xlfn.XLOOKUP(A621,[1]!DadosGHD[CD_GEOCMU],[1]!DadosGHD[MUNICIPIO])</f>
        <v>CUMARU DO NORTE</v>
      </c>
      <c r="F621" s="6">
        <v>28.861387252807599</v>
      </c>
      <c r="G621" s="6">
        <v>28.918436050415</v>
      </c>
      <c r="H621" s="6">
        <v>28.951704025268601</v>
      </c>
      <c r="I621" s="6">
        <v>28.9317321777344</v>
      </c>
      <c r="J621" s="6">
        <v>33.810638427734403</v>
      </c>
      <c r="K621" s="6">
        <v>33.844818115234403</v>
      </c>
      <c r="L621" s="6">
        <v>35.117755889892599</v>
      </c>
    </row>
    <row r="622" spans="1:12" x14ac:dyDescent="0.25">
      <c r="A622">
        <v>2930758</v>
      </c>
      <c r="B622" t="str">
        <f t="shared" si="9"/>
        <v>SITIO DO MATO, BA, Brasil</v>
      </c>
      <c r="C622" s="4" t="str">
        <f>_xlfn.XLOOKUP(A622,[1]!DadosGHD[CD_GEOCMU],[1]!DadosGHD[Região])</f>
        <v>NE</v>
      </c>
      <c r="D622" s="4" t="str">
        <f>_xlfn.XLOOKUP(A622,[1]!DadosGHD[CD_GEOCMU],[1]!DadosGHD[uf])</f>
        <v>BA</v>
      </c>
      <c r="E622" s="5" t="str">
        <f>_xlfn.XLOOKUP(A622,[1]!DadosGHD[CD_GEOCMU],[1]!DadosGHD[MUNICIPIO])</f>
        <v>SITIO DO MATO</v>
      </c>
      <c r="F622" s="6">
        <v>28.861408233642599</v>
      </c>
      <c r="G622" s="6">
        <v>28.91774559021</v>
      </c>
      <c r="H622" s="6">
        <v>28.9525260925293</v>
      </c>
      <c r="I622" s="6">
        <v>28.933446884155298</v>
      </c>
      <c r="J622" s="6">
        <v>28.948198318481399</v>
      </c>
      <c r="K622" s="6">
        <v>28.9788494110107</v>
      </c>
      <c r="L622" s="6">
        <v>26.300050735473601</v>
      </c>
    </row>
    <row r="623" spans="1:12" x14ac:dyDescent="0.25">
      <c r="A623">
        <v>3162450</v>
      </c>
      <c r="B623" t="str">
        <f t="shared" si="9"/>
        <v>SAO JOAO DAS MISSOES, MG, Brasil</v>
      </c>
      <c r="C623" s="4" t="str">
        <f>_xlfn.XLOOKUP(A623,[1]!DadosGHD[CD_GEOCMU],[1]!DadosGHD[Região])</f>
        <v>SD</v>
      </c>
      <c r="D623" s="4" t="str">
        <f>_xlfn.XLOOKUP(A623,[1]!DadosGHD[CD_GEOCMU],[1]!DadosGHD[uf])</f>
        <v>MG</v>
      </c>
      <c r="E623" s="5" t="str">
        <f>_xlfn.XLOOKUP(A623,[1]!DadosGHD[CD_GEOCMU],[1]!DadosGHD[MUNICIPIO])</f>
        <v>SAO JOAO DAS MISSOES</v>
      </c>
      <c r="F623" s="6">
        <v>28.861415863037099</v>
      </c>
      <c r="G623" s="6">
        <v>28.9193515777588</v>
      </c>
      <c r="H623" s="6">
        <v>28.952787399291999</v>
      </c>
      <c r="I623" s="6">
        <v>28.933437347412099</v>
      </c>
      <c r="J623" s="6">
        <v>28.947948455810501</v>
      </c>
      <c r="K623" s="6">
        <v>28.974756240844702</v>
      </c>
      <c r="L623" s="6">
        <v>26.284072875976602</v>
      </c>
    </row>
    <row r="624" spans="1:12" x14ac:dyDescent="0.25">
      <c r="A624">
        <v>2918753</v>
      </c>
      <c r="B624" t="str">
        <f t="shared" si="9"/>
        <v>LAGOA REAL, BA, Brasil</v>
      </c>
      <c r="C624" s="4" t="str">
        <f>_xlfn.XLOOKUP(A624,[1]!DadosGHD[CD_GEOCMU],[1]!DadosGHD[Região])</f>
        <v>NE</v>
      </c>
      <c r="D624" s="4" t="str">
        <f>_xlfn.XLOOKUP(A624,[1]!DadosGHD[CD_GEOCMU],[1]!DadosGHD[uf])</f>
        <v>BA</v>
      </c>
      <c r="E624" s="5" t="str">
        <f>_xlfn.XLOOKUP(A624,[1]!DadosGHD[CD_GEOCMU],[1]!DadosGHD[MUNICIPIO])</f>
        <v>LAGOA REAL</v>
      </c>
      <c r="F624" s="6">
        <v>28.861547470092798</v>
      </c>
      <c r="G624" s="6">
        <v>33.775798797607401</v>
      </c>
      <c r="H624" s="6">
        <v>33.819412231445298</v>
      </c>
      <c r="I624" s="6">
        <v>33.811634063720703</v>
      </c>
      <c r="J624" s="6">
        <v>33.827468872070298</v>
      </c>
      <c r="K624" s="6">
        <v>28.985027313232401</v>
      </c>
      <c r="L624" s="6">
        <v>26.2798957824707</v>
      </c>
    </row>
    <row r="625" spans="1:12" x14ac:dyDescent="0.25">
      <c r="A625">
        <v>2612703</v>
      </c>
      <c r="B625" t="str">
        <f t="shared" si="9"/>
        <v>SANTA MARIA DO CAMBUCA, PE, Brasil</v>
      </c>
      <c r="C625" s="4" t="str">
        <f>_xlfn.XLOOKUP(A625,[1]!DadosGHD[CD_GEOCMU],[1]!DadosGHD[Região])</f>
        <v>NE</v>
      </c>
      <c r="D625" s="4" t="str">
        <f>_xlfn.XLOOKUP(A625,[1]!DadosGHD[CD_GEOCMU],[1]!DadosGHD[uf])</f>
        <v>PE</v>
      </c>
      <c r="E625" s="5" t="str">
        <f>_xlfn.XLOOKUP(A625,[1]!DadosGHD[CD_GEOCMU],[1]!DadosGHD[MUNICIPIO])</f>
        <v>SANTA MARIA DO CAMBUCA</v>
      </c>
      <c r="F625" s="6">
        <v>28.861692428588899</v>
      </c>
      <c r="G625" s="6">
        <v>28.9180908203125</v>
      </c>
      <c r="H625" s="6">
        <v>28.9486179351807</v>
      </c>
      <c r="I625" s="6">
        <v>28.929460525512699</v>
      </c>
      <c r="J625" s="6">
        <v>28.944120407104499</v>
      </c>
      <c r="K625" s="6">
        <v>28.975908279418899</v>
      </c>
      <c r="L625" s="6">
        <v>30.6896076202393</v>
      </c>
    </row>
    <row r="626" spans="1:12" x14ac:dyDescent="0.25">
      <c r="A626">
        <v>1300086</v>
      </c>
      <c r="B626" t="str">
        <f t="shared" si="9"/>
        <v>ANAMA, AM, Brasil</v>
      </c>
      <c r="C626" s="4" t="str">
        <f>_xlfn.XLOOKUP(A626,[1]!DadosGHD[CD_GEOCMU],[1]!DadosGHD[Região])</f>
        <v>NO</v>
      </c>
      <c r="D626" s="4" t="str">
        <f>_xlfn.XLOOKUP(A626,[1]!DadosGHD[CD_GEOCMU],[1]!DadosGHD[uf])</f>
        <v>AM</v>
      </c>
      <c r="E626" s="5" t="str">
        <f>_xlfn.XLOOKUP(A626,[1]!DadosGHD[CD_GEOCMU],[1]!DadosGHD[MUNICIPIO])</f>
        <v>ANAMA</v>
      </c>
      <c r="F626" s="6">
        <v>28.862010955810501</v>
      </c>
      <c r="G626" s="6">
        <v>28.918888092041001</v>
      </c>
      <c r="H626" s="6">
        <v>28.951366424560501</v>
      </c>
      <c r="I626" s="6">
        <v>28.931230545043899</v>
      </c>
      <c r="J626" s="6">
        <v>28.944995880126999</v>
      </c>
      <c r="K626" s="6">
        <v>28.971107482910199</v>
      </c>
      <c r="L626" s="6">
        <v>26.2798957824707</v>
      </c>
    </row>
    <row r="627" spans="1:12" x14ac:dyDescent="0.25">
      <c r="A627">
        <v>1505635</v>
      </c>
      <c r="B627" t="str">
        <f t="shared" si="9"/>
        <v>PICARRA, PA, Brasil</v>
      </c>
      <c r="C627" s="4" t="str">
        <f>_xlfn.XLOOKUP(A627,[1]!DadosGHD[CD_GEOCMU],[1]!DadosGHD[Região])</f>
        <v>NO</v>
      </c>
      <c r="D627" s="4" t="str">
        <f>_xlfn.XLOOKUP(A627,[1]!DadosGHD[CD_GEOCMU],[1]!DadosGHD[uf])</f>
        <v>PA</v>
      </c>
      <c r="E627" s="5" t="str">
        <f>_xlfn.XLOOKUP(A627,[1]!DadosGHD[CD_GEOCMU],[1]!DadosGHD[MUNICIPIO])</f>
        <v>PICARRA</v>
      </c>
      <c r="F627" s="6">
        <v>28.862010955810501</v>
      </c>
      <c r="G627" s="6">
        <v>28.9202976226807</v>
      </c>
      <c r="H627" s="6">
        <v>28.953189849853501</v>
      </c>
      <c r="I627" s="6">
        <v>28.933565139770501</v>
      </c>
      <c r="J627" s="6">
        <v>33.81640625</v>
      </c>
      <c r="K627" s="6">
        <v>33.848670959472699</v>
      </c>
      <c r="L627" s="6">
        <v>26.284927368164102</v>
      </c>
    </row>
    <row r="628" spans="1:12" x14ac:dyDescent="0.25">
      <c r="A628">
        <v>2310100</v>
      </c>
      <c r="B628" t="str">
        <f t="shared" si="9"/>
        <v>PALMACIA, CE, Brasil</v>
      </c>
      <c r="C628" s="4" t="str">
        <f>_xlfn.XLOOKUP(A628,[1]!DadosGHD[CD_GEOCMU],[1]!DadosGHD[Região])</f>
        <v>NE</v>
      </c>
      <c r="D628" s="4" t="str">
        <f>_xlfn.XLOOKUP(A628,[1]!DadosGHD[CD_GEOCMU],[1]!DadosGHD[uf])</f>
        <v>CE</v>
      </c>
      <c r="E628" s="5" t="str">
        <f>_xlfn.XLOOKUP(A628,[1]!DadosGHD[CD_GEOCMU],[1]!DadosGHD[MUNICIPIO])</f>
        <v>PALMACIA</v>
      </c>
      <c r="F628" s="6">
        <v>28.86203956604</v>
      </c>
      <c r="G628" s="6">
        <v>28.9206218719482</v>
      </c>
      <c r="H628" s="6">
        <v>28.953432083129901</v>
      </c>
      <c r="I628" s="6">
        <v>28.932279586791999</v>
      </c>
      <c r="J628" s="6">
        <v>28.950315475463899</v>
      </c>
      <c r="K628" s="6">
        <v>28.975877761840799</v>
      </c>
      <c r="L628" s="6">
        <v>26.2798957824707</v>
      </c>
    </row>
    <row r="629" spans="1:12" x14ac:dyDescent="0.25">
      <c r="A629">
        <v>2106904</v>
      </c>
      <c r="B629" t="str">
        <f t="shared" si="9"/>
        <v>MONCAO, MA, Brasil</v>
      </c>
      <c r="C629" s="4" t="str">
        <f>_xlfn.XLOOKUP(A629,[1]!DadosGHD[CD_GEOCMU],[1]!DadosGHD[Região])</f>
        <v>NE</v>
      </c>
      <c r="D629" s="4" t="str">
        <f>_xlfn.XLOOKUP(A629,[1]!DadosGHD[CD_GEOCMU],[1]!DadosGHD[uf])</f>
        <v>MA</v>
      </c>
      <c r="E629" s="5" t="str">
        <f>_xlfn.XLOOKUP(A629,[1]!DadosGHD[CD_GEOCMU],[1]!DadosGHD[MUNICIPIO])</f>
        <v>MONCAO</v>
      </c>
      <c r="F629" s="6">
        <v>28.86208152771</v>
      </c>
      <c r="G629" s="6">
        <v>28.917766571044901</v>
      </c>
      <c r="H629" s="6">
        <v>28.949455261230501</v>
      </c>
      <c r="I629" s="6">
        <v>28.930353164672901</v>
      </c>
      <c r="J629" s="6">
        <v>28.9409065246582</v>
      </c>
      <c r="K629" s="6">
        <v>28.972211837768601</v>
      </c>
      <c r="L629" s="6">
        <v>30.692808151245099</v>
      </c>
    </row>
    <row r="630" spans="1:12" x14ac:dyDescent="0.25">
      <c r="A630">
        <v>2112852</v>
      </c>
      <c r="B630" t="str">
        <f t="shared" si="9"/>
        <v>VILA NOVA DOS MARTIRIOS, MA, Brasil</v>
      </c>
      <c r="C630" s="4" t="str">
        <f>_xlfn.XLOOKUP(A630,[1]!DadosGHD[CD_GEOCMU],[1]!DadosGHD[Região])</f>
        <v>NE</v>
      </c>
      <c r="D630" s="4" t="str">
        <f>_xlfn.XLOOKUP(A630,[1]!DadosGHD[CD_GEOCMU],[1]!DadosGHD[uf])</f>
        <v>MA</v>
      </c>
      <c r="E630" s="5" t="str">
        <f>_xlfn.XLOOKUP(A630,[1]!DadosGHD[CD_GEOCMU],[1]!DadosGHD[MUNICIPIO])</f>
        <v>VILA NOVA DOS MARTIRIOS</v>
      </c>
      <c r="F630" s="6">
        <v>28.862113952636701</v>
      </c>
      <c r="G630" s="6">
        <v>28.9202880859375</v>
      </c>
      <c r="H630" s="6">
        <v>28.955297470092798</v>
      </c>
      <c r="I630" s="6">
        <v>28.935794830322301</v>
      </c>
      <c r="J630" s="6">
        <v>28.9606819152832</v>
      </c>
      <c r="K630" s="6">
        <v>29.005571365356399</v>
      </c>
      <c r="L630" s="6">
        <v>30.7173671722412</v>
      </c>
    </row>
    <row r="631" spans="1:12" x14ac:dyDescent="0.25">
      <c r="A631">
        <v>1300839</v>
      </c>
      <c r="B631" t="str">
        <f t="shared" si="9"/>
        <v>CAAPIRANGA, AM, Brasil</v>
      </c>
      <c r="C631" s="4" t="str">
        <f>_xlfn.XLOOKUP(A631,[1]!DadosGHD[CD_GEOCMU],[1]!DadosGHD[Região])</f>
        <v>NO</v>
      </c>
      <c r="D631" s="4" t="str">
        <f>_xlfn.XLOOKUP(A631,[1]!DadosGHD[CD_GEOCMU],[1]!DadosGHD[uf])</f>
        <v>AM</v>
      </c>
      <c r="E631" s="5" t="str">
        <f>_xlfn.XLOOKUP(A631,[1]!DadosGHD[CD_GEOCMU],[1]!DadosGHD[MUNICIPIO])</f>
        <v>CAAPIRANGA</v>
      </c>
      <c r="F631" s="6">
        <v>28.862184524536101</v>
      </c>
      <c r="G631" s="6">
        <v>28.919672012329102</v>
      </c>
      <c r="H631" s="6">
        <v>28.952875137329102</v>
      </c>
      <c r="I631" s="6">
        <v>28.933183670043899</v>
      </c>
      <c r="J631" s="6">
        <v>28.947359085083001</v>
      </c>
      <c r="K631" s="6">
        <v>28.9738445281982</v>
      </c>
      <c r="L631" s="6">
        <v>35.126220703125</v>
      </c>
    </row>
    <row r="632" spans="1:12" x14ac:dyDescent="0.25">
      <c r="A632">
        <v>2102507</v>
      </c>
      <c r="B632" t="str">
        <f t="shared" si="9"/>
        <v>CAJARI, MA, Brasil</v>
      </c>
      <c r="C632" s="4" t="str">
        <f>_xlfn.XLOOKUP(A632,[1]!DadosGHD[CD_GEOCMU],[1]!DadosGHD[Região])</f>
        <v>NE</v>
      </c>
      <c r="D632" s="4" t="str">
        <f>_xlfn.XLOOKUP(A632,[1]!DadosGHD[CD_GEOCMU],[1]!DadosGHD[uf])</f>
        <v>MA</v>
      </c>
      <c r="E632" s="5" t="str">
        <f>_xlfn.XLOOKUP(A632,[1]!DadosGHD[CD_GEOCMU],[1]!DadosGHD[MUNICIPIO])</f>
        <v>CAJARI</v>
      </c>
      <c r="F632" s="6">
        <v>28.862298965454102</v>
      </c>
      <c r="G632" s="6">
        <v>28.914058685302699</v>
      </c>
      <c r="H632" s="6">
        <v>28.9507846832275</v>
      </c>
      <c r="I632" s="6">
        <v>28.933301925659201</v>
      </c>
      <c r="J632" s="6">
        <v>28.953901290893601</v>
      </c>
      <c r="K632" s="6">
        <v>28.9700222015381</v>
      </c>
      <c r="L632" s="6">
        <v>26.289892196655298</v>
      </c>
    </row>
    <row r="633" spans="1:12" x14ac:dyDescent="0.25">
      <c r="A633">
        <v>1302405</v>
      </c>
      <c r="B633" t="str">
        <f t="shared" si="9"/>
        <v>LABREA, AM, Brasil</v>
      </c>
      <c r="C633" s="4" t="str">
        <f>_xlfn.XLOOKUP(A633,[1]!DadosGHD[CD_GEOCMU],[1]!DadosGHD[Região])</f>
        <v>NO</v>
      </c>
      <c r="D633" s="4" t="str">
        <f>_xlfn.XLOOKUP(A633,[1]!DadosGHD[CD_GEOCMU],[1]!DadosGHD[uf])</f>
        <v>AM</v>
      </c>
      <c r="E633" s="5" t="str">
        <f>_xlfn.XLOOKUP(A633,[1]!DadosGHD[CD_GEOCMU],[1]!DadosGHD[MUNICIPIO])</f>
        <v>LABREA</v>
      </c>
      <c r="F633" s="6">
        <v>28.862300872802699</v>
      </c>
      <c r="G633" s="6">
        <v>28.9218845367432</v>
      </c>
      <c r="H633" s="6">
        <v>28.954320907592798</v>
      </c>
      <c r="I633" s="6">
        <v>28.9357013702393</v>
      </c>
      <c r="J633" s="6">
        <v>28.951164245605501</v>
      </c>
      <c r="K633" s="6">
        <v>28.9785480499268</v>
      </c>
      <c r="L633" s="6">
        <v>53.038505554199197</v>
      </c>
    </row>
    <row r="634" spans="1:12" x14ac:dyDescent="0.25">
      <c r="A634">
        <v>2925758</v>
      </c>
      <c r="B634" t="str">
        <f t="shared" si="9"/>
        <v>PRESIDENTE TANCREDO NEVES, BA, Brasil</v>
      </c>
      <c r="C634" s="4" t="str">
        <f>_xlfn.XLOOKUP(A634,[1]!DadosGHD[CD_GEOCMU],[1]!DadosGHD[Região])</f>
        <v>NE</v>
      </c>
      <c r="D634" s="4" t="str">
        <f>_xlfn.XLOOKUP(A634,[1]!DadosGHD[CD_GEOCMU],[1]!DadosGHD[uf])</f>
        <v>BA</v>
      </c>
      <c r="E634" s="5" t="str">
        <f>_xlfn.XLOOKUP(A634,[1]!DadosGHD[CD_GEOCMU],[1]!DadosGHD[MUNICIPIO])</f>
        <v>PRESIDENTE TANCREDO NEVES</v>
      </c>
      <c r="F634" s="6">
        <v>28.862318038940401</v>
      </c>
      <c r="G634" s="6">
        <v>28.925907135009801</v>
      </c>
      <c r="H634" s="6">
        <v>33.837253570556598</v>
      </c>
      <c r="I634" s="6">
        <v>33.803089141845703</v>
      </c>
      <c r="J634" s="6">
        <v>33.814224243164098</v>
      </c>
      <c r="K634" s="6">
        <v>33.878776550292997</v>
      </c>
      <c r="L634" s="6">
        <v>35.121303558349602</v>
      </c>
    </row>
    <row r="635" spans="1:12" x14ac:dyDescent="0.25">
      <c r="A635">
        <v>2306553</v>
      </c>
      <c r="B635" t="str">
        <f t="shared" si="9"/>
        <v>ITAREMA, CE, Brasil</v>
      </c>
      <c r="C635" s="4" t="str">
        <f>_xlfn.XLOOKUP(A635,[1]!DadosGHD[CD_GEOCMU],[1]!DadosGHD[Região])</f>
        <v>NE</v>
      </c>
      <c r="D635" s="4" t="str">
        <f>_xlfn.XLOOKUP(A635,[1]!DadosGHD[CD_GEOCMU],[1]!DadosGHD[uf])</f>
        <v>CE</v>
      </c>
      <c r="E635" s="5" t="str">
        <f>_xlfn.XLOOKUP(A635,[1]!DadosGHD[CD_GEOCMU],[1]!DadosGHD[MUNICIPIO])</f>
        <v>ITAREMA</v>
      </c>
      <c r="F635" s="6">
        <v>28.862434387206999</v>
      </c>
      <c r="G635" s="6">
        <v>28.927749633789102</v>
      </c>
      <c r="H635" s="6">
        <v>28.964738845825199</v>
      </c>
      <c r="I635" s="6">
        <v>28.956815719604499</v>
      </c>
      <c r="J635" s="6">
        <v>33.821941375732401</v>
      </c>
      <c r="K635" s="6">
        <v>29.0039978027344</v>
      </c>
      <c r="L635" s="6">
        <v>30.7005920410156</v>
      </c>
    </row>
    <row r="636" spans="1:12" x14ac:dyDescent="0.25">
      <c r="A636">
        <v>2303808</v>
      </c>
      <c r="B636" t="str">
        <f t="shared" si="9"/>
        <v>CEDRO, CE, Brasil</v>
      </c>
      <c r="C636" s="4" t="str">
        <f>_xlfn.XLOOKUP(A636,[1]!DadosGHD[CD_GEOCMU],[1]!DadosGHD[Região])</f>
        <v>NE</v>
      </c>
      <c r="D636" s="4" t="str">
        <f>_xlfn.XLOOKUP(A636,[1]!DadosGHD[CD_GEOCMU],[1]!DadosGHD[uf])</f>
        <v>CE</v>
      </c>
      <c r="E636" s="5" t="str">
        <f>_xlfn.XLOOKUP(A636,[1]!DadosGHD[CD_GEOCMU],[1]!DadosGHD[MUNICIPIO])</f>
        <v>CEDRO</v>
      </c>
      <c r="F636" s="6">
        <v>28.862503051757798</v>
      </c>
      <c r="G636" s="6">
        <v>33.772544860839801</v>
      </c>
      <c r="H636" s="6">
        <v>33.833072662353501</v>
      </c>
      <c r="I636" s="6">
        <v>33.831565856933601</v>
      </c>
      <c r="J636" s="6">
        <v>33.853481292724602</v>
      </c>
      <c r="K636" s="6">
        <v>33.921714782714801</v>
      </c>
      <c r="L636" s="6">
        <v>39.560157775878899</v>
      </c>
    </row>
    <row r="637" spans="1:12" x14ac:dyDescent="0.25">
      <c r="A637">
        <v>2700102</v>
      </c>
      <c r="B637" t="str">
        <f t="shared" si="9"/>
        <v>AGUA BRANCA, AL, Brasil</v>
      </c>
      <c r="C637" s="4" t="str">
        <f>_xlfn.XLOOKUP(A637,[1]!DadosGHD[CD_GEOCMU],[1]!DadosGHD[Região])</f>
        <v>NE</v>
      </c>
      <c r="D637" s="4" t="str">
        <f>_xlfn.XLOOKUP(A637,[1]!DadosGHD[CD_GEOCMU],[1]!DadosGHD[uf])</f>
        <v>AL</v>
      </c>
      <c r="E637" s="5" t="str">
        <f>_xlfn.XLOOKUP(A637,[1]!DadosGHD[CD_GEOCMU],[1]!DadosGHD[MUNICIPIO])</f>
        <v>AGUA BRANCA</v>
      </c>
      <c r="F637" s="6">
        <v>28.862646102905298</v>
      </c>
      <c r="G637" s="6">
        <v>33.775947570800803</v>
      </c>
      <c r="H637" s="6">
        <v>33.817222595214801</v>
      </c>
      <c r="I637" s="6">
        <v>33.796539306640597</v>
      </c>
      <c r="J637" s="6">
        <v>33.821620941162102</v>
      </c>
      <c r="K637" s="6">
        <v>33.8520698547363</v>
      </c>
      <c r="L637" s="6">
        <v>30.699327468872099</v>
      </c>
    </row>
    <row r="638" spans="1:12" x14ac:dyDescent="0.25">
      <c r="A638">
        <v>3123809</v>
      </c>
      <c r="B638" t="str">
        <f t="shared" si="9"/>
        <v>ENGENHEIRO NAVARRO, MG, Brasil</v>
      </c>
      <c r="C638" s="4" t="str">
        <f>_xlfn.XLOOKUP(A638,[1]!DadosGHD[CD_GEOCMU],[1]!DadosGHD[Região])</f>
        <v>SD</v>
      </c>
      <c r="D638" s="4" t="str">
        <f>_xlfn.XLOOKUP(A638,[1]!DadosGHD[CD_GEOCMU],[1]!DadosGHD[uf])</f>
        <v>MG</v>
      </c>
      <c r="E638" s="5" t="str">
        <f>_xlfn.XLOOKUP(A638,[1]!DadosGHD[CD_GEOCMU],[1]!DadosGHD[MUNICIPIO])</f>
        <v>ENGENHEIRO NAVARRO</v>
      </c>
      <c r="F638" s="6">
        <v>28.8626518249512</v>
      </c>
      <c r="G638" s="6">
        <v>28.940034866333001</v>
      </c>
      <c r="H638" s="6">
        <v>28.942651748657202</v>
      </c>
      <c r="I638" s="6">
        <v>28.925045013427699</v>
      </c>
      <c r="J638" s="6">
        <v>28.958276748657202</v>
      </c>
      <c r="K638" s="6">
        <v>33.841953277587898</v>
      </c>
      <c r="L638" s="6">
        <v>30.7061367034912</v>
      </c>
    </row>
    <row r="639" spans="1:12" x14ac:dyDescent="0.25">
      <c r="A639">
        <v>2105401</v>
      </c>
      <c r="B639" t="str">
        <f t="shared" si="9"/>
        <v>ITAPECURU MIRIM, MA, Brasil</v>
      </c>
      <c r="C639" s="4" t="str">
        <f>_xlfn.XLOOKUP(A639,[1]!DadosGHD[CD_GEOCMU],[1]!DadosGHD[Região])</f>
        <v>NE</v>
      </c>
      <c r="D639" s="4" t="str">
        <f>_xlfn.XLOOKUP(A639,[1]!DadosGHD[CD_GEOCMU],[1]!DadosGHD[uf])</f>
        <v>MA</v>
      </c>
      <c r="E639" s="5" t="str">
        <f>_xlfn.XLOOKUP(A639,[1]!DadosGHD[CD_GEOCMU],[1]!DadosGHD[MUNICIPIO])</f>
        <v>ITAPECURU MIRIM</v>
      </c>
      <c r="F639" s="6">
        <v>28.8628749847412</v>
      </c>
      <c r="G639" s="6">
        <v>28.927320480346701</v>
      </c>
      <c r="H639" s="6">
        <v>28.959455490112301</v>
      </c>
      <c r="I639" s="6">
        <v>28.941389083862301</v>
      </c>
      <c r="J639" s="6">
        <v>28.953025817871101</v>
      </c>
      <c r="K639" s="6">
        <v>28.981805801391602</v>
      </c>
      <c r="L639" s="6">
        <v>26.2798957824707</v>
      </c>
    </row>
    <row r="640" spans="1:12" x14ac:dyDescent="0.25">
      <c r="A640">
        <v>2112100</v>
      </c>
      <c r="B640" t="str">
        <f t="shared" si="9"/>
        <v>TIMBIRAS, MA, Brasil</v>
      </c>
      <c r="C640" s="4" t="str">
        <f>_xlfn.XLOOKUP(A640,[1]!DadosGHD[CD_GEOCMU],[1]!DadosGHD[Região])</f>
        <v>NE</v>
      </c>
      <c r="D640" s="4" t="str">
        <f>_xlfn.XLOOKUP(A640,[1]!DadosGHD[CD_GEOCMU],[1]!DadosGHD[uf])</f>
        <v>MA</v>
      </c>
      <c r="E640" s="5" t="str">
        <f>_xlfn.XLOOKUP(A640,[1]!DadosGHD[CD_GEOCMU],[1]!DadosGHD[MUNICIPIO])</f>
        <v>TIMBIRAS</v>
      </c>
      <c r="F640" s="6">
        <v>28.863092422485401</v>
      </c>
      <c r="G640" s="6">
        <v>28.923088073730501</v>
      </c>
      <c r="H640" s="6">
        <v>28.9634189605713</v>
      </c>
      <c r="I640" s="6">
        <v>28.943845748901399</v>
      </c>
      <c r="J640" s="6">
        <v>28.950395584106399</v>
      </c>
      <c r="K640" s="6">
        <v>28.9831142425537</v>
      </c>
      <c r="L640" s="6">
        <v>26.2953987121582</v>
      </c>
    </row>
    <row r="641" spans="1:12" x14ac:dyDescent="0.25">
      <c r="A641">
        <v>2111532</v>
      </c>
      <c r="B641" t="str">
        <f t="shared" si="9"/>
        <v>SAO PEDRO DA AGUA BRANCA, MA, Brasil</v>
      </c>
      <c r="C641" s="4" t="str">
        <f>_xlfn.XLOOKUP(A641,[1]!DadosGHD[CD_GEOCMU],[1]!DadosGHD[Região])</f>
        <v>NE</v>
      </c>
      <c r="D641" s="4" t="str">
        <f>_xlfn.XLOOKUP(A641,[1]!DadosGHD[CD_GEOCMU],[1]!DadosGHD[uf])</f>
        <v>MA</v>
      </c>
      <c r="E641" s="5" t="str">
        <f>_xlfn.XLOOKUP(A641,[1]!DadosGHD[CD_GEOCMU],[1]!DadosGHD[MUNICIPIO])</f>
        <v>SAO PEDRO DA AGUA BRANCA</v>
      </c>
      <c r="F641" s="6">
        <v>28.863101959228501</v>
      </c>
      <c r="G641" s="6">
        <v>28.920804977416999</v>
      </c>
      <c r="H641" s="6">
        <v>28.953813552856399</v>
      </c>
      <c r="I641" s="6">
        <v>28.9354152679443</v>
      </c>
      <c r="J641" s="6">
        <v>28.973810195922901</v>
      </c>
      <c r="K641" s="6">
        <v>28.997432708740199</v>
      </c>
      <c r="L641" s="6">
        <v>26.298728942871101</v>
      </c>
    </row>
    <row r="642" spans="1:12" x14ac:dyDescent="0.25">
      <c r="A642">
        <v>2313500</v>
      </c>
      <c r="B642" t="str">
        <f t="shared" si="9"/>
        <v>TRAIRI, CE, Brasil</v>
      </c>
      <c r="C642" s="4" t="str">
        <f>_xlfn.XLOOKUP(A642,[1]!DadosGHD[CD_GEOCMU],[1]!DadosGHD[Região])</f>
        <v>NE</v>
      </c>
      <c r="D642" s="4" t="str">
        <f>_xlfn.XLOOKUP(A642,[1]!DadosGHD[CD_GEOCMU],[1]!DadosGHD[uf])</f>
        <v>CE</v>
      </c>
      <c r="E642" s="5" t="str">
        <f>_xlfn.XLOOKUP(A642,[1]!DadosGHD[CD_GEOCMU],[1]!DadosGHD[MUNICIPIO])</f>
        <v>TRAIRI</v>
      </c>
      <c r="F642" s="6">
        <v>28.863344192504901</v>
      </c>
      <c r="G642" s="6">
        <v>28.927589416503899</v>
      </c>
      <c r="H642" s="6">
        <v>28.9654865264893</v>
      </c>
      <c r="I642" s="6">
        <v>28.957139968872099</v>
      </c>
      <c r="J642" s="6">
        <v>28.974664688110401</v>
      </c>
      <c r="K642" s="6">
        <v>33.860591888427699</v>
      </c>
      <c r="L642" s="6">
        <v>30.702274322509801</v>
      </c>
    </row>
    <row r="643" spans="1:12" x14ac:dyDescent="0.25">
      <c r="A643">
        <v>5103254</v>
      </c>
      <c r="B643" t="str">
        <f t="shared" si="9"/>
        <v>COLNIZA, MT, Brasil</v>
      </c>
      <c r="C643" s="4" t="str">
        <f>_xlfn.XLOOKUP(A643,[1]!DadosGHD[CD_GEOCMU],[1]!DadosGHD[Região])</f>
        <v>CO</v>
      </c>
      <c r="D643" s="4" t="str">
        <f>_xlfn.XLOOKUP(A643,[1]!DadosGHD[CD_GEOCMU],[1]!DadosGHD[uf])</f>
        <v>MT</v>
      </c>
      <c r="E643" s="5" t="str">
        <f>_xlfn.XLOOKUP(A643,[1]!DadosGHD[CD_GEOCMU],[1]!DadosGHD[MUNICIPIO])</f>
        <v>COLNIZA</v>
      </c>
      <c r="F643" s="6">
        <v>28.863348007202202</v>
      </c>
      <c r="G643" s="6">
        <v>33.775489807128899</v>
      </c>
      <c r="H643" s="6">
        <v>28.980115890502901</v>
      </c>
      <c r="I643" s="6">
        <v>33.788890838623097</v>
      </c>
      <c r="J643" s="6">
        <v>28.9701042175293</v>
      </c>
      <c r="K643" s="6">
        <v>28.987358093261701</v>
      </c>
      <c r="L643" s="6">
        <v>30.698907852172901</v>
      </c>
    </row>
    <row r="644" spans="1:12" x14ac:dyDescent="0.25">
      <c r="A644">
        <v>2608602</v>
      </c>
      <c r="B644" t="str">
        <f t="shared" ref="B644:B707" si="10">_xlfn.CONCAT(E644, ", ", D644, ", Brasil")</f>
        <v>LAGOA DO OURO, PE, Brasil</v>
      </c>
      <c r="C644" s="4" t="str">
        <f>_xlfn.XLOOKUP(A644,[1]!DadosGHD[CD_GEOCMU],[1]!DadosGHD[Região])</f>
        <v>NE</v>
      </c>
      <c r="D644" s="4" t="str">
        <f>_xlfn.XLOOKUP(A644,[1]!DadosGHD[CD_GEOCMU],[1]!DadosGHD[uf])</f>
        <v>PE</v>
      </c>
      <c r="E644" s="5" t="str">
        <f>_xlfn.XLOOKUP(A644,[1]!DadosGHD[CD_GEOCMU],[1]!DadosGHD[MUNICIPIO])</f>
        <v>LAGOA DO OURO</v>
      </c>
      <c r="F644" s="6">
        <v>28.863430023193398</v>
      </c>
      <c r="G644" s="6">
        <v>28.919858932495099</v>
      </c>
      <c r="H644" s="6">
        <v>28.9521389007568</v>
      </c>
      <c r="I644" s="6">
        <v>28.932939529418899</v>
      </c>
      <c r="J644" s="6">
        <v>28.967901229858398</v>
      </c>
      <c r="K644" s="6">
        <v>28.990907669067401</v>
      </c>
      <c r="L644" s="6">
        <v>26.283885955810501</v>
      </c>
    </row>
    <row r="645" spans="1:12" x14ac:dyDescent="0.25">
      <c r="A645">
        <v>3156502</v>
      </c>
      <c r="B645" t="str">
        <f t="shared" si="10"/>
        <v>RUBELITA, MG, Brasil</v>
      </c>
      <c r="C645" s="4" t="str">
        <f>_xlfn.XLOOKUP(A645,[1]!DadosGHD[CD_GEOCMU],[1]!DadosGHD[Região])</f>
        <v>SD</v>
      </c>
      <c r="D645" s="4" t="str">
        <f>_xlfn.XLOOKUP(A645,[1]!DadosGHD[CD_GEOCMU],[1]!DadosGHD[uf])</f>
        <v>MG</v>
      </c>
      <c r="E645" s="5" t="str">
        <f>_xlfn.XLOOKUP(A645,[1]!DadosGHD[CD_GEOCMU],[1]!DadosGHD[MUNICIPIO])</f>
        <v>RUBELITA</v>
      </c>
      <c r="F645" s="6">
        <v>28.863439559936499</v>
      </c>
      <c r="G645" s="6">
        <v>28.907878875732401</v>
      </c>
      <c r="H645" s="6">
        <v>28.942651748657202</v>
      </c>
      <c r="I645" s="6">
        <v>28.925045013427699</v>
      </c>
      <c r="J645" s="6">
        <v>28.9409065246582</v>
      </c>
      <c r="K645" s="6">
        <v>28.9686679840088</v>
      </c>
      <c r="L645" s="6">
        <v>26.280296325683601</v>
      </c>
    </row>
    <row r="646" spans="1:12" x14ac:dyDescent="0.25">
      <c r="A646">
        <v>1300201</v>
      </c>
      <c r="B646" t="str">
        <f t="shared" si="10"/>
        <v>ATALAIA DO NORTE, AM, Brasil</v>
      </c>
      <c r="C646" s="4" t="str">
        <f>_xlfn.XLOOKUP(A646,[1]!DadosGHD[CD_GEOCMU],[1]!DadosGHD[Região])</f>
        <v>NO</v>
      </c>
      <c r="D646" s="4" t="str">
        <f>_xlfn.XLOOKUP(A646,[1]!DadosGHD[CD_GEOCMU],[1]!DadosGHD[uf])</f>
        <v>AM</v>
      </c>
      <c r="E646" s="5" t="str">
        <f>_xlfn.XLOOKUP(A646,[1]!DadosGHD[CD_GEOCMU],[1]!DadosGHD[MUNICIPIO])</f>
        <v>ATALAIA DO NORTE</v>
      </c>
      <c r="F646" s="6">
        <v>28.863458633422901</v>
      </c>
      <c r="G646" s="6">
        <v>28.914167404174801</v>
      </c>
      <c r="H646" s="6">
        <v>28.946914672851602</v>
      </c>
      <c r="I646" s="6">
        <v>28.92698097229</v>
      </c>
      <c r="J646" s="6">
        <v>28.9409065246582</v>
      </c>
      <c r="K646" s="6">
        <v>28.9686679840088</v>
      </c>
      <c r="L646" s="6">
        <v>26.2798957824707</v>
      </c>
    </row>
    <row r="647" spans="1:12" x14ac:dyDescent="0.25">
      <c r="A647">
        <v>2413904</v>
      </c>
      <c r="B647" t="str">
        <f t="shared" si="10"/>
        <v>TAIPU, RN, Brasil</v>
      </c>
      <c r="C647" s="4" t="str">
        <f>_xlfn.XLOOKUP(A647,[1]!DadosGHD[CD_GEOCMU],[1]!DadosGHD[Região])</f>
        <v>NE</v>
      </c>
      <c r="D647" s="4" t="str">
        <f>_xlfn.XLOOKUP(A647,[1]!DadosGHD[CD_GEOCMU],[1]!DadosGHD[uf])</f>
        <v>RN</v>
      </c>
      <c r="E647" s="5" t="str">
        <f>_xlfn.XLOOKUP(A647,[1]!DadosGHD[CD_GEOCMU],[1]!DadosGHD[MUNICIPIO])</f>
        <v>TAIPU</v>
      </c>
      <c r="F647" s="6">
        <v>28.863468170166001</v>
      </c>
      <c r="G647" s="6">
        <v>28.92116355896</v>
      </c>
      <c r="H647" s="6">
        <v>28.955440521240199</v>
      </c>
      <c r="I647" s="6">
        <v>28.9383869171143</v>
      </c>
      <c r="J647" s="6">
        <v>28.954656600952202</v>
      </c>
      <c r="K647" s="6">
        <v>33.872688293457003</v>
      </c>
      <c r="L647" s="6">
        <v>35.115543365478501</v>
      </c>
    </row>
    <row r="648" spans="1:12" x14ac:dyDescent="0.25">
      <c r="A648">
        <v>2310704</v>
      </c>
      <c r="B648" t="str">
        <f t="shared" si="10"/>
        <v>PENTECOSTE, CE, Brasil</v>
      </c>
      <c r="C648" s="4" t="str">
        <f>_xlfn.XLOOKUP(A648,[1]!DadosGHD[CD_GEOCMU],[1]!DadosGHD[Região])</f>
        <v>NE</v>
      </c>
      <c r="D648" s="4" t="str">
        <f>_xlfn.XLOOKUP(A648,[1]!DadosGHD[CD_GEOCMU],[1]!DadosGHD[uf])</f>
        <v>CE</v>
      </c>
      <c r="E648" s="5" t="str">
        <f>_xlfn.XLOOKUP(A648,[1]!DadosGHD[CD_GEOCMU],[1]!DadosGHD[MUNICIPIO])</f>
        <v>PENTECOSTE</v>
      </c>
      <c r="F648" s="6">
        <v>28.863538742065401</v>
      </c>
      <c r="G648" s="6">
        <v>28.9346618652344</v>
      </c>
      <c r="H648" s="6">
        <v>28.977390289306602</v>
      </c>
      <c r="I648" s="6">
        <v>33.810768127441399</v>
      </c>
      <c r="J648" s="6">
        <v>33.844215393066399</v>
      </c>
      <c r="K648" s="6">
        <v>33.900333404541001</v>
      </c>
      <c r="L648" s="6">
        <v>35.125324249267599</v>
      </c>
    </row>
    <row r="649" spans="1:12" x14ac:dyDescent="0.25">
      <c r="A649">
        <v>2313203</v>
      </c>
      <c r="B649" t="str">
        <f t="shared" si="10"/>
        <v>TAMBORIL, CE, Brasil</v>
      </c>
      <c r="C649" s="4" t="str">
        <f>_xlfn.XLOOKUP(A649,[1]!DadosGHD[CD_GEOCMU],[1]!DadosGHD[Região])</f>
        <v>NE</v>
      </c>
      <c r="D649" s="4" t="str">
        <f>_xlfn.XLOOKUP(A649,[1]!DadosGHD[CD_GEOCMU],[1]!DadosGHD[uf])</f>
        <v>CE</v>
      </c>
      <c r="E649" s="5" t="str">
        <f>_xlfn.XLOOKUP(A649,[1]!DadosGHD[CD_GEOCMU],[1]!DadosGHD[MUNICIPIO])</f>
        <v>TAMBORIL</v>
      </c>
      <c r="F649" s="6">
        <v>28.863571166992202</v>
      </c>
      <c r="G649" s="6">
        <v>28.928958892822301</v>
      </c>
      <c r="H649" s="6">
        <v>28.9634094238281</v>
      </c>
      <c r="I649" s="6">
        <v>33.835136413574197</v>
      </c>
      <c r="J649" s="6">
        <v>33.872138977050803</v>
      </c>
      <c r="K649" s="6">
        <v>33.903926849365199</v>
      </c>
      <c r="L649" s="6">
        <v>39.555866241455099</v>
      </c>
    </row>
    <row r="650" spans="1:12" x14ac:dyDescent="0.25">
      <c r="A650">
        <v>2709004</v>
      </c>
      <c r="B650" t="str">
        <f t="shared" si="10"/>
        <v>TANQUE D'ARCA, AL, Brasil</v>
      </c>
      <c r="C650" s="4" t="str">
        <f>_xlfn.XLOOKUP(A650,[1]!DadosGHD[CD_GEOCMU],[1]!DadosGHD[Região])</f>
        <v>NE</v>
      </c>
      <c r="D650" s="4" t="str">
        <f>_xlfn.XLOOKUP(A650,[1]!DadosGHD[CD_GEOCMU],[1]!DadosGHD[uf])</f>
        <v>AL</v>
      </c>
      <c r="E650" s="5" t="str">
        <f>_xlfn.XLOOKUP(A650,[1]!DadosGHD[CD_GEOCMU],[1]!DadosGHD[MUNICIPIO])</f>
        <v>TANQUE D'ARCA</v>
      </c>
      <c r="F650" s="6">
        <v>28.863662719726602</v>
      </c>
      <c r="G650" s="6">
        <v>28.907878875732401</v>
      </c>
      <c r="H650" s="6">
        <v>28.942651748657202</v>
      </c>
      <c r="I650" s="6">
        <v>28.925045013427699</v>
      </c>
      <c r="J650" s="6">
        <v>28.9409065246582</v>
      </c>
      <c r="K650" s="6">
        <v>28.9686679840088</v>
      </c>
      <c r="L650" s="6">
        <v>26.2817783355713</v>
      </c>
    </row>
    <row r="651" spans="1:12" x14ac:dyDescent="0.25">
      <c r="A651">
        <v>2805307</v>
      </c>
      <c r="B651" t="str">
        <f t="shared" si="10"/>
        <v>PIRAMBU, SE, Brasil</v>
      </c>
      <c r="C651" s="4" t="str">
        <f>_xlfn.XLOOKUP(A651,[1]!DadosGHD[CD_GEOCMU],[1]!DadosGHD[Região])</f>
        <v>NE</v>
      </c>
      <c r="D651" s="4" t="str">
        <f>_xlfn.XLOOKUP(A651,[1]!DadosGHD[CD_GEOCMU],[1]!DadosGHD[uf])</f>
        <v>SE</v>
      </c>
      <c r="E651" s="5" t="str">
        <f>_xlfn.XLOOKUP(A651,[1]!DadosGHD[CD_GEOCMU],[1]!DadosGHD[MUNICIPIO])</f>
        <v>PIRAMBU</v>
      </c>
      <c r="F651" s="6">
        <v>28.863706588745099</v>
      </c>
      <c r="G651" s="6">
        <v>33.786434173583999</v>
      </c>
      <c r="H651" s="6">
        <v>28.9728183746338</v>
      </c>
      <c r="I651" s="6">
        <v>28.943128585815401</v>
      </c>
      <c r="J651" s="6">
        <v>28.953474044799801</v>
      </c>
      <c r="K651" s="6">
        <v>33.869297027587898</v>
      </c>
      <c r="L651" s="6">
        <v>35.122367858886697</v>
      </c>
    </row>
    <row r="652" spans="1:12" x14ac:dyDescent="0.25">
      <c r="A652">
        <v>2612471</v>
      </c>
      <c r="B652" t="str">
        <f t="shared" si="10"/>
        <v>SANTA CRUZ DA BAIXA VERDE, PE, Brasil</v>
      </c>
      <c r="C652" s="4" t="str">
        <f>_xlfn.XLOOKUP(A652,[1]!DadosGHD[CD_GEOCMU],[1]!DadosGHD[Região])</f>
        <v>NE</v>
      </c>
      <c r="D652" s="4" t="str">
        <f>_xlfn.XLOOKUP(A652,[1]!DadosGHD[CD_GEOCMU],[1]!DadosGHD[uf])</f>
        <v>PE</v>
      </c>
      <c r="E652" s="5" t="str">
        <f>_xlfn.XLOOKUP(A652,[1]!DadosGHD[CD_GEOCMU],[1]!DadosGHD[MUNICIPIO])</f>
        <v>SANTA CRUZ DA BAIXA VERDE</v>
      </c>
      <c r="F652" s="6">
        <v>28.8637886047363</v>
      </c>
      <c r="G652" s="6">
        <v>28.920923233032202</v>
      </c>
      <c r="H652" s="6">
        <v>28.962926864623999</v>
      </c>
      <c r="I652" s="6">
        <v>28.950975418090799</v>
      </c>
      <c r="J652" s="6">
        <v>33.823104858398402</v>
      </c>
      <c r="K652" s="6">
        <v>28.992517471313501</v>
      </c>
      <c r="L652" s="6">
        <v>26.299238204956101</v>
      </c>
    </row>
    <row r="653" spans="1:12" x14ac:dyDescent="0.25">
      <c r="A653">
        <v>2905909</v>
      </c>
      <c r="B653" t="str">
        <f t="shared" si="10"/>
        <v>CAMPO ALEGRE DE LOURDES, BA, Brasil</v>
      </c>
      <c r="C653" s="4" t="str">
        <f>_xlfn.XLOOKUP(A653,[1]!DadosGHD[CD_GEOCMU],[1]!DadosGHD[Região])</f>
        <v>NE</v>
      </c>
      <c r="D653" s="4" t="str">
        <f>_xlfn.XLOOKUP(A653,[1]!DadosGHD[CD_GEOCMU],[1]!DadosGHD[uf])</f>
        <v>BA</v>
      </c>
      <c r="E653" s="5" t="str">
        <f>_xlfn.XLOOKUP(A653,[1]!DadosGHD[CD_GEOCMU],[1]!DadosGHD[MUNICIPIO])</f>
        <v>CAMPO ALEGRE DE LOURDES</v>
      </c>
      <c r="F653" s="6">
        <v>28.863819122314499</v>
      </c>
      <c r="G653" s="6">
        <v>28.924293518066399</v>
      </c>
      <c r="H653" s="6">
        <v>28.960630416870099</v>
      </c>
      <c r="I653" s="6">
        <v>28.946599960327202</v>
      </c>
      <c r="J653" s="6">
        <v>28.974359512329102</v>
      </c>
      <c r="K653" s="6">
        <v>28.98899269104</v>
      </c>
      <c r="L653" s="6">
        <v>26.287906646728501</v>
      </c>
    </row>
    <row r="654" spans="1:12" x14ac:dyDescent="0.25">
      <c r="A654">
        <v>2501609</v>
      </c>
      <c r="B654" t="str">
        <f t="shared" si="10"/>
        <v>BARRA DE SANTA ROSA, PB, Brasil</v>
      </c>
      <c r="C654" s="4" t="str">
        <f>_xlfn.XLOOKUP(A654,[1]!DadosGHD[CD_GEOCMU],[1]!DadosGHD[Região])</f>
        <v>NE</v>
      </c>
      <c r="D654" s="4" t="str">
        <f>_xlfn.XLOOKUP(A654,[1]!DadosGHD[CD_GEOCMU],[1]!DadosGHD[uf])</f>
        <v>PB</v>
      </c>
      <c r="E654" s="5" t="str">
        <f>_xlfn.XLOOKUP(A654,[1]!DadosGHD[CD_GEOCMU],[1]!DadosGHD[MUNICIPIO])</f>
        <v>BARRA DE SANTA ROSA</v>
      </c>
      <c r="F654" s="6">
        <v>28.8640842437744</v>
      </c>
      <c r="G654" s="6">
        <v>28.918178558349599</v>
      </c>
      <c r="H654" s="6">
        <v>28.975700378418001</v>
      </c>
      <c r="I654" s="6">
        <v>33.798614501953097</v>
      </c>
      <c r="J654" s="6">
        <v>33.813941955566399</v>
      </c>
      <c r="K654" s="6">
        <v>33.884971618652301</v>
      </c>
      <c r="L654" s="6">
        <v>35.129886627197301</v>
      </c>
    </row>
    <row r="655" spans="1:12" x14ac:dyDescent="0.25">
      <c r="A655">
        <v>2922656</v>
      </c>
      <c r="B655" t="str">
        <f t="shared" si="10"/>
        <v>NORDESTINA, BA, Brasil</v>
      </c>
      <c r="C655" s="4" t="str">
        <f>_xlfn.XLOOKUP(A655,[1]!DadosGHD[CD_GEOCMU],[1]!DadosGHD[Região])</f>
        <v>NE</v>
      </c>
      <c r="D655" s="4" t="str">
        <f>_xlfn.XLOOKUP(A655,[1]!DadosGHD[CD_GEOCMU],[1]!DadosGHD[uf])</f>
        <v>BA</v>
      </c>
      <c r="E655" s="5" t="str">
        <f>_xlfn.XLOOKUP(A655,[1]!DadosGHD[CD_GEOCMU],[1]!DadosGHD[MUNICIPIO])</f>
        <v>NORDESTINA</v>
      </c>
      <c r="F655" s="6">
        <v>28.8643608093262</v>
      </c>
      <c r="G655" s="6">
        <v>33.8373832702637</v>
      </c>
      <c r="H655" s="6">
        <v>33.877941131591797</v>
      </c>
      <c r="I655" s="6">
        <v>33.8514213562012</v>
      </c>
      <c r="J655" s="6">
        <v>33.868301391601598</v>
      </c>
      <c r="K655" s="6">
        <v>33.899673461914098</v>
      </c>
      <c r="L655" s="6">
        <v>26.280942916870099</v>
      </c>
    </row>
    <row r="656" spans="1:12" x14ac:dyDescent="0.25">
      <c r="A656">
        <v>2305332</v>
      </c>
      <c r="B656" t="str">
        <f t="shared" si="10"/>
        <v>IBICUITINGA, CE, Brasil</v>
      </c>
      <c r="C656" s="4" t="str">
        <f>_xlfn.XLOOKUP(A656,[1]!DadosGHD[CD_GEOCMU],[1]!DadosGHD[Região])</f>
        <v>NE</v>
      </c>
      <c r="D656" s="4" t="str">
        <f>_xlfn.XLOOKUP(A656,[1]!DadosGHD[CD_GEOCMU],[1]!DadosGHD[uf])</f>
        <v>CE</v>
      </c>
      <c r="E656" s="5" t="str">
        <f>_xlfn.XLOOKUP(A656,[1]!DadosGHD[CD_GEOCMU],[1]!DadosGHD[MUNICIPIO])</f>
        <v>IBICUITINGA</v>
      </c>
      <c r="F656" s="6">
        <v>28.8643913269043</v>
      </c>
      <c r="G656" s="6">
        <v>28.9331951141357</v>
      </c>
      <c r="H656" s="6">
        <v>28.963098526001001</v>
      </c>
      <c r="I656" s="6">
        <v>28.9409694671631</v>
      </c>
      <c r="J656" s="6">
        <v>28.949893951416001</v>
      </c>
      <c r="K656" s="6">
        <v>28.997076034545898</v>
      </c>
      <c r="L656" s="6">
        <v>26.2798957824707</v>
      </c>
    </row>
    <row r="657" spans="1:12" x14ac:dyDescent="0.25">
      <c r="A657">
        <v>1504604</v>
      </c>
      <c r="B657" t="str">
        <f t="shared" si="10"/>
        <v>MOCAJUBA, PA, Brasil</v>
      </c>
      <c r="C657" s="4" t="str">
        <f>_xlfn.XLOOKUP(A657,[1]!DadosGHD[CD_GEOCMU],[1]!DadosGHD[Região])</f>
        <v>NO</v>
      </c>
      <c r="D657" s="4" t="str">
        <f>_xlfn.XLOOKUP(A657,[1]!DadosGHD[CD_GEOCMU],[1]!DadosGHD[uf])</f>
        <v>PA</v>
      </c>
      <c r="E657" s="5" t="str">
        <f>_xlfn.XLOOKUP(A657,[1]!DadosGHD[CD_GEOCMU],[1]!DadosGHD[MUNICIPIO])</f>
        <v>MOCAJUBA</v>
      </c>
      <c r="F657" s="6">
        <v>28.864484786987301</v>
      </c>
      <c r="G657" s="6">
        <v>28.9401664733887</v>
      </c>
      <c r="H657" s="6">
        <v>28.944595336914102</v>
      </c>
      <c r="I657" s="6">
        <v>28.940797805786101</v>
      </c>
      <c r="J657" s="6">
        <v>28.956493377685501</v>
      </c>
      <c r="K657" s="6">
        <v>28.982316970825199</v>
      </c>
      <c r="L657" s="6">
        <v>26.2798957824707</v>
      </c>
    </row>
    <row r="658" spans="1:12" x14ac:dyDescent="0.25">
      <c r="A658">
        <v>3513850</v>
      </c>
      <c r="B658" t="str">
        <f t="shared" si="10"/>
        <v>DIRCE REIS, SP, Brasil</v>
      </c>
      <c r="C658" s="4" t="str">
        <f>_xlfn.XLOOKUP(A658,[1]!DadosGHD[CD_GEOCMU],[1]!DadosGHD[Região])</f>
        <v>SD</v>
      </c>
      <c r="D658" s="4" t="str">
        <f>_xlfn.XLOOKUP(A658,[1]!DadosGHD[CD_GEOCMU],[1]!DadosGHD[uf])</f>
        <v>SP</v>
      </c>
      <c r="E658" s="5" t="str">
        <f>_xlfn.XLOOKUP(A658,[1]!DadosGHD[CD_GEOCMU],[1]!DadosGHD[MUNICIPIO])</f>
        <v>DIRCE REIS</v>
      </c>
      <c r="F658" s="6">
        <v>28.864528656005898</v>
      </c>
      <c r="G658" s="6">
        <v>28.919984817504901</v>
      </c>
      <c r="H658" s="6">
        <v>28.955133438110401</v>
      </c>
      <c r="I658" s="6">
        <v>28.925045013427699</v>
      </c>
      <c r="J658" s="6">
        <v>28.9409065246582</v>
      </c>
      <c r="K658" s="6">
        <v>28.9686679840088</v>
      </c>
      <c r="L658" s="6">
        <v>26.2798957824707</v>
      </c>
    </row>
    <row r="659" spans="1:12" x14ac:dyDescent="0.25">
      <c r="A659">
        <v>2901700</v>
      </c>
      <c r="B659" t="str">
        <f t="shared" si="10"/>
        <v>ANTONIO CARDOSO, BA, Brasil</v>
      </c>
      <c r="C659" s="4" t="str">
        <f>_xlfn.XLOOKUP(A659,[1]!DadosGHD[CD_GEOCMU],[1]!DadosGHD[Região])</f>
        <v>NE</v>
      </c>
      <c r="D659" s="4" t="str">
        <f>_xlfn.XLOOKUP(A659,[1]!DadosGHD[CD_GEOCMU],[1]!DadosGHD[uf])</f>
        <v>BA</v>
      </c>
      <c r="E659" s="5" t="str">
        <f>_xlfn.XLOOKUP(A659,[1]!DadosGHD[CD_GEOCMU],[1]!DadosGHD[MUNICIPIO])</f>
        <v>ANTONIO CARDOSO</v>
      </c>
      <c r="F659" s="6">
        <v>28.8646430969238</v>
      </c>
      <c r="G659" s="6">
        <v>28.9221305847168</v>
      </c>
      <c r="H659" s="6">
        <v>28.958349227905298</v>
      </c>
      <c r="I659" s="6">
        <v>28.9414958953857</v>
      </c>
      <c r="J659" s="6">
        <v>28.9623908996582</v>
      </c>
      <c r="K659" s="6">
        <v>28.983951568603501</v>
      </c>
      <c r="L659" s="6">
        <v>26.281274795532202</v>
      </c>
    </row>
    <row r="660" spans="1:12" x14ac:dyDescent="0.25">
      <c r="A660">
        <v>2302206</v>
      </c>
      <c r="B660" t="str">
        <f t="shared" si="10"/>
        <v>BEBERIBE, CE, Brasil</v>
      </c>
      <c r="C660" s="4" t="str">
        <f>_xlfn.XLOOKUP(A660,[1]!DadosGHD[CD_GEOCMU],[1]!DadosGHD[Região])</f>
        <v>NE</v>
      </c>
      <c r="D660" s="4" t="str">
        <f>_xlfn.XLOOKUP(A660,[1]!DadosGHD[CD_GEOCMU],[1]!DadosGHD[uf])</f>
        <v>CE</v>
      </c>
      <c r="E660" s="5" t="str">
        <f>_xlfn.XLOOKUP(A660,[1]!DadosGHD[CD_GEOCMU],[1]!DadosGHD[MUNICIPIO])</f>
        <v>BEBERIBE</v>
      </c>
      <c r="F660" s="6">
        <v>28.864679336547901</v>
      </c>
      <c r="G660" s="6">
        <v>28.9321899414063</v>
      </c>
      <c r="H660" s="6">
        <v>28.956584930419901</v>
      </c>
      <c r="I660" s="6">
        <v>28.9444904327393</v>
      </c>
      <c r="J660" s="6">
        <v>33.824176788330099</v>
      </c>
      <c r="K660" s="6">
        <v>33.916820526123097</v>
      </c>
      <c r="L660" s="6">
        <v>39.612312316894503</v>
      </c>
    </row>
    <row r="661" spans="1:12" x14ac:dyDescent="0.25">
      <c r="A661">
        <v>2102101</v>
      </c>
      <c r="B661" t="str">
        <f t="shared" si="10"/>
        <v>BREJO, MA, Brasil</v>
      </c>
      <c r="C661" s="4" t="str">
        <f>_xlfn.XLOOKUP(A661,[1]!DadosGHD[CD_GEOCMU],[1]!DadosGHD[Região])</f>
        <v>NE</v>
      </c>
      <c r="D661" s="4" t="str">
        <f>_xlfn.XLOOKUP(A661,[1]!DadosGHD[CD_GEOCMU],[1]!DadosGHD[uf])</f>
        <v>MA</v>
      </c>
      <c r="E661" s="5" t="str">
        <f>_xlfn.XLOOKUP(A661,[1]!DadosGHD[CD_GEOCMU],[1]!DadosGHD[MUNICIPIO])</f>
        <v>BREJO</v>
      </c>
      <c r="F661" s="6">
        <v>28.8647270202637</v>
      </c>
      <c r="G661" s="6">
        <v>28.925106048583999</v>
      </c>
      <c r="H661" s="6">
        <v>28.956773757934599</v>
      </c>
      <c r="I661" s="6">
        <v>28.937873840331999</v>
      </c>
      <c r="J661" s="6">
        <v>28.954940795898398</v>
      </c>
      <c r="K661" s="6">
        <v>28.979244232177699</v>
      </c>
      <c r="L661" s="6">
        <v>26.2798957824707</v>
      </c>
    </row>
    <row r="662" spans="1:12" x14ac:dyDescent="0.25">
      <c r="A662">
        <v>2210706</v>
      </c>
      <c r="B662" t="str">
        <f t="shared" si="10"/>
        <v>SIMOES, PI, Brasil</v>
      </c>
      <c r="C662" s="4" t="str">
        <f>_xlfn.XLOOKUP(A662,[1]!DadosGHD[CD_GEOCMU],[1]!DadosGHD[Região])</f>
        <v>NE</v>
      </c>
      <c r="D662" s="4" t="str">
        <f>_xlfn.XLOOKUP(A662,[1]!DadosGHD[CD_GEOCMU],[1]!DadosGHD[uf])</f>
        <v>PI</v>
      </c>
      <c r="E662" s="5" t="str">
        <f>_xlfn.XLOOKUP(A662,[1]!DadosGHD[CD_GEOCMU],[1]!DadosGHD[MUNICIPIO])</f>
        <v>SIMOES</v>
      </c>
      <c r="F662" s="6">
        <v>28.864917755126999</v>
      </c>
      <c r="G662" s="6">
        <v>28.9183673858643</v>
      </c>
      <c r="H662" s="6">
        <v>28.947839736938501</v>
      </c>
      <c r="I662" s="6">
        <v>28.9278964996338</v>
      </c>
      <c r="J662" s="6">
        <v>28.942787170410199</v>
      </c>
      <c r="K662" s="6">
        <v>28.9699516296387</v>
      </c>
      <c r="L662" s="6">
        <v>26.2798957824707</v>
      </c>
    </row>
    <row r="663" spans="1:12" x14ac:dyDescent="0.25">
      <c r="A663">
        <v>2929404</v>
      </c>
      <c r="B663" t="str">
        <f t="shared" si="10"/>
        <v>SAO MIGUEL DAS MATAS, BA, Brasil</v>
      </c>
      <c r="C663" s="4" t="str">
        <f>_xlfn.XLOOKUP(A663,[1]!DadosGHD[CD_GEOCMU],[1]!DadosGHD[Região])</f>
        <v>NE</v>
      </c>
      <c r="D663" s="4" t="str">
        <f>_xlfn.XLOOKUP(A663,[1]!DadosGHD[CD_GEOCMU],[1]!DadosGHD[uf])</f>
        <v>BA</v>
      </c>
      <c r="E663" s="5" t="str">
        <f>_xlfn.XLOOKUP(A663,[1]!DadosGHD[CD_GEOCMU],[1]!DadosGHD[MUNICIPIO])</f>
        <v>SAO MIGUEL DAS MATAS</v>
      </c>
      <c r="F663" s="6">
        <v>28.865550994873001</v>
      </c>
      <c r="G663" s="6">
        <v>28.931858062744102</v>
      </c>
      <c r="H663" s="6">
        <v>33.816448211669901</v>
      </c>
      <c r="I663" s="6">
        <v>33.803443908691399</v>
      </c>
      <c r="J663" s="6">
        <v>33.821014404296903</v>
      </c>
      <c r="K663" s="6">
        <v>33.861125946044901</v>
      </c>
      <c r="L663" s="6">
        <v>30.716371536254901</v>
      </c>
    </row>
    <row r="664" spans="1:12" x14ac:dyDescent="0.25">
      <c r="A664">
        <v>2508604</v>
      </c>
      <c r="B664" t="str">
        <f t="shared" si="10"/>
        <v>LUCENA, PB, Brasil</v>
      </c>
      <c r="C664" s="4" t="str">
        <f>_xlfn.XLOOKUP(A664,[1]!DadosGHD[CD_GEOCMU],[1]!DadosGHD[Região])</f>
        <v>NE</v>
      </c>
      <c r="D664" s="4" t="str">
        <f>_xlfn.XLOOKUP(A664,[1]!DadosGHD[CD_GEOCMU],[1]!DadosGHD[uf])</f>
        <v>PB</v>
      </c>
      <c r="E664" s="5" t="str">
        <f>_xlfn.XLOOKUP(A664,[1]!DadosGHD[CD_GEOCMU],[1]!DadosGHD[MUNICIPIO])</f>
        <v>LUCENA</v>
      </c>
      <c r="F664" s="6">
        <v>28.8655815124512</v>
      </c>
      <c r="G664" s="6">
        <v>28.9249076843262</v>
      </c>
      <c r="H664" s="6">
        <v>33.834617614746101</v>
      </c>
      <c r="I664" s="6">
        <v>33.821941375732401</v>
      </c>
      <c r="J664" s="6">
        <v>33.865493774414098</v>
      </c>
      <c r="K664" s="6">
        <v>33.918777465820298</v>
      </c>
      <c r="L664" s="6">
        <v>48.542137145996101</v>
      </c>
    </row>
    <row r="665" spans="1:12" x14ac:dyDescent="0.25">
      <c r="A665">
        <v>2922052</v>
      </c>
      <c r="B665" t="str">
        <f t="shared" si="10"/>
        <v>MULUNGU DO MORRO, BA, Brasil</v>
      </c>
      <c r="C665" s="4" t="str">
        <f>_xlfn.XLOOKUP(A665,[1]!DadosGHD[CD_GEOCMU],[1]!DadosGHD[Região])</f>
        <v>NE</v>
      </c>
      <c r="D665" s="4" t="str">
        <f>_xlfn.XLOOKUP(A665,[1]!DadosGHD[CD_GEOCMU],[1]!DadosGHD[uf])</f>
        <v>BA</v>
      </c>
      <c r="E665" s="5" t="str">
        <f>_xlfn.XLOOKUP(A665,[1]!DadosGHD[CD_GEOCMU],[1]!DadosGHD[MUNICIPIO])</f>
        <v>MULUNGU DO MORRO</v>
      </c>
      <c r="F665" s="6">
        <v>28.865598678588899</v>
      </c>
      <c r="G665" s="6">
        <v>28.923131942748999</v>
      </c>
      <c r="H665" s="6">
        <v>28.960971832275401</v>
      </c>
      <c r="I665" s="6">
        <v>28.943208694458001</v>
      </c>
      <c r="J665" s="6">
        <v>28.966222763061499</v>
      </c>
      <c r="K665" s="6">
        <v>33.849273681640597</v>
      </c>
      <c r="L665" s="6">
        <v>26.294050216674801</v>
      </c>
    </row>
    <row r="666" spans="1:12" x14ac:dyDescent="0.25">
      <c r="A666">
        <v>2109270</v>
      </c>
      <c r="B666" t="str">
        <f t="shared" si="10"/>
        <v>PRESIDENTE SARNEY, MA, Brasil</v>
      </c>
      <c r="C666" s="4" t="str">
        <f>_xlfn.XLOOKUP(A666,[1]!DadosGHD[CD_GEOCMU],[1]!DadosGHD[Região])</f>
        <v>NE</v>
      </c>
      <c r="D666" s="4" t="str">
        <f>_xlfn.XLOOKUP(A666,[1]!DadosGHD[CD_GEOCMU],[1]!DadosGHD[uf])</f>
        <v>MA</v>
      </c>
      <c r="E666" s="5" t="str">
        <f>_xlfn.XLOOKUP(A666,[1]!DadosGHD[CD_GEOCMU],[1]!DadosGHD[MUNICIPIO])</f>
        <v>PRESIDENTE SARNEY</v>
      </c>
      <c r="F666" s="6">
        <v>28.865659713745099</v>
      </c>
      <c r="G666" s="6">
        <v>28.917182922363299</v>
      </c>
      <c r="H666" s="6">
        <v>28.9510707855225</v>
      </c>
      <c r="I666" s="6">
        <v>28.931961059570298</v>
      </c>
      <c r="J666" s="6">
        <v>28.946310043335</v>
      </c>
      <c r="K666" s="6">
        <v>28.973434448242202</v>
      </c>
      <c r="L666" s="6">
        <v>26.2798957824707</v>
      </c>
    </row>
    <row r="667" spans="1:12" x14ac:dyDescent="0.25">
      <c r="A667">
        <v>2407500</v>
      </c>
      <c r="B667" t="str">
        <f t="shared" si="10"/>
        <v>MAXARANGUAPE, RN, Brasil</v>
      </c>
      <c r="C667" s="4" t="str">
        <f>_xlfn.XLOOKUP(A667,[1]!DadosGHD[CD_GEOCMU],[1]!DadosGHD[Região])</f>
        <v>NE</v>
      </c>
      <c r="D667" s="4" t="str">
        <f>_xlfn.XLOOKUP(A667,[1]!DadosGHD[CD_GEOCMU],[1]!DadosGHD[uf])</f>
        <v>RN</v>
      </c>
      <c r="E667" s="5" t="str">
        <f>_xlfn.XLOOKUP(A667,[1]!DadosGHD[CD_GEOCMU],[1]!DadosGHD[MUNICIPIO])</f>
        <v>MAXARANGUAPE</v>
      </c>
      <c r="F667" s="6">
        <v>28.8656826019287</v>
      </c>
      <c r="G667" s="6">
        <v>28.922061920166001</v>
      </c>
      <c r="H667" s="6">
        <v>28.957271575927699</v>
      </c>
      <c r="I667" s="6">
        <v>28.938787460327202</v>
      </c>
      <c r="J667" s="6">
        <v>33.851112365722699</v>
      </c>
      <c r="K667" s="6">
        <v>28.976760864257798</v>
      </c>
      <c r="L667" s="6">
        <v>26.2798957824707</v>
      </c>
    </row>
    <row r="668" spans="1:12" x14ac:dyDescent="0.25">
      <c r="A668">
        <v>2404606</v>
      </c>
      <c r="B668" t="str">
        <f t="shared" si="10"/>
        <v>IELMO MARINHO, RN, Brasil</v>
      </c>
      <c r="C668" s="4" t="str">
        <f>_xlfn.XLOOKUP(A668,[1]!DadosGHD[CD_GEOCMU],[1]!DadosGHD[Região])</f>
        <v>NE</v>
      </c>
      <c r="D668" s="4" t="str">
        <f>_xlfn.XLOOKUP(A668,[1]!DadosGHD[CD_GEOCMU],[1]!DadosGHD[uf])</f>
        <v>RN</v>
      </c>
      <c r="E668" s="5" t="str">
        <f>_xlfn.XLOOKUP(A668,[1]!DadosGHD[CD_GEOCMU],[1]!DadosGHD[MUNICIPIO])</f>
        <v>IELMO MARINHO</v>
      </c>
      <c r="F668" s="6">
        <v>28.8656902313232</v>
      </c>
      <c r="G668" s="6">
        <v>28.9244194030762</v>
      </c>
      <c r="H668" s="6">
        <v>28.965185165405298</v>
      </c>
      <c r="I668" s="6">
        <v>28.948522567748999</v>
      </c>
      <c r="J668" s="6">
        <v>28.971775054931602</v>
      </c>
      <c r="K668" s="6">
        <v>29.0061149597168</v>
      </c>
      <c r="L668" s="6">
        <v>35.14208984375</v>
      </c>
    </row>
    <row r="669" spans="1:12" x14ac:dyDescent="0.25">
      <c r="A669">
        <v>1507201</v>
      </c>
      <c r="B669" t="str">
        <f t="shared" si="10"/>
        <v>SAO DOMINGOS DO CAPIM, PA, Brasil</v>
      </c>
      <c r="C669" s="4" t="str">
        <f>_xlfn.XLOOKUP(A669,[1]!DadosGHD[CD_GEOCMU],[1]!DadosGHD[Região])</f>
        <v>NO</v>
      </c>
      <c r="D669" s="4" t="str">
        <f>_xlfn.XLOOKUP(A669,[1]!DadosGHD[CD_GEOCMU],[1]!DadosGHD[uf])</f>
        <v>PA</v>
      </c>
      <c r="E669" s="5" t="str">
        <f>_xlfn.XLOOKUP(A669,[1]!DadosGHD[CD_GEOCMU],[1]!DadosGHD[MUNICIPIO])</f>
        <v>SAO DOMINGOS DO CAPIM</v>
      </c>
      <c r="F669" s="6">
        <v>28.865858078002901</v>
      </c>
      <c r="G669" s="6">
        <v>28.932126998901399</v>
      </c>
      <c r="H669" s="6">
        <v>28.972673416137699</v>
      </c>
      <c r="I669" s="6">
        <v>28.955846786498999</v>
      </c>
      <c r="J669" s="6">
        <v>28.970960617065401</v>
      </c>
      <c r="K669" s="6">
        <v>28.996404647827202</v>
      </c>
      <c r="L669" s="6">
        <v>26.2798957824707</v>
      </c>
    </row>
    <row r="670" spans="1:12" x14ac:dyDescent="0.25">
      <c r="A670">
        <v>2905404</v>
      </c>
      <c r="B670" t="str">
        <f t="shared" si="10"/>
        <v>CAIRU, BA, Brasil</v>
      </c>
      <c r="C670" s="4" t="str">
        <f>_xlfn.XLOOKUP(A670,[1]!DadosGHD[CD_GEOCMU],[1]!DadosGHD[Região])</f>
        <v>NE</v>
      </c>
      <c r="D670" s="4" t="str">
        <f>_xlfn.XLOOKUP(A670,[1]!DadosGHD[CD_GEOCMU],[1]!DadosGHD[uf])</f>
        <v>BA</v>
      </c>
      <c r="E670" s="5" t="str">
        <f>_xlfn.XLOOKUP(A670,[1]!DadosGHD[CD_GEOCMU],[1]!DadosGHD[MUNICIPIO])</f>
        <v>CAIRU</v>
      </c>
      <c r="F670" s="6">
        <v>28.865928649902301</v>
      </c>
      <c r="G670" s="6">
        <v>33.766166687011697</v>
      </c>
      <c r="H670" s="6">
        <v>33.8292236328125</v>
      </c>
      <c r="I670" s="6">
        <v>33.801887512207003</v>
      </c>
      <c r="J670" s="6">
        <v>33.813030242919901</v>
      </c>
      <c r="K670" s="6">
        <v>33.846874237060597</v>
      </c>
      <c r="L670" s="6">
        <v>35.138553619384801</v>
      </c>
    </row>
    <row r="671" spans="1:12" x14ac:dyDescent="0.25">
      <c r="A671">
        <v>1505064</v>
      </c>
      <c r="B671" t="str">
        <f t="shared" si="10"/>
        <v>NOVO REPARTIMENTO, PA, Brasil</v>
      </c>
      <c r="C671" s="4" t="str">
        <f>_xlfn.XLOOKUP(A671,[1]!DadosGHD[CD_GEOCMU],[1]!DadosGHD[Região])</f>
        <v>NO</v>
      </c>
      <c r="D671" s="4" t="str">
        <f>_xlfn.XLOOKUP(A671,[1]!DadosGHD[CD_GEOCMU],[1]!DadosGHD[uf])</f>
        <v>PA</v>
      </c>
      <c r="E671" s="5" t="str">
        <f>_xlfn.XLOOKUP(A671,[1]!DadosGHD[CD_GEOCMU],[1]!DadosGHD[MUNICIPIO])</f>
        <v>NOVO REPARTIMENTO</v>
      </c>
      <c r="F671" s="6">
        <v>28.866306304931602</v>
      </c>
      <c r="G671" s="6">
        <v>28.9304294586182</v>
      </c>
      <c r="H671" s="6">
        <v>28.9722576141357</v>
      </c>
      <c r="I671" s="6">
        <v>28.945859909057599</v>
      </c>
      <c r="J671" s="6">
        <v>28.960731506347699</v>
      </c>
      <c r="K671" s="6">
        <v>28.994338989257798</v>
      </c>
      <c r="L671" s="6">
        <v>26.282615661621101</v>
      </c>
    </row>
    <row r="672" spans="1:12" x14ac:dyDescent="0.25">
      <c r="A672">
        <v>2702355</v>
      </c>
      <c r="B672" t="str">
        <f t="shared" si="10"/>
        <v>CRAIBAS, AL, Brasil</v>
      </c>
      <c r="C672" s="4" t="str">
        <f>_xlfn.XLOOKUP(A672,[1]!DadosGHD[CD_GEOCMU],[1]!DadosGHD[Região])</f>
        <v>NE</v>
      </c>
      <c r="D672" s="4" t="str">
        <f>_xlfn.XLOOKUP(A672,[1]!DadosGHD[CD_GEOCMU],[1]!DadosGHD[uf])</f>
        <v>AL</v>
      </c>
      <c r="E672" s="5" t="str">
        <f>_xlfn.XLOOKUP(A672,[1]!DadosGHD[CD_GEOCMU],[1]!DadosGHD[MUNICIPIO])</f>
        <v>CRAIBAS</v>
      </c>
      <c r="F672" s="6">
        <v>28.866357803344702</v>
      </c>
      <c r="G672" s="6">
        <v>28.924760818481399</v>
      </c>
      <c r="H672" s="6">
        <v>28.965482711791999</v>
      </c>
      <c r="I672" s="6">
        <v>28.9410190582275</v>
      </c>
      <c r="J672" s="6">
        <v>28.9629821777344</v>
      </c>
      <c r="K672" s="6">
        <v>28.996912002563501</v>
      </c>
      <c r="L672" s="6">
        <v>26.2872200012207</v>
      </c>
    </row>
    <row r="673" spans="1:12" x14ac:dyDescent="0.25">
      <c r="A673">
        <v>2916906</v>
      </c>
      <c r="B673" t="str">
        <f t="shared" si="10"/>
        <v>ITIRUCU, BA, Brasil</v>
      </c>
      <c r="C673" s="4" t="str">
        <f>_xlfn.XLOOKUP(A673,[1]!DadosGHD[CD_GEOCMU],[1]!DadosGHD[Região])</f>
        <v>NE</v>
      </c>
      <c r="D673" s="4" t="str">
        <f>_xlfn.XLOOKUP(A673,[1]!DadosGHD[CD_GEOCMU],[1]!DadosGHD[uf])</f>
        <v>BA</v>
      </c>
      <c r="E673" s="5" t="str">
        <f>_xlfn.XLOOKUP(A673,[1]!DadosGHD[CD_GEOCMU],[1]!DadosGHD[MUNICIPIO])</f>
        <v>ITIRUCU</v>
      </c>
      <c r="F673" s="6">
        <v>28.866611480712901</v>
      </c>
      <c r="G673" s="6">
        <v>28.9227809906006</v>
      </c>
      <c r="H673" s="6">
        <v>28.957666397094702</v>
      </c>
      <c r="I673" s="6">
        <v>28.939195632934599</v>
      </c>
      <c r="J673" s="6">
        <v>28.9540309906006</v>
      </c>
      <c r="K673" s="6">
        <v>28.981885910034201</v>
      </c>
      <c r="L673" s="6">
        <v>26.2798957824707</v>
      </c>
    </row>
    <row r="674" spans="1:12" x14ac:dyDescent="0.25">
      <c r="A674">
        <v>2100154</v>
      </c>
      <c r="B674" t="str">
        <f t="shared" si="10"/>
        <v>AGUA DOCE DO MARANHAO, MA, Brasil</v>
      </c>
      <c r="C674" s="4" t="str">
        <f>_xlfn.XLOOKUP(A674,[1]!DadosGHD[CD_GEOCMU],[1]!DadosGHD[Região])</f>
        <v>NE</v>
      </c>
      <c r="D674" s="4" t="str">
        <f>_xlfn.XLOOKUP(A674,[1]!DadosGHD[CD_GEOCMU],[1]!DadosGHD[uf])</f>
        <v>MA</v>
      </c>
      <c r="E674" s="5" t="str">
        <f>_xlfn.XLOOKUP(A674,[1]!DadosGHD[CD_GEOCMU],[1]!DadosGHD[MUNICIPIO])</f>
        <v>AGUA DOCE DO MARANHAO</v>
      </c>
      <c r="F674" s="6">
        <v>28.8666172027588</v>
      </c>
      <c r="G674" s="6">
        <v>28.9223823547363</v>
      </c>
      <c r="H674" s="6">
        <v>28.954465866088899</v>
      </c>
      <c r="I674" s="6">
        <v>28.935205459594702</v>
      </c>
      <c r="J674" s="6">
        <v>28.949800491333001</v>
      </c>
      <c r="K674" s="6">
        <v>29.0014553070068</v>
      </c>
      <c r="L674" s="6">
        <v>26.291563034057599</v>
      </c>
    </row>
    <row r="675" spans="1:12" x14ac:dyDescent="0.25">
      <c r="A675">
        <v>2607307</v>
      </c>
      <c r="B675" t="str">
        <f t="shared" si="10"/>
        <v>IPUBI, PE, Brasil</v>
      </c>
      <c r="C675" s="4" t="str">
        <f>_xlfn.XLOOKUP(A675,[1]!DadosGHD[CD_GEOCMU],[1]!DadosGHD[Região])</f>
        <v>NE</v>
      </c>
      <c r="D675" s="4" t="str">
        <f>_xlfn.XLOOKUP(A675,[1]!DadosGHD[CD_GEOCMU],[1]!DadosGHD[uf])</f>
        <v>PE</v>
      </c>
      <c r="E675" s="5" t="str">
        <f>_xlfn.XLOOKUP(A675,[1]!DadosGHD[CD_GEOCMU],[1]!DadosGHD[MUNICIPIO])</f>
        <v>IPUBI</v>
      </c>
      <c r="F675" s="6">
        <v>28.866706848144499</v>
      </c>
      <c r="G675" s="6">
        <v>28.923589706420898</v>
      </c>
      <c r="H675" s="6">
        <v>28.949224472045898</v>
      </c>
      <c r="I675" s="6">
        <v>28.939102172851602</v>
      </c>
      <c r="J675" s="6">
        <v>28.946496963501001</v>
      </c>
      <c r="K675" s="6">
        <v>28.990430831909201</v>
      </c>
      <c r="L675" s="6">
        <v>30.6876926422119</v>
      </c>
    </row>
    <row r="676" spans="1:12" x14ac:dyDescent="0.25">
      <c r="A676">
        <v>1502905</v>
      </c>
      <c r="B676" t="str">
        <f t="shared" si="10"/>
        <v>CURUCA, PA, Brasil</v>
      </c>
      <c r="C676" s="4" t="str">
        <f>_xlfn.XLOOKUP(A676,[1]!DadosGHD[CD_GEOCMU],[1]!DadosGHD[Região])</f>
        <v>NO</v>
      </c>
      <c r="D676" s="4" t="str">
        <f>_xlfn.XLOOKUP(A676,[1]!DadosGHD[CD_GEOCMU],[1]!DadosGHD[uf])</f>
        <v>PA</v>
      </c>
      <c r="E676" s="5" t="str">
        <f>_xlfn.XLOOKUP(A676,[1]!DadosGHD[CD_GEOCMU],[1]!DadosGHD[MUNICIPIO])</f>
        <v>CURUCA</v>
      </c>
      <c r="F676" s="6">
        <v>28.866720199585</v>
      </c>
      <c r="G676" s="6">
        <v>28.929908752441399</v>
      </c>
      <c r="H676" s="6">
        <v>28.966180801391602</v>
      </c>
      <c r="I676" s="6">
        <v>28.9455680847168</v>
      </c>
      <c r="J676" s="6">
        <v>28.967597961425799</v>
      </c>
      <c r="K676" s="6">
        <v>33.843734741210902</v>
      </c>
      <c r="L676" s="6">
        <v>26.293634414672901</v>
      </c>
    </row>
    <row r="677" spans="1:12" x14ac:dyDescent="0.25">
      <c r="A677">
        <v>2305407</v>
      </c>
      <c r="B677" t="str">
        <f t="shared" si="10"/>
        <v>ICO, CE, Brasil</v>
      </c>
      <c r="C677" s="4" t="str">
        <f>_xlfn.XLOOKUP(A677,[1]!DadosGHD[CD_GEOCMU],[1]!DadosGHD[Região])</f>
        <v>NE</v>
      </c>
      <c r="D677" s="4" t="str">
        <f>_xlfn.XLOOKUP(A677,[1]!DadosGHD[CD_GEOCMU],[1]!DadosGHD[uf])</f>
        <v>CE</v>
      </c>
      <c r="E677" s="5" t="str">
        <f>_xlfn.XLOOKUP(A677,[1]!DadosGHD[CD_GEOCMU],[1]!DadosGHD[MUNICIPIO])</f>
        <v>ICO</v>
      </c>
      <c r="F677" s="6">
        <v>28.866868972778299</v>
      </c>
      <c r="G677" s="6">
        <v>33.814376831054702</v>
      </c>
      <c r="H677" s="6">
        <v>33.884632110595703</v>
      </c>
      <c r="I677" s="6">
        <v>38.716697692871101</v>
      </c>
      <c r="J677" s="6">
        <v>38.740875244140597</v>
      </c>
      <c r="K677" s="6">
        <v>38.7970581054688</v>
      </c>
      <c r="L677" s="6">
        <v>39.579586029052699</v>
      </c>
    </row>
    <row r="678" spans="1:12" x14ac:dyDescent="0.25">
      <c r="A678">
        <v>2102556</v>
      </c>
      <c r="B678" t="str">
        <f t="shared" si="10"/>
        <v>CAMPESTRE DO MARANHAO, MA, Brasil</v>
      </c>
      <c r="C678" s="4" t="str">
        <f>_xlfn.XLOOKUP(A678,[1]!DadosGHD[CD_GEOCMU],[1]!DadosGHD[Região])</f>
        <v>NE</v>
      </c>
      <c r="D678" s="4" t="str">
        <f>_xlfn.XLOOKUP(A678,[1]!DadosGHD[CD_GEOCMU],[1]!DadosGHD[uf])</f>
        <v>MA</v>
      </c>
      <c r="E678" s="5" t="str">
        <f>_xlfn.XLOOKUP(A678,[1]!DadosGHD[CD_GEOCMU],[1]!DadosGHD[MUNICIPIO])</f>
        <v>CAMPESTRE DO MARANHAO</v>
      </c>
      <c r="F678" s="6">
        <v>28.8669128417969</v>
      </c>
      <c r="G678" s="6">
        <v>28.923355102539102</v>
      </c>
      <c r="H678" s="6">
        <v>28.9561252593994</v>
      </c>
      <c r="I678" s="6">
        <v>28.9410209655762</v>
      </c>
      <c r="J678" s="6">
        <v>28.972791671752901</v>
      </c>
      <c r="K678" s="6">
        <v>29.006834030151399</v>
      </c>
      <c r="L678" s="6">
        <v>35.123668670654297</v>
      </c>
    </row>
    <row r="679" spans="1:12" x14ac:dyDescent="0.25">
      <c r="A679">
        <v>2107100</v>
      </c>
      <c r="B679" t="str">
        <f t="shared" si="10"/>
        <v>MORROS, MA, Brasil</v>
      </c>
      <c r="C679" s="4" t="str">
        <f>_xlfn.XLOOKUP(A679,[1]!DadosGHD[CD_GEOCMU],[1]!DadosGHD[Região])</f>
        <v>NE</v>
      </c>
      <c r="D679" s="4" t="str">
        <f>_xlfn.XLOOKUP(A679,[1]!DadosGHD[CD_GEOCMU],[1]!DadosGHD[uf])</f>
        <v>MA</v>
      </c>
      <c r="E679" s="5" t="str">
        <f>_xlfn.XLOOKUP(A679,[1]!DadosGHD[CD_GEOCMU],[1]!DadosGHD[MUNICIPIO])</f>
        <v>MORROS</v>
      </c>
      <c r="F679" s="6">
        <v>28.8669948577881</v>
      </c>
      <c r="G679" s="6">
        <v>28.917640686035199</v>
      </c>
      <c r="H679" s="6">
        <v>28.949281692504901</v>
      </c>
      <c r="I679" s="6">
        <v>28.928075790405298</v>
      </c>
      <c r="J679" s="6">
        <v>28.9426975250244</v>
      </c>
      <c r="K679" s="6">
        <v>28.9786071777344</v>
      </c>
      <c r="L679" s="6">
        <v>30.689773559570298</v>
      </c>
    </row>
    <row r="680" spans="1:12" x14ac:dyDescent="0.25">
      <c r="A680">
        <v>2804904</v>
      </c>
      <c r="B680" t="str">
        <f t="shared" si="10"/>
        <v>PACATUBA, SE, Brasil</v>
      </c>
      <c r="C680" s="4" t="str">
        <f>_xlfn.XLOOKUP(A680,[1]!DadosGHD[CD_GEOCMU],[1]!DadosGHD[Região])</f>
        <v>NE</v>
      </c>
      <c r="D680" s="4" t="str">
        <f>_xlfn.XLOOKUP(A680,[1]!DadosGHD[CD_GEOCMU],[1]!DadosGHD[uf])</f>
        <v>SE</v>
      </c>
      <c r="E680" s="5" t="str">
        <f>_xlfn.XLOOKUP(A680,[1]!DadosGHD[CD_GEOCMU],[1]!DadosGHD[MUNICIPIO])</f>
        <v>PACATUBA</v>
      </c>
      <c r="F680" s="6">
        <v>28.867021560668899</v>
      </c>
      <c r="G680" s="6">
        <v>33.765178680419901</v>
      </c>
      <c r="H680" s="6">
        <v>28.969791412353501</v>
      </c>
      <c r="I680" s="6">
        <v>28.951566696166999</v>
      </c>
      <c r="J680" s="6">
        <v>33.830867767333999</v>
      </c>
      <c r="K680" s="6">
        <v>28.987831115722699</v>
      </c>
      <c r="L680" s="6">
        <v>26.2971382141113</v>
      </c>
    </row>
    <row r="681" spans="1:12" x14ac:dyDescent="0.25">
      <c r="A681">
        <v>2309458</v>
      </c>
      <c r="B681" t="str">
        <f t="shared" si="10"/>
        <v>OCARA, CE, Brasil</v>
      </c>
      <c r="C681" s="4" t="str">
        <f>_xlfn.XLOOKUP(A681,[1]!DadosGHD[CD_GEOCMU],[1]!DadosGHD[Região])</f>
        <v>NE</v>
      </c>
      <c r="D681" s="4" t="str">
        <f>_xlfn.XLOOKUP(A681,[1]!DadosGHD[CD_GEOCMU],[1]!DadosGHD[uf])</f>
        <v>CE</v>
      </c>
      <c r="E681" s="5" t="str">
        <f>_xlfn.XLOOKUP(A681,[1]!DadosGHD[CD_GEOCMU],[1]!DadosGHD[MUNICIPIO])</f>
        <v>OCARA</v>
      </c>
      <c r="F681" s="6">
        <v>28.867067337036101</v>
      </c>
      <c r="G681" s="6">
        <v>28.928834915161101</v>
      </c>
      <c r="H681" s="6">
        <v>28.955713272094702</v>
      </c>
      <c r="I681" s="6">
        <v>28.944616317748999</v>
      </c>
      <c r="J681" s="6">
        <v>33.821044921875</v>
      </c>
      <c r="K681" s="6">
        <v>33.896240234375</v>
      </c>
      <c r="L681" s="6">
        <v>35.125858306884801</v>
      </c>
    </row>
    <row r="682" spans="1:12" x14ac:dyDescent="0.25">
      <c r="A682">
        <v>2506707</v>
      </c>
      <c r="B682" t="str">
        <f t="shared" si="10"/>
        <v>IMACULADA, PB, Brasil</v>
      </c>
      <c r="C682" s="4" t="str">
        <f>_xlfn.XLOOKUP(A682,[1]!DadosGHD[CD_GEOCMU],[1]!DadosGHD[Região])</f>
        <v>NE</v>
      </c>
      <c r="D682" s="4" t="str">
        <f>_xlfn.XLOOKUP(A682,[1]!DadosGHD[CD_GEOCMU],[1]!DadosGHD[uf])</f>
        <v>PB</v>
      </c>
      <c r="E682" s="5" t="str">
        <f>_xlfn.XLOOKUP(A682,[1]!DadosGHD[CD_GEOCMU],[1]!DadosGHD[MUNICIPIO])</f>
        <v>IMACULADA</v>
      </c>
      <c r="F682" s="6">
        <v>28.867185592651399</v>
      </c>
      <c r="G682" s="6">
        <v>28.9238605499268</v>
      </c>
      <c r="H682" s="6">
        <v>28.957582473754901</v>
      </c>
      <c r="I682" s="6">
        <v>28.938501358032202</v>
      </c>
      <c r="J682" s="6">
        <v>33.831932067871101</v>
      </c>
      <c r="K682" s="6">
        <v>33.8673286437988</v>
      </c>
      <c r="L682" s="6">
        <v>26.280275344848601</v>
      </c>
    </row>
    <row r="683" spans="1:12" x14ac:dyDescent="0.25">
      <c r="A683">
        <v>2409902</v>
      </c>
      <c r="B683" t="str">
        <f t="shared" si="10"/>
        <v>PENDENCIAS, RN, Brasil</v>
      </c>
      <c r="C683" s="4" t="str">
        <f>_xlfn.XLOOKUP(A683,[1]!DadosGHD[CD_GEOCMU],[1]!DadosGHD[Região])</f>
        <v>NE</v>
      </c>
      <c r="D683" s="4" t="str">
        <f>_xlfn.XLOOKUP(A683,[1]!DadosGHD[CD_GEOCMU],[1]!DadosGHD[uf])</f>
        <v>RN</v>
      </c>
      <c r="E683" s="5" t="str">
        <f>_xlfn.XLOOKUP(A683,[1]!DadosGHD[CD_GEOCMU],[1]!DadosGHD[MUNICIPIO])</f>
        <v>PENDENCIAS</v>
      </c>
      <c r="F683" s="6">
        <v>28.867307662963899</v>
      </c>
      <c r="G683" s="6">
        <v>28.9335632324219</v>
      </c>
      <c r="H683" s="6">
        <v>28.973304748535199</v>
      </c>
      <c r="I683" s="6">
        <v>28.955839157104499</v>
      </c>
      <c r="J683" s="6">
        <v>28.967889785766602</v>
      </c>
      <c r="K683" s="6">
        <v>33.871871948242202</v>
      </c>
      <c r="L683" s="6">
        <v>35.152381896972699</v>
      </c>
    </row>
    <row r="684" spans="1:12" x14ac:dyDescent="0.25">
      <c r="A684">
        <v>2925956</v>
      </c>
      <c r="B684" t="str">
        <f t="shared" si="10"/>
        <v>RAFAEL JAMBEIRO, BA, Brasil</v>
      </c>
      <c r="C684" s="4" t="str">
        <f>_xlfn.XLOOKUP(A684,[1]!DadosGHD[CD_GEOCMU],[1]!DadosGHD[Região])</f>
        <v>NE</v>
      </c>
      <c r="D684" s="4" t="str">
        <f>_xlfn.XLOOKUP(A684,[1]!DadosGHD[CD_GEOCMU],[1]!DadosGHD[uf])</f>
        <v>BA</v>
      </c>
      <c r="E684" s="5" t="str">
        <f>_xlfn.XLOOKUP(A684,[1]!DadosGHD[CD_GEOCMU],[1]!DadosGHD[MUNICIPIO])</f>
        <v>RAFAEL JAMBEIRO</v>
      </c>
      <c r="F684" s="6">
        <v>28.867376327514702</v>
      </c>
      <c r="G684" s="6">
        <v>28.924110412597699</v>
      </c>
      <c r="H684" s="6">
        <v>28.960304260253899</v>
      </c>
      <c r="I684" s="6">
        <v>28.9468803405762</v>
      </c>
      <c r="J684" s="6">
        <v>28.9765930175781</v>
      </c>
      <c r="K684" s="6">
        <v>28.979997634887699</v>
      </c>
      <c r="L684" s="6">
        <v>26.2935466766357</v>
      </c>
    </row>
    <row r="685" spans="1:12" x14ac:dyDescent="0.25">
      <c r="A685">
        <v>2706000</v>
      </c>
      <c r="B685" t="str">
        <f t="shared" si="10"/>
        <v>OLIVENCA, AL, Brasil</v>
      </c>
      <c r="C685" s="4" t="str">
        <f>_xlfn.XLOOKUP(A685,[1]!DadosGHD[CD_GEOCMU],[1]!DadosGHD[Região])</f>
        <v>NE</v>
      </c>
      <c r="D685" s="4" t="str">
        <f>_xlfn.XLOOKUP(A685,[1]!DadosGHD[CD_GEOCMU],[1]!DadosGHD[uf])</f>
        <v>AL</v>
      </c>
      <c r="E685" s="5" t="str">
        <f>_xlfn.XLOOKUP(A685,[1]!DadosGHD[CD_GEOCMU],[1]!DadosGHD[MUNICIPIO])</f>
        <v>OLIVENCA</v>
      </c>
      <c r="F685" s="6">
        <v>28.867582321166999</v>
      </c>
      <c r="G685" s="6">
        <v>28.9241542816162</v>
      </c>
      <c r="H685" s="6">
        <v>28.958539962768601</v>
      </c>
      <c r="I685" s="6">
        <v>28.941650390625</v>
      </c>
      <c r="J685" s="6">
        <v>28.9589328765869</v>
      </c>
      <c r="K685" s="6">
        <v>28.986833572387699</v>
      </c>
      <c r="L685" s="6">
        <v>26.282180786132798</v>
      </c>
    </row>
    <row r="686" spans="1:12" x14ac:dyDescent="0.25">
      <c r="A686">
        <v>2506400</v>
      </c>
      <c r="B686" t="str">
        <f t="shared" si="10"/>
        <v>GURINHEM, PB, Brasil</v>
      </c>
      <c r="C686" s="4" t="str">
        <f>_xlfn.XLOOKUP(A686,[1]!DadosGHD[CD_GEOCMU],[1]!DadosGHD[Região])</f>
        <v>NE</v>
      </c>
      <c r="D686" s="4" t="str">
        <f>_xlfn.XLOOKUP(A686,[1]!DadosGHD[CD_GEOCMU],[1]!DadosGHD[uf])</f>
        <v>PB</v>
      </c>
      <c r="E686" s="5" t="str">
        <f>_xlfn.XLOOKUP(A686,[1]!DadosGHD[CD_GEOCMU],[1]!DadosGHD[MUNICIPIO])</f>
        <v>GURINHEM</v>
      </c>
      <c r="F686" s="6">
        <v>28.867612838745099</v>
      </c>
      <c r="G686" s="6">
        <v>28.9287014007568</v>
      </c>
      <c r="H686" s="6">
        <v>28.963874816894499</v>
      </c>
      <c r="I686" s="6">
        <v>33.798015594482401</v>
      </c>
      <c r="J686" s="6">
        <v>33.843307495117202</v>
      </c>
      <c r="K686" s="6">
        <v>28.987430572509801</v>
      </c>
      <c r="L686" s="6">
        <v>26.292758941650401</v>
      </c>
    </row>
    <row r="687" spans="1:12" x14ac:dyDescent="0.25">
      <c r="A687">
        <v>2909406</v>
      </c>
      <c r="B687" t="str">
        <f t="shared" si="10"/>
        <v>COTEGIPE, BA, Brasil</v>
      </c>
      <c r="C687" s="4" t="str">
        <f>_xlfn.XLOOKUP(A687,[1]!DadosGHD[CD_GEOCMU],[1]!DadosGHD[Região])</f>
        <v>NE</v>
      </c>
      <c r="D687" s="4" t="str">
        <f>_xlfn.XLOOKUP(A687,[1]!DadosGHD[CD_GEOCMU],[1]!DadosGHD[uf])</f>
        <v>BA</v>
      </c>
      <c r="E687" s="5" t="str">
        <f>_xlfn.XLOOKUP(A687,[1]!DadosGHD[CD_GEOCMU],[1]!DadosGHD[MUNICIPIO])</f>
        <v>COTEGIPE</v>
      </c>
      <c r="F687" s="6">
        <v>28.867713928222699</v>
      </c>
      <c r="G687" s="6">
        <v>28.925697326660199</v>
      </c>
      <c r="H687" s="6">
        <v>28.968410491943398</v>
      </c>
      <c r="I687" s="6">
        <v>28.952070236206101</v>
      </c>
      <c r="J687" s="6">
        <v>28.9591369628906</v>
      </c>
      <c r="K687" s="6">
        <v>28.988142013549801</v>
      </c>
      <c r="L687" s="6">
        <v>26.288375854492202</v>
      </c>
    </row>
    <row r="688" spans="1:12" x14ac:dyDescent="0.25">
      <c r="A688">
        <v>2112308</v>
      </c>
      <c r="B688" t="str">
        <f t="shared" si="10"/>
        <v>TUNTUM, MA, Brasil</v>
      </c>
      <c r="C688" s="4" t="str">
        <f>_xlfn.XLOOKUP(A688,[1]!DadosGHD[CD_GEOCMU],[1]!DadosGHD[Região])</f>
        <v>NE</v>
      </c>
      <c r="D688" s="4" t="str">
        <f>_xlfn.XLOOKUP(A688,[1]!DadosGHD[CD_GEOCMU],[1]!DadosGHD[uf])</f>
        <v>MA</v>
      </c>
      <c r="E688" s="5" t="str">
        <f>_xlfn.XLOOKUP(A688,[1]!DadosGHD[CD_GEOCMU],[1]!DadosGHD[MUNICIPIO])</f>
        <v>TUNTUM</v>
      </c>
      <c r="F688" s="6">
        <v>28.867733001708999</v>
      </c>
      <c r="G688" s="6">
        <v>28.932470321655298</v>
      </c>
      <c r="H688" s="6">
        <v>28.965652465820298</v>
      </c>
      <c r="I688" s="6">
        <v>28.946882247924801</v>
      </c>
      <c r="J688" s="6">
        <v>28.9625034332275</v>
      </c>
      <c r="K688" s="6">
        <v>28.9854125976563</v>
      </c>
      <c r="L688" s="6">
        <v>26.280754089355501</v>
      </c>
    </row>
    <row r="689" spans="1:12" x14ac:dyDescent="0.25">
      <c r="A689">
        <v>1507979</v>
      </c>
      <c r="B689" t="str">
        <f t="shared" si="10"/>
        <v>TERRA SANTA, PA, Brasil</v>
      </c>
      <c r="C689" s="4" t="str">
        <f>_xlfn.XLOOKUP(A689,[1]!DadosGHD[CD_GEOCMU],[1]!DadosGHD[Região])</f>
        <v>NO</v>
      </c>
      <c r="D689" s="4" t="str">
        <f>_xlfn.XLOOKUP(A689,[1]!DadosGHD[CD_GEOCMU],[1]!DadosGHD[uf])</f>
        <v>PA</v>
      </c>
      <c r="E689" s="5" t="str">
        <f>_xlfn.XLOOKUP(A689,[1]!DadosGHD[CD_GEOCMU],[1]!DadosGHD[MUNICIPIO])</f>
        <v>TERRA SANTA</v>
      </c>
      <c r="F689" s="6">
        <v>28.867755889892599</v>
      </c>
      <c r="G689" s="6">
        <v>28.932941436767599</v>
      </c>
      <c r="H689" s="6">
        <v>28.968040466308601</v>
      </c>
      <c r="I689" s="6">
        <v>28.948657989501999</v>
      </c>
      <c r="J689" s="6">
        <v>28.963315963745099</v>
      </c>
      <c r="K689" s="6">
        <v>28.99143409729</v>
      </c>
      <c r="L689" s="6">
        <v>26.290552139282202</v>
      </c>
    </row>
    <row r="690" spans="1:12" x14ac:dyDescent="0.25">
      <c r="A690">
        <v>2920908</v>
      </c>
      <c r="B690" t="str">
        <f t="shared" si="10"/>
        <v>MASCOTE, BA, Brasil</v>
      </c>
      <c r="C690" s="4" t="str">
        <f>_xlfn.XLOOKUP(A690,[1]!DadosGHD[CD_GEOCMU],[1]!DadosGHD[Região])</f>
        <v>NE</v>
      </c>
      <c r="D690" s="4" t="str">
        <f>_xlfn.XLOOKUP(A690,[1]!DadosGHD[CD_GEOCMU],[1]!DadosGHD[uf])</f>
        <v>BA</v>
      </c>
      <c r="E690" s="5" t="str">
        <f>_xlfn.XLOOKUP(A690,[1]!DadosGHD[CD_GEOCMU],[1]!DadosGHD[MUNICIPIO])</f>
        <v>MASCOTE</v>
      </c>
      <c r="F690" s="6">
        <v>28.867893218994102</v>
      </c>
      <c r="G690" s="6">
        <v>28.935297012329102</v>
      </c>
      <c r="H690" s="6">
        <v>28.972333908081101</v>
      </c>
      <c r="I690" s="6">
        <v>28.950639724731399</v>
      </c>
      <c r="J690" s="6">
        <v>28.960645675659201</v>
      </c>
      <c r="K690" s="6">
        <v>28.9853115081787</v>
      </c>
      <c r="L690" s="6">
        <v>30.701639175415</v>
      </c>
    </row>
    <row r="691" spans="1:12" x14ac:dyDescent="0.25">
      <c r="A691">
        <v>1503457</v>
      </c>
      <c r="B691" t="str">
        <f t="shared" si="10"/>
        <v>IPIXUNA DO PARA, PA, Brasil</v>
      </c>
      <c r="C691" s="4" t="str">
        <f>_xlfn.XLOOKUP(A691,[1]!DadosGHD[CD_GEOCMU],[1]!DadosGHD[Região])</f>
        <v>NO</v>
      </c>
      <c r="D691" s="4" t="str">
        <f>_xlfn.XLOOKUP(A691,[1]!DadosGHD[CD_GEOCMU],[1]!DadosGHD[uf])</f>
        <v>PA</v>
      </c>
      <c r="E691" s="5" t="str">
        <f>_xlfn.XLOOKUP(A691,[1]!DadosGHD[CD_GEOCMU],[1]!DadosGHD[MUNICIPIO])</f>
        <v>IPIXUNA DO PARA</v>
      </c>
      <c r="F691" s="6">
        <v>28.867904663085898</v>
      </c>
      <c r="G691" s="6">
        <v>28.936529159545898</v>
      </c>
      <c r="H691" s="6">
        <v>28.9673671722412</v>
      </c>
      <c r="I691" s="6">
        <v>28.945796966552699</v>
      </c>
      <c r="J691" s="6">
        <v>28.955438613891602</v>
      </c>
      <c r="K691" s="6">
        <v>28.981887817382798</v>
      </c>
      <c r="L691" s="6">
        <v>26.2970066070557</v>
      </c>
    </row>
    <row r="692" spans="1:12" x14ac:dyDescent="0.25">
      <c r="A692">
        <v>1508209</v>
      </c>
      <c r="B692" t="str">
        <f t="shared" si="10"/>
        <v>VIGIA, PA, Brasil</v>
      </c>
      <c r="C692" s="4" t="str">
        <f>_xlfn.XLOOKUP(A692,[1]!DadosGHD[CD_GEOCMU],[1]!DadosGHD[Região])</f>
        <v>NO</v>
      </c>
      <c r="D692" s="4" t="str">
        <f>_xlfn.XLOOKUP(A692,[1]!DadosGHD[CD_GEOCMU],[1]!DadosGHD[uf])</f>
        <v>PA</v>
      </c>
      <c r="E692" s="5" t="str">
        <f>_xlfn.XLOOKUP(A692,[1]!DadosGHD[CD_GEOCMU],[1]!DadosGHD[MUNICIPIO])</f>
        <v>VIGIA</v>
      </c>
      <c r="F692" s="6">
        <v>28.867933273315401</v>
      </c>
      <c r="G692" s="6">
        <v>28.923181533813501</v>
      </c>
      <c r="H692" s="6">
        <v>28.9545078277588</v>
      </c>
      <c r="I692" s="6">
        <v>28.9340629577637</v>
      </c>
      <c r="J692" s="6">
        <v>28.955478668212901</v>
      </c>
      <c r="K692" s="6">
        <v>28.977613449096701</v>
      </c>
      <c r="L692" s="6">
        <v>26.285659790039102</v>
      </c>
    </row>
    <row r="693" spans="1:12" x14ac:dyDescent="0.25">
      <c r="A693">
        <v>2105708</v>
      </c>
      <c r="B693" t="str">
        <f t="shared" si="10"/>
        <v>LAGO DA PEDRA, MA, Brasil</v>
      </c>
      <c r="C693" s="4" t="str">
        <f>_xlfn.XLOOKUP(A693,[1]!DadosGHD[CD_GEOCMU],[1]!DadosGHD[Região])</f>
        <v>NE</v>
      </c>
      <c r="D693" s="4" t="str">
        <f>_xlfn.XLOOKUP(A693,[1]!DadosGHD[CD_GEOCMU],[1]!DadosGHD[uf])</f>
        <v>MA</v>
      </c>
      <c r="E693" s="5" t="str">
        <f>_xlfn.XLOOKUP(A693,[1]!DadosGHD[CD_GEOCMU],[1]!DadosGHD[MUNICIPIO])</f>
        <v>LAGO DA PEDRA</v>
      </c>
      <c r="F693" s="6">
        <v>28.8679599761963</v>
      </c>
      <c r="G693" s="6">
        <v>28.933080673217798</v>
      </c>
      <c r="H693" s="6">
        <v>28.9726448059082</v>
      </c>
      <c r="I693" s="6">
        <v>33.792018890380902</v>
      </c>
      <c r="J693" s="6">
        <v>33.820407867431598</v>
      </c>
      <c r="K693" s="6">
        <v>33.884452819824197</v>
      </c>
      <c r="L693" s="6">
        <v>26.29856300354</v>
      </c>
    </row>
    <row r="694" spans="1:12" x14ac:dyDescent="0.25">
      <c r="A694">
        <v>2603926</v>
      </c>
      <c r="B694" t="str">
        <f t="shared" si="10"/>
        <v>CARNAUBEIRA DA PENHA, PE, Brasil</v>
      </c>
      <c r="C694" s="4" t="str">
        <f>_xlfn.XLOOKUP(A694,[1]!DadosGHD[CD_GEOCMU],[1]!DadosGHD[Região])</f>
        <v>NE</v>
      </c>
      <c r="D694" s="4" t="str">
        <f>_xlfn.XLOOKUP(A694,[1]!DadosGHD[CD_GEOCMU],[1]!DadosGHD[uf])</f>
        <v>PE</v>
      </c>
      <c r="E694" s="5" t="str">
        <f>_xlfn.XLOOKUP(A694,[1]!DadosGHD[CD_GEOCMU],[1]!DadosGHD[MUNICIPIO])</f>
        <v>CARNAUBEIRA DA PENHA</v>
      </c>
      <c r="F694" s="6">
        <v>28.8680820465088</v>
      </c>
      <c r="G694" s="6">
        <v>28.9339408874512</v>
      </c>
      <c r="H694" s="6">
        <v>28.967744827270501</v>
      </c>
      <c r="I694" s="6">
        <v>28.9569416046143</v>
      </c>
      <c r="J694" s="6">
        <v>33.821010589599602</v>
      </c>
      <c r="K694" s="6">
        <v>29.004545211791999</v>
      </c>
      <c r="L694" s="6">
        <v>30.714830398559599</v>
      </c>
    </row>
    <row r="695" spans="1:12" x14ac:dyDescent="0.25">
      <c r="A695">
        <v>2301000</v>
      </c>
      <c r="B695" t="str">
        <f t="shared" si="10"/>
        <v>AQUIRAZ, CE, Brasil</v>
      </c>
      <c r="C695" s="4" t="str">
        <f>_xlfn.XLOOKUP(A695,[1]!DadosGHD[CD_GEOCMU],[1]!DadosGHD[Região])</f>
        <v>NE</v>
      </c>
      <c r="D695" s="4" t="str">
        <f>_xlfn.XLOOKUP(A695,[1]!DadosGHD[CD_GEOCMU],[1]!DadosGHD[uf])</f>
        <v>CE</v>
      </c>
      <c r="E695" s="5" t="str">
        <f>_xlfn.XLOOKUP(A695,[1]!DadosGHD[CD_GEOCMU],[1]!DadosGHD[MUNICIPIO])</f>
        <v>AQUIRAZ</v>
      </c>
      <c r="F695" s="6">
        <v>28.868179321289102</v>
      </c>
      <c r="G695" s="6">
        <v>28.937248229980501</v>
      </c>
      <c r="H695" s="6">
        <v>28.9681606292725</v>
      </c>
      <c r="I695" s="6">
        <v>33.812103271484403</v>
      </c>
      <c r="J695" s="6">
        <v>33.840007781982401</v>
      </c>
      <c r="K695" s="6">
        <v>33.914642333984403</v>
      </c>
      <c r="L695" s="6">
        <v>39.559787750244098</v>
      </c>
    </row>
    <row r="696" spans="1:12" x14ac:dyDescent="0.25">
      <c r="A696">
        <v>2707206</v>
      </c>
      <c r="B696" t="str">
        <f t="shared" si="10"/>
        <v>POCO DAS TRINCHEIRAS, AL, Brasil</v>
      </c>
      <c r="C696" s="4" t="str">
        <f>_xlfn.XLOOKUP(A696,[1]!DadosGHD[CD_GEOCMU],[1]!DadosGHD[Região])</f>
        <v>NE</v>
      </c>
      <c r="D696" s="4" t="str">
        <f>_xlfn.XLOOKUP(A696,[1]!DadosGHD[CD_GEOCMU],[1]!DadosGHD[uf])</f>
        <v>AL</v>
      </c>
      <c r="E696" s="5" t="str">
        <f>_xlfn.XLOOKUP(A696,[1]!DadosGHD[CD_GEOCMU],[1]!DadosGHD[MUNICIPIO])</f>
        <v>POCO DAS TRINCHEIRAS</v>
      </c>
      <c r="F696" s="6">
        <v>28.868259429931602</v>
      </c>
      <c r="G696" s="6">
        <v>33.785465240478501</v>
      </c>
      <c r="H696" s="6">
        <v>33.825607299804702</v>
      </c>
      <c r="I696" s="6">
        <v>33.805385589599602</v>
      </c>
      <c r="J696" s="6">
        <v>33.8207397460938</v>
      </c>
      <c r="K696" s="6">
        <v>33.8550834655762</v>
      </c>
      <c r="L696" s="6">
        <v>30.695314407348601</v>
      </c>
    </row>
    <row r="697" spans="1:12" x14ac:dyDescent="0.25">
      <c r="A697">
        <v>1502608</v>
      </c>
      <c r="B697" t="str">
        <f t="shared" si="10"/>
        <v>COLARES, PA, Brasil</v>
      </c>
      <c r="C697" s="4" t="str">
        <f>_xlfn.XLOOKUP(A697,[1]!DadosGHD[CD_GEOCMU],[1]!DadosGHD[Região])</f>
        <v>NO</v>
      </c>
      <c r="D697" s="4" t="str">
        <f>_xlfn.XLOOKUP(A697,[1]!DadosGHD[CD_GEOCMU],[1]!DadosGHD[uf])</f>
        <v>PA</v>
      </c>
      <c r="E697" s="5" t="str">
        <f>_xlfn.XLOOKUP(A697,[1]!DadosGHD[CD_GEOCMU],[1]!DadosGHD[MUNICIPIO])</f>
        <v>COLARES</v>
      </c>
      <c r="F697" s="6">
        <v>28.8683757781982</v>
      </c>
      <c r="G697" s="6">
        <v>28.9280090332031</v>
      </c>
      <c r="H697" s="6">
        <v>28.9784240722656</v>
      </c>
      <c r="I697" s="6">
        <v>28.955247879028299</v>
      </c>
      <c r="J697" s="6">
        <v>28.969875335693398</v>
      </c>
      <c r="K697" s="6">
        <v>33.876449584960902</v>
      </c>
      <c r="L697" s="6">
        <v>30.703241348266602</v>
      </c>
    </row>
    <row r="698" spans="1:12" x14ac:dyDescent="0.25">
      <c r="A698">
        <v>1303403</v>
      </c>
      <c r="B698" t="str">
        <f t="shared" si="10"/>
        <v>PARINTINS, AM, Brasil</v>
      </c>
      <c r="C698" s="4" t="str">
        <f>_xlfn.XLOOKUP(A698,[1]!DadosGHD[CD_GEOCMU],[1]!DadosGHD[Região])</f>
        <v>NO</v>
      </c>
      <c r="D698" s="4" t="str">
        <f>_xlfn.XLOOKUP(A698,[1]!DadosGHD[CD_GEOCMU],[1]!DadosGHD[uf])</f>
        <v>AM</v>
      </c>
      <c r="E698" s="5" t="str">
        <f>_xlfn.XLOOKUP(A698,[1]!DadosGHD[CD_GEOCMU],[1]!DadosGHD[MUNICIPIO])</f>
        <v>PARINTINS</v>
      </c>
      <c r="F698" s="6">
        <v>33.679855346679702</v>
      </c>
      <c r="G698" s="6">
        <v>28.923799514770501</v>
      </c>
      <c r="H698" s="6">
        <v>28.958715438842798</v>
      </c>
      <c r="I698" s="6">
        <v>28.940122604370099</v>
      </c>
      <c r="J698" s="6">
        <v>28.954547882080099</v>
      </c>
      <c r="K698" s="6">
        <v>28.979467391967798</v>
      </c>
      <c r="L698" s="6">
        <v>57.589881896972699</v>
      </c>
    </row>
    <row r="699" spans="1:12" x14ac:dyDescent="0.25">
      <c r="A699">
        <v>1507805</v>
      </c>
      <c r="B699" t="str">
        <f t="shared" si="10"/>
        <v>SENADOR JOSE PORFIRIO, PA, Brasil</v>
      </c>
      <c r="C699" s="4" t="str">
        <f>_xlfn.XLOOKUP(A699,[1]!DadosGHD[CD_GEOCMU],[1]!DadosGHD[Região])</f>
        <v>NO</v>
      </c>
      <c r="D699" s="4" t="str">
        <f>_xlfn.XLOOKUP(A699,[1]!DadosGHD[CD_GEOCMU],[1]!DadosGHD[uf])</f>
        <v>PA</v>
      </c>
      <c r="E699" s="5" t="str">
        <f>_xlfn.XLOOKUP(A699,[1]!DadosGHD[CD_GEOCMU],[1]!DadosGHD[MUNICIPIO])</f>
        <v>SENADOR JOSE PORFIRIO</v>
      </c>
      <c r="F699" s="6">
        <v>33.679954528808601</v>
      </c>
      <c r="G699" s="6">
        <v>28.933225631713899</v>
      </c>
      <c r="H699" s="6">
        <v>33.838283538818402</v>
      </c>
      <c r="I699" s="6">
        <v>33.810943603515597</v>
      </c>
      <c r="J699" s="6">
        <v>33.841068267822301</v>
      </c>
      <c r="K699" s="6">
        <v>33.878604888916001</v>
      </c>
      <c r="L699" s="6">
        <v>26.2798957824707</v>
      </c>
    </row>
    <row r="700" spans="1:12" x14ac:dyDescent="0.25">
      <c r="A700">
        <v>3166709</v>
      </c>
      <c r="B700" t="str">
        <f t="shared" si="10"/>
        <v>SERRA DOS AIMORES, MG, Brasil</v>
      </c>
      <c r="C700" s="4" t="str">
        <f>_xlfn.XLOOKUP(A700,[1]!DadosGHD[CD_GEOCMU],[1]!DadosGHD[Região])</f>
        <v>SD</v>
      </c>
      <c r="D700" s="4" t="str">
        <f>_xlfn.XLOOKUP(A700,[1]!DadosGHD[CD_GEOCMU],[1]!DadosGHD[uf])</f>
        <v>MG</v>
      </c>
      <c r="E700" s="5" t="str">
        <f>_xlfn.XLOOKUP(A700,[1]!DadosGHD[CD_GEOCMU],[1]!DadosGHD[MUNICIPIO])</f>
        <v>SERRA DOS AIMORES</v>
      </c>
      <c r="F700" s="6">
        <v>33.679981231689503</v>
      </c>
      <c r="G700" s="6">
        <v>28.939451217651399</v>
      </c>
      <c r="H700" s="6">
        <v>28.968410491943398</v>
      </c>
      <c r="I700" s="6">
        <v>28.945899963378899</v>
      </c>
      <c r="J700" s="6">
        <v>28.957983016967798</v>
      </c>
      <c r="K700" s="6">
        <v>28.9823398590088</v>
      </c>
      <c r="L700" s="6">
        <v>26.280359268188501</v>
      </c>
    </row>
    <row r="701" spans="1:12" x14ac:dyDescent="0.25">
      <c r="A701">
        <v>2301208</v>
      </c>
      <c r="B701" t="str">
        <f t="shared" si="10"/>
        <v>ARACOIABA, CE, Brasil</v>
      </c>
      <c r="C701" s="4" t="str">
        <f>_xlfn.XLOOKUP(A701,[1]!DadosGHD[CD_GEOCMU],[1]!DadosGHD[Região])</f>
        <v>NE</v>
      </c>
      <c r="D701" s="4" t="str">
        <f>_xlfn.XLOOKUP(A701,[1]!DadosGHD[CD_GEOCMU],[1]!DadosGHD[uf])</f>
        <v>CE</v>
      </c>
      <c r="E701" s="5" t="str">
        <f>_xlfn.XLOOKUP(A701,[1]!DadosGHD[CD_GEOCMU],[1]!DadosGHD[MUNICIPIO])</f>
        <v>ARACOIABA</v>
      </c>
      <c r="F701" s="6">
        <v>33.680038452148402</v>
      </c>
      <c r="G701" s="6">
        <v>28.937660217285199</v>
      </c>
      <c r="H701" s="6">
        <v>28.9677829742432</v>
      </c>
      <c r="I701" s="6">
        <v>28.950851440429702</v>
      </c>
      <c r="J701" s="6">
        <v>33.8177299499512</v>
      </c>
      <c r="K701" s="6">
        <v>38.797088623046903</v>
      </c>
      <c r="L701" s="6">
        <v>35.134075164794901</v>
      </c>
    </row>
    <row r="702" spans="1:12" x14ac:dyDescent="0.25">
      <c r="A702">
        <v>2922250</v>
      </c>
      <c r="B702" t="str">
        <f t="shared" si="10"/>
        <v>MUQUEM DE SAO FRANCISCO, BA, Brasil</v>
      </c>
      <c r="C702" s="4" t="str">
        <f>_xlfn.XLOOKUP(A702,[1]!DadosGHD[CD_GEOCMU],[1]!DadosGHD[Região])</f>
        <v>NE</v>
      </c>
      <c r="D702" s="4" t="str">
        <f>_xlfn.XLOOKUP(A702,[1]!DadosGHD[CD_GEOCMU],[1]!DadosGHD[uf])</f>
        <v>BA</v>
      </c>
      <c r="E702" s="5" t="str">
        <f>_xlfn.XLOOKUP(A702,[1]!DadosGHD[CD_GEOCMU],[1]!DadosGHD[MUNICIPIO])</f>
        <v>MUQUEM DE SAO FRANCISCO</v>
      </c>
      <c r="F702" s="6">
        <v>33.680080413818402</v>
      </c>
      <c r="G702" s="6">
        <v>28.9247741699219</v>
      </c>
      <c r="H702" s="6">
        <v>28.9601020812988</v>
      </c>
      <c r="I702" s="6">
        <v>28.940790176391602</v>
      </c>
      <c r="J702" s="6">
        <v>28.9553623199463</v>
      </c>
      <c r="K702" s="6">
        <v>33.856666564941399</v>
      </c>
      <c r="L702" s="6">
        <v>26.287561416626001</v>
      </c>
    </row>
    <row r="703" spans="1:12" x14ac:dyDescent="0.25">
      <c r="A703">
        <v>2310407</v>
      </c>
      <c r="B703" t="str">
        <f t="shared" si="10"/>
        <v>PARAMOTI, CE, Brasil</v>
      </c>
      <c r="C703" s="4" t="str">
        <f>_xlfn.XLOOKUP(A703,[1]!DadosGHD[CD_GEOCMU],[1]!DadosGHD[Região])</f>
        <v>NE</v>
      </c>
      <c r="D703" s="4" t="str">
        <f>_xlfn.XLOOKUP(A703,[1]!DadosGHD[CD_GEOCMU],[1]!DadosGHD[uf])</f>
        <v>CE</v>
      </c>
      <c r="E703" s="5" t="str">
        <f>_xlfn.XLOOKUP(A703,[1]!DadosGHD[CD_GEOCMU],[1]!DadosGHD[MUNICIPIO])</f>
        <v>PARAMOTI</v>
      </c>
      <c r="F703" s="6">
        <v>33.680133819580099</v>
      </c>
      <c r="G703" s="6">
        <v>28.926101684570298</v>
      </c>
      <c r="H703" s="6">
        <v>28.959764480590799</v>
      </c>
      <c r="I703" s="6">
        <v>28.9377746582031</v>
      </c>
      <c r="J703" s="6">
        <v>28.954341888427699</v>
      </c>
      <c r="K703" s="6">
        <v>28.978584289550799</v>
      </c>
      <c r="L703" s="6">
        <v>26.2798957824707</v>
      </c>
    </row>
    <row r="704" spans="1:12" x14ac:dyDescent="0.25">
      <c r="A704">
        <v>2703759</v>
      </c>
      <c r="B704" t="str">
        <f t="shared" si="10"/>
        <v>JEQUIA DA PRAIA, AL, Brasil</v>
      </c>
      <c r="C704" s="4" t="str">
        <f>_xlfn.XLOOKUP(A704,[1]!DadosGHD[CD_GEOCMU],[1]!DadosGHD[Região])</f>
        <v>NE</v>
      </c>
      <c r="D704" s="4" t="str">
        <f>_xlfn.XLOOKUP(A704,[1]!DadosGHD[CD_GEOCMU],[1]!DadosGHD[uf])</f>
        <v>AL</v>
      </c>
      <c r="E704" s="5" t="str">
        <f>_xlfn.XLOOKUP(A704,[1]!DadosGHD[CD_GEOCMU],[1]!DadosGHD[MUNICIPIO])</f>
        <v>JEQUIA DA PRAIA</v>
      </c>
      <c r="F704" s="6">
        <v>33.680168151855497</v>
      </c>
      <c r="G704" s="6">
        <v>28.9241333007813</v>
      </c>
      <c r="H704" s="6">
        <v>28.958379745483398</v>
      </c>
      <c r="I704" s="6">
        <v>28.939640045166001</v>
      </c>
      <c r="J704" s="6">
        <v>28.954776763916001</v>
      </c>
      <c r="K704" s="6">
        <v>28.9821872711182</v>
      </c>
      <c r="L704" s="6">
        <v>26.280570983886701</v>
      </c>
    </row>
    <row r="705" spans="1:12" x14ac:dyDescent="0.25">
      <c r="A705">
        <v>2305308</v>
      </c>
      <c r="B705" t="str">
        <f t="shared" si="10"/>
        <v>IBIAPINA, CE, Brasil</v>
      </c>
      <c r="C705" s="4" t="str">
        <f>_xlfn.XLOOKUP(A705,[1]!DadosGHD[CD_GEOCMU],[1]!DadosGHD[Região])</f>
        <v>NE</v>
      </c>
      <c r="D705" s="4" t="str">
        <f>_xlfn.XLOOKUP(A705,[1]!DadosGHD[CD_GEOCMU],[1]!DadosGHD[uf])</f>
        <v>CE</v>
      </c>
      <c r="E705" s="5" t="str">
        <f>_xlfn.XLOOKUP(A705,[1]!DadosGHD[CD_GEOCMU],[1]!DadosGHD[MUNICIPIO])</f>
        <v>IBIAPINA</v>
      </c>
      <c r="F705" s="6">
        <v>33.680210113525398</v>
      </c>
      <c r="G705" s="6">
        <v>28.928724288940401</v>
      </c>
      <c r="H705" s="6">
        <v>28.958238601684599</v>
      </c>
      <c r="I705" s="6">
        <v>33.826541900634801</v>
      </c>
      <c r="J705" s="6">
        <v>33.860008239746101</v>
      </c>
      <c r="K705" s="6">
        <v>33.891860961914098</v>
      </c>
      <c r="L705" s="6">
        <v>35.125694274902301</v>
      </c>
    </row>
    <row r="706" spans="1:12" x14ac:dyDescent="0.25">
      <c r="A706">
        <v>1720200</v>
      </c>
      <c r="B706" t="str">
        <f t="shared" si="10"/>
        <v>SAO MIGUEL DO TOCANTINS, TO, Brasil</v>
      </c>
      <c r="C706" s="4" t="str">
        <f>_xlfn.XLOOKUP(A706,[1]!DadosGHD[CD_GEOCMU],[1]!DadosGHD[Região])</f>
        <v>NO</v>
      </c>
      <c r="D706" s="4" t="str">
        <f>_xlfn.XLOOKUP(A706,[1]!DadosGHD[CD_GEOCMU],[1]!DadosGHD[uf])</f>
        <v>TO</v>
      </c>
      <c r="E706" s="5" t="str">
        <f>_xlfn.XLOOKUP(A706,[1]!DadosGHD[CD_GEOCMU],[1]!DadosGHD[MUNICIPIO])</f>
        <v>SAO MIGUEL DO TOCANTINS</v>
      </c>
      <c r="F706" s="6">
        <v>33.680213928222699</v>
      </c>
      <c r="G706" s="6">
        <v>28.924598693847699</v>
      </c>
      <c r="H706" s="6">
        <v>28.9567565917969</v>
      </c>
      <c r="I706" s="6">
        <v>28.937047958373999</v>
      </c>
      <c r="J706" s="6">
        <v>28.951299667358398</v>
      </c>
      <c r="K706" s="6">
        <v>28.9778652191162</v>
      </c>
      <c r="L706" s="6">
        <v>26.2798957824707</v>
      </c>
    </row>
    <row r="707" spans="1:12" x14ac:dyDescent="0.25">
      <c r="A707">
        <v>5202809</v>
      </c>
      <c r="B707" t="str">
        <f t="shared" si="10"/>
        <v>AVELINOPOLIS, GO, Brasil</v>
      </c>
      <c r="C707" s="4" t="str">
        <f>_xlfn.XLOOKUP(A707,[1]!DadosGHD[CD_GEOCMU],[1]!DadosGHD[Região])</f>
        <v>CO</v>
      </c>
      <c r="D707" s="4" t="str">
        <f>_xlfn.XLOOKUP(A707,[1]!DadosGHD[CD_GEOCMU],[1]!DadosGHD[uf])</f>
        <v>GO</v>
      </c>
      <c r="E707" s="5" t="str">
        <f>_xlfn.XLOOKUP(A707,[1]!DadosGHD[CD_GEOCMU],[1]!DadosGHD[MUNICIPIO])</f>
        <v>AVELINOPOLIS</v>
      </c>
      <c r="F707" s="6">
        <v>33.680263519287102</v>
      </c>
      <c r="G707" s="6">
        <v>33.773262023925803</v>
      </c>
      <c r="H707" s="6">
        <v>28.9609050750732</v>
      </c>
      <c r="I707" s="6">
        <v>33.794033050537102</v>
      </c>
      <c r="J707" s="6">
        <v>33.874130249023402</v>
      </c>
      <c r="K707" s="6">
        <v>33.868679046630902</v>
      </c>
      <c r="L707" s="6">
        <v>39.578067779541001</v>
      </c>
    </row>
    <row r="708" spans="1:12" x14ac:dyDescent="0.25">
      <c r="A708">
        <v>1300300</v>
      </c>
      <c r="B708" t="str">
        <f t="shared" ref="B708:B771" si="11">_xlfn.CONCAT(E708, ", ", D708, ", Brasil")</f>
        <v>AUTAZES, AM, Brasil</v>
      </c>
      <c r="C708" s="4" t="str">
        <f>_xlfn.XLOOKUP(A708,[1]!DadosGHD[CD_GEOCMU],[1]!DadosGHD[Região])</f>
        <v>NO</v>
      </c>
      <c r="D708" s="4" t="str">
        <f>_xlfn.XLOOKUP(A708,[1]!DadosGHD[CD_GEOCMU],[1]!DadosGHD[uf])</f>
        <v>AM</v>
      </c>
      <c r="E708" s="5" t="str">
        <f>_xlfn.XLOOKUP(A708,[1]!DadosGHD[CD_GEOCMU],[1]!DadosGHD[MUNICIPIO])</f>
        <v>AUTAZES</v>
      </c>
      <c r="F708" s="6">
        <v>33.680267333984403</v>
      </c>
      <c r="G708" s="6">
        <v>28.926834106445298</v>
      </c>
      <c r="H708" s="6">
        <v>28.9605598449707</v>
      </c>
      <c r="I708" s="6">
        <v>28.942655563354499</v>
      </c>
      <c r="J708" s="6">
        <v>28.965011596679702</v>
      </c>
      <c r="K708" s="6">
        <v>28.9976291656494</v>
      </c>
      <c r="L708" s="6">
        <v>26.291826248168899</v>
      </c>
    </row>
    <row r="709" spans="1:12" x14ac:dyDescent="0.25">
      <c r="A709">
        <v>2614709</v>
      </c>
      <c r="B709" t="str">
        <f t="shared" si="11"/>
        <v>TACAIMBO, PE, Brasil</v>
      </c>
      <c r="C709" s="4" t="str">
        <f>_xlfn.XLOOKUP(A709,[1]!DadosGHD[CD_GEOCMU],[1]!DadosGHD[Região])</f>
        <v>NE</v>
      </c>
      <c r="D709" s="4" t="str">
        <f>_xlfn.XLOOKUP(A709,[1]!DadosGHD[CD_GEOCMU],[1]!DadosGHD[uf])</f>
        <v>PE</v>
      </c>
      <c r="E709" s="5" t="str">
        <f>_xlfn.XLOOKUP(A709,[1]!DadosGHD[CD_GEOCMU],[1]!DadosGHD[MUNICIPIO])</f>
        <v>TACAIMBO</v>
      </c>
      <c r="F709" s="6">
        <v>33.6803588867188</v>
      </c>
      <c r="G709" s="6">
        <v>28.924646377563501</v>
      </c>
      <c r="H709" s="6">
        <v>28.9567680358887</v>
      </c>
      <c r="I709" s="6">
        <v>33.803615570068402</v>
      </c>
      <c r="J709" s="6">
        <v>33.886348724365199</v>
      </c>
      <c r="K709" s="6">
        <v>38.803329467773402</v>
      </c>
      <c r="L709" s="6">
        <v>39.597888946533203</v>
      </c>
    </row>
    <row r="710" spans="1:12" x14ac:dyDescent="0.25">
      <c r="A710">
        <v>3152170</v>
      </c>
      <c r="B710" t="str">
        <f t="shared" si="11"/>
        <v>PONTO DOS VOLANTES, MG, Brasil</v>
      </c>
      <c r="C710" s="4" t="str">
        <f>_xlfn.XLOOKUP(A710,[1]!DadosGHD[CD_GEOCMU],[1]!DadosGHD[Região])</f>
        <v>SD</v>
      </c>
      <c r="D710" s="4" t="str">
        <f>_xlfn.XLOOKUP(A710,[1]!DadosGHD[CD_GEOCMU],[1]!DadosGHD[uf])</f>
        <v>MG</v>
      </c>
      <c r="E710" s="5" t="str">
        <f>_xlfn.XLOOKUP(A710,[1]!DadosGHD[CD_GEOCMU],[1]!DadosGHD[MUNICIPIO])</f>
        <v>PONTO DOS VOLANTES</v>
      </c>
      <c r="F710" s="6">
        <v>33.680507659912102</v>
      </c>
      <c r="G710" s="6">
        <v>33.787220001220703</v>
      </c>
      <c r="H710" s="6">
        <v>33.835594177246101</v>
      </c>
      <c r="I710" s="6">
        <v>33.836795806884801</v>
      </c>
      <c r="J710" s="6">
        <v>33.857154846191399</v>
      </c>
      <c r="K710" s="6">
        <v>33.887645721435597</v>
      </c>
      <c r="L710" s="6">
        <v>35.115791320800803</v>
      </c>
    </row>
    <row r="711" spans="1:12" x14ac:dyDescent="0.25">
      <c r="A711">
        <v>2923035</v>
      </c>
      <c r="B711" t="str">
        <f t="shared" si="11"/>
        <v>NOVO HORIZONTE, BA, Brasil</v>
      </c>
      <c r="C711" s="4" t="str">
        <f>_xlfn.XLOOKUP(A711,[1]!DadosGHD[CD_GEOCMU],[1]!DadosGHD[Região])</f>
        <v>NE</v>
      </c>
      <c r="D711" s="4" t="str">
        <f>_xlfn.XLOOKUP(A711,[1]!DadosGHD[CD_GEOCMU],[1]!DadosGHD[uf])</f>
        <v>BA</v>
      </c>
      <c r="E711" s="5" t="str">
        <f>_xlfn.XLOOKUP(A711,[1]!DadosGHD[CD_GEOCMU],[1]!DadosGHD[MUNICIPIO])</f>
        <v>NOVO HORIZONTE</v>
      </c>
      <c r="F711" s="6">
        <v>33.680751800537102</v>
      </c>
      <c r="G711" s="6">
        <v>28.923894882202202</v>
      </c>
      <c r="H711" s="6">
        <v>28.968763351440401</v>
      </c>
      <c r="I711" s="6">
        <v>38.783599853515597</v>
      </c>
      <c r="J711" s="6">
        <v>43.801364898681598</v>
      </c>
      <c r="K711" s="6">
        <v>28.977005004882798</v>
      </c>
      <c r="L711" s="6">
        <v>26.2798957824707</v>
      </c>
    </row>
    <row r="712" spans="1:12" x14ac:dyDescent="0.25">
      <c r="A712">
        <v>2201101</v>
      </c>
      <c r="B712" t="str">
        <f t="shared" si="11"/>
        <v>AVELINO LOPES, PI, Brasil</v>
      </c>
      <c r="C712" s="4" t="str">
        <f>_xlfn.XLOOKUP(A712,[1]!DadosGHD[CD_GEOCMU],[1]!DadosGHD[Região])</f>
        <v>NE</v>
      </c>
      <c r="D712" s="4" t="str">
        <f>_xlfn.XLOOKUP(A712,[1]!DadosGHD[CD_GEOCMU],[1]!DadosGHD[uf])</f>
        <v>PI</v>
      </c>
      <c r="E712" s="5" t="str">
        <f>_xlfn.XLOOKUP(A712,[1]!DadosGHD[CD_GEOCMU],[1]!DadosGHD[MUNICIPIO])</f>
        <v>AVELINO LOPES</v>
      </c>
      <c r="F712" s="6">
        <v>33.680866241455099</v>
      </c>
      <c r="G712" s="6">
        <v>28.925477981567401</v>
      </c>
      <c r="H712" s="6">
        <v>28.9610271453857</v>
      </c>
      <c r="I712" s="6">
        <v>28.941089630126999</v>
      </c>
      <c r="J712" s="6">
        <v>28.9558200836182</v>
      </c>
      <c r="K712" s="6">
        <v>28.982854843139702</v>
      </c>
      <c r="L712" s="6">
        <v>26.2798957824707</v>
      </c>
    </row>
    <row r="713" spans="1:12" x14ac:dyDescent="0.25">
      <c r="A713">
        <v>2305902</v>
      </c>
      <c r="B713" t="str">
        <f t="shared" si="11"/>
        <v>IPUEIRAS, CE, Brasil</v>
      </c>
      <c r="C713" s="4" t="str">
        <f>_xlfn.XLOOKUP(A713,[1]!DadosGHD[CD_GEOCMU],[1]!DadosGHD[Região])</f>
        <v>NE</v>
      </c>
      <c r="D713" s="4" t="str">
        <f>_xlfn.XLOOKUP(A713,[1]!DadosGHD[CD_GEOCMU],[1]!DadosGHD[uf])</f>
        <v>CE</v>
      </c>
      <c r="E713" s="5" t="str">
        <f>_xlfn.XLOOKUP(A713,[1]!DadosGHD[CD_GEOCMU],[1]!DadosGHD[MUNICIPIO])</f>
        <v>IPUEIRAS</v>
      </c>
      <c r="F713" s="6">
        <v>33.680923461914098</v>
      </c>
      <c r="G713" s="6">
        <v>28.933595657348601</v>
      </c>
      <c r="H713" s="6">
        <v>33.833103179931598</v>
      </c>
      <c r="I713" s="6">
        <v>33.844966888427699</v>
      </c>
      <c r="J713" s="6">
        <v>33.856376647949197</v>
      </c>
      <c r="K713" s="6">
        <v>33.891796112060597</v>
      </c>
      <c r="L713" s="6">
        <v>35.142536163330099</v>
      </c>
    </row>
    <row r="714" spans="1:12" x14ac:dyDescent="0.25">
      <c r="A714">
        <v>2107357</v>
      </c>
      <c r="B714" t="str">
        <f t="shared" si="11"/>
        <v>NOVA OLINDA DO MARANHAO, MA, Brasil</v>
      </c>
      <c r="C714" s="4" t="str">
        <f>_xlfn.XLOOKUP(A714,[1]!DadosGHD[CD_GEOCMU],[1]!DadosGHD[Região])</f>
        <v>NE</v>
      </c>
      <c r="D714" s="4" t="str">
        <f>_xlfn.XLOOKUP(A714,[1]!DadosGHD[CD_GEOCMU],[1]!DadosGHD[uf])</f>
        <v>MA</v>
      </c>
      <c r="E714" s="5" t="str">
        <f>_xlfn.XLOOKUP(A714,[1]!DadosGHD[CD_GEOCMU],[1]!DadosGHD[MUNICIPIO])</f>
        <v>NOVA OLINDA DO MARANHAO</v>
      </c>
      <c r="F714" s="6">
        <v>33.681137084960902</v>
      </c>
      <c r="G714" s="6">
        <v>28.9243564605713</v>
      </c>
      <c r="H714" s="6">
        <v>28.955513000488299</v>
      </c>
      <c r="I714" s="6">
        <v>28.925045013427699</v>
      </c>
      <c r="J714" s="6">
        <v>28.9409065246582</v>
      </c>
      <c r="K714" s="6">
        <v>28.9686679840088</v>
      </c>
      <c r="L714" s="6">
        <v>30.7029724121094</v>
      </c>
    </row>
    <row r="715" spans="1:12" x14ac:dyDescent="0.25">
      <c r="A715">
        <v>2309409</v>
      </c>
      <c r="B715" t="str">
        <f t="shared" si="11"/>
        <v>NOVO ORIENTE, CE, Brasil</v>
      </c>
      <c r="C715" s="4" t="str">
        <f>_xlfn.XLOOKUP(A715,[1]!DadosGHD[CD_GEOCMU],[1]!DadosGHD[Região])</f>
        <v>NE</v>
      </c>
      <c r="D715" s="4" t="str">
        <f>_xlfn.XLOOKUP(A715,[1]!DadosGHD[CD_GEOCMU],[1]!DadosGHD[uf])</f>
        <v>CE</v>
      </c>
      <c r="E715" s="5" t="str">
        <f>_xlfn.XLOOKUP(A715,[1]!DadosGHD[CD_GEOCMU],[1]!DadosGHD[MUNICIPIO])</f>
        <v>NOVO ORIENTE</v>
      </c>
      <c r="F715" s="6">
        <v>33.681411743164098</v>
      </c>
      <c r="G715" s="6">
        <v>28.9217834472656</v>
      </c>
      <c r="H715" s="6">
        <v>28.975339889526399</v>
      </c>
      <c r="I715" s="6">
        <v>33.818756103515597</v>
      </c>
      <c r="J715" s="6">
        <v>33.834865570068402</v>
      </c>
      <c r="K715" s="6">
        <v>33.888565063476598</v>
      </c>
      <c r="L715" s="6">
        <v>35.134227752685597</v>
      </c>
    </row>
    <row r="716" spans="1:12" x14ac:dyDescent="0.25">
      <c r="A716">
        <v>2610301</v>
      </c>
      <c r="B716" t="str">
        <f t="shared" si="11"/>
        <v>PARANATAMA, PE, Brasil</v>
      </c>
      <c r="C716" s="4" t="str">
        <f>_xlfn.XLOOKUP(A716,[1]!DadosGHD[CD_GEOCMU],[1]!DadosGHD[Região])</f>
        <v>NE</v>
      </c>
      <c r="D716" s="4" t="str">
        <f>_xlfn.XLOOKUP(A716,[1]!DadosGHD[CD_GEOCMU],[1]!DadosGHD[uf])</f>
        <v>PE</v>
      </c>
      <c r="E716" s="5" t="str">
        <f>_xlfn.XLOOKUP(A716,[1]!DadosGHD[CD_GEOCMU],[1]!DadosGHD[MUNICIPIO])</f>
        <v>PARANATAMA</v>
      </c>
      <c r="F716" s="6">
        <v>33.681411743164098</v>
      </c>
      <c r="G716" s="6">
        <v>28.925752639770501</v>
      </c>
      <c r="H716" s="6">
        <v>28.9590969085693</v>
      </c>
      <c r="I716" s="6">
        <v>28.943181991577202</v>
      </c>
      <c r="J716" s="6">
        <v>33.821399688720703</v>
      </c>
      <c r="K716" s="6">
        <v>33.877395629882798</v>
      </c>
      <c r="L716" s="6">
        <v>30.7079887390137</v>
      </c>
    </row>
    <row r="717" spans="1:12" x14ac:dyDescent="0.25">
      <c r="A717">
        <v>4305835</v>
      </c>
      <c r="B717" t="str">
        <f t="shared" si="11"/>
        <v>COQUEIRO BAIXO, RS, Brasil</v>
      </c>
      <c r="C717" s="4" t="str">
        <f>_xlfn.XLOOKUP(A717,[1]!DadosGHD[CD_GEOCMU],[1]!DadosGHD[Região])</f>
        <v>SL</v>
      </c>
      <c r="D717" s="4" t="str">
        <f>_xlfn.XLOOKUP(A717,[1]!DadosGHD[CD_GEOCMU],[1]!DadosGHD[uf])</f>
        <v>RS</v>
      </c>
      <c r="E717" s="5" t="str">
        <f>_xlfn.XLOOKUP(A717,[1]!DadosGHD[CD_GEOCMU],[1]!DadosGHD[MUNICIPIO])</f>
        <v>COQUEIRO BAIXO</v>
      </c>
      <c r="F717" s="6">
        <v>33.6815185546875</v>
      </c>
      <c r="G717" s="6">
        <v>43.657196044921903</v>
      </c>
      <c r="H717" s="6">
        <v>38.846271514892599</v>
      </c>
      <c r="I717" s="6">
        <v>43.677677154541001</v>
      </c>
      <c r="J717" s="6">
        <v>38.844039916992202</v>
      </c>
      <c r="K717" s="6">
        <v>38.858070373535199</v>
      </c>
      <c r="L717" s="6">
        <v>30.7078666687012</v>
      </c>
    </row>
    <row r="718" spans="1:12" x14ac:dyDescent="0.25">
      <c r="A718">
        <v>2515104</v>
      </c>
      <c r="B718" t="str">
        <f t="shared" si="11"/>
        <v>SAO SEBASTIAO DE LAGOA DE ROCA, PB, Brasil</v>
      </c>
      <c r="C718" s="4" t="str">
        <f>_xlfn.XLOOKUP(A718,[1]!DadosGHD[CD_GEOCMU],[1]!DadosGHD[Região])</f>
        <v>NE</v>
      </c>
      <c r="D718" s="4" t="str">
        <f>_xlfn.XLOOKUP(A718,[1]!DadosGHD[CD_GEOCMU],[1]!DadosGHD[uf])</f>
        <v>PB</v>
      </c>
      <c r="E718" s="5" t="str">
        <f>_xlfn.XLOOKUP(A718,[1]!DadosGHD[CD_GEOCMU],[1]!DadosGHD[MUNICIPIO])</f>
        <v>SAO SEBASTIAO DE LAGOA DE ROCA</v>
      </c>
      <c r="F718" s="6">
        <v>33.681591033935597</v>
      </c>
      <c r="G718" s="6">
        <v>28.924152374267599</v>
      </c>
      <c r="H718" s="6">
        <v>28.976202011108398</v>
      </c>
      <c r="I718" s="6">
        <v>33.823287963867202</v>
      </c>
      <c r="J718" s="6">
        <v>33.8671264648438</v>
      </c>
      <c r="K718" s="6">
        <v>33.908000946044901</v>
      </c>
      <c r="L718" s="6">
        <v>35.145999908447301</v>
      </c>
    </row>
    <row r="719" spans="1:12" x14ac:dyDescent="0.25">
      <c r="A719">
        <v>2902401</v>
      </c>
      <c r="B719" t="str">
        <f t="shared" si="11"/>
        <v>AURELINO LEAL, BA, Brasil</v>
      </c>
      <c r="C719" s="4" t="str">
        <f>_xlfn.XLOOKUP(A719,[1]!DadosGHD[CD_GEOCMU],[1]!DadosGHD[Região])</f>
        <v>NE</v>
      </c>
      <c r="D719" s="4" t="str">
        <f>_xlfn.XLOOKUP(A719,[1]!DadosGHD[CD_GEOCMU],[1]!DadosGHD[uf])</f>
        <v>BA</v>
      </c>
      <c r="E719" s="5" t="str">
        <f>_xlfn.XLOOKUP(A719,[1]!DadosGHD[CD_GEOCMU],[1]!DadosGHD[MUNICIPIO])</f>
        <v>AURELINO LEAL</v>
      </c>
      <c r="F719" s="6">
        <v>33.681777954101598</v>
      </c>
      <c r="G719" s="6">
        <v>28.929845809936499</v>
      </c>
      <c r="H719" s="6">
        <v>28.972349166870099</v>
      </c>
      <c r="I719" s="6">
        <v>28.960229873657202</v>
      </c>
      <c r="J719" s="6">
        <v>33.811008453369098</v>
      </c>
      <c r="K719" s="6">
        <v>29.0023708343506</v>
      </c>
      <c r="L719" s="6">
        <v>30.683652877807599</v>
      </c>
    </row>
    <row r="720" spans="1:12" x14ac:dyDescent="0.25">
      <c r="A720">
        <v>2606101</v>
      </c>
      <c r="B720" t="str">
        <f t="shared" si="11"/>
        <v>GLORIA DO GOITA, PE, Brasil</v>
      </c>
      <c r="C720" s="4" t="str">
        <f>_xlfn.XLOOKUP(A720,[1]!DadosGHD[CD_GEOCMU],[1]!DadosGHD[Região])</f>
        <v>NE</v>
      </c>
      <c r="D720" s="4" t="str">
        <f>_xlfn.XLOOKUP(A720,[1]!DadosGHD[CD_GEOCMU],[1]!DadosGHD[uf])</f>
        <v>PE</v>
      </c>
      <c r="E720" s="5" t="str">
        <f>_xlfn.XLOOKUP(A720,[1]!DadosGHD[CD_GEOCMU],[1]!DadosGHD[MUNICIPIO])</f>
        <v>GLORIA DO GOITA</v>
      </c>
      <c r="F720" s="6">
        <v>33.681785583496101</v>
      </c>
      <c r="G720" s="6">
        <v>28.923583984375</v>
      </c>
      <c r="H720" s="6">
        <v>28.944921493530298</v>
      </c>
      <c r="I720" s="6">
        <v>28.925951004028299</v>
      </c>
      <c r="J720" s="6">
        <v>28.944179534912099</v>
      </c>
      <c r="K720" s="6">
        <v>28.972095489501999</v>
      </c>
      <c r="L720" s="6">
        <v>26.2798957824707</v>
      </c>
    </row>
    <row r="721" spans="1:12" x14ac:dyDescent="0.25">
      <c r="A721">
        <v>2110104</v>
      </c>
      <c r="B721" t="str">
        <f t="shared" si="11"/>
        <v>SANTA QUITERIA DO MARANHAO, MA, Brasil</v>
      </c>
      <c r="C721" s="4" t="str">
        <f>_xlfn.XLOOKUP(A721,[1]!DadosGHD[CD_GEOCMU],[1]!DadosGHD[Região])</f>
        <v>NE</v>
      </c>
      <c r="D721" s="4" t="str">
        <f>_xlfn.XLOOKUP(A721,[1]!DadosGHD[CD_GEOCMU],[1]!DadosGHD[uf])</f>
        <v>MA</v>
      </c>
      <c r="E721" s="5" t="str">
        <f>_xlfn.XLOOKUP(A721,[1]!DadosGHD[CD_GEOCMU],[1]!DadosGHD[MUNICIPIO])</f>
        <v>SANTA QUITERIA DO MARANHAO</v>
      </c>
      <c r="F721" s="6">
        <v>33.681793212890597</v>
      </c>
      <c r="G721" s="6">
        <v>28.928848266601602</v>
      </c>
      <c r="H721" s="6">
        <v>28.9648036956787</v>
      </c>
      <c r="I721" s="6">
        <v>28.949525833129901</v>
      </c>
      <c r="J721" s="6">
        <v>28.9662685394287</v>
      </c>
      <c r="K721" s="6">
        <v>28.986854553222699</v>
      </c>
      <c r="L721" s="6">
        <v>26.2993488311768</v>
      </c>
    </row>
    <row r="722" spans="1:12" x14ac:dyDescent="0.25">
      <c r="A722">
        <v>2508307</v>
      </c>
      <c r="B722" t="str">
        <f t="shared" si="11"/>
        <v>LAGOA SECA, PB, Brasil</v>
      </c>
      <c r="C722" s="4" t="str">
        <f>_xlfn.XLOOKUP(A722,[1]!DadosGHD[CD_GEOCMU],[1]!DadosGHD[Região])</f>
        <v>NE</v>
      </c>
      <c r="D722" s="4" t="str">
        <f>_xlfn.XLOOKUP(A722,[1]!DadosGHD[CD_GEOCMU],[1]!DadosGHD[uf])</f>
        <v>PB</v>
      </c>
      <c r="E722" s="5" t="str">
        <f>_xlfn.XLOOKUP(A722,[1]!DadosGHD[CD_GEOCMU],[1]!DadosGHD[MUNICIPIO])</f>
        <v>LAGOA SECA</v>
      </c>
      <c r="F722" s="6">
        <v>33.681911468505902</v>
      </c>
      <c r="G722" s="6">
        <v>28.927665710449201</v>
      </c>
      <c r="H722" s="6">
        <v>28.9648246765137</v>
      </c>
      <c r="I722" s="6">
        <v>33.808822631835902</v>
      </c>
      <c r="J722" s="6">
        <v>33.870700836181598</v>
      </c>
      <c r="K722" s="6">
        <v>38.828926086425803</v>
      </c>
      <c r="L722" s="6">
        <v>39.612155914306598</v>
      </c>
    </row>
    <row r="723" spans="1:12" x14ac:dyDescent="0.25">
      <c r="A723">
        <v>2300101</v>
      </c>
      <c r="B723" t="str">
        <f t="shared" si="11"/>
        <v>ABAIARA, CE, Brasil</v>
      </c>
      <c r="C723" s="4" t="str">
        <f>_xlfn.XLOOKUP(A723,[1]!DadosGHD[CD_GEOCMU],[1]!DadosGHD[Região])</f>
        <v>NE</v>
      </c>
      <c r="D723" s="4" t="str">
        <f>_xlfn.XLOOKUP(A723,[1]!DadosGHD[CD_GEOCMU],[1]!DadosGHD[uf])</f>
        <v>CE</v>
      </c>
      <c r="E723" s="5" t="str">
        <f>_xlfn.XLOOKUP(A723,[1]!DadosGHD[CD_GEOCMU],[1]!DadosGHD[MUNICIPIO])</f>
        <v>ABAIARA</v>
      </c>
      <c r="F723" s="6">
        <v>33.682369232177699</v>
      </c>
      <c r="G723" s="6">
        <v>28.9279270172119</v>
      </c>
      <c r="H723" s="6">
        <v>28.960979461669901</v>
      </c>
      <c r="I723" s="6">
        <v>28.945976257324201</v>
      </c>
      <c r="J723" s="6">
        <v>28.958753585815401</v>
      </c>
      <c r="K723" s="6">
        <v>33.862174987792997</v>
      </c>
      <c r="L723" s="6">
        <v>30.687303543090799</v>
      </c>
    </row>
    <row r="724" spans="1:12" x14ac:dyDescent="0.25">
      <c r="A724">
        <v>2102200</v>
      </c>
      <c r="B724" t="str">
        <f t="shared" si="11"/>
        <v>BURITI, MA, Brasil</v>
      </c>
      <c r="C724" s="4" t="str">
        <f>_xlfn.XLOOKUP(A724,[1]!DadosGHD[CD_GEOCMU],[1]!DadosGHD[Região])</f>
        <v>NE</v>
      </c>
      <c r="D724" s="4" t="str">
        <f>_xlfn.XLOOKUP(A724,[1]!DadosGHD[CD_GEOCMU],[1]!DadosGHD[uf])</f>
        <v>MA</v>
      </c>
      <c r="E724" s="5" t="str">
        <f>_xlfn.XLOOKUP(A724,[1]!DadosGHD[CD_GEOCMU],[1]!DadosGHD[MUNICIPIO])</f>
        <v>BURITI</v>
      </c>
      <c r="F724" s="6">
        <v>33.682445526123097</v>
      </c>
      <c r="G724" s="6">
        <v>28.9306964874268</v>
      </c>
      <c r="H724" s="6">
        <v>28.964368820190401</v>
      </c>
      <c r="I724" s="6">
        <v>28.945997238159201</v>
      </c>
      <c r="J724" s="6">
        <v>28.9604682922363</v>
      </c>
      <c r="K724" s="6">
        <v>28.987699508666999</v>
      </c>
      <c r="L724" s="6">
        <v>44.0627632141113</v>
      </c>
    </row>
    <row r="725" spans="1:12" x14ac:dyDescent="0.25">
      <c r="A725">
        <v>2208205</v>
      </c>
      <c r="B725" t="str">
        <f t="shared" si="11"/>
        <v>PIO IX, PI, Brasil</v>
      </c>
      <c r="C725" s="4" t="str">
        <f>_xlfn.XLOOKUP(A725,[1]!DadosGHD[CD_GEOCMU],[1]!DadosGHD[Região])</f>
        <v>NE</v>
      </c>
      <c r="D725" s="4" t="str">
        <f>_xlfn.XLOOKUP(A725,[1]!DadosGHD[CD_GEOCMU],[1]!DadosGHD[uf])</f>
        <v>PI</v>
      </c>
      <c r="E725" s="5" t="str">
        <f>_xlfn.XLOOKUP(A725,[1]!DadosGHD[CD_GEOCMU],[1]!DadosGHD[MUNICIPIO])</f>
        <v>PIO IX</v>
      </c>
      <c r="F725" s="6">
        <v>33.682590484619098</v>
      </c>
      <c r="G725" s="6">
        <v>33.769317626953097</v>
      </c>
      <c r="H725" s="6">
        <v>33.817966461181598</v>
      </c>
      <c r="I725" s="6">
        <v>33.803142547607401</v>
      </c>
      <c r="J725" s="6">
        <v>28.975378036498999</v>
      </c>
      <c r="K725" s="6">
        <v>29.002052307128899</v>
      </c>
      <c r="L725" s="6">
        <v>30.7064514160156</v>
      </c>
    </row>
    <row r="726" spans="1:12" x14ac:dyDescent="0.25">
      <c r="A726">
        <v>1503408</v>
      </c>
      <c r="B726" t="str">
        <f t="shared" si="11"/>
        <v>INHANGAPI, PA, Brasil</v>
      </c>
      <c r="C726" s="4" t="str">
        <f>_xlfn.XLOOKUP(A726,[1]!DadosGHD[CD_GEOCMU],[1]!DadosGHD[Região])</f>
        <v>NO</v>
      </c>
      <c r="D726" s="4" t="str">
        <f>_xlfn.XLOOKUP(A726,[1]!DadosGHD[CD_GEOCMU],[1]!DadosGHD[uf])</f>
        <v>PA</v>
      </c>
      <c r="E726" s="5" t="str">
        <f>_xlfn.XLOOKUP(A726,[1]!DadosGHD[CD_GEOCMU],[1]!DadosGHD[MUNICIPIO])</f>
        <v>INHANGAPI</v>
      </c>
      <c r="F726" s="6">
        <v>33.682872772216797</v>
      </c>
      <c r="G726" s="6">
        <v>28.926063537597699</v>
      </c>
      <c r="H726" s="6">
        <v>28.958694458007798</v>
      </c>
      <c r="I726" s="6">
        <v>28.939008712768601</v>
      </c>
      <c r="J726" s="6">
        <v>28.953229904174801</v>
      </c>
      <c r="K726" s="6">
        <v>33.856880187988303</v>
      </c>
      <c r="L726" s="6">
        <v>26.289594650268601</v>
      </c>
    </row>
    <row r="727" spans="1:12" x14ac:dyDescent="0.25">
      <c r="A727">
        <v>2901502</v>
      </c>
      <c r="B727" t="str">
        <f t="shared" si="11"/>
        <v>ANGUERA, BA, Brasil</v>
      </c>
      <c r="C727" s="4" t="str">
        <f>_xlfn.XLOOKUP(A727,[1]!DadosGHD[CD_GEOCMU],[1]!DadosGHD[Região])</f>
        <v>NE</v>
      </c>
      <c r="D727" s="4" t="str">
        <f>_xlfn.XLOOKUP(A727,[1]!DadosGHD[CD_GEOCMU],[1]!DadosGHD[uf])</f>
        <v>BA</v>
      </c>
      <c r="E727" s="5" t="str">
        <f>_xlfn.XLOOKUP(A727,[1]!DadosGHD[CD_GEOCMU],[1]!DadosGHD[MUNICIPIO])</f>
        <v>ANGUERA</v>
      </c>
      <c r="F727" s="6">
        <v>33.683006286621101</v>
      </c>
      <c r="G727" s="6">
        <v>28.9255886077881</v>
      </c>
      <c r="H727" s="6">
        <v>28.970056533813501</v>
      </c>
      <c r="I727" s="6">
        <v>28.957441329956101</v>
      </c>
      <c r="J727" s="6">
        <v>28.971900939941399</v>
      </c>
      <c r="K727" s="6">
        <v>28.988674163818398</v>
      </c>
      <c r="L727" s="6">
        <v>26.2798957824707</v>
      </c>
    </row>
    <row r="728" spans="1:12" x14ac:dyDescent="0.25">
      <c r="A728">
        <v>2900504</v>
      </c>
      <c r="B728" t="str">
        <f t="shared" si="11"/>
        <v>ERICO CARDOSO, BA, Brasil</v>
      </c>
      <c r="C728" s="4" t="str">
        <f>_xlfn.XLOOKUP(A728,[1]!DadosGHD[CD_GEOCMU],[1]!DadosGHD[Região])</f>
        <v>NE</v>
      </c>
      <c r="D728" s="4" t="str">
        <f>_xlfn.XLOOKUP(A728,[1]!DadosGHD[CD_GEOCMU],[1]!DadosGHD[uf])</f>
        <v>BA</v>
      </c>
      <c r="E728" s="5" t="str">
        <f>_xlfn.XLOOKUP(A728,[1]!DadosGHD[CD_GEOCMU],[1]!DadosGHD[MUNICIPIO])</f>
        <v>ERICO CARDOSO</v>
      </c>
      <c r="F728" s="6">
        <v>33.683040618896499</v>
      </c>
      <c r="G728" s="6">
        <v>28.9269828796387</v>
      </c>
      <c r="H728" s="6">
        <v>28.963478088378899</v>
      </c>
      <c r="I728" s="6">
        <v>28.9447841644287</v>
      </c>
      <c r="J728" s="6">
        <v>28.959985733032202</v>
      </c>
      <c r="K728" s="6">
        <v>28.987472534179702</v>
      </c>
      <c r="L728" s="6">
        <v>26.2798957824707</v>
      </c>
    </row>
    <row r="729" spans="1:12" x14ac:dyDescent="0.25">
      <c r="A729">
        <v>1507961</v>
      </c>
      <c r="B729" t="str">
        <f t="shared" si="11"/>
        <v>TERRA ALTA, PA, Brasil</v>
      </c>
      <c r="C729" s="4" t="str">
        <f>_xlfn.XLOOKUP(A729,[1]!DadosGHD[CD_GEOCMU],[1]!DadosGHD[Região])</f>
        <v>NO</v>
      </c>
      <c r="D729" s="4" t="str">
        <f>_xlfn.XLOOKUP(A729,[1]!DadosGHD[CD_GEOCMU],[1]!DadosGHD[uf])</f>
        <v>PA</v>
      </c>
      <c r="E729" s="5" t="str">
        <f>_xlfn.XLOOKUP(A729,[1]!DadosGHD[CD_GEOCMU],[1]!DadosGHD[MUNICIPIO])</f>
        <v>TERRA ALTA</v>
      </c>
      <c r="F729" s="6">
        <v>33.683238983154297</v>
      </c>
      <c r="G729" s="6">
        <v>28.928031921386701</v>
      </c>
      <c r="H729" s="6">
        <v>28.965490341186499</v>
      </c>
      <c r="I729" s="6">
        <v>33.792922973632798</v>
      </c>
      <c r="J729" s="6">
        <v>28.973089218139702</v>
      </c>
      <c r="K729" s="6">
        <v>28.998044967651399</v>
      </c>
      <c r="L729" s="6">
        <v>26.294328689575199</v>
      </c>
    </row>
    <row r="730" spans="1:12" x14ac:dyDescent="0.25">
      <c r="A730">
        <v>2310258</v>
      </c>
      <c r="B730" t="str">
        <f t="shared" si="11"/>
        <v>PARAIPABA, CE, Brasil</v>
      </c>
      <c r="C730" s="4" t="str">
        <f>_xlfn.XLOOKUP(A730,[1]!DadosGHD[CD_GEOCMU],[1]!DadosGHD[Região])</f>
        <v>NE</v>
      </c>
      <c r="D730" s="4" t="str">
        <f>_xlfn.XLOOKUP(A730,[1]!DadosGHD[CD_GEOCMU],[1]!DadosGHD[uf])</f>
        <v>CE</v>
      </c>
      <c r="E730" s="5" t="str">
        <f>_xlfn.XLOOKUP(A730,[1]!DadosGHD[CD_GEOCMU],[1]!DadosGHD[MUNICIPIO])</f>
        <v>PARAIPABA</v>
      </c>
      <c r="F730" s="6">
        <v>33.683273315429702</v>
      </c>
      <c r="G730" s="6">
        <v>28.9163513183594</v>
      </c>
      <c r="H730" s="6">
        <v>28.945371627807599</v>
      </c>
      <c r="I730" s="6">
        <v>28.9354457855225</v>
      </c>
      <c r="J730" s="6">
        <v>28.964841842651399</v>
      </c>
      <c r="K730" s="6">
        <v>33.843723297119098</v>
      </c>
      <c r="L730" s="6">
        <v>35.1120796203613</v>
      </c>
    </row>
    <row r="731" spans="1:12" x14ac:dyDescent="0.25">
      <c r="A731">
        <v>2609402</v>
      </c>
      <c r="B731" t="str">
        <f t="shared" si="11"/>
        <v>MORENO, PE, Brasil</v>
      </c>
      <c r="C731" s="4" t="str">
        <f>_xlfn.XLOOKUP(A731,[1]!DadosGHD[CD_GEOCMU],[1]!DadosGHD[Região])</f>
        <v>NE</v>
      </c>
      <c r="D731" s="4" t="str">
        <f>_xlfn.XLOOKUP(A731,[1]!DadosGHD[CD_GEOCMU],[1]!DadosGHD[uf])</f>
        <v>PE</v>
      </c>
      <c r="E731" s="5" t="str">
        <f>_xlfn.XLOOKUP(A731,[1]!DadosGHD[CD_GEOCMU],[1]!DadosGHD[MUNICIPIO])</f>
        <v>MORENO</v>
      </c>
      <c r="F731" s="6">
        <v>33.683307647705099</v>
      </c>
      <c r="G731" s="6">
        <v>33.771366119384801</v>
      </c>
      <c r="H731" s="6">
        <v>33.819553375244098</v>
      </c>
      <c r="I731" s="6">
        <v>33.796730041503899</v>
      </c>
      <c r="J731" s="6">
        <v>28.972080230712901</v>
      </c>
      <c r="K731" s="6">
        <v>28.988847732543899</v>
      </c>
      <c r="L731" s="6">
        <v>30.6843147277832</v>
      </c>
    </row>
    <row r="732" spans="1:12" x14ac:dyDescent="0.25">
      <c r="A732">
        <v>4321477</v>
      </c>
      <c r="B732" t="str">
        <f t="shared" si="11"/>
        <v>TIRADENTES DO SUL, RS, Brasil</v>
      </c>
      <c r="C732" s="4" t="str">
        <f>_xlfn.XLOOKUP(A732,[1]!DadosGHD[CD_GEOCMU],[1]!DadosGHD[Região])</f>
        <v>SL</v>
      </c>
      <c r="D732" s="4" t="str">
        <f>_xlfn.XLOOKUP(A732,[1]!DadosGHD[CD_GEOCMU],[1]!DadosGHD[uf])</f>
        <v>RS</v>
      </c>
      <c r="E732" s="5" t="str">
        <f>_xlfn.XLOOKUP(A732,[1]!DadosGHD[CD_GEOCMU],[1]!DadosGHD[MUNICIPIO])</f>
        <v>TIRADENTES DO SUL</v>
      </c>
      <c r="F732" s="6">
        <v>33.683429718017599</v>
      </c>
      <c r="G732" s="6">
        <v>38.692878723144503</v>
      </c>
      <c r="H732" s="6">
        <v>38.795585632324197</v>
      </c>
      <c r="I732" s="6">
        <v>38.769660949707003</v>
      </c>
      <c r="J732" s="6">
        <v>38.788455963134801</v>
      </c>
      <c r="K732" s="6">
        <v>38.794471740722699</v>
      </c>
      <c r="L732" s="6">
        <v>30.7130012512207</v>
      </c>
    </row>
    <row r="733" spans="1:12" x14ac:dyDescent="0.25">
      <c r="A733">
        <v>2105963</v>
      </c>
      <c r="B733" t="str">
        <f t="shared" si="11"/>
        <v>LAGOA GRANDE DO MARANHAO, MA, Brasil</v>
      </c>
      <c r="C733" s="4" t="str">
        <f>_xlfn.XLOOKUP(A733,[1]!DadosGHD[CD_GEOCMU],[1]!DadosGHD[Região])</f>
        <v>NE</v>
      </c>
      <c r="D733" s="4" t="str">
        <f>_xlfn.XLOOKUP(A733,[1]!DadosGHD[CD_GEOCMU],[1]!DadosGHD[uf])</f>
        <v>MA</v>
      </c>
      <c r="E733" s="5" t="str">
        <f>_xlfn.XLOOKUP(A733,[1]!DadosGHD[CD_GEOCMU],[1]!DadosGHD[MUNICIPIO])</f>
        <v>LAGOA GRANDE DO MARANHAO</v>
      </c>
      <c r="F733" s="6">
        <v>33.683578491210902</v>
      </c>
      <c r="G733" s="6">
        <v>28.926591873168899</v>
      </c>
      <c r="H733" s="6">
        <v>28.960233688354499</v>
      </c>
      <c r="I733" s="6">
        <v>28.944868087768601</v>
      </c>
      <c r="J733" s="6">
        <v>33.820285797119098</v>
      </c>
      <c r="K733" s="6">
        <v>28.9819946289063</v>
      </c>
      <c r="L733" s="6">
        <v>26.2798957824707</v>
      </c>
    </row>
    <row r="734" spans="1:12" x14ac:dyDescent="0.25">
      <c r="A734">
        <v>2516607</v>
      </c>
      <c r="B734" t="str">
        <f t="shared" si="11"/>
        <v>TAVARES, PB, Brasil</v>
      </c>
      <c r="C734" s="4" t="str">
        <f>_xlfn.XLOOKUP(A734,[1]!DadosGHD[CD_GEOCMU],[1]!DadosGHD[Região])</f>
        <v>NE</v>
      </c>
      <c r="D734" s="4" t="str">
        <f>_xlfn.XLOOKUP(A734,[1]!DadosGHD[CD_GEOCMU],[1]!DadosGHD[uf])</f>
        <v>PB</v>
      </c>
      <c r="E734" s="5" t="str">
        <f>_xlfn.XLOOKUP(A734,[1]!DadosGHD[CD_GEOCMU],[1]!DadosGHD[MUNICIPIO])</f>
        <v>TAVARES</v>
      </c>
      <c r="F734" s="6">
        <v>33.683628082275398</v>
      </c>
      <c r="G734" s="6">
        <v>33.767532348632798</v>
      </c>
      <c r="H734" s="6">
        <v>33.867622375488303</v>
      </c>
      <c r="I734" s="6">
        <v>33.849597930908203</v>
      </c>
      <c r="J734" s="6">
        <v>33.866466522216797</v>
      </c>
      <c r="K734" s="6">
        <v>33.925514221191399</v>
      </c>
      <c r="L734" s="6">
        <v>35.148036956787102</v>
      </c>
    </row>
    <row r="735" spans="1:12" x14ac:dyDescent="0.25">
      <c r="A735">
        <v>2804201</v>
      </c>
      <c r="B735" t="str">
        <f t="shared" si="11"/>
        <v>MONTE ALEGRE DE SERGIPE, SE, Brasil</v>
      </c>
      <c r="C735" s="4" t="str">
        <f>_xlfn.XLOOKUP(A735,[1]!DadosGHD[CD_GEOCMU],[1]!DadosGHD[Região])</f>
        <v>NE</v>
      </c>
      <c r="D735" s="4" t="str">
        <f>_xlfn.XLOOKUP(A735,[1]!DadosGHD[CD_GEOCMU],[1]!DadosGHD[uf])</f>
        <v>SE</v>
      </c>
      <c r="E735" s="5" t="str">
        <f>_xlfn.XLOOKUP(A735,[1]!DadosGHD[CD_GEOCMU],[1]!DadosGHD[MUNICIPIO])</f>
        <v>MONTE ALEGRE DE SERGIPE</v>
      </c>
      <c r="F735" s="6">
        <v>33.683635711669901</v>
      </c>
      <c r="G735" s="6">
        <v>28.932935714721701</v>
      </c>
      <c r="H735" s="6">
        <v>28.973445892333999</v>
      </c>
      <c r="I735" s="6">
        <v>28.946376800537099</v>
      </c>
      <c r="J735" s="6">
        <v>28.9724731445313</v>
      </c>
      <c r="K735" s="6">
        <v>28.9687824249268</v>
      </c>
      <c r="L735" s="6">
        <v>26.286443710327202</v>
      </c>
    </row>
    <row r="736" spans="1:12" x14ac:dyDescent="0.25">
      <c r="A736">
        <v>4118857</v>
      </c>
      <c r="B736" t="str">
        <f t="shared" si="11"/>
        <v>PEROBAL, PR, Brasil</v>
      </c>
      <c r="C736" s="4" t="str">
        <f>_xlfn.XLOOKUP(A736,[1]!DadosGHD[CD_GEOCMU],[1]!DadosGHD[Região])</f>
        <v>SL</v>
      </c>
      <c r="D736" s="4" t="str">
        <f>_xlfn.XLOOKUP(A736,[1]!DadosGHD[CD_GEOCMU],[1]!DadosGHD[uf])</f>
        <v>PR</v>
      </c>
      <c r="E736" s="5" t="str">
        <f>_xlfn.XLOOKUP(A736,[1]!DadosGHD[CD_GEOCMU],[1]!DadosGHD[MUNICIPIO])</f>
        <v>PEROBAL</v>
      </c>
      <c r="F736" s="6">
        <v>33.683738708496101</v>
      </c>
      <c r="G736" s="6">
        <v>38.701156616210902</v>
      </c>
      <c r="H736" s="6">
        <v>43.723281860351598</v>
      </c>
      <c r="I736" s="6">
        <v>43.749717712402301</v>
      </c>
      <c r="J736" s="6">
        <v>43.735630035400398</v>
      </c>
      <c r="K736" s="6">
        <v>43.8095092773438</v>
      </c>
      <c r="L736" s="6">
        <v>44.047573089599602</v>
      </c>
    </row>
    <row r="737" spans="1:12" x14ac:dyDescent="0.25">
      <c r="A737">
        <v>2107506</v>
      </c>
      <c r="B737" t="str">
        <f t="shared" si="11"/>
        <v>PACO DO LUMIAR, MA, Brasil</v>
      </c>
      <c r="C737" s="4" t="str">
        <f>_xlfn.XLOOKUP(A737,[1]!DadosGHD[CD_GEOCMU],[1]!DadosGHD[Região])</f>
        <v>NE</v>
      </c>
      <c r="D737" s="4" t="str">
        <f>_xlfn.XLOOKUP(A737,[1]!DadosGHD[CD_GEOCMU],[1]!DadosGHD[uf])</f>
        <v>MA</v>
      </c>
      <c r="E737" s="5" t="str">
        <f>_xlfn.XLOOKUP(A737,[1]!DadosGHD[CD_GEOCMU],[1]!DadosGHD[MUNICIPIO])</f>
        <v>PACO DO LUMIAR</v>
      </c>
      <c r="F737" s="6">
        <v>33.683769226074197</v>
      </c>
      <c r="G737" s="6">
        <v>33.774356842041001</v>
      </c>
      <c r="H737" s="6">
        <v>33.823932647705099</v>
      </c>
      <c r="I737" s="6">
        <v>33.821163177490199</v>
      </c>
      <c r="J737" s="6">
        <v>33.846786499023402</v>
      </c>
      <c r="K737" s="6">
        <v>33.865940093994098</v>
      </c>
      <c r="L737" s="6">
        <v>57.589881896972699</v>
      </c>
    </row>
    <row r="738" spans="1:12" x14ac:dyDescent="0.25">
      <c r="A738">
        <v>2202133</v>
      </c>
      <c r="B738" t="str">
        <f t="shared" si="11"/>
        <v>CAMPO GRANDE DO PIAUI, PI, Brasil</v>
      </c>
      <c r="C738" s="4" t="str">
        <f>_xlfn.XLOOKUP(A738,[1]!DadosGHD[CD_GEOCMU],[1]!DadosGHD[Região])</f>
        <v>NE</v>
      </c>
      <c r="D738" s="4" t="str">
        <f>_xlfn.XLOOKUP(A738,[1]!DadosGHD[CD_GEOCMU],[1]!DadosGHD[uf])</f>
        <v>PI</v>
      </c>
      <c r="E738" s="5" t="str">
        <f>_xlfn.XLOOKUP(A738,[1]!DadosGHD[CD_GEOCMU],[1]!DadosGHD[MUNICIPIO])</f>
        <v>CAMPO GRANDE DO PIAUI</v>
      </c>
      <c r="F738" s="6">
        <v>33.683864593505902</v>
      </c>
      <c r="G738" s="6">
        <v>28.908496856689499</v>
      </c>
      <c r="H738" s="6">
        <v>28.942651748657202</v>
      </c>
      <c r="I738" s="6">
        <v>28.925045013427699</v>
      </c>
      <c r="J738" s="6">
        <v>28.9409065246582</v>
      </c>
      <c r="K738" s="6">
        <v>28.9686679840088</v>
      </c>
      <c r="L738" s="6">
        <v>26.280321121215799</v>
      </c>
    </row>
    <row r="739" spans="1:12" x14ac:dyDescent="0.25">
      <c r="A739">
        <v>2921054</v>
      </c>
      <c r="B739" t="str">
        <f t="shared" si="11"/>
        <v>MATINA, BA, Brasil</v>
      </c>
      <c r="C739" s="4" t="str">
        <f>_xlfn.XLOOKUP(A739,[1]!DadosGHD[CD_GEOCMU],[1]!DadosGHD[Região])</f>
        <v>NE</v>
      </c>
      <c r="D739" s="4" t="str">
        <f>_xlfn.XLOOKUP(A739,[1]!DadosGHD[CD_GEOCMU],[1]!DadosGHD[uf])</f>
        <v>BA</v>
      </c>
      <c r="E739" s="5" t="str">
        <f>_xlfn.XLOOKUP(A739,[1]!DadosGHD[CD_GEOCMU],[1]!DadosGHD[MUNICIPIO])</f>
        <v>MATINA</v>
      </c>
      <c r="F739" s="6">
        <v>33.683933258056598</v>
      </c>
      <c r="G739" s="6">
        <v>33.774368286132798</v>
      </c>
      <c r="H739" s="6">
        <v>33.8153686523438</v>
      </c>
      <c r="I739" s="6">
        <v>28.957117080688501</v>
      </c>
      <c r="J739" s="6">
        <v>28.9513454437256</v>
      </c>
      <c r="K739" s="6">
        <v>28.995588302612301</v>
      </c>
      <c r="L739" s="6">
        <v>30.705263137817401</v>
      </c>
    </row>
    <row r="740" spans="1:12" x14ac:dyDescent="0.25">
      <c r="A740">
        <v>1507102</v>
      </c>
      <c r="B740" t="str">
        <f t="shared" si="11"/>
        <v>SAO CAETANO DE ODIVELAS, PA, Brasil</v>
      </c>
      <c r="C740" s="4" t="str">
        <f>_xlfn.XLOOKUP(A740,[1]!DadosGHD[CD_GEOCMU],[1]!DadosGHD[Região])</f>
        <v>NO</v>
      </c>
      <c r="D740" s="4" t="str">
        <f>_xlfn.XLOOKUP(A740,[1]!DadosGHD[CD_GEOCMU],[1]!DadosGHD[uf])</f>
        <v>PA</v>
      </c>
      <c r="E740" s="5" t="str">
        <f>_xlfn.XLOOKUP(A740,[1]!DadosGHD[CD_GEOCMU],[1]!DadosGHD[MUNICIPIO])</f>
        <v>SAO CAETANO DE ODIVELAS</v>
      </c>
      <c r="F740" s="6">
        <v>33.683963775634801</v>
      </c>
      <c r="G740" s="6">
        <v>28.937650680541999</v>
      </c>
      <c r="H740" s="6">
        <v>28.9731349945068</v>
      </c>
      <c r="I740" s="6">
        <v>28.955772399902301</v>
      </c>
      <c r="J740" s="6">
        <v>28.972713470458999</v>
      </c>
      <c r="K740" s="6">
        <v>28.998563766479499</v>
      </c>
      <c r="L740" s="6">
        <v>30.685670852661101</v>
      </c>
    </row>
    <row r="741" spans="1:12" x14ac:dyDescent="0.25">
      <c r="A741">
        <v>2607950</v>
      </c>
      <c r="B741" t="str">
        <f t="shared" si="11"/>
        <v>JAQUEIRA, PE, Brasil</v>
      </c>
      <c r="C741" s="4" t="str">
        <f>_xlfn.XLOOKUP(A741,[1]!DadosGHD[CD_GEOCMU],[1]!DadosGHD[Região])</f>
        <v>NE</v>
      </c>
      <c r="D741" s="4" t="str">
        <f>_xlfn.XLOOKUP(A741,[1]!DadosGHD[CD_GEOCMU],[1]!DadosGHD[uf])</f>
        <v>PE</v>
      </c>
      <c r="E741" s="5" t="str">
        <f>_xlfn.XLOOKUP(A741,[1]!DadosGHD[CD_GEOCMU],[1]!DadosGHD[MUNICIPIO])</f>
        <v>JAQUEIRA</v>
      </c>
      <c r="F741" s="6">
        <v>33.684005737304702</v>
      </c>
      <c r="G741" s="6">
        <v>28.926160812377901</v>
      </c>
      <c r="H741" s="6">
        <v>28.959033966064499</v>
      </c>
      <c r="I741" s="6">
        <v>28.939271926879901</v>
      </c>
      <c r="J741" s="6">
        <v>28.955131530761701</v>
      </c>
      <c r="K741" s="6">
        <v>28.981521606445298</v>
      </c>
      <c r="L741" s="6">
        <v>26.2798957824707</v>
      </c>
    </row>
    <row r="742" spans="1:12" x14ac:dyDescent="0.25">
      <c r="A742">
        <v>2305654</v>
      </c>
      <c r="B742" t="str">
        <f t="shared" si="11"/>
        <v>IPAPORANGA, CE, Brasil</v>
      </c>
      <c r="C742" s="4" t="str">
        <f>_xlfn.XLOOKUP(A742,[1]!DadosGHD[CD_GEOCMU],[1]!DadosGHD[Região])</f>
        <v>NE</v>
      </c>
      <c r="D742" s="4" t="str">
        <f>_xlfn.XLOOKUP(A742,[1]!DadosGHD[CD_GEOCMU],[1]!DadosGHD[uf])</f>
        <v>CE</v>
      </c>
      <c r="E742" s="5" t="str">
        <f>_xlfn.XLOOKUP(A742,[1]!DadosGHD[CD_GEOCMU],[1]!DadosGHD[MUNICIPIO])</f>
        <v>IPAPORANGA</v>
      </c>
      <c r="F742" s="6">
        <v>33.684009552002003</v>
      </c>
      <c r="G742" s="6">
        <v>28.9317512512207</v>
      </c>
      <c r="H742" s="6">
        <v>28.963659286498999</v>
      </c>
      <c r="I742" s="6">
        <v>33.788578033447301</v>
      </c>
      <c r="J742" s="6">
        <v>33.890960693359403</v>
      </c>
      <c r="K742" s="6">
        <v>33.906730651855497</v>
      </c>
      <c r="L742" s="6">
        <v>39.5621948242188</v>
      </c>
    </row>
    <row r="743" spans="1:12" x14ac:dyDescent="0.25">
      <c r="A743">
        <v>2304954</v>
      </c>
      <c r="B743" t="str">
        <f t="shared" si="11"/>
        <v>GUAIUBA, CE, Brasil</v>
      </c>
      <c r="C743" s="4" t="str">
        <f>_xlfn.XLOOKUP(A743,[1]!DadosGHD[CD_GEOCMU],[1]!DadosGHD[Região])</f>
        <v>NE</v>
      </c>
      <c r="D743" s="4" t="str">
        <f>_xlfn.XLOOKUP(A743,[1]!DadosGHD[CD_GEOCMU],[1]!DadosGHD[uf])</f>
        <v>CE</v>
      </c>
      <c r="E743" s="5" t="str">
        <f>_xlfn.XLOOKUP(A743,[1]!DadosGHD[CD_GEOCMU],[1]!DadosGHD[MUNICIPIO])</f>
        <v>GUAIUBA</v>
      </c>
      <c r="F743" s="6">
        <v>33.684032440185597</v>
      </c>
      <c r="G743" s="6">
        <v>28.927173614501999</v>
      </c>
      <c r="H743" s="6">
        <v>28.958326339721701</v>
      </c>
      <c r="I743" s="6">
        <v>28.9463806152344</v>
      </c>
      <c r="J743" s="6">
        <v>33.879390716552699</v>
      </c>
      <c r="K743" s="6">
        <v>33.916465759277301</v>
      </c>
      <c r="L743" s="6">
        <v>44.046600341796903</v>
      </c>
    </row>
    <row r="744" spans="1:12" x14ac:dyDescent="0.25">
      <c r="A744">
        <v>2606606</v>
      </c>
      <c r="B744" t="str">
        <f t="shared" si="11"/>
        <v>IBIMIRIM, PE, Brasil</v>
      </c>
      <c r="C744" s="4" t="str">
        <f>_xlfn.XLOOKUP(A744,[1]!DadosGHD[CD_GEOCMU],[1]!DadosGHD[Região])</f>
        <v>NE</v>
      </c>
      <c r="D744" s="4" t="str">
        <f>_xlfn.XLOOKUP(A744,[1]!DadosGHD[CD_GEOCMU],[1]!DadosGHD[uf])</f>
        <v>PE</v>
      </c>
      <c r="E744" s="5" t="str">
        <f>_xlfn.XLOOKUP(A744,[1]!DadosGHD[CD_GEOCMU],[1]!DadosGHD[MUNICIPIO])</f>
        <v>IBIMIRIM</v>
      </c>
      <c r="F744" s="6">
        <v>33.684093475341797</v>
      </c>
      <c r="G744" s="6">
        <v>28.929418563842798</v>
      </c>
      <c r="H744" s="6">
        <v>28.9725437164307</v>
      </c>
      <c r="I744" s="6">
        <v>33.790596008300803</v>
      </c>
      <c r="J744" s="6">
        <v>33.813869476318402</v>
      </c>
      <c r="K744" s="6">
        <v>33.860725402832003</v>
      </c>
      <c r="L744" s="6">
        <v>30.7093505859375</v>
      </c>
    </row>
    <row r="745" spans="1:12" x14ac:dyDescent="0.25">
      <c r="A745">
        <v>2303204</v>
      </c>
      <c r="B745" t="str">
        <f t="shared" si="11"/>
        <v>CARIRIACU, CE, Brasil</v>
      </c>
      <c r="C745" s="4" t="str">
        <f>_xlfn.XLOOKUP(A745,[1]!DadosGHD[CD_GEOCMU],[1]!DadosGHD[Região])</f>
        <v>NE</v>
      </c>
      <c r="D745" s="4" t="str">
        <f>_xlfn.XLOOKUP(A745,[1]!DadosGHD[CD_GEOCMU],[1]!DadosGHD[uf])</f>
        <v>CE</v>
      </c>
      <c r="E745" s="5" t="str">
        <f>_xlfn.XLOOKUP(A745,[1]!DadosGHD[CD_GEOCMU],[1]!DadosGHD[MUNICIPIO])</f>
        <v>CARIRIACU</v>
      </c>
      <c r="F745" s="6">
        <v>33.684116363525398</v>
      </c>
      <c r="G745" s="6">
        <v>28.93776512146</v>
      </c>
      <c r="H745" s="6">
        <v>28.9673748016357</v>
      </c>
      <c r="I745" s="6">
        <v>28.9480686187744</v>
      </c>
      <c r="J745" s="6">
        <v>28.968034744262699</v>
      </c>
      <c r="K745" s="6">
        <v>28.9983425140381</v>
      </c>
      <c r="L745" s="6">
        <v>26.2887363433838</v>
      </c>
    </row>
    <row r="746" spans="1:12" x14ac:dyDescent="0.25">
      <c r="A746">
        <v>1200393</v>
      </c>
      <c r="B746" t="str">
        <f t="shared" si="11"/>
        <v>PORTO WALTER, AC, Brasil</v>
      </c>
      <c r="C746" s="4" t="str">
        <f>_xlfn.XLOOKUP(A746,[1]!DadosGHD[CD_GEOCMU],[1]!DadosGHD[Região])</f>
        <v>NO</v>
      </c>
      <c r="D746" s="4" t="str">
        <f>_xlfn.XLOOKUP(A746,[1]!DadosGHD[CD_GEOCMU],[1]!DadosGHD[uf])</f>
        <v>AC</v>
      </c>
      <c r="E746" s="5" t="str">
        <f>_xlfn.XLOOKUP(A746,[1]!DadosGHD[CD_GEOCMU],[1]!DadosGHD[MUNICIPIO])</f>
        <v>PORTO WALTER</v>
      </c>
      <c r="F746" s="6">
        <v>33.684261322021499</v>
      </c>
      <c r="G746" s="6">
        <v>28.926244735717798</v>
      </c>
      <c r="H746" s="6">
        <v>28.957914352416999</v>
      </c>
      <c r="I746" s="6">
        <v>28.937751770019499</v>
      </c>
      <c r="J746" s="6">
        <v>28.9515285491943</v>
      </c>
      <c r="K746" s="6">
        <v>28.977647781372099</v>
      </c>
      <c r="L746" s="6">
        <v>26.2798957824707</v>
      </c>
    </row>
    <row r="747" spans="1:12" x14ac:dyDescent="0.25">
      <c r="A747">
        <v>2109304</v>
      </c>
      <c r="B747" t="str">
        <f t="shared" si="11"/>
        <v>PRESIDENTE VARGAS, MA, Brasil</v>
      </c>
      <c r="C747" s="4" t="str">
        <f>_xlfn.XLOOKUP(A747,[1]!DadosGHD[CD_GEOCMU],[1]!DadosGHD[Região])</f>
        <v>NE</v>
      </c>
      <c r="D747" s="4" t="str">
        <f>_xlfn.XLOOKUP(A747,[1]!DadosGHD[CD_GEOCMU],[1]!DadosGHD[uf])</f>
        <v>MA</v>
      </c>
      <c r="E747" s="5" t="str">
        <f>_xlfn.XLOOKUP(A747,[1]!DadosGHD[CD_GEOCMU],[1]!DadosGHD[MUNICIPIO])</f>
        <v>PRESIDENTE VARGAS</v>
      </c>
      <c r="F747" s="6">
        <v>33.684352874755902</v>
      </c>
      <c r="G747" s="6">
        <v>28.925622940063501</v>
      </c>
      <c r="H747" s="6">
        <v>28.960920333862301</v>
      </c>
      <c r="I747" s="6">
        <v>28.941583633422901</v>
      </c>
      <c r="J747" s="6">
        <v>28.956153869628899</v>
      </c>
      <c r="K747" s="6">
        <v>28.9830207824707</v>
      </c>
      <c r="L747" s="6">
        <v>26.280342102050799</v>
      </c>
    </row>
    <row r="748" spans="1:12" x14ac:dyDescent="0.25">
      <c r="A748">
        <v>1300060</v>
      </c>
      <c r="B748" t="str">
        <f t="shared" si="11"/>
        <v>AMATURA, AM, Brasil</v>
      </c>
      <c r="C748" s="4" t="str">
        <f>_xlfn.XLOOKUP(A748,[1]!DadosGHD[CD_GEOCMU],[1]!DadosGHD[Região])</f>
        <v>NO</v>
      </c>
      <c r="D748" s="4" t="str">
        <f>_xlfn.XLOOKUP(A748,[1]!DadosGHD[CD_GEOCMU],[1]!DadosGHD[uf])</f>
        <v>AM</v>
      </c>
      <c r="E748" s="5" t="str">
        <f>_xlfn.XLOOKUP(A748,[1]!DadosGHD[CD_GEOCMU],[1]!DadosGHD[MUNICIPIO])</f>
        <v>AMATURA</v>
      </c>
      <c r="F748" s="6">
        <v>33.684364318847699</v>
      </c>
      <c r="G748" s="6">
        <v>28.926822662353501</v>
      </c>
      <c r="H748" s="6">
        <v>28.959835052490199</v>
      </c>
      <c r="I748" s="6">
        <v>28.939853668212901</v>
      </c>
      <c r="J748" s="6">
        <v>28.953813552856399</v>
      </c>
      <c r="K748" s="6">
        <v>28.980104446411101</v>
      </c>
      <c r="L748" s="6">
        <v>26.2798957824707</v>
      </c>
    </row>
    <row r="749" spans="1:12" x14ac:dyDescent="0.25">
      <c r="A749">
        <v>2607505</v>
      </c>
      <c r="B749" t="str">
        <f t="shared" si="11"/>
        <v>ITAIBA, PE, Brasil</v>
      </c>
      <c r="C749" s="4" t="str">
        <f>_xlfn.XLOOKUP(A749,[1]!DadosGHD[CD_GEOCMU],[1]!DadosGHD[Região])</f>
        <v>NE</v>
      </c>
      <c r="D749" s="4" t="str">
        <f>_xlfn.XLOOKUP(A749,[1]!DadosGHD[CD_GEOCMU],[1]!DadosGHD[uf])</f>
        <v>PE</v>
      </c>
      <c r="E749" s="5" t="str">
        <f>_xlfn.XLOOKUP(A749,[1]!DadosGHD[CD_GEOCMU],[1]!DadosGHD[MUNICIPIO])</f>
        <v>ITAIBA</v>
      </c>
      <c r="F749" s="6">
        <v>33.684463500976598</v>
      </c>
      <c r="G749" s="6">
        <v>28.938886642456101</v>
      </c>
      <c r="H749" s="6">
        <v>28.972354888916001</v>
      </c>
      <c r="I749" s="6">
        <v>28.955135345458999</v>
      </c>
      <c r="J749" s="6">
        <v>33.813549041748097</v>
      </c>
      <c r="K749" s="6">
        <v>33.849014282226598</v>
      </c>
      <c r="L749" s="6">
        <v>26.2798957824707</v>
      </c>
    </row>
    <row r="750" spans="1:12" x14ac:dyDescent="0.25">
      <c r="A750">
        <v>2105922</v>
      </c>
      <c r="B750" t="str">
        <f t="shared" si="11"/>
        <v>LAGOA DO MATO, MA, Brasil</v>
      </c>
      <c r="C750" s="4" t="str">
        <f>_xlfn.XLOOKUP(A750,[1]!DadosGHD[CD_GEOCMU],[1]!DadosGHD[Região])</f>
        <v>NE</v>
      </c>
      <c r="D750" s="4" t="str">
        <f>_xlfn.XLOOKUP(A750,[1]!DadosGHD[CD_GEOCMU],[1]!DadosGHD[uf])</f>
        <v>MA</v>
      </c>
      <c r="E750" s="5" t="str">
        <f>_xlfn.XLOOKUP(A750,[1]!DadosGHD[CD_GEOCMU],[1]!DadosGHD[MUNICIPIO])</f>
        <v>LAGOA DO MATO</v>
      </c>
      <c r="F750" s="6">
        <v>33.684474945068402</v>
      </c>
      <c r="G750" s="6">
        <v>28.927864074706999</v>
      </c>
      <c r="H750" s="6">
        <v>28.9603366851807</v>
      </c>
      <c r="I750" s="6">
        <v>28.941287994384801</v>
      </c>
      <c r="J750" s="6">
        <v>28.956132888793899</v>
      </c>
      <c r="K750" s="6">
        <v>28.9832649230957</v>
      </c>
      <c r="L750" s="6">
        <v>30.685630798339801</v>
      </c>
    </row>
    <row r="751" spans="1:12" x14ac:dyDescent="0.25">
      <c r="A751">
        <v>2612604</v>
      </c>
      <c r="B751" t="str">
        <f t="shared" si="11"/>
        <v>SANTA MARIA DA BOA VISTA, PE, Brasil</v>
      </c>
      <c r="C751" s="4" t="str">
        <f>_xlfn.XLOOKUP(A751,[1]!DadosGHD[CD_GEOCMU],[1]!DadosGHD[Região])</f>
        <v>NE</v>
      </c>
      <c r="D751" s="4" t="str">
        <f>_xlfn.XLOOKUP(A751,[1]!DadosGHD[CD_GEOCMU],[1]!DadosGHD[uf])</f>
        <v>PE</v>
      </c>
      <c r="E751" s="5" t="str">
        <f>_xlfn.XLOOKUP(A751,[1]!DadosGHD[CD_GEOCMU],[1]!DadosGHD[MUNICIPIO])</f>
        <v>SANTA MARIA DA BOA VISTA</v>
      </c>
      <c r="F751" s="6">
        <v>33.684486389160199</v>
      </c>
      <c r="G751" s="6">
        <v>28.9274005889893</v>
      </c>
      <c r="H751" s="6">
        <v>28.965124130248999</v>
      </c>
      <c r="I751" s="6">
        <v>28.9573764801025</v>
      </c>
      <c r="J751" s="6">
        <v>28.975877761840799</v>
      </c>
      <c r="K751" s="6">
        <v>33.8506050109863</v>
      </c>
      <c r="L751" s="6">
        <v>30.720458984375</v>
      </c>
    </row>
    <row r="752" spans="1:12" x14ac:dyDescent="0.25">
      <c r="A752">
        <v>2100832</v>
      </c>
      <c r="B752" t="str">
        <f t="shared" si="11"/>
        <v>APICUM-ACU, MA, Brasil</v>
      </c>
      <c r="C752" s="4" t="str">
        <f>_xlfn.XLOOKUP(A752,[1]!DadosGHD[CD_GEOCMU],[1]!DadosGHD[Região])</f>
        <v>NE</v>
      </c>
      <c r="D752" s="4" t="str">
        <f>_xlfn.XLOOKUP(A752,[1]!DadosGHD[CD_GEOCMU],[1]!DadosGHD[uf])</f>
        <v>MA</v>
      </c>
      <c r="E752" s="5" t="str">
        <f>_xlfn.XLOOKUP(A752,[1]!DadosGHD[CD_GEOCMU],[1]!DadosGHD[MUNICIPIO])</f>
        <v>APICUM-ACU</v>
      </c>
      <c r="F752" s="6">
        <v>33.684719085693402</v>
      </c>
      <c r="G752" s="6">
        <v>28.9183959960938</v>
      </c>
      <c r="H752" s="6">
        <v>28.955982208251999</v>
      </c>
      <c r="I752" s="6">
        <v>28.936695098876999</v>
      </c>
      <c r="J752" s="6">
        <v>28.950872421264702</v>
      </c>
      <c r="K752" s="6">
        <v>28.9778861999512</v>
      </c>
      <c r="L752" s="6">
        <v>26.2798957824707</v>
      </c>
    </row>
    <row r="753" spans="1:12" x14ac:dyDescent="0.25">
      <c r="A753">
        <v>2515401</v>
      </c>
      <c r="B753" t="str">
        <f t="shared" si="11"/>
        <v>SAO VICENTE DO SERIDO, PB, Brasil</v>
      </c>
      <c r="C753" s="4" t="str">
        <f>_xlfn.XLOOKUP(A753,[1]!DadosGHD[CD_GEOCMU],[1]!DadosGHD[Região])</f>
        <v>NE</v>
      </c>
      <c r="D753" s="4" t="str">
        <f>_xlfn.XLOOKUP(A753,[1]!DadosGHD[CD_GEOCMU],[1]!DadosGHD[uf])</f>
        <v>PB</v>
      </c>
      <c r="E753" s="5" t="str">
        <f>_xlfn.XLOOKUP(A753,[1]!DadosGHD[CD_GEOCMU],[1]!DadosGHD[MUNICIPIO])</f>
        <v>SAO VICENTE DO SERIDO</v>
      </c>
      <c r="F753" s="6">
        <v>33.684822082519503</v>
      </c>
      <c r="G753" s="6">
        <v>28.9288425445557</v>
      </c>
      <c r="H753" s="6">
        <v>28.963100433349599</v>
      </c>
      <c r="I753" s="6">
        <v>28.943840026855501</v>
      </c>
      <c r="J753" s="6">
        <v>33.823432922363303</v>
      </c>
      <c r="K753" s="6">
        <v>33.924713134765597</v>
      </c>
      <c r="L753" s="6">
        <v>39.577220916748097</v>
      </c>
    </row>
    <row r="754" spans="1:12" x14ac:dyDescent="0.25">
      <c r="A754">
        <v>2104305</v>
      </c>
      <c r="B754" t="str">
        <f t="shared" si="11"/>
        <v>GODOFREDO VIANA, MA, Brasil</v>
      </c>
      <c r="C754" s="4" t="str">
        <f>_xlfn.XLOOKUP(A754,[1]!DadosGHD[CD_GEOCMU],[1]!DadosGHD[Região])</f>
        <v>NE</v>
      </c>
      <c r="D754" s="4" t="str">
        <f>_xlfn.XLOOKUP(A754,[1]!DadosGHD[CD_GEOCMU],[1]!DadosGHD[uf])</f>
        <v>MA</v>
      </c>
      <c r="E754" s="5" t="str">
        <f>_xlfn.XLOOKUP(A754,[1]!DadosGHD[CD_GEOCMU],[1]!DadosGHD[MUNICIPIO])</f>
        <v>GODOFREDO VIANA</v>
      </c>
      <c r="F754" s="6">
        <v>33.684867858886697</v>
      </c>
      <c r="G754" s="6">
        <v>28.928529739379901</v>
      </c>
      <c r="H754" s="6">
        <v>28.963209152221701</v>
      </c>
      <c r="I754" s="6">
        <v>28.9610481262207</v>
      </c>
      <c r="J754" s="6">
        <v>33.851978302002003</v>
      </c>
      <c r="K754" s="6">
        <v>28.980632781982401</v>
      </c>
      <c r="L754" s="6">
        <v>26.2798957824707</v>
      </c>
    </row>
    <row r="755" spans="1:12" x14ac:dyDescent="0.25">
      <c r="A755">
        <v>3119500</v>
      </c>
      <c r="B755" t="str">
        <f t="shared" si="11"/>
        <v>CORONEL MURTA, MG, Brasil</v>
      </c>
      <c r="C755" s="4" t="str">
        <f>_xlfn.XLOOKUP(A755,[1]!DadosGHD[CD_GEOCMU],[1]!DadosGHD[Região])</f>
        <v>SD</v>
      </c>
      <c r="D755" s="4" t="str">
        <f>_xlfn.XLOOKUP(A755,[1]!DadosGHD[CD_GEOCMU],[1]!DadosGHD[uf])</f>
        <v>MG</v>
      </c>
      <c r="E755" s="5" t="str">
        <f>_xlfn.XLOOKUP(A755,[1]!DadosGHD[CD_GEOCMU],[1]!DadosGHD[MUNICIPIO])</f>
        <v>CORONEL MURTA</v>
      </c>
      <c r="F755" s="6">
        <v>33.685001373291001</v>
      </c>
      <c r="G755" s="6">
        <v>33.7763862609863</v>
      </c>
      <c r="H755" s="6">
        <v>28.942651748657202</v>
      </c>
      <c r="I755" s="6">
        <v>28.925045013427699</v>
      </c>
      <c r="J755" s="6">
        <v>28.9409065246582</v>
      </c>
      <c r="K755" s="6">
        <v>28.9686679840088</v>
      </c>
      <c r="L755" s="6">
        <v>30.684375762939499</v>
      </c>
    </row>
    <row r="756" spans="1:12" x14ac:dyDescent="0.25">
      <c r="A756">
        <v>2904852</v>
      </c>
      <c r="B756" t="str">
        <f t="shared" si="11"/>
        <v>CABACEIRAS DO PARAGUACU, BA, Brasil</v>
      </c>
      <c r="C756" s="4" t="str">
        <f>_xlfn.XLOOKUP(A756,[1]!DadosGHD[CD_GEOCMU],[1]!DadosGHD[Região])</f>
        <v>NE</v>
      </c>
      <c r="D756" s="4" t="str">
        <f>_xlfn.XLOOKUP(A756,[1]!DadosGHD[CD_GEOCMU],[1]!DadosGHD[uf])</f>
        <v>BA</v>
      </c>
      <c r="E756" s="5" t="str">
        <f>_xlfn.XLOOKUP(A756,[1]!DadosGHD[CD_GEOCMU],[1]!DadosGHD[MUNICIPIO])</f>
        <v>CABACEIRAS DO PARAGUACU</v>
      </c>
      <c r="F756" s="6">
        <v>33.685024261474602</v>
      </c>
      <c r="G756" s="6">
        <v>33.772731781005902</v>
      </c>
      <c r="H756" s="6">
        <v>33.814476013183601</v>
      </c>
      <c r="I756" s="6">
        <v>28.941114425659201</v>
      </c>
      <c r="J756" s="6">
        <v>28.978630065918001</v>
      </c>
      <c r="K756" s="6">
        <v>28.982772827148398</v>
      </c>
      <c r="L756" s="6">
        <v>26.2798957824707</v>
      </c>
    </row>
    <row r="757" spans="1:12" x14ac:dyDescent="0.25">
      <c r="A757">
        <v>2110906</v>
      </c>
      <c r="B757" t="str">
        <f t="shared" si="11"/>
        <v>SAO FRANCISCO DO MARANHAO, MA, Brasil</v>
      </c>
      <c r="C757" s="4" t="str">
        <f>_xlfn.XLOOKUP(A757,[1]!DadosGHD[CD_GEOCMU],[1]!DadosGHD[Região])</f>
        <v>NE</v>
      </c>
      <c r="D757" s="4" t="str">
        <f>_xlfn.XLOOKUP(A757,[1]!DadosGHD[CD_GEOCMU],[1]!DadosGHD[uf])</f>
        <v>MA</v>
      </c>
      <c r="E757" s="5" t="str">
        <f>_xlfn.XLOOKUP(A757,[1]!DadosGHD[CD_GEOCMU],[1]!DadosGHD[MUNICIPIO])</f>
        <v>SAO FRANCISCO DO MARANHAO</v>
      </c>
      <c r="F757" s="6">
        <v>33.685108184814503</v>
      </c>
      <c r="G757" s="6">
        <v>28.923189163208001</v>
      </c>
      <c r="H757" s="6">
        <v>28.955703735351602</v>
      </c>
      <c r="I757" s="6">
        <v>28.9367351531982</v>
      </c>
      <c r="J757" s="6">
        <v>28.9516277313232</v>
      </c>
      <c r="K757" s="6">
        <v>33.862216949462898</v>
      </c>
      <c r="L757" s="6">
        <v>26.2909641265869</v>
      </c>
    </row>
    <row r="758" spans="1:12" x14ac:dyDescent="0.25">
      <c r="A758">
        <v>2806305</v>
      </c>
      <c r="B758" t="str">
        <f t="shared" si="11"/>
        <v>SANTA LUZIA DO ITANHY, SE, Brasil</v>
      </c>
      <c r="C758" s="4" t="str">
        <f>_xlfn.XLOOKUP(A758,[1]!DadosGHD[CD_GEOCMU],[1]!DadosGHD[Região])</f>
        <v>NE</v>
      </c>
      <c r="D758" s="4" t="str">
        <f>_xlfn.XLOOKUP(A758,[1]!DadosGHD[CD_GEOCMU],[1]!DadosGHD[uf])</f>
        <v>SE</v>
      </c>
      <c r="E758" s="5" t="str">
        <f>_xlfn.XLOOKUP(A758,[1]!DadosGHD[CD_GEOCMU],[1]!DadosGHD[MUNICIPIO])</f>
        <v>SANTA LUZIA DO ITANHY</v>
      </c>
      <c r="F758" s="6">
        <v>33.685153961181598</v>
      </c>
      <c r="G758" s="6">
        <v>28.935422897338899</v>
      </c>
      <c r="H758" s="6">
        <v>28.974575042724599</v>
      </c>
      <c r="I758" s="6">
        <v>28.9386177062988</v>
      </c>
      <c r="J758" s="6">
        <v>28.954425811767599</v>
      </c>
      <c r="K758" s="6">
        <v>28.9996013641357</v>
      </c>
      <c r="L758" s="6">
        <v>30.6845092773438</v>
      </c>
    </row>
    <row r="759" spans="1:12" x14ac:dyDescent="0.25">
      <c r="A759">
        <v>2111789</v>
      </c>
      <c r="B759" t="str">
        <f t="shared" si="11"/>
        <v>SERRANO DO MARANHAO, MA, Brasil</v>
      </c>
      <c r="C759" s="4" t="str">
        <f>_xlfn.XLOOKUP(A759,[1]!DadosGHD[CD_GEOCMU],[1]!DadosGHD[Região])</f>
        <v>NE</v>
      </c>
      <c r="D759" s="4" t="str">
        <f>_xlfn.XLOOKUP(A759,[1]!DadosGHD[CD_GEOCMU],[1]!DadosGHD[uf])</f>
        <v>MA</v>
      </c>
      <c r="E759" s="5" t="str">
        <f>_xlfn.XLOOKUP(A759,[1]!DadosGHD[CD_GEOCMU],[1]!DadosGHD[MUNICIPIO])</f>
        <v>SERRANO DO MARANHAO</v>
      </c>
      <c r="F759" s="6">
        <v>33.685176849365199</v>
      </c>
      <c r="G759" s="6">
        <v>28.9279079437256</v>
      </c>
      <c r="H759" s="6">
        <v>28.966234207153299</v>
      </c>
      <c r="I759" s="6">
        <v>28.946916580200199</v>
      </c>
      <c r="J759" s="6">
        <v>28.961668014526399</v>
      </c>
      <c r="K759" s="6">
        <v>28.988489151001001</v>
      </c>
      <c r="L759" s="6">
        <v>26.2798957824707</v>
      </c>
    </row>
    <row r="760" spans="1:12" x14ac:dyDescent="0.25">
      <c r="A760">
        <v>2913101</v>
      </c>
      <c r="B760" t="str">
        <f t="shared" si="11"/>
        <v>IBITITA, BA, Brasil</v>
      </c>
      <c r="C760" s="4" t="str">
        <f>_xlfn.XLOOKUP(A760,[1]!DadosGHD[CD_GEOCMU],[1]!DadosGHD[Região])</f>
        <v>NE</v>
      </c>
      <c r="D760" s="4" t="str">
        <f>_xlfn.XLOOKUP(A760,[1]!DadosGHD[CD_GEOCMU],[1]!DadosGHD[uf])</f>
        <v>BA</v>
      </c>
      <c r="E760" s="5" t="str">
        <f>_xlfn.XLOOKUP(A760,[1]!DadosGHD[CD_GEOCMU],[1]!DadosGHD[MUNICIPIO])</f>
        <v>IBITITA</v>
      </c>
      <c r="F760" s="6">
        <v>33.685371398925803</v>
      </c>
      <c r="G760" s="6">
        <v>33.769496917724602</v>
      </c>
      <c r="H760" s="6">
        <v>28.966041564941399</v>
      </c>
      <c r="I760" s="6">
        <v>28.925045013427699</v>
      </c>
      <c r="J760" s="6">
        <v>33.811435699462898</v>
      </c>
      <c r="K760" s="6">
        <v>33.8818550109863</v>
      </c>
      <c r="L760" s="6">
        <v>35.1449165344238</v>
      </c>
    </row>
    <row r="761" spans="1:12" x14ac:dyDescent="0.25">
      <c r="A761">
        <v>4113254</v>
      </c>
      <c r="B761" t="str">
        <f t="shared" si="11"/>
        <v>LARANJAL, PR, Brasil</v>
      </c>
      <c r="C761" s="4" t="str">
        <f>_xlfn.XLOOKUP(A761,[1]!DadosGHD[CD_GEOCMU],[1]!DadosGHD[Região])</f>
        <v>SL</v>
      </c>
      <c r="D761" s="4" t="str">
        <f>_xlfn.XLOOKUP(A761,[1]!DadosGHD[CD_GEOCMU],[1]!DadosGHD[uf])</f>
        <v>PR</v>
      </c>
      <c r="E761" s="5" t="str">
        <f>_xlfn.XLOOKUP(A761,[1]!DadosGHD[CD_GEOCMU],[1]!DadosGHD[MUNICIPIO])</f>
        <v>LARANJAL</v>
      </c>
      <c r="F761" s="6">
        <v>33.685375213623097</v>
      </c>
      <c r="G761" s="6">
        <v>33.770790100097699</v>
      </c>
      <c r="H761" s="6">
        <v>33.811931610107401</v>
      </c>
      <c r="I761" s="6">
        <v>38.723167419433601</v>
      </c>
      <c r="J761" s="6">
        <v>38.747459411621101</v>
      </c>
      <c r="K761" s="6">
        <v>33.847160339355497</v>
      </c>
      <c r="L761" s="6">
        <v>26.2905578613281</v>
      </c>
    </row>
    <row r="762" spans="1:12" x14ac:dyDescent="0.25">
      <c r="A762">
        <v>2911303</v>
      </c>
      <c r="B762" t="str">
        <f t="shared" si="11"/>
        <v>GENTIO DO OURO, BA, Brasil</v>
      </c>
      <c r="C762" s="4" t="str">
        <f>_xlfn.XLOOKUP(A762,[1]!DadosGHD[CD_GEOCMU],[1]!DadosGHD[Região])</f>
        <v>NE</v>
      </c>
      <c r="D762" s="4" t="str">
        <f>_xlfn.XLOOKUP(A762,[1]!DadosGHD[CD_GEOCMU],[1]!DadosGHD[uf])</f>
        <v>BA</v>
      </c>
      <c r="E762" s="5" t="str">
        <f>_xlfn.XLOOKUP(A762,[1]!DadosGHD[CD_GEOCMU],[1]!DadosGHD[MUNICIPIO])</f>
        <v>GENTIO DO OURO</v>
      </c>
      <c r="F762" s="6">
        <v>33.685413360595703</v>
      </c>
      <c r="G762" s="6">
        <v>28.926315307617202</v>
      </c>
      <c r="H762" s="6">
        <v>28.960487365722699</v>
      </c>
      <c r="I762" s="6">
        <v>28.943393707275401</v>
      </c>
      <c r="J762" s="6">
        <v>28.957765579223601</v>
      </c>
      <c r="K762" s="6">
        <v>28.985427856445298</v>
      </c>
      <c r="L762" s="6">
        <v>30.684928894043001</v>
      </c>
    </row>
    <row r="763" spans="1:12" x14ac:dyDescent="0.25">
      <c r="A763">
        <v>2920205</v>
      </c>
      <c r="B763" t="str">
        <f t="shared" si="11"/>
        <v>MALHADA, BA, Brasil</v>
      </c>
      <c r="C763" s="4" t="str">
        <f>_xlfn.XLOOKUP(A763,[1]!DadosGHD[CD_GEOCMU],[1]!DadosGHD[Região])</f>
        <v>NE</v>
      </c>
      <c r="D763" s="4" t="str">
        <f>_xlfn.XLOOKUP(A763,[1]!DadosGHD[CD_GEOCMU],[1]!DadosGHD[uf])</f>
        <v>BA</v>
      </c>
      <c r="E763" s="5" t="str">
        <f>_xlfn.XLOOKUP(A763,[1]!DadosGHD[CD_GEOCMU],[1]!DadosGHD[MUNICIPIO])</f>
        <v>MALHADA</v>
      </c>
      <c r="F763" s="6">
        <v>33.685462951660199</v>
      </c>
      <c r="G763" s="6">
        <v>33.789089202880902</v>
      </c>
      <c r="H763" s="6">
        <v>33.831623077392599</v>
      </c>
      <c r="I763" s="6">
        <v>33.805912017822301</v>
      </c>
      <c r="J763" s="6">
        <v>28.9755344390869</v>
      </c>
      <c r="K763" s="6">
        <v>33.850818634033203</v>
      </c>
      <c r="L763" s="6">
        <v>30.690509796142599</v>
      </c>
    </row>
    <row r="764" spans="1:12" x14ac:dyDescent="0.25">
      <c r="A764">
        <v>2708907</v>
      </c>
      <c r="B764" t="str">
        <f t="shared" si="11"/>
        <v>SATUBA, AL, Brasil</v>
      </c>
      <c r="C764" s="4" t="str">
        <f>_xlfn.XLOOKUP(A764,[1]!DadosGHD[CD_GEOCMU],[1]!DadosGHD[Região])</f>
        <v>NE</v>
      </c>
      <c r="D764" s="4" t="str">
        <f>_xlfn.XLOOKUP(A764,[1]!DadosGHD[CD_GEOCMU],[1]!DadosGHD[uf])</f>
        <v>AL</v>
      </c>
      <c r="E764" s="5" t="str">
        <f>_xlfn.XLOOKUP(A764,[1]!DadosGHD[CD_GEOCMU],[1]!DadosGHD[MUNICIPIO])</f>
        <v>SATUBA</v>
      </c>
      <c r="F764" s="6">
        <v>33.685520172119098</v>
      </c>
      <c r="G764" s="6">
        <v>28.930727005004901</v>
      </c>
      <c r="H764" s="6">
        <v>28.961872100830099</v>
      </c>
      <c r="I764" s="6">
        <v>28.938432693481399</v>
      </c>
      <c r="J764" s="6">
        <v>28.948583602905298</v>
      </c>
      <c r="K764" s="6">
        <v>28.971918106079102</v>
      </c>
      <c r="L764" s="6">
        <v>26.2798957824707</v>
      </c>
    </row>
    <row r="765" spans="1:12" x14ac:dyDescent="0.25">
      <c r="A765">
        <v>2924652</v>
      </c>
      <c r="B765" t="str">
        <f t="shared" si="11"/>
        <v>PINTADAS, BA, Brasil</v>
      </c>
      <c r="C765" s="4" t="str">
        <f>_xlfn.XLOOKUP(A765,[1]!DadosGHD[CD_GEOCMU],[1]!DadosGHD[Região])</f>
        <v>NE</v>
      </c>
      <c r="D765" s="4" t="str">
        <f>_xlfn.XLOOKUP(A765,[1]!DadosGHD[CD_GEOCMU],[1]!DadosGHD[uf])</f>
        <v>BA</v>
      </c>
      <c r="E765" s="5" t="str">
        <f>_xlfn.XLOOKUP(A765,[1]!DadosGHD[CD_GEOCMU],[1]!DadosGHD[MUNICIPIO])</f>
        <v>PINTADAS</v>
      </c>
      <c r="F765" s="6">
        <v>33.6855278015137</v>
      </c>
      <c r="G765" s="6">
        <v>33.796428680419901</v>
      </c>
      <c r="H765" s="6">
        <v>33.889205932617202</v>
      </c>
      <c r="I765" s="6">
        <v>33.818561553955099</v>
      </c>
      <c r="J765" s="6">
        <v>28.9609699249268</v>
      </c>
      <c r="K765" s="6">
        <v>33.844356536865199</v>
      </c>
      <c r="L765" s="6">
        <v>30.702598571777301</v>
      </c>
    </row>
    <row r="766" spans="1:12" x14ac:dyDescent="0.25">
      <c r="A766">
        <v>3530003</v>
      </c>
      <c r="B766" t="str">
        <f t="shared" si="11"/>
        <v>MIRA ESTRELA, SP, Brasil</v>
      </c>
      <c r="C766" s="4" t="str">
        <f>_xlfn.XLOOKUP(A766,[1]!DadosGHD[CD_GEOCMU],[1]!DadosGHD[Região])</f>
        <v>SD</v>
      </c>
      <c r="D766" s="4" t="str">
        <f>_xlfn.XLOOKUP(A766,[1]!DadosGHD[CD_GEOCMU],[1]!DadosGHD[uf])</f>
        <v>SP</v>
      </c>
      <c r="E766" s="5" t="str">
        <f>_xlfn.XLOOKUP(A766,[1]!DadosGHD[CD_GEOCMU],[1]!DadosGHD[MUNICIPIO])</f>
        <v>MIRA ESTRELA</v>
      </c>
      <c r="F766" s="6">
        <v>33.685642242431598</v>
      </c>
      <c r="G766" s="6">
        <v>33.794731140136697</v>
      </c>
      <c r="H766" s="6">
        <v>33.839935302734403</v>
      </c>
      <c r="I766" s="6">
        <v>38.817073822021499</v>
      </c>
      <c r="J766" s="6">
        <v>43.702907562255902</v>
      </c>
      <c r="K766" s="6">
        <v>38.844200134277301</v>
      </c>
      <c r="L766" s="6">
        <v>35.155418395996101</v>
      </c>
    </row>
    <row r="767" spans="1:12" x14ac:dyDescent="0.25">
      <c r="A767">
        <v>2102408</v>
      </c>
      <c r="B767" t="str">
        <f t="shared" si="11"/>
        <v>CAJAPIO, MA, Brasil</v>
      </c>
      <c r="C767" s="4" t="str">
        <f>_xlfn.XLOOKUP(A767,[1]!DadosGHD[CD_GEOCMU],[1]!DadosGHD[Região])</f>
        <v>NE</v>
      </c>
      <c r="D767" s="4" t="str">
        <f>_xlfn.XLOOKUP(A767,[1]!DadosGHD[CD_GEOCMU],[1]!DadosGHD[uf])</f>
        <v>MA</v>
      </c>
      <c r="E767" s="5" t="str">
        <f>_xlfn.XLOOKUP(A767,[1]!DadosGHD[CD_GEOCMU],[1]!DadosGHD[MUNICIPIO])</f>
        <v>CAJAPIO</v>
      </c>
      <c r="F767" s="6">
        <v>33.685642242431598</v>
      </c>
      <c r="G767" s="6">
        <v>28.928022384643601</v>
      </c>
      <c r="H767" s="6">
        <v>28.960857391357401</v>
      </c>
      <c r="I767" s="6">
        <v>28.941665649414102</v>
      </c>
      <c r="J767" s="6">
        <v>28.956384658813501</v>
      </c>
      <c r="K767" s="6">
        <v>28.983392715454102</v>
      </c>
      <c r="L767" s="6">
        <v>26.285295486450199</v>
      </c>
    </row>
    <row r="768" spans="1:12" x14ac:dyDescent="0.25">
      <c r="A768">
        <v>2805406</v>
      </c>
      <c r="B768" t="str">
        <f t="shared" si="11"/>
        <v>POCO REDONDO, SE, Brasil</v>
      </c>
      <c r="C768" s="4" t="str">
        <f>_xlfn.XLOOKUP(A768,[1]!DadosGHD[CD_GEOCMU],[1]!DadosGHD[Região])</f>
        <v>NE</v>
      </c>
      <c r="D768" s="4" t="str">
        <f>_xlfn.XLOOKUP(A768,[1]!DadosGHD[CD_GEOCMU],[1]!DadosGHD[uf])</f>
        <v>SE</v>
      </c>
      <c r="E768" s="5" t="str">
        <f>_xlfn.XLOOKUP(A768,[1]!DadosGHD[CD_GEOCMU],[1]!DadosGHD[MUNICIPIO])</f>
        <v>POCO REDONDO</v>
      </c>
      <c r="F768" s="6">
        <v>33.6856689453125</v>
      </c>
      <c r="G768" s="6">
        <v>28.934009552001999</v>
      </c>
      <c r="H768" s="6">
        <v>28.967103958129901</v>
      </c>
      <c r="I768" s="6">
        <v>28.9427165985107</v>
      </c>
      <c r="J768" s="6">
        <v>28.952476501464801</v>
      </c>
      <c r="K768" s="6">
        <v>28.970888137817401</v>
      </c>
      <c r="L768" s="6">
        <v>26.2798957824707</v>
      </c>
    </row>
    <row r="769" spans="1:12" x14ac:dyDescent="0.25">
      <c r="A769">
        <v>2902708</v>
      </c>
      <c r="B769" t="str">
        <f t="shared" si="11"/>
        <v>BARRA, BA, Brasil</v>
      </c>
      <c r="C769" s="4" t="str">
        <f>_xlfn.XLOOKUP(A769,[1]!DadosGHD[CD_GEOCMU],[1]!DadosGHD[Região])</f>
        <v>NE</v>
      </c>
      <c r="D769" s="4" t="str">
        <f>_xlfn.XLOOKUP(A769,[1]!DadosGHD[CD_GEOCMU],[1]!DadosGHD[uf])</f>
        <v>BA</v>
      </c>
      <c r="E769" s="5" t="str">
        <f>_xlfn.XLOOKUP(A769,[1]!DadosGHD[CD_GEOCMU],[1]!DadosGHD[MUNICIPIO])</f>
        <v>BARRA</v>
      </c>
      <c r="F769" s="6">
        <v>33.685802459716797</v>
      </c>
      <c r="G769" s="6">
        <v>33.780075073242202</v>
      </c>
      <c r="H769" s="6">
        <v>33.870159149169901</v>
      </c>
      <c r="I769" s="6">
        <v>33.848190307617202</v>
      </c>
      <c r="J769" s="6">
        <v>33.882156372070298</v>
      </c>
      <c r="K769" s="6">
        <v>33.911624908447301</v>
      </c>
      <c r="L769" s="6">
        <v>39.559028625488303</v>
      </c>
    </row>
    <row r="770" spans="1:12" x14ac:dyDescent="0.25">
      <c r="A770">
        <v>2920601</v>
      </c>
      <c r="B770" t="str">
        <f t="shared" si="11"/>
        <v>MARAGOGIPE, BA, Brasil</v>
      </c>
      <c r="C770" s="4" t="str">
        <f>_xlfn.XLOOKUP(A770,[1]!DadosGHD[CD_GEOCMU],[1]!DadosGHD[Região])</f>
        <v>NE</v>
      </c>
      <c r="D770" s="4" t="str">
        <f>_xlfn.XLOOKUP(A770,[1]!DadosGHD[CD_GEOCMU],[1]!DadosGHD[uf])</f>
        <v>BA</v>
      </c>
      <c r="E770" s="5" t="str">
        <f>_xlfn.XLOOKUP(A770,[1]!DadosGHD[CD_GEOCMU],[1]!DadosGHD[MUNICIPIO])</f>
        <v>MARAGOGIPE</v>
      </c>
      <c r="F770" s="6">
        <v>33.685966491699197</v>
      </c>
      <c r="G770" s="6">
        <v>33.772804260253899</v>
      </c>
      <c r="H770" s="6">
        <v>33.826438903808601</v>
      </c>
      <c r="I770" s="6">
        <v>33.798095703125</v>
      </c>
      <c r="J770" s="6">
        <v>28.9776420593262</v>
      </c>
      <c r="K770" s="6">
        <v>33.857574462890597</v>
      </c>
      <c r="L770" s="6">
        <v>30.699794769287099</v>
      </c>
    </row>
    <row r="771" spans="1:12" x14ac:dyDescent="0.25">
      <c r="A771">
        <v>2202406</v>
      </c>
      <c r="B771" t="str">
        <f t="shared" si="11"/>
        <v>CAPITAO DE CAMPOS, PI, Brasil</v>
      </c>
      <c r="C771" s="4" t="str">
        <f>_xlfn.XLOOKUP(A771,[1]!DadosGHD[CD_GEOCMU],[1]!DadosGHD[Região])</f>
        <v>NE</v>
      </c>
      <c r="D771" s="4" t="str">
        <f>_xlfn.XLOOKUP(A771,[1]!DadosGHD[CD_GEOCMU],[1]!DadosGHD[uf])</f>
        <v>PI</v>
      </c>
      <c r="E771" s="5" t="str">
        <f>_xlfn.XLOOKUP(A771,[1]!DadosGHD[CD_GEOCMU],[1]!DadosGHD[MUNICIPIO])</f>
        <v>CAPITAO DE CAMPOS</v>
      </c>
      <c r="F771" s="6">
        <v>33.68603515625</v>
      </c>
      <c r="G771" s="6">
        <v>28.929021835327202</v>
      </c>
      <c r="H771" s="6">
        <v>28.9621467590332</v>
      </c>
      <c r="I771" s="6">
        <v>28.951335906982401</v>
      </c>
      <c r="J771" s="6">
        <v>28.971494674682599</v>
      </c>
      <c r="K771" s="6">
        <v>33.8441162109375</v>
      </c>
      <c r="L771" s="6">
        <v>30.692487716674801</v>
      </c>
    </row>
    <row r="772" spans="1:12" x14ac:dyDescent="0.25">
      <c r="A772">
        <v>2615805</v>
      </c>
      <c r="B772" t="str">
        <f t="shared" ref="B772:B835" si="12">_xlfn.CONCAT(E772, ", ", D772, ", Brasil")</f>
        <v>TUPANATINGA, PE, Brasil</v>
      </c>
      <c r="C772" s="4" t="str">
        <f>_xlfn.XLOOKUP(A772,[1]!DadosGHD[CD_GEOCMU],[1]!DadosGHD[Região])</f>
        <v>NE</v>
      </c>
      <c r="D772" s="4" t="str">
        <f>_xlfn.XLOOKUP(A772,[1]!DadosGHD[CD_GEOCMU],[1]!DadosGHD[uf])</f>
        <v>PE</v>
      </c>
      <c r="E772" s="5" t="str">
        <f>_xlfn.XLOOKUP(A772,[1]!DadosGHD[CD_GEOCMU],[1]!DadosGHD[MUNICIPIO])</f>
        <v>TUPANATINGA</v>
      </c>
      <c r="F772" s="6">
        <v>33.6860542297363</v>
      </c>
      <c r="G772" s="6">
        <v>28.9310417175293</v>
      </c>
      <c r="H772" s="6">
        <v>28.962133407592798</v>
      </c>
      <c r="I772" s="6">
        <v>28.951015472412099</v>
      </c>
      <c r="J772" s="6">
        <v>28.960210800170898</v>
      </c>
      <c r="K772" s="6">
        <v>28.994834899902301</v>
      </c>
      <c r="L772" s="6">
        <v>26.296789169311499</v>
      </c>
    </row>
    <row r="773" spans="1:12" x14ac:dyDescent="0.25">
      <c r="A773">
        <v>2408953</v>
      </c>
      <c r="B773" t="str">
        <f t="shared" si="12"/>
        <v>RIO DO FOGO, RN, Brasil</v>
      </c>
      <c r="C773" s="4" t="str">
        <f>_xlfn.XLOOKUP(A773,[1]!DadosGHD[CD_GEOCMU],[1]!DadosGHD[Região])</f>
        <v>NE</v>
      </c>
      <c r="D773" s="4" t="str">
        <f>_xlfn.XLOOKUP(A773,[1]!DadosGHD[CD_GEOCMU],[1]!DadosGHD[uf])</f>
        <v>RN</v>
      </c>
      <c r="E773" s="5" t="str">
        <f>_xlfn.XLOOKUP(A773,[1]!DadosGHD[CD_GEOCMU],[1]!DadosGHD[MUNICIPIO])</f>
        <v>RIO DO FOGO</v>
      </c>
      <c r="F773" s="6">
        <v>33.6862602233887</v>
      </c>
      <c r="G773" s="6">
        <v>28.928676605224599</v>
      </c>
      <c r="H773" s="6">
        <v>28.966905593872099</v>
      </c>
      <c r="I773" s="6">
        <v>28.951828002929702</v>
      </c>
      <c r="J773" s="6">
        <v>28.962162017822301</v>
      </c>
      <c r="K773" s="6">
        <v>28.985881805419901</v>
      </c>
      <c r="L773" s="6">
        <v>26.2798957824707</v>
      </c>
    </row>
    <row r="774" spans="1:12" x14ac:dyDescent="0.25">
      <c r="A774">
        <v>2314003</v>
      </c>
      <c r="B774" t="str">
        <f t="shared" si="12"/>
        <v>VARZEA ALEGRE, CE, Brasil</v>
      </c>
      <c r="C774" s="4" t="str">
        <f>_xlfn.XLOOKUP(A774,[1]!DadosGHD[CD_GEOCMU],[1]!DadosGHD[Região])</f>
        <v>NE</v>
      </c>
      <c r="D774" s="4" t="str">
        <f>_xlfn.XLOOKUP(A774,[1]!DadosGHD[CD_GEOCMU],[1]!DadosGHD[uf])</f>
        <v>CE</v>
      </c>
      <c r="E774" s="5" t="str">
        <f>_xlfn.XLOOKUP(A774,[1]!DadosGHD[CD_GEOCMU],[1]!DadosGHD[MUNICIPIO])</f>
        <v>VARZEA ALEGRE</v>
      </c>
      <c r="F774" s="6">
        <v>33.686595916748097</v>
      </c>
      <c r="G774" s="6">
        <v>33.804756164550803</v>
      </c>
      <c r="H774" s="6">
        <v>33.875667572021499</v>
      </c>
      <c r="I774" s="6">
        <v>38.733650207519503</v>
      </c>
      <c r="J774" s="6">
        <v>38.781829833984403</v>
      </c>
      <c r="K774" s="6">
        <v>38.865032196044901</v>
      </c>
      <c r="L774" s="6">
        <v>44.063915252685597</v>
      </c>
    </row>
    <row r="775" spans="1:12" x14ac:dyDescent="0.25">
      <c r="A775">
        <v>2602001</v>
      </c>
      <c r="B775" t="str">
        <f t="shared" si="12"/>
        <v>BODOCO, PE, Brasil</v>
      </c>
      <c r="C775" s="4" t="str">
        <f>_xlfn.XLOOKUP(A775,[1]!DadosGHD[CD_GEOCMU],[1]!DadosGHD[Região])</f>
        <v>NE</v>
      </c>
      <c r="D775" s="4" t="str">
        <f>_xlfn.XLOOKUP(A775,[1]!DadosGHD[CD_GEOCMU],[1]!DadosGHD[uf])</f>
        <v>PE</v>
      </c>
      <c r="E775" s="5" t="str">
        <f>_xlfn.XLOOKUP(A775,[1]!DadosGHD[CD_GEOCMU],[1]!DadosGHD[MUNICIPIO])</f>
        <v>BODOCO</v>
      </c>
      <c r="F775" s="6">
        <v>33.686656951904297</v>
      </c>
      <c r="G775" s="6">
        <v>28.930444717407202</v>
      </c>
      <c r="H775" s="6">
        <v>28.963874816894499</v>
      </c>
      <c r="I775" s="6">
        <v>28.941694259643601</v>
      </c>
      <c r="J775" s="6">
        <v>28.958187103271499</v>
      </c>
      <c r="K775" s="6">
        <v>28.9888820648193</v>
      </c>
      <c r="L775" s="6">
        <v>26.2798957824707</v>
      </c>
    </row>
    <row r="776" spans="1:12" x14ac:dyDescent="0.25">
      <c r="A776">
        <v>2101772</v>
      </c>
      <c r="B776" t="str">
        <f t="shared" si="12"/>
        <v>BELA VISTA DO MARANHAO, MA, Brasil</v>
      </c>
      <c r="C776" s="4" t="str">
        <f>_xlfn.XLOOKUP(A776,[1]!DadosGHD[CD_GEOCMU],[1]!DadosGHD[Região])</f>
        <v>NE</v>
      </c>
      <c r="D776" s="4" t="str">
        <f>_xlfn.XLOOKUP(A776,[1]!DadosGHD[CD_GEOCMU],[1]!DadosGHD[uf])</f>
        <v>MA</v>
      </c>
      <c r="E776" s="5" t="str">
        <f>_xlfn.XLOOKUP(A776,[1]!DadosGHD[CD_GEOCMU],[1]!DadosGHD[MUNICIPIO])</f>
        <v>BELA VISTA DO MARANHAO</v>
      </c>
      <c r="F776" s="6">
        <v>33.686668395996101</v>
      </c>
      <c r="G776" s="6">
        <v>28.9320583343506</v>
      </c>
      <c r="H776" s="6">
        <v>33.813106536865199</v>
      </c>
      <c r="I776" s="6">
        <v>33.790111541748097</v>
      </c>
      <c r="J776" s="6">
        <v>33.813125610351598</v>
      </c>
      <c r="K776" s="6">
        <v>33.848476409912102</v>
      </c>
      <c r="L776" s="6">
        <v>35.145229339599602</v>
      </c>
    </row>
    <row r="777" spans="1:12" x14ac:dyDescent="0.25">
      <c r="A777">
        <v>2906808</v>
      </c>
      <c r="B777" t="str">
        <f t="shared" si="12"/>
        <v>CANSANCAO, BA, Brasil</v>
      </c>
      <c r="C777" s="4" t="str">
        <f>_xlfn.XLOOKUP(A777,[1]!DadosGHD[CD_GEOCMU],[1]!DadosGHD[Região])</f>
        <v>NE</v>
      </c>
      <c r="D777" s="4" t="str">
        <f>_xlfn.XLOOKUP(A777,[1]!DadosGHD[CD_GEOCMU],[1]!DadosGHD[uf])</f>
        <v>BA</v>
      </c>
      <c r="E777" s="5" t="str">
        <f>_xlfn.XLOOKUP(A777,[1]!DadosGHD[CD_GEOCMU],[1]!DadosGHD[MUNICIPIO])</f>
        <v>CANSANCAO</v>
      </c>
      <c r="F777" s="6">
        <v>33.686714172363303</v>
      </c>
      <c r="G777" s="6">
        <v>33.768760681152301</v>
      </c>
      <c r="H777" s="6">
        <v>33.811733245849602</v>
      </c>
      <c r="I777" s="6">
        <v>33.790428161621101</v>
      </c>
      <c r="J777" s="6">
        <v>33.811859130859403</v>
      </c>
      <c r="K777" s="6">
        <v>33.849479675292997</v>
      </c>
      <c r="L777" s="6">
        <v>26.2852573394775</v>
      </c>
    </row>
    <row r="778" spans="1:12" x14ac:dyDescent="0.25">
      <c r="A778">
        <v>1302504</v>
      </c>
      <c r="B778" t="str">
        <f t="shared" si="12"/>
        <v>MANACAPURU, AM, Brasil</v>
      </c>
      <c r="C778" s="4" t="str">
        <f>_xlfn.XLOOKUP(A778,[1]!DadosGHD[CD_GEOCMU],[1]!DadosGHD[Região])</f>
        <v>NO</v>
      </c>
      <c r="D778" s="4" t="str">
        <f>_xlfn.XLOOKUP(A778,[1]!DadosGHD[CD_GEOCMU],[1]!DadosGHD[uf])</f>
        <v>AM</v>
      </c>
      <c r="E778" s="5" t="str">
        <f>_xlfn.XLOOKUP(A778,[1]!DadosGHD[CD_GEOCMU],[1]!DadosGHD[MUNICIPIO])</f>
        <v>MANACAPURU</v>
      </c>
      <c r="F778" s="6">
        <v>33.686752319335902</v>
      </c>
      <c r="G778" s="6">
        <v>28.934892654418899</v>
      </c>
      <c r="H778" s="6">
        <v>28.969316482543899</v>
      </c>
      <c r="I778" s="6">
        <v>28.957843780517599</v>
      </c>
      <c r="J778" s="6">
        <v>33.812995910644503</v>
      </c>
      <c r="K778" s="6">
        <v>33.856067657470703</v>
      </c>
      <c r="L778" s="6">
        <v>57.589881896972699</v>
      </c>
    </row>
    <row r="779" spans="1:12" x14ac:dyDescent="0.25">
      <c r="A779">
        <v>3103702</v>
      </c>
      <c r="B779" t="str">
        <f t="shared" si="12"/>
        <v>ARAPONGA, MG, Brasil</v>
      </c>
      <c r="C779" s="4" t="str">
        <f>_xlfn.XLOOKUP(A779,[1]!DadosGHD[CD_GEOCMU],[1]!DadosGHD[Região])</f>
        <v>SD</v>
      </c>
      <c r="D779" s="4" t="str">
        <f>_xlfn.XLOOKUP(A779,[1]!DadosGHD[CD_GEOCMU],[1]!DadosGHD[uf])</f>
        <v>MG</v>
      </c>
      <c r="E779" s="5" t="str">
        <f>_xlfn.XLOOKUP(A779,[1]!DadosGHD[CD_GEOCMU],[1]!DadosGHD[MUNICIPIO])</f>
        <v>ARAPONGA</v>
      </c>
      <c r="F779" s="6">
        <v>33.686771392822301</v>
      </c>
      <c r="G779" s="6">
        <v>28.907878875732401</v>
      </c>
      <c r="H779" s="6">
        <v>33.818683624267599</v>
      </c>
      <c r="I779" s="6">
        <v>33.791149139404297</v>
      </c>
      <c r="J779" s="6">
        <v>38.7945556640625</v>
      </c>
      <c r="K779" s="6">
        <v>38.841651916503899</v>
      </c>
      <c r="L779" s="6">
        <v>30.704689025878899</v>
      </c>
    </row>
    <row r="780" spans="1:12" x14ac:dyDescent="0.25">
      <c r="A780">
        <v>2110609</v>
      </c>
      <c r="B780" t="str">
        <f t="shared" si="12"/>
        <v>SAO BERNARDO, MA, Brasil</v>
      </c>
      <c r="C780" s="4" t="str">
        <f>_xlfn.XLOOKUP(A780,[1]!DadosGHD[CD_GEOCMU],[1]!DadosGHD[Região])</f>
        <v>NE</v>
      </c>
      <c r="D780" s="4" t="str">
        <f>_xlfn.XLOOKUP(A780,[1]!DadosGHD[CD_GEOCMU],[1]!DadosGHD[uf])</f>
        <v>MA</v>
      </c>
      <c r="E780" s="5" t="str">
        <f>_xlfn.XLOOKUP(A780,[1]!DadosGHD[CD_GEOCMU],[1]!DadosGHD[MUNICIPIO])</f>
        <v>SAO BERNARDO</v>
      </c>
      <c r="F780" s="6">
        <v>33.686855316162102</v>
      </c>
      <c r="G780" s="6">
        <v>28.9341831207275</v>
      </c>
      <c r="H780" s="6">
        <v>28.967220306396499</v>
      </c>
      <c r="I780" s="6">
        <v>28.948371887206999</v>
      </c>
      <c r="J780" s="6">
        <v>28.963981628418001</v>
      </c>
      <c r="K780" s="6">
        <v>28.994869232177699</v>
      </c>
      <c r="L780" s="6">
        <v>26.298992156982401</v>
      </c>
    </row>
    <row r="781" spans="1:12" x14ac:dyDescent="0.25">
      <c r="A781">
        <v>3140852</v>
      </c>
      <c r="B781" t="str">
        <f t="shared" si="12"/>
        <v>MATIAS CARDOSO, MG, Brasil</v>
      </c>
      <c r="C781" s="4" t="str">
        <f>_xlfn.XLOOKUP(A781,[1]!DadosGHD[CD_GEOCMU],[1]!DadosGHD[Região])</f>
        <v>SD</v>
      </c>
      <c r="D781" s="4" t="str">
        <f>_xlfn.XLOOKUP(A781,[1]!DadosGHD[CD_GEOCMU],[1]!DadosGHD[uf])</f>
        <v>MG</v>
      </c>
      <c r="E781" s="5" t="str">
        <f>_xlfn.XLOOKUP(A781,[1]!DadosGHD[CD_GEOCMU],[1]!DadosGHD[MUNICIPIO])</f>
        <v>MATIAS CARDOSO</v>
      </c>
      <c r="F781" s="6">
        <v>33.687057495117202</v>
      </c>
      <c r="G781" s="6">
        <v>28.928300857543899</v>
      </c>
      <c r="H781" s="6">
        <v>28.9613151550293</v>
      </c>
      <c r="I781" s="6">
        <v>28.941770553588899</v>
      </c>
      <c r="J781" s="6">
        <v>28.9561557769775</v>
      </c>
      <c r="K781" s="6">
        <v>28.9828586578369</v>
      </c>
      <c r="L781" s="6">
        <v>26.281665802001999</v>
      </c>
    </row>
    <row r="782" spans="1:12" x14ac:dyDescent="0.25">
      <c r="A782">
        <v>2506103</v>
      </c>
      <c r="B782" t="str">
        <f t="shared" si="12"/>
        <v>FAGUNDES, PB, Brasil</v>
      </c>
      <c r="C782" s="4" t="str">
        <f>_xlfn.XLOOKUP(A782,[1]!DadosGHD[CD_GEOCMU],[1]!DadosGHD[Região])</f>
        <v>NE</v>
      </c>
      <c r="D782" s="4" t="str">
        <f>_xlfn.XLOOKUP(A782,[1]!DadosGHD[CD_GEOCMU],[1]!DadosGHD[uf])</f>
        <v>PB</v>
      </c>
      <c r="E782" s="5" t="str">
        <f>_xlfn.XLOOKUP(A782,[1]!DadosGHD[CD_GEOCMU],[1]!DadosGHD[MUNICIPIO])</f>
        <v>FAGUNDES</v>
      </c>
      <c r="F782" s="6">
        <v>33.687057495117202</v>
      </c>
      <c r="G782" s="6">
        <v>28.929601669311499</v>
      </c>
      <c r="H782" s="6">
        <v>28.962150573730501</v>
      </c>
      <c r="I782" s="6">
        <v>28.943723678588899</v>
      </c>
      <c r="J782" s="6">
        <v>28.956687927246101</v>
      </c>
      <c r="K782" s="6">
        <v>33.877738952636697</v>
      </c>
      <c r="L782" s="6">
        <v>30.716485977172901</v>
      </c>
    </row>
    <row r="783" spans="1:12" x14ac:dyDescent="0.25">
      <c r="A783">
        <v>2414100</v>
      </c>
      <c r="B783" t="str">
        <f t="shared" si="12"/>
        <v>TENENTE ANANIAS, RN, Brasil</v>
      </c>
      <c r="C783" s="4" t="str">
        <f>_xlfn.XLOOKUP(A783,[1]!DadosGHD[CD_GEOCMU],[1]!DadosGHD[Região])</f>
        <v>NE</v>
      </c>
      <c r="D783" s="4" t="str">
        <f>_xlfn.XLOOKUP(A783,[1]!DadosGHD[CD_GEOCMU],[1]!DadosGHD[uf])</f>
        <v>RN</v>
      </c>
      <c r="E783" s="5" t="str">
        <f>_xlfn.XLOOKUP(A783,[1]!DadosGHD[CD_GEOCMU],[1]!DadosGHD[MUNICIPIO])</f>
        <v>TENENTE ANANIAS</v>
      </c>
      <c r="F783" s="6">
        <v>33.6871528625488</v>
      </c>
      <c r="G783" s="6">
        <v>33.765720367431598</v>
      </c>
      <c r="H783" s="6">
        <v>28.975288391113299</v>
      </c>
      <c r="I783" s="6">
        <v>33.830406188964801</v>
      </c>
      <c r="J783" s="6">
        <v>33.8823051452637</v>
      </c>
      <c r="K783" s="6">
        <v>33.907390594482401</v>
      </c>
      <c r="L783" s="6">
        <v>39.558704376220703</v>
      </c>
    </row>
    <row r="784" spans="1:12" x14ac:dyDescent="0.25">
      <c r="A784">
        <v>2920403</v>
      </c>
      <c r="B784" t="str">
        <f t="shared" si="12"/>
        <v>MANOEL VITORINO, BA, Brasil</v>
      </c>
      <c r="C784" s="4" t="str">
        <f>_xlfn.XLOOKUP(A784,[1]!DadosGHD[CD_GEOCMU],[1]!DadosGHD[Região])</f>
        <v>NE</v>
      </c>
      <c r="D784" s="4" t="str">
        <f>_xlfn.XLOOKUP(A784,[1]!DadosGHD[CD_GEOCMU],[1]!DadosGHD[uf])</f>
        <v>BA</v>
      </c>
      <c r="E784" s="5" t="str">
        <f>_xlfn.XLOOKUP(A784,[1]!DadosGHD[CD_GEOCMU],[1]!DadosGHD[MUNICIPIO])</f>
        <v>MANOEL VITORINO</v>
      </c>
      <c r="F784" s="6">
        <v>33.687160491943402</v>
      </c>
      <c r="G784" s="6">
        <v>28.930858612060501</v>
      </c>
      <c r="H784" s="6">
        <v>28.969791412353501</v>
      </c>
      <c r="I784" s="6">
        <v>33.799896240234403</v>
      </c>
      <c r="J784" s="6">
        <v>28.9710483551025</v>
      </c>
      <c r="K784" s="6">
        <v>33.855239868164098</v>
      </c>
      <c r="L784" s="6">
        <v>30.685735702514702</v>
      </c>
    </row>
    <row r="785" spans="1:12" x14ac:dyDescent="0.25">
      <c r="A785">
        <v>2910008</v>
      </c>
      <c r="B785" t="str">
        <f t="shared" si="12"/>
        <v>DARIO MEIRA, BA, Brasil</v>
      </c>
      <c r="C785" s="4" t="str">
        <f>_xlfn.XLOOKUP(A785,[1]!DadosGHD[CD_GEOCMU],[1]!DadosGHD[Região])</f>
        <v>NE</v>
      </c>
      <c r="D785" s="4" t="str">
        <f>_xlfn.XLOOKUP(A785,[1]!DadosGHD[CD_GEOCMU],[1]!DadosGHD[uf])</f>
        <v>BA</v>
      </c>
      <c r="E785" s="5" t="str">
        <f>_xlfn.XLOOKUP(A785,[1]!DadosGHD[CD_GEOCMU],[1]!DadosGHD[MUNICIPIO])</f>
        <v>DARIO MEIRA</v>
      </c>
      <c r="F785" s="6">
        <v>33.687210083007798</v>
      </c>
      <c r="G785" s="6">
        <v>28.9319972991943</v>
      </c>
      <c r="H785" s="6">
        <v>28.972455978393601</v>
      </c>
      <c r="I785" s="6">
        <v>28.955280303955099</v>
      </c>
      <c r="J785" s="6">
        <v>28.966447830200199</v>
      </c>
      <c r="K785" s="6">
        <v>28.993501663208001</v>
      </c>
      <c r="L785" s="6">
        <v>26.2801818847656</v>
      </c>
    </row>
    <row r="786" spans="1:12" x14ac:dyDescent="0.25">
      <c r="A786">
        <v>2611507</v>
      </c>
      <c r="B786" t="str">
        <f t="shared" si="12"/>
        <v>QUIPAPA, PE, Brasil</v>
      </c>
      <c r="C786" s="4" t="str">
        <f>_xlfn.XLOOKUP(A786,[1]!DadosGHD[CD_GEOCMU],[1]!DadosGHD[Região])</f>
        <v>NE</v>
      </c>
      <c r="D786" s="4" t="str">
        <f>_xlfn.XLOOKUP(A786,[1]!DadosGHD[CD_GEOCMU],[1]!DadosGHD[uf])</f>
        <v>PE</v>
      </c>
      <c r="E786" s="5" t="str">
        <f>_xlfn.XLOOKUP(A786,[1]!DadosGHD[CD_GEOCMU],[1]!DadosGHD[MUNICIPIO])</f>
        <v>QUIPAPA</v>
      </c>
      <c r="F786" s="6">
        <v>33.687217712402301</v>
      </c>
      <c r="G786" s="6">
        <v>28.929248809814499</v>
      </c>
      <c r="H786" s="6">
        <v>28.9619235992432</v>
      </c>
      <c r="I786" s="6">
        <v>28.942625045776399</v>
      </c>
      <c r="J786" s="6">
        <v>28.9480876922607</v>
      </c>
      <c r="K786" s="6">
        <v>28.9750461578369</v>
      </c>
      <c r="L786" s="6">
        <v>26.2927761077881</v>
      </c>
    </row>
    <row r="787" spans="1:12" x14ac:dyDescent="0.25">
      <c r="A787">
        <v>2102754</v>
      </c>
      <c r="B787" t="str">
        <f t="shared" si="12"/>
        <v>CAPINZAL DO NORTE, MA, Brasil</v>
      </c>
      <c r="C787" s="4" t="str">
        <f>_xlfn.XLOOKUP(A787,[1]!DadosGHD[CD_GEOCMU],[1]!DadosGHD[Região])</f>
        <v>NE</v>
      </c>
      <c r="D787" s="4" t="str">
        <f>_xlfn.XLOOKUP(A787,[1]!DadosGHD[CD_GEOCMU],[1]!DadosGHD[uf])</f>
        <v>MA</v>
      </c>
      <c r="E787" s="5" t="str">
        <f>_xlfn.XLOOKUP(A787,[1]!DadosGHD[CD_GEOCMU],[1]!DadosGHD[MUNICIPIO])</f>
        <v>CAPINZAL DO NORTE</v>
      </c>
      <c r="F787" s="6">
        <v>33.687290191650398</v>
      </c>
      <c r="G787" s="6">
        <v>28.929750442504901</v>
      </c>
      <c r="H787" s="6">
        <v>28.961956024169901</v>
      </c>
      <c r="I787" s="6">
        <v>28.942964553833001</v>
      </c>
      <c r="J787" s="6">
        <v>28.957872390747099</v>
      </c>
      <c r="K787" s="6">
        <v>28.985073089599599</v>
      </c>
      <c r="L787" s="6">
        <v>26.2798957824707</v>
      </c>
    </row>
    <row r="788" spans="1:12" x14ac:dyDescent="0.25">
      <c r="A788">
        <v>2403509</v>
      </c>
      <c r="B788" t="str">
        <f t="shared" si="12"/>
        <v>ESPIRITO SANTO, RN, Brasil</v>
      </c>
      <c r="C788" s="4" t="str">
        <f>_xlfn.XLOOKUP(A788,[1]!DadosGHD[CD_GEOCMU],[1]!DadosGHD[Região])</f>
        <v>NE</v>
      </c>
      <c r="D788" s="4" t="str">
        <f>_xlfn.XLOOKUP(A788,[1]!DadosGHD[CD_GEOCMU],[1]!DadosGHD[uf])</f>
        <v>RN</v>
      </c>
      <c r="E788" s="5" t="str">
        <f>_xlfn.XLOOKUP(A788,[1]!DadosGHD[CD_GEOCMU],[1]!DadosGHD[MUNICIPIO])</f>
        <v>ESPIRITO SANTO</v>
      </c>
      <c r="F788" s="6">
        <v>33.687305450439503</v>
      </c>
      <c r="G788" s="6">
        <v>28.9300441741943</v>
      </c>
      <c r="H788" s="6">
        <v>28.973808288574201</v>
      </c>
      <c r="I788" s="6">
        <v>28.945396423339801</v>
      </c>
      <c r="J788" s="6">
        <v>43.718452453613303</v>
      </c>
      <c r="K788" s="6">
        <v>33.846099853515597</v>
      </c>
      <c r="L788" s="6">
        <v>30.686672210693398</v>
      </c>
    </row>
    <row r="789" spans="1:12" x14ac:dyDescent="0.25">
      <c r="A789">
        <v>5003157</v>
      </c>
      <c r="B789" t="str">
        <f t="shared" si="12"/>
        <v>CORONEL SAPUCAIA, MS, Brasil</v>
      </c>
      <c r="C789" s="4" t="str">
        <f>_xlfn.XLOOKUP(A789,[1]!DadosGHD[CD_GEOCMU],[1]!DadosGHD[Região])</f>
        <v>CO</v>
      </c>
      <c r="D789" s="4" t="str">
        <f>_xlfn.XLOOKUP(A789,[1]!DadosGHD[CD_GEOCMU],[1]!DadosGHD[uf])</f>
        <v>MS</v>
      </c>
      <c r="E789" s="5" t="str">
        <f>_xlfn.XLOOKUP(A789,[1]!DadosGHD[CD_GEOCMU],[1]!DadosGHD[MUNICIPIO])</f>
        <v>CORONEL SAPUCAIA</v>
      </c>
      <c r="F789" s="6">
        <v>33.687446594238303</v>
      </c>
      <c r="G789" s="6">
        <v>33.7882080078125</v>
      </c>
      <c r="H789" s="6">
        <v>33.8205375671387</v>
      </c>
      <c r="I789" s="6">
        <v>33.7935600280762</v>
      </c>
      <c r="J789" s="6">
        <v>28.977287292480501</v>
      </c>
      <c r="K789" s="6">
        <v>33.843276977539098</v>
      </c>
      <c r="L789" s="6">
        <v>30.697624206543001</v>
      </c>
    </row>
    <row r="790" spans="1:12" x14ac:dyDescent="0.25">
      <c r="A790">
        <v>1504976</v>
      </c>
      <c r="B790" t="str">
        <f t="shared" si="12"/>
        <v>NOVA IPIXUNA, PA, Brasil</v>
      </c>
      <c r="C790" s="4" t="str">
        <f>_xlfn.XLOOKUP(A790,[1]!DadosGHD[CD_GEOCMU],[1]!DadosGHD[Região])</f>
        <v>NO</v>
      </c>
      <c r="D790" s="4" t="str">
        <f>_xlfn.XLOOKUP(A790,[1]!DadosGHD[CD_GEOCMU],[1]!DadosGHD[uf])</f>
        <v>PA</v>
      </c>
      <c r="E790" s="5" t="str">
        <f>_xlfn.XLOOKUP(A790,[1]!DadosGHD[CD_GEOCMU],[1]!DadosGHD[MUNICIPIO])</f>
        <v>NOVA IPIXUNA</v>
      </c>
      <c r="F790" s="6">
        <v>33.687545776367202</v>
      </c>
      <c r="G790" s="6">
        <v>28.936017990112301</v>
      </c>
      <c r="H790" s="6">
        <v>28.968225479126001</v>
      </c>
      <c r="I790" s="6">
        <v>28.948480606079102</v>
      </c>
      <c r="J790" s="6">
        <v>28.962711334228501</v>
      </c>
      <c r="K790" s="6">
        <v>28.9923286437988</v>
      </c>
      <c r="L790" s="6">
        <v>26.283952713012699</v>
      </c>
    </row>
    <row r="791" spans="1:12" x14ac:dyDescent="0.25">
      <c r="A791">
        <v>2313302</v>
      </c>
      <c r="B791" t="str">
        <f t="shared" si="12"/>
        <v>TAUA, CE, Brasil</v>
      </c>
      <c r="C791" s="4" t="str">
        <f>_xlfn.XLOOKUP(A791,[1]!DadosGHD[CD_GEOCMU],[1]!DadosGHD[Região])</f>
        <v>NE</v>
      </c>
      <c r="D791" s="4" t="str">
        <f>_xlfn.XLOOKUP(A791,[1]!DadosGHD[CD_GEOCMU],[1]!DadosGHD[uf])</f>
        <v>CE</v>
      </c>
      <c r="E791" s="5" t="str">
        <f>_xlfn.XLOOKUP(A791,[1]!DadosGHD[CD_GEOCMU],[1]!DadosGHD[MUNICIPIO])</f>
        <v>TAUA</v>
      </c>
      <c r="F791" s="6">
        <v>33.687770843505902</v>
      </c>
      <c r="G791" s="6">
        <v>33.824634552002003</v>
      </c>
      <c r="H791" s="6">
        <v>38.770156860351598</v>
      </c>
      <c r="I791" s="6">
        <v>38.771507263183601</v>
      </c>
      <c r="J791" s="6">
        <v>38.780338287353501</v>
      </c>
      <c r="K791" s="6">
        <v>38.840545654296903</v>
      </c>
      <c r="L791" s="6">
        <v>39.596462249755902</v>
      </c>
    </row>
    <row r="792" spans="1:12" x14ac:dyDescent="0.25">
      <c r="A792">
        <v>2106508</v>
      </c>
      <c r="B792" t="str">
        <f t="shared" si="12"/>
        <v>MATINHA, MA, Brasil</v>
      </c>
      <c r="C792" s="4" t="str">
        <f>_xlfn.XLOOKUP(A792,[1]!DadosGHD[CD_GEOCMU],[1]!DadosGHD[Região])</f>
        <v>NE</v>
      </c>
      <c r="D792" s="4" t="str">
        <f>_xlfn.XLOOKUP(A792,[1]!DadosGHD[CD_GEOCMU],[1]!DadosGHD[uf])</f>
        <v>MA</v>
      </c>
      <c r="E792" s="5" t="str">
        <f>_xlfn.XLOOKUP(A792,[1]!DadosGHD[CD_GEOCMU],[1]!DadosGHD[MUNICIPIO])</f>
        <v>MATINHA</v>
      </c>
      <c r="F792" s="6">
        <v>33.6878051757813</v>
      </c>
      <c r="G792" s="6">
        <v>28.919681549072301</v>
      </c>
      <c r="H792" s="6">
        <v>28.951623916626001</v>
      </c>
      <c r="I792" s="6">
        <v>28.9427375793457</v>
      </c>
      <c r="J792" s="6">
        <v>28.967969894409201</v>
      </c>
      <c r="K792" s="6">
        <v>28.9805507659912</v>
      </c>
      <c r="L792" s="6">
        <v>26.2822971343994</v>
      </c>
    </row>
    <row r="793" spans="1:12" x14ac:dyDescent="0.25">
      <c r="A793">
        <v>2205003</v>
      </c>
      <c r="B793" t="str">
        <f t="shared" si="12"/>
        <v>ITAINOPOLIS, PI, Brasil</v>
      </c>
      <c r="C793" s="4" t="str">
        <f>_xlfn.XLOOKUP(A793,[1]!DadosGHD[CD_GEOCMU],[1]!DadosGHD[Região])</f>
        <v>NE</v>
      </c>
      <c r="D793" s="4" t="str">
        <f>_xlfn.XLOOKUP(A793,[1]!DadosGHD[CD_GEOCMU],[1]!DadosGHD[uf])</f>
        <v>PI</v>
      </c>
      <c r="E793" s="5" t="str">
        <f>_xlfn.XLOOKUP(A793,[1]!DadosGHD[CD_GEOCMU],[1]!DadosGHD[MUNICIPIO])</f>
        <v>ITAINOPOLIS</v>
      </c>
      <c r="F793" s="6">
        <v>33.688011169433601</v>
      </c>
      <c r="G793" s="6">
        <v>28.929449081420898</v>
      </c>
      <c r="H793" s="6">
        <v>28.966825485229499</v>
      </c>
      <c r="I793" s="6">
        <v>28.9498596191406</v>
      </c>
      <c r="J793" s="6">
        <v>28.970682144165</v>
      </c>
      <c r="K793" s="6">
        <v>28.987169265747099</v>
      </c>
      <c r="L793" s="6">
        <v>26.285957336425799</v>
      </c>
    </row>
    <row r="794" spans="1:12" x14ac:dyDescent="0.25">
      <c r="A794">
        <v>2704005</v>
      </c>
      <c r="B794" t="str">
        <f t="shared" si="12"/>
        <v>JUNQUEIRO, AL, Brasil</v>
      </c>
      <c r="C794" s="4" t="str">
        <f>_xlfn.XLOOKUP(A794,[1]!DadosGHD[CD_GEOCMU],[1]!DadosGHD[Região])</f>
        <v>NE</v>
      </c>
      <c r="D794" s="4" t="str">
        <f>_xlfn.XLOOKUP(A794,[1]!DadosGHD[CD_GEOCMU],[1]!DadosGHD[uf])</f>
        <v>AL</v>
      </c>
      <c r="E794" s="5" t="str">
        <f>_xlfn.XLOOKUP(A794,[1]!DadosGHD[CD_GEOCMU],[1]!DadosGHD[MUNICIPIO])</f>
        <v>JUNQUEIRO</v>
      </c>
      <c r="F794" s="6">
        <v>33.688255310058601</v>
      </c>
      <c r="G794" s="6">
        <v>28.9333820343018</v>
      </c>
      <c r="H794" s="6">
        <v>28.967090606689499</v>
      </c>
      <c r="I794" s="6">
        <v>28.947740554809599</v>
      </c>
      <c r="J794" s="6">
        <v>28.9441223144531</v>
      </c>
      <c r="K794" s="6">
        <v>28.969457626342798</v>
      </c>
      <c r="L794" s="6">
        <v>26.2798957824707</v>
      </c>
    </row>
    <row r="795" spans="1:12" x14ac:dyDescent="0.25">
      <c r="A795">
        <v>2929370</v>
      </c>
      <c r="B795" t="str">
        <f t="shared" si="12"/>
        <v>SAO JOSE DO JACUIPE, BA, Brasil</v>
      </c>
      <c r="C795" s="4" t="str">
        <f>_xlfn.XLOOKUP(A795,[1]!DadosGHD[CD_GEOCMU],[1]!DadosGHD[Região])</f>
        <v>NE</v>
      </c>
      <c r="D795" s="4" t="str">
        <f>_xlfn.XLOOKUP(A795,[1]!DadosGHD[CD_GEOCMU],[1]!DadosGHD[uf])</f>
        <v>BA</v>
      </c>
      <c r="E795" s="5" t="str">
        <f>_xlfn.XLOOKUP(A795,[1]!DadosGHD[CD_GEOCMU],[1]!DadosGHD[MUNICIPIO])</f>
        <v>SAO JOSE DO JACUIPE</v>
      </c>
      <c r="F795" s="6">
        <v>33.688377380371101</v>
      </c>
      <c r="G795" s="6">
        <v>33.798908233642599</v>
      </c>
      <c r="H795" s="6">
        <v>33.866714477539098</v>
      </c>
      <c r="I795" s="6">
        <v>33.844863891601598</v>
      </c>
      <c r="J795" s="6">
        <v>33.883071899414098</v>
      </c>
      <c r="K795" s="6">
        <v>38.796333312988303</v>
      </c>
      <c r="L795" s="6">
        <v>39.580280303955099</v>
      </c>
    </row>
    <row r="796" spans="1:12" x14ac:dyDescent="0.25">
      <c r="A796">
        <v>2108900</v>
      </c>
      <c r="B796" t="str">
        <f t="shared" si="12"/>
        <v>POCAO DE PEDRAS, MA, Brasil</v>
      </c>
      <c r="C796" s="4" t="str">
        <f>_xlfn.XLOOKUP(A796,[1]!DadosGHD[CD_GEOCMU],[1]!DadosGHD[Região])</f>
        <v>NE</v>
      </c>
      <c r="D796" s="4" t="str">
        <f>_xlfn.XLOOKUP(A796,[1]!DadosGHD[CD_GEOCMU],[1]!DadosGHD[uf])</f>
        <v>MA</v>
      </c>
      <c r="E796" s="5" t="str">
        <f>_xlfn.XLOOKUP(A796,[1]!DadosGHD[CD_GEOCMU],[1]!DadosGHD[MUNICIPIO])</f>
        <v>POCAO DE PEDRAS</v>
      </c>
      <c r="F796" s="6">
        <v>33.688400268554702</v>
      </c>
      <c r="G796" s="6">
        <v>28.9384574890137</v>
      </c>
      <c r="H796" s="6">
        <v>28.9683723449707</v>
      </c>
      <c r="I796" s="6">
        <v>28.952590942382798</v>
      </c>
      <c r="J796" s="6">
        <v>28.9715576171875</v>
      </c>
      <c r="K796" s="6">
        <v>33.858657836914098</v>
      </c>
      <c r="L796" s="6">
        <v>26.2798957824707</v>
      </c>
    </row>
    <row r="797" spans="1:12" x14ac:dyDescent="0.25">
      <c r="A797">
        <v>2904753</v>
      </c>
      <c r="B797" t="str">
        <f t="shared" si="12"/>
        <v>BURITIRAMA, BA, Brasil</v>
      </c>
      <c r="C797" s="4" t="str">
        <f>_xlfn.XLOOKUP(A797,[1]!DadosGHD[CD_GEOCMU],[1]!DadosGHD[Região])</f>
        <v>NE</v>
      </c>
      <c r="D797" s="4" t="str">
        <f>_xlfn.XLOOKUP(A797,[1]!DadosGHD[CD_GEOCMU],[1]!DadosGHD[uf])</f>
        <v>BA</v>
      </c>
      <c r="E797" s="5" t="str">
        <f>_xlfn.XLOOKUP(A797,[1]!DadosGHD[CD_GEOCMU],[1]!DadosGHD[MUNICIPIO])</f>
        <v>BURITIRAMA</v>
      </c>
      <c r="F797" s="6">
        <v>33.6884765625</v>
      </c>
      <c r="G797" s="6">
        <v>28.9307765960693</v>
      </c>
      <c r="H797" s="6">
        <v>28.966489791870099</v>
      </c>
      <c r="I797" s="6">
        <v>28.9370441436768</v>
      </c>
      <c r="J797" s="6">
        <v>28.971910476684599</v>
      </c>
      <c r="K797" s="6">
        <v>33.842002868652301</v>
      </c>
      <c r="L797" s="6">
        <v>26.2902927398682</v>
      </c>
    </row>
    <row r="798" spans="1:12" x14ac:dyDescent="0.25">
      <c r="A798">
        <v>2409100</v>
      </c>
      <c r="B798" t="str">
        <f t="shared" si="12"/>
        <v>PASSA E FICA, RN, Brasil</v>
      </c>
      <c r="C798" s="4" t="str">
        <f>_xlfn.XLOOKUP(A798,[1]!DadosGHD[CD_GEOCMU],[1]!DadosGHD[Região])</f>
        <v>NE</v>
      </c>
      <c r="D798" s="4" t="str">
        <f>_xlfn.XLOOKUP(A798,[1]!DadosGHD[CD_GEOCMU],[1]!DadosGHD[uf])</f>
        <v>RN</v>
      </c>
      <c r="E798" s="5" t="str">
        <f>_xlfn.XLOOKUP(A798,[1]!DadosGHD[CD_GEOCMU],[1]!DadosGHD[MUNICIPIO])</f>
        <v>PASSA E FICA</v>
      </c>
      <c r="F798" s="6">
        <v>33.688587188720703</v>
      </c>
      <c r="G798" s="6">
        <v>28.9325866699219</v>
      </c>
      <c r="H798" s="6">
        <v>28.973493576049801</v>
      </c>
      <c r="I798" s="6">
        <v>28.956081390380898</v>
      </c>
      <c r="J798" s="6">
        <v>28.978406906127901</v>
      </c>
      <c r="K798" s="6">
        <v>28.9970607757568</v>
      </c>
      <c r="L798" s="6">
        <v>30.696083068847699</v>
      </c>
    </row>
    <row r="799" spans="1:12" x14ac:dyDescent="0.25">
      <c r="A799">
        <v>2111508</v>
      </c>
      <c r="B799" t="str">
        <f t="shared" si="12"/>
        <v>SAO MATEUS DO MARANHAO, MA, Brasil</v>
      </c>
      <c r="C799" s="4" t="str">
        <f>_xlfn.XLOOKUP(A799,[1]!DadosGHD[CD_GEOCMU],[1]!DadosGHD[Região])</f>
        <v>NE</v>
      </c>
      <c r="D799" s="4" t="str">
        <f>_xlfn.XLOOKUP(A799,[1]!DadosGHD[CD_GEOCMU],[1]!DadosGHD[uf])</f>
        <v>MA</v>
      </c>
      <c r="E799" s="5" t="str">
        <f>_xlfn.XLOOKUP(A799,[1]!DadosGHD[CD_GEOCMU],[1]!DadosGHD[MUNICIPIO])</f>
        <v>SAO MATEUS DO MARANHAO</v>
      </c>
      <c r="F799" s="6">
        <v>33.688667297363303</v>
      </c>
      <c r="G799" s="6">
        <v>33.772579193115199</v>
      </c>
      <c r="H799" s="6">
        <v>33.8185424804688</v>
      </c>
      <c r="I799" s="6">
        <v>33.799102783203097</v>
      </c>
      <c r="J799" s="6">
        <v>33.8275337219238</v>
      </c>
      <c r="K799" s="6">
        <v>33.894050598144503</v>
      </c>
      <c r="L799" s="6">
        <v>35.112491607666001</v>
      </c>
    </row>
    <row r="800" spans="1:12" x14ac:dyDescent="0.25">
      <c r="A800">
        <v>3170529</v>
      </c>
      <c r="B800" t="str">
        <f t="shared" si="12"/>
        <v>URUCUIA, MG, Brasil</v>
      </c>
      <c r="C800" s="4" t="str">
        <f>_xlfn.XLOOKUP(A800,[1]!DadosGHD[CD_GEOCMU],[1]!DadosGHD[Região])</f>
        <v>SD</v>
      </c>
      <c r="D800" s="4" t="str">
        <f>_xlfn.XLOOKUP(A800,[1]!DadosGHD[CD_GEOCMU],[1]!DadosGHD[uf])</f>
        <v>MG</v>
      </c>
      <c r="E800" s="5" t="str">
        <f>_xlfn.XLOOKUP(A800,[1]!DadosGHD[CD_GEOCMU],[1]!DadosGHD[MUNICIPIO])</f>
        <v>URUCUIA</v>
      </c>
      <c r="F800" s="6">
        <v>33.688774108886697</v>
      </c>
      <c r="G800" s="6">
        <v>28.936552047729499</v>
      </c>
      <c r="H800" s="6">
        <v>28.968032836914102</v>
      </c>
      <c r="I800" s="6">
        <v>28.947761535644499</v>
      </c>
      <c r="J800" s="6">
        <v>28.9615173339844</v>
      </c>
      <c r="K800" s="6">
        <v>28.987655639648398</v>
      </c>
      <c r="L800" s="6">
        <v>26.2798957824707</v>
      </c>
    </row>
    <row r="801" spans="1:12" x14ac:dyDescent="0.25">
      <c r="A801">
        <v>2509008</v>
      </c>
      <c r="B801" t="str">
        <f t="shared" si="12"/>
        <v>MANAIRA, PB, Brasil</v>
      </c>
      <c r="C801" s="4" t="str">
        <f>_xlfn.XLOOKUP(A801,[1]!DadosGHD[CD_GEOCMU],[1]!DadosGHD[Região])</f>
        <v>NE</v>
      </c>
      <c r="D801" s="4" t="str">
        <f>_xlfn.XLOOKUP(A801,[1]!DadosGHD[CD_GEOCMU],[1]!DadosGHD[uf])</f>
        <v>PB</v>
      </c>
      <c r="E801" s="5" t="str">
        <f>_xlfn.XLOOKUP(A801,[1]!DadosGHD[CD_GEOCMU],[1]!DadosGHD[MUNICIPIO])</f>
        <v>MANAIRA</v>
      </c>
      <c r="F801" s="6">
        <v>33.688812255859403</v>
      </c>
      <c r="G801" s="6">
        <v>28.932151794433601</v>
      </c>
      <c r="H801" s="6">
        <v>33.828788757324197</v>
      </c>
      <c r="I801" s="6">
        <v>33.812427520752003</v>
      </c>
      <c r="J801" s="6">
        <v>33.825798034667997</v>
      </c>
      <c r="K801" s="6">
        <v>33.8897514343262</v>
      </c>
      <c r="L801" s="6">
        <v>35.117454528808601</v>
      </c>
    </row>
    <row r="802" spans="1:12" x14ac:dyDescent="0.25">
      <c r="A802">
        <v>2921302</v>
      </c>
      <c r="B802" t="str">
        <f t="shared" si="12"/>
        <v>MILAGRES, BA, Brasil</v>
      </c>
      <c r="C802" s="4" t="str">
        <f>_xlfn.XLOOKUP(A802,[1]!DadosGHD[CD_GEOCMU],[1]!DadosGHD[Região])</f>
        <v>NE</v>
      </c>
      <c r="D802" s="4" t="str">
        <f>_xlfn.XLOOKUP(A802,[1]!DadosGHD[CD_GEOCMU],[1]!DadosGHD[uf])</f>
        <v>BA</v>
      </c>
      <c r="E802" s="5" t="str">
        <f>_xlfn.XLOOKUP(A802,[1]!DadosGHD[CD_GEOCMU],[1]!DadosGHD[MUNICIPIO])</f>
        <v>MILAGRES</v>
      </c>
      <c r="F802" s="6">
        <v>33.688888549804702</v>
      </c>
      <c r="G802" s="6">
        <v>28.9318523406982</v>
      </c>
      <c r="H802" s="6">
        <v>28.968410491943398</v>
      </c>
      <c r="I802" s="6">
        <v>28.950202941894499</v>
      </c>
      <c r="J802" s="6">
        <v>28.963085174560501</v>
      </c>
      <c r="K802" s="6">
        <v>29.003200531005898</v>
      </c>
      <c r="L802" s="6">
        <v>26.292140960693398</v>
      </c>
    </row>
    <row r="803" spans="1:12" x14ac:dyDescent="0.25">
      <c r="A803">
        <v>1301209</v>
      </c>
      <c r="B803" t="str">
        <f t="shared" si="12"/>
        <v>COARI, AM, Brasil</v>
      </c>
      <c r="C803" s="4" t="str">
        <f>_xlfn.XLOOKUP(A803,[1]!DadosGHD[CD_GEOCMU],[1]!DadosGHD[Região])</f>
        <v>NO</v>
      </c>
      <c r="D803" s="4" t="str">
        <f>_xlfn.XLOOKUP(A803,[1]!DadosGHD[CD_GEOCMU],[1]!DadosGHD[uf])</f>
        <v>AM</v>
      </c>
      <c r="E803" s="5" t="str">
        <f>_xlfn.XLOOKUP(A803,[1]!DadosGHD[CD_GEOCMU],[1]!DadosGHD[MUNICIPIO])</f>
        <v>COARI</v>
      </c>
      <c r="F803" s="6">
        <v>33.688957214355497</v>
      </c>
      <c r="G803" s="6">
        <v>28.926069259643601</v>
      </c>
      <c r="H803" s="6">
        <v>28.957069396972699</v>
      </c>
      <c r="I803" s="6">
        <v>28.9375324249268</v>
      </c>
      <c r="J803" s="6">
        <v>28.949722290039102</v>
      </c>
      <c r="K803" s="6">
        <v>28.974807739257798</v>
      </c>
      <c r="L803" s="6">
        <v>26.2798957824707</v>
      </c>
    </row>
    <row r="804" spans="1:12" x14ac:dyDescent="0.25">
      <c r="A804">
        <v>3125002</v>
      </c>
      <c r="B804" t="str">
        <f t="shared" si="12"/>
        <v>EWBANK DA CAMARA, MG, Brasil</v>
      </c>
      <c r="C804" s="4" t="str">
        <f>_xlfn.XLOOKUP(A804,[1]!DadosGHD[CD_GEOCMU],[1]!DadosGHD[Região])</f>
        <v>SD</v>
      </c>
      <c r="D804" s="4" t="str">
        <f>_xlfn.XLOOKUP(A804,[1]!DadosGHD[CD_GEOCMU],[1]!DadosGHD[uf])</f>
        <v>MG</v>
      </c>
      <c r="E804" s="5" t="str">
        <f>_xlfn.XLOOKUP(A804,[1]!DadosGHD[CD_GEOCMU],[1]!DadosGHD[MUNICIPIO])</f>
        <v>EWBANK DA CAMARA</v>
      </c>
      <c r="F804" s="6">
        <v>33.6890869140625</v>
      </c>
      <c r="G804" s="6">
        <v>33.840324401855497</v>
      </c>
      <c r="H804" s="6">
        <v>33.879856109619098</v>
      </c>
      <c r="I804" s="6">
        <v>38.714332580566399</v>
      </c>
      <c r="J804" s="6">
        <v>38.778453826904297</v>
      </c>
      <c r="K804" s="6">
        <v>38.828094482421903</v>
      </c>
      <c r="L804" s="6">
        <v>44.067218780517599</v>
      </c>
    </row>
    <row r="805" spans="1:12" x14ac:dyDescent="0.25">
      <c r="A805">
        <v>1507474</v>
      </c>
      <c r="B805" t="str">
        <f t="shared" si="12"/>
        <v>SAO JOAO DE PIRABAS, PA, Brasil</v>
      </c>
      <c r="C805" s="4" t="str">
        <f>_xlfn.XLOOKUP(A805,[1]!DadosGHD[CD_GEOCMU],[1]!DadosGHD[Região])</f>
        <v>NO</v>
      </c>
      <c r="D805" s="4" t="str">
        <f>_xlfn.XLOOKUP(A805,[1]!DadosGHD[CD_GEOCMU],[1]!DadosGHD[uf])</f>
        <v>PA</v>
      </c>
      <c r="E805" s="5" t="str">
        <f>_xlfn.XLOOKUP(A805,[1]!DadosGHD[CD_GEOCMU],[1]!DadosGHD[MUNICIPIO])</f>
        <v>SAO JOAO DE PIRABAS</v>
      </c>
      <c r="F805" s="6">
        <v>33.689163208007798</v>
      </c>
      <c r="G805" s="6">
        <v>28.927059173583999</v>
      </c>
      <c r="H805" s="6">
        <v>28.9622592926025</v>
      </c>
      <c r="I805" s="6">
        <v>28.9449062347412</v>
      </c>
      <c r="J805" s="6">
        <v>28.961912155151399</v>
      </c>
      <c r="K805" s="6">
        <v>28.997049331665</v>
      </c>
      <c r="L805" s="6">
        <v>30.695877075195298</v>
      </c>
    </row>
    <row r="806" spans="1:12" x14ac:dyDescent="0.25">
      <c r="A806">
        <v>2918803</v>
      </c>
      <c r="B806" t="str">
        <f t="shared" si="12"/>
        <v>LAJE, BA, Brasil</v>
      </c>
      <c r="C806" s="4" t="str">
        <f>_xlfn.XLOOKUP(A806,[1]!DadosGHD[CD_GEOCMU],[1]!DadosGHD[Região])</f>
        <v>NE</v>
      </c>
      <c r="D806" s="4" t="str">
        <f>_xlfn.XLOOKUP(A806,[1]!DadosGHD[CD_GEOCMU],[1]!DadosGHD[uf])</f>
        <v>BA</v>
      </c>
      <c r="E806" s="5" t="str">
        <f>_xlfn.XLOOKUP(A806,[1]!DadosGHD[CD_GEOCMU],[1]!DadosGHD[MUNICIPIO])</f>
        <v>LAJE</v>
      </c>
      <c r="F806" s="6">
        <v>33.689170837402301</v>
      </c>
      <c r="G806" s="6">
        <v>28.9356174468994</v>
      </c>
      <c r="H806" s="6">
        <v>33.830825805664098</v>
      </c>
      <c r="I806" s="6">
        <v>33.819698333740199</v>
      </c>
      <c r="J806" s="6">
        <v>28.9614067077637</v>
      </c>
      <c r="K806" s="6">
        <v>28.984695434570298</v>
      </c>
      <c r="L806" s="6">
        <v>30.7076206207275</v>
      </c>
    </row>
    <row r="807" spans="1:12" x14ac:dyDescent="0.25">
      <c r="A807">
        <v>2930766</v>
      </c>
      <c r="B807" t="str">
        <f t="shared" si="12"/>
        <v>SITIO DO QUINTO, BA, Brasil</v>
      </c>
      <c r="C807" s="4" t="str">
        <f>_xlfn.XLOOKUP(A807,[1]!DadosGHD[CD_GEOCMU],[1]!DadosGHD[Região])</f>
        <v>NE</v>
      </c>
      <c r="D807" s="4" t="str">
        <f>_xlfn.XLOOKUP(A807,[1]!DadosGHD[CD_GEOCMU],[1]!DadosGHD[uf])</f>
        <v>BA</v>
      </c>
      <c r="E807" s="5" t="str">
        <f>_xlfn.XLOOKUP(A807,[1]!DadosGHD[CD_GEOCMU],[1]!DadosGHD[MUNICIPIO])</f>
        <v>SITIO DO QUINTO</v>
      </c>
      <c r="F807" s="6">
        <v>33.689361572265597</v>
      </c>
      <c r="G807" s="6">
        <v>28.934484481811499</v>
      </c>
      <c r="H807" s="6">
        <v>28.972291946411101</v>
      </c>
      <c r="I807" s="6">
        <v>33.798366546630902</v>
      </c>
      <c r="J807" s="6">
        <v>33.815536499023402</v>
      </c>
      <c r="K807" s="6">
        <v>33.849033355712898</v>
      </c>
      <c r="L807" s="6">
        <v>26.288366317748999</v>
      </c>
    </row>
    <row r="808" spans="1:12" x14ac:dyDescent="0.25">
      <c r="A808">
        <v>2103901</v>
      </c>
      <c r="B808" t="str">
        <f t="shared" si="12"/>
        <v>DUQUE BACELAR, MA, Brasil</v>
      </c>
      <c r="C808" s="4" t="str">
        <f>_xlfn.XLOOKUP(A808,[1]!DadosGHD[CD_GEOCMU],[1]!DadosGHD[Região])</f>
        <v>NE</v>
      </c>
      <c r="D808" s="4" t="str">
        <f>_xlfn.XLOOKUP(A808,[1]!DadosGHD[CD_GEOCMU],[1]!DadosGHD[uf])</f>
        <v>MA</v>
      </c>
      <c r="E808" s="5" t="str">
        <f>_xlfn.XLOOKUP(A808,[1]!DadosGHD[CD_GEOCMU],[1]!DadosGHD[MUNICIPIO])</f>
        <v>DUQUE BACELAR</v>
      </c>
      <c r="F808" s="6">
        <v>33.6893920898438</v>
      </c>
      <c r="G808" s="6">
        <v>28.932107925415</v>
      </c>
      <c r="H808" s="6">
        <v>28.9642333984375</v>
      </c>
      <c r="I808" s="6">
        <v>28.945232391357401</v>
      </c>
      <c r="J808" s="6">
        <v>28.959529876708999</v>
      </c>
      <c r="K808" s="6">
        <v>28.9899997711182</v>
      </c>
      <c r="L808" s="6">
        <v>30.685428619384801</v>
      </c>
    </row>
    <row r="809" spans="1:12" x14ac:dyDescent="0.25">
      <c r="A809">
        <v>2111748</v>
      </c>
      <c r="B809" t="str">
        <f t="shared" si="12"/>
        <v>SENADOR ALEXANDRE COSTA, MA, Brasil</v>
      </c>
      <c r="C809" s="4" t="str">
        <f>_xlfn.XLOOKUP(A809,[1]!DadosGHD[CD_GEOCMU],[1]!DadosGHD[Região])</f>
        <v>NE</v>
      </c>
      <c r="D809" s="4" t="str">
        <f>_xlfn.XLOOKUP(A809,[1]!DadosGHD[CD_GEOCMU],[1]!DadosGHD[uf])</f>
        <v>MA</v>
      </c>
      <c r="E809" s="5" t="str">
        <f>_xlfn.XLOOKUP(A809,[1]!DadosGHD[CD_GEOCMU],[1]!DadosGHD[MUNICIPIO])</f>
        <v>SENADOR ALEXANDRE COSTA</v>
      </c>
      <c r="F809" s="6">
        <v>33.689640045166001</v>
      </c>
      <c r="G809" s="6">
        <v>28.931943893432599</v>
      </c>
      <c r="H809" s="6">
        <v>28.965522766113299</v>
      </c>
      <c r="I809" s="6">
        <v>28.926881790161101</v>
      </c>
      <c r="J809" s="6">
        <v>28.9409065246582</v>
      </c>
      <c r="K809" s="6">
        <v>28.9686679840088</v>
      </c>
      <c r="L809" s="6">
        <v>26.2798957824707</v>
      </c>
    </row>
    <row r="810" spans="1:12" x14ac:dyDescent="0.25">
      <c r="A810">
        <v>2310951</v>
      </c>
      <c r="B810" t="str">
        <f t="shared" si="12"/>
        <v>PIRES FERREIRA, CE, Brasil</v>
      </c>
      <c r="C810" s="4" t="str">
        <f>_xlfn.XLOOKUP(A810,[1]!DadosGHD[CD_GEOCMU],[1]!DadosGHD[Região])</f>
        <v>NE</v>
      </c>
      <c r="D810" s="4" t="str">
        <f>_xlfn.XLOOKUP(A810,[1]!DadosGHD[CD_GEOCMU],[1]!DadosGHD[uf])</f>
        <v>CE</v>
      </c>
      <c r="E810" s="5" t="str">
        <f>_xlfn.XLOOKUP(A810,[1]!DadosGHD[CD_GEOCMU],[1]!DadosGHD[MUNICIPIO])</f>
        <v>PIRES FERREIRA</v>
      </c>
      <c r="F810" s="6">
        <v>33.689754486083999</v>
      </c>
      <c r="G810" s="6">
        <v>28.930646896362301</v>
      </c>
      <c r="H810" s="6">
        <v>28.9643039703369</v>
      </c>
      <c r="I810" s="6">
        <v>28.952882766723601</v>
      </c>
      <c r="J810" s="6">
        <v>28.966236114501999</v>
      </c>
      <c r="K810" s="6">
        <v>28.988958358764702</v>
      </c>
      <c r="L810" s="6">
        <v>26.291975021362301</v>
      </c>
    </row>
    <row r="811" spans="1:12" x14ac:dyDescent="0.25">
      <c r="A811">
        <v>2904050</v>
      </c>
      <c r="B811" t="str">
        <f t="shared" si="12"/>
        <v>BONITO, BA, Brasil</v>
      </c>
      <c r="C811" s="4" t="str">
        <f>_xlfn.XLOOKUP(A811,[1]!DadosGHD[CD_GEOCMU],[1]!DadosGHD[Região])</f>
        <v>NE</v>
      </c>
      <c r="D811" s="4" t="str">
        <f>_xlfn.XLOOKUP(A811,[1]!DadosGHD[CD_GEOCMU],[1]!DadosGHD[uf])</f>
        <v>BA</v>
      </c>
      <c r="E811" s="5" t="str">
        <f>_xlfn.XLOOKUP(A811,[1]!DadosGHD[CD_GEOCMU],[1]!DadosGHD[MUNICIPIO])</f>
        <v>BONITO</v>
      </c>
      <c r="F811" s="6">
        <v>33.689762115478501</v>
      </c>
      <c r="G811" s="6">
        <v>33.771633148193402</v>
      </c>
      <c r="H811" s="6">
        <v>33.827800750732401</v>
      </c>
      <c r="I811" s="6">
        <v>33.824459075927699</v>
      </c>
      <c r="J811" s="6">
        <v>33.877174377441399</v>
      </c>
      <c r="K811" s="6">
        <v>33.913818359375</v>
      </c>
      <c r="L811" s="6">
        <v>44.072299957275398</v>
      </c>
    </row>
    <row r="812" spans="1:12" x14ac:dyDescent="0.25">
      <c r="A812">
        <v>2504900</v>
      </c>
      <c r="B812" t="str">
        <f t="shared" si="12"/>
        <v>CRUZ DO ESPIRITO SANTO, PB, Brasil</v>
      </c>
      <c r="C812" s="4" t="str">
        <f>_xlfn.XLOOKUP(A812,[1]!DadosGHD[CD_GEOCMU],[1]!DadosGHD[Região])</f>
        <v>NE</v>
      </c>
      <c r="D812" s="4" t="str">
        <f>_xlfn.XLOOKUP(A812,[1]!DadosGHD[CD_GEOCMU],[1]!DadosGHD[uf])</f>
        <v>PB</v>
      </c>
      <c r="E812" s="5" t="str">
        <f>_xlfn.XLOOKUP(A812,[1]!DadosGHD[CD_GEOCMU],[1]!DadosGHD[MUNICIPIO])</f>
        <v>CRUZ DO ESPIRITO SANTO</v>
      </c>
      <c r="F812" s="6">
        <v>33.689807891845703</v>
      </c>
      <c r="G812" s="6">
        <v>33.765857696533203</v>
      </c>
      <c r="H812" s="6">
        <v>28.951108932495099</v>
      </c>
      <c r="I812" s="6">
        <v>28.929628372192401</v>
      </c>
      <c r="J812" s="6">
        <v>28.9409065246582</v>
      </c>
      <c r="K812" s="6">
        <v>28.9686679840088</v>
      </c>
      <c r="L812" s="6">
        <v>26.2798957824707</v>
      </c>
    </row>
    <row r="813" spans="1:12" x14ac:dyDescent="0.25">
      <c r="A813">
        <v>4301750</v>
      </c>
      <c r="B813" t="str">
        <f t="shared" si="12"/>
        <v>BARAO DO TRIUNFO, RS, Brasil</v>
      </c>
      <c r="C813" s="4" t="str">
        <f>_xlfn.XLOOKUP(A813,[1]!DadosGHD[CD_GEOCMU],[1]!DadosGHD[Região])</f>
        <v>SL</v>
      </c>
      <c r="D813" s="4" t="str">
        <f>_xlfn.XLOOKUP(A813,[1]!DadosGHD[CD_GEOCMU],[1]!DadosGHD[uf])</f>
        <v>RS</v>
      </c>
      <c r="E813" s="5" t="str">
        <f>_xlfn.XLOOKUP(A813,[1]!DadosGHD[CD_GEOCMU],[1]!DadosGHD[MUNICIPIO])</f>
        <v>BARAO DO TRIUNFO</v>
      </c>
      <c r="F813" s="6">
        <v>33.689846038818402</v>
      </c>
      <c r="G813" s="6">
        <v>33.843135833740199</v>
      </c>
      <c r="H813" s="6">
        <v>38.7443237304688</v>
      </c>
      <c r="I813" s="6">
        <v>38.769680023193402</v>
      </c>
      <c r="J813" s="6">
        <v>38.815536499023402</v>
      </c>
      <c r="K813" s="6">
        <v>38.865928649902301</v>
      </c>
      <c r="L813" s="6">
        <v>44.026477813720703</v>
      </c>
    </row>
    <row r="814" spans="1:12" x14ac:dyDescent="0.25">
      <c r="A814">
        <v>2613503</v>
      </c>
      <c r="B814" t="str">
        <f t="shared" si="12"/>
        <v>SAO JOSE DO BELMONTE, PE, Brasil</v>
      </c>
      <c r="C814" s="4" t="str">
        <f>_xlfn.XLOOKUP(A814,[1]!DadosGHD[CD_GEOCMU],[1]!DadosGHD[Região])</f>
        <v>NE</v>
      </c>
      <c r="D814" s="4" t="str">
        <f>_xlfn.XLOOKUP(A814,[1]!DadosGHD[CD_GEOCMU],[1]!DadosGHD[uf])</f>
        <v>PE</v>
      </c>
      <c r="E814" s="5" t="str">
        <f>_xlfn.XLOOKUP(A814,[1]!DadosGHD[CD_GEOCMU],[1]!DadosGHD[MUNICIPIO])</f>
        <v>SAO JOSE DO BELMONTE</v>
      </c>
      <c r="F814" s="6">
        <v>33.689857482910199</v>
      </c>
      <c r="G814" s="6">
        <v>28.939159393310501</v>
      </c>
      <c r="H814" s="6">
        <v>28.9687614440918</v>
      </c>
      <c r="I814" s="6">
        <v>28.956521987915</v>
      </c>
      <c r="J814" s="6">
        <v>33.819591522216797</v>
      </c>
      <c r="K814" s="6">
        <v>33.865360260009801</v>
      </c>
      <c r="L814" s="6">
        <v>30.7036323547363</v>
      </c>
    </row>
    <row r="815" spans="1:12" x14ac:dyDescent="0.25">
      <c r="A815">
        <v>1506559</v>
      </c>
      <c r="B815" t="str">
        <f t="shared" si="12"/>
        <v>SANTA LUZIA DO PARA, PA, Brasil</v>
      </c>
      <c r="C815" s="4" t="str">
        <f>_xlfn.XLOOKUP(A815,[1]!DadosGHD[CD_GEOCMU],[1]!DadosGHD[Região])</f>
        <v>NO</v>
      </c>
      <c r="D815" s="4" t="str">
        <f>_xlfn.XLOOKUP(A815,[1]!DadosGHD[CD_GEOCMU],[1]!DadosGHD[uf])</f>
        <v>PA</v>
      </c>
      <c r="E815" s="5" t="str">
        <f>_xlfn.XLOOKUP(A815,[1]!DadosGHD[CD_GEOCMU],[1]!DadosGHD[MUNICIPIO])</f>
        <v>SANTA LUZIA DO PARA</v>
      </c>
      <c r="F815" s="6">
        <v>33.689968109130902</v>
      </c>
      <c r="G815" s="6">
        <v>28.939033508300799</v>
      </c>
      <c r="H815" s="6">
        <v>28.972986221313501</v>
      </c>
      <c r="I815" s="6">
        <v>33.796993255615199</v>
      </c>
      <c r="J815" s="6">
        <v>33.820327758789098</v>
      </c>
      <c r="K815" s="6">
        <v>33.851516723632798</v>
      </c>
      <c r="L815" s="6">
        <v>30.6884880065918</v>
      </c>
    </row>
    <row r="816" spans="1:12" x14ac:dyDescent="0.25">
      <c r="A816">
        <v>2600302</v>
      </c>
      <c r="B816" t="str">
        <f t="shared" si="12"/>
        <v>AGRESTINA, PE, Brasil</v>
      </c>
      <c r="C816" s="4" t="str">
        <f>_xlfn.XLOOKUP(A816,[1]!DadosGHD[CD_GEOCMU],[1]!DadosGHD[Região])</f>
        <v>NE</v>
      </c>
      <c r="D816" s="4" t="str">
        <f>_xlfn.XLOOKUP(A816,[1]!DadosGHD[CD_GEOCMU],[1]!DadosGHD[uf])</f>
        <v>PE</v>
      </c>
      <c r="E816" s="5" t="str">
        <f>_xlfn.XLOOKUP(A816,[1]!DadosGHD[CD_GEOCMU],[1]!DadosGHD[MUNICIPIO])</f>
        <v>AGRESTINA</v>
      </c>
      <c r="F816" s="6">
        <v>33.689975738525398</v>
      </c>
      <c r="G816" s="6">
        <v>33.772495269775398</v>
      </c>
      <c r="H816" s="6">
        <v>28.977470397949201</v>
      </c>
      <c r="I816" s="6">
        <v>28.951850891113299</v>
      </c>
      <c r="J816" s="6">
        <v>28.968763351440401</v>
      </c>
      <c r="K816" s="6">
        <v>33.849052429199197</v>
      </c>
      <c r="L816" s="6">
        <v>30.7112922668457</v>
      </c>
    </row>
    <row r="817" spans="1:12" x14ac:dyDescent="0.25">
      <c r="A817">
        <v>2312007</v>
      </c>
      <c r="B817" t="str">
        <f t="shared" si="12"/>
        <v>SANTANA DO ACARAU, CE, Brasil</v>
      </c>
      <c r="C817" s="4" t="str">
        <f>_xlfn.XLOOKUP(A817,[1]!DadosGHD[CD_GEOCMU],[1]!DadosGHD[Região])</f>
        <v>NE</v>
      </c>
      <c r="D817" s="4" t="str">
        <f>_xlfn.XLOOKUP(A817,[1]!DadosGHD[CD_GEOCMU],[1]!DadosGHD[uf])</f>
        <v>CE</v>
      </c>
      <c r="E817" s="5" t="str">
        <f>_xlfn.XLOOKUP(A817,[1]!DadosGHD[CD_GEOCMU],[1]!DadosGHD[MUNICIPIO])</f>
        <v>SANTANA DO ACARAU</v>
      </c>
      <c r="F817" s="6">
        <v>33.690025329589801</v>
      </c>
      <c r="G817" s="6">
        <v>33.766551971435597</v>
      </c>
      <c r="H817" s="6">
        <v>33.819206237792997</v>
      </c>
      <c r="I817" s="6">
        <v>33.828575134277301</v>
      </c>
      <c r="J817" s="6">
        <v>28.953626632690401</v>
      </c>
      <c r="K817" s="6">
        <v>33.873420715332003</v>
      </c>
      <c r="L817" s="6">
        <v>30.710588455200199</v>
      </c>
    </row>
    <row r="818" spans="1:12" x14ac:dyDescent="0.25">
      <c r="A818">
        <v>2306108</v>
      </c>
      <c r="B818" t="str">
        <f t="shared" si="12"/>
        <v>IRAUCUBA, CE, Brasil</v>
      </c>
      <c r="C818" s="4" t="str">
        <f>_xlfn.XLOOKUP(A818,[1]!DadosGHD[CD_GEOCMU],[1]!DadosGHD[Região])</f>
        <v>NE</v>
      </c>
      <c r="D818" s="4" t="str">
        <f>_xlfn.XLOOKUP(A818,[1]!DadosGHD[CD_GEOCMU],[1]!DadosGHD[uf])</f>
        <v>CE</v>
      </c>
      <c r="E818" s="5" t="str">
        <f>_xlfn.XLOOKUP(A818,[1]!DadosGHD[CD_GEOCMU],[1]!DadosGHD[MUNICIPIO])</f>
        <v>IRAUCUBA</v>
      </c>
      <c r="F818" s="6">
        <v>33.690093994140597</v>
      </c>
      <c r="G818" s="6">
        <v>28.935863494873001</v>
      </c>
      <c r="H818" s="6">
        <v>33.815353393554702</v>
      </c>
      <c r="I818" s="6">
        <v>33.806541442871101</v>
      </c>
      <c r="J818" s="6">
        <v>33.826725006103501</v>
      </c>
      <c r="K818" s="6">
        <v>33.855598449707003</v>
      </c>
      <c r="L818" s="6">
        <v>30.7095241546631</v>
      </c>
    </row>
    <row r="819" spans="1:12" x14ac:dyDescent="0.25">
      <c r="A819">
        <v>2615003</v>
      </c>
      <c r="B819" t="str">
        <f t="shared" si="12"/>
        <v>TAQUARITINGA DO NORTE, PE, Brasil</v>
      </c>
      <c r="C819" s="4" t="str">
        <f>_xlfn.XLOOKUP(A819,[1]!DadosGHD[CD_GEOCMU],[1]!DadosGHD[Região])</f>
        <v>NE</v>
      </c>
      <c r="D819" s="4" t="str">
        <f>_xlfn.XLOOKUP(A819,[1]!DadosGHD[CD_GEOCMU],[1]!DadosGHD[uf])</f>
        <v>PE</v>
      </c>
      <c r="E819" s="5" t="str">
        <f>_xlfn.XLOOKUP(A819,[1]!DadosGHD[CD_GEOCMU],[1]!DadosGHD[MUNICIPIO])</f>
        <v>TAQUARITINGA DO NORTE</v>
      </c>
      <c r="F819" s="6">
        <v>33.690101623535199</v>
      </c>
      <c r="G819" s="6">
        <v>33.775344848632798</v>
      </c>
      <c r="H819" s="6">
        <v>28.980451583862301</v>
      </c>
      <c r="I819" s="6">
        <v>33.803562164306598</v>
      </c>
      <c r="J819" s="6">
        <v>33.834892272949197</v>
      </c>
      <c r="K819" s="6">
        <v>33.849822998046903</v>
      </c>
      <c r="L819" s="6">
        <v>35.115291595458999</v>
      </c>
    </row>
    <row r="820" spans="1:12" x14ac:dyDescent="0.25">
      <c r="A820">
        <v>2106326</v>
      </c>
      <c r="B820" t="str">
        <f t="shared" si="12"/>
        <v>MARACACUME, MA, Brasil</v>
      </c>
      <c r="C820" s="4" t="str">
        <f>_xlfn.XLOOKUP(A820,[1]!DadosGHD[CD_GEOCMU],[1]!DadosGHD[Região])</f>
        <v>NE</v>
      </c>
      <c r="D820" s="4" t="str">
        <f>_xlfn.XLOOKUP(A820,[1]!DadosGHD[CD_GEOCMU],[1]!DadosGHD[uf])</f>
        <v>MA</v>
      </c>
      <c r="E820" s="5" t="str">
        <f>_xlfn.XLOOKUP(A820,[1]!DadosGHD[CD_GEOCMU],[1]!DadosGHD[MUNICIPIO])</f>
        <v>MARACACUME</v>
      </c>
      <c r="F820" s="6">
        <v>33.690135955810597</v>
      </c>
      <c r="G820" s="6">
        <v>28.929977416992202</v>
      </c>
      <c r="H820" s="6">
        <v>28.968238830566399</v>
      </c>
      <c r="I820" s="6">
        <v>28.9452095031738</v>
      </c>
      <c r="J820" s="6">
        <v>28.9656467437744</v>
      </c>
      <c r="K820" s="6">
        <v>28.987138748168899</v>
      </c>
      <c r="L820" s="6">
        <v>26.2798957824707</v>
      </c>
    </row>
    <row r="821" spans="1:12" x14ac:dyDescent="0.25">
      <c r="A821">
        <v>1500347</v>
      </c>
      <c r="B821" t="str">
        <f t="shared" si="12"/>
        <v>AGUA AZUL DO NORTE, PA, Brasil</v>
      </c>
      <c r="C821" s="4" t="str">
        <f>_xlfn.XLOOKUP(A821,[1]!DadosGHD[CD_GEOCMU],[1]!DadosGHD[Região])</f>
        <v>NO</v>
      </c>
      <c r="D821" s="4" t="str">
        <f>_xlfn.XLOOKUP(A821,[1]!DadosGHD[CD_GEOCMU],[1]!DadosGHD[uf])</f>
        <v>PA</v>
      </c>
      <c r="E821" s="5" t="str">
        <f>_xlfn.XLOOKUP(A821,[1]!DadosGHD[CD_GEOCMU],[1]!DadosGHD[MUNICIPIO])</f>
        <v>AGUA AZUL DO NORTE</v>
      </c>
      <c r="F821" s="6">
        <v>33.690219879150398</v>
      </c>
      <c r="G821" s="6">
        <v>28.9358234405518</v>
      </c>
      <c r="H821" s="6">
        <v>28.9683647155762</v>
      </c>
      <c r="I821" s="6">
        <v>28.951536178588899</v>
      </c>
      <c r="J821" s="6">
        <v>33.809436798095703</v>
      </c>
      <c r="K821" s="6">
        <v>28.983484268188501</v>
      </c>
      <c r="L821" s="6">
        <v>30.696996688842798</v>
      </c>
    </row>
    <row r="822" spans="1:12" x14ac:dyDescent="0.25">
      <c r="A822">
        <v>2703106</v>
      </c>
      <c r="B822" t="str">
        <f t="shared" si="12"/>
        <v>IGACI, AL, Brasil</v>
      </c>
      <c r="C822" s="4" t="str">
        <f>_xlfn.XLOOKUP(A822,[1]!DadosGHD[CD_GEOCMU],[1]!DadosGHD[Região])</f>
        <v>NE</v>
      </c>
      <c r="D822" s="4" t="str">
        <f>_xlfn.XLOOKUP(A822,[1]!DadosGHD[CD_GEOCMU],[1]!DadosGHD[uf])</f>
        <v>AL</v>
      </c>
      <c r="E822" s="5" t="str">
        <f>_xlfn.XLOOKUP(A822,[1]!DadosGHD[CD_GEOCMU],[1]!DadosGHD[MUNICIPIO])</f>
        <v>IGACI</v>
      </c>
      <c r="F822" s="6">
        <v>33.690322875976598</v>
      </c>
      <c r="G822" s="6">
        <v>28.934577941894499</v>
      </c>
      <c r="H822" s="6">
        <v>28.969654083251999</v>
      </c>
      <c r="I822" s="6">
        <v>28.953123092651399</v>
      </c>
      <c r="J822" s="6">
        <v>28.966575622558601</v>
      </c>
      <c r="K822" s="6">
        <v>28.992628097534201</v>
      </c>
      <c r="L822" s="6">
        <v>26.2798957824707</v>
      </c>
    </row>
    <row r="823" spans="1:12" x14ac:dyDescent="0.25">
      <c r="A823">
        <v>2928505</v>
      </c>
      <c r="B823" t="str">
        <f t="shared" si="12"/>
        <v>SANTA TERESINHA, BA, Brasil</v>
      </c>
      <c r="C823" s="4" t="str">
        <f>_xlfn.XLOOKUP(A823,[1]!DadosGHD[CD_GEOCMU],[1]!DadosGHD[Região])</f>
        <v>NE</v>
      </c>
      <c r="D823" s="4" t="str">
        <f>_xlfn.XLOOKUP(A823,[1]!DadosGHD[CD_GEOCMU],[1]!DadosGHD[uf])</f>
        <v>BA</v>
      </c>
      <c r="E823" s="5" t="str">
        <f>_xlfn.XLOOKUP(A823,[1]!DadosGHD[CD_GEOCMU],[1]!DadosGHD[MUNICIPIO])</f>
        <v>SANTA TERESINHA</v>
      </c>
      <c r="F823" s="6">
        <v>33.6903686523438</v>
      </c>
      <c r="G823" s="6">
        <v>28.930059432983398</v>
      </c>
      <c r="H823" s="6">
        <v>28.965368270873999</v>
      </c>
      <c r="I823" s="6">
        <v>28.945989608764702</v>
      </c>
      <c r="J823" s="6">
        <v>28.9605503082275</v>
      </c>
      <c r="K823" s="6">
        <v>28.9949035644531</v>
      </c>
      <c r="L823" s="6">
        <v>26.285190582275401</v>
      </c>
    </row>
    <row r="824" spans="1:12" x14ac:dyDescent="0.25">
      <c r="A824">
        <v>2924678</v>
      </c>
      <c r="B824" t="str">
        <f t="shared" si="12"/>
        <v>PIRAI DO NORTE, BA, Brasil</v>
      </c>
      <c r="C824" s="4" t="str">
        <f>_xlfn.XLOOKUP(A824,[1]!DadosGHD[CD_GEOCMU],[1]!DadosGHD[Região])</f>
        <v>NE</v>
      </c>
      <c r="D824" s="4" t="str">
        <f>_xlfn.XLOOKUP(A824,[1]!DadosGHD[CD_GEOCMU],[1]!DadosGHD[uf])</f>
        <v>BA</v>
      </c>
      <c r="E824" s="5" t="str">
        <f>_xlfn.XLOOKUP(A824,[1]!DadosGHD[CD_GEOCMU],[1]!DadosGHD[MUNICIPIO])</f>
        <v>PIRAI DO NORTE</v>
      </c>
      <c r="F824" s="6">
        <v>33.690391540527301</v>
      </c>
      <c r="G824" s="6">
        <v>28.931556701660199</v>
      </c>
      <c r="H824" s="6">
        <v>28.967514038085898</v>
      </c>
      <c r="I824" s="6">
        <v>28.953763961791999</v>
      </c>
      <c r="J824" s="6">
        <v>28.96657371521</v>
      </c>
      <c r="K824" s="6">
        <v>28.990322113037099</v>
      </c>
      <c r="L824" s="6">
        <v>26.2798957824707</v>
      </c>
    </row>
    <row r="825" spans="1:12" x14ac:dyDescent="0.25">
      <c r="A825">
        <v>2305704</v>
      </c>
      <c r="B825" t="str">
        <f t="shared" si="12"/>
        <v>IPAUMIRIM, CE, Brasil</v>
      </c>
      <c r="C825" s="4" t="str">
        <f>_xlfn.XLOOKUP(A825,[1]!DadosGHD[CD_GEOCMU],[1]!DadosGHD[Região])</f>
        <v>NE</v>
      </c>
      <c r="D825" s="4" t="str">
        <f>_xlfn.XLOOKUP(A825,[1]!DadosGHD[CD_GEOCMU],[1]!DadosGHD[uf])</f>
        <v>CE</v>
      </c>
      <c r="E825" s="5" t="str">
        <f>_xlfn.XLOOKUP(A825,[1]!DadosGHD[CD_GEOCMU],[1]!DadosGHD[MUNICIPIO])</f>
        <v>IPAUMIRIM</v>
      </c>
      <c r="F825" s="6">
        <v>33.690414428710902</v>
      </c>
      <c r="G825" s="6">
        <v>33.7710990905762</v>
      </c>
      <c r="H825" s="6">
        <v>28.9632663726807</v>
      </c>
      <c r="I825" s="6">
        <v>33.820835113525398</v>
      </c>
      <c r="J825" s="6">
        <v>33.820896148681598</v>
      </c>
      <c r="K825" s="6">
        <v>33.851715087890597</v>
      </c>
      <c r="L825" s="6">
        <v>30.683488845825199</v>
      </c>
    </row>
    <row r="826" spans="1:12" x14ac:dyDescent="0.25">
      <c r="A826">
        <v>2921500</v>
      </c>
      <c r="B826" t="str">
        <f t="shared" si="12"/>
        <v>MONTE SANTO, BA, Brasil</v>
      </c>
      <c r="C826" s="4" t="str">
        <f>_xlfn.XLOOKUP(A826,[1]!DadosGHD[CD_GEOCMU],[1]!DadosGHD[Região])</f>
        <v>NE</v>
      </c>
      <c r="D826" s="4" t="str">
        <f>_xlfn.XLOOKUP(A826,[1]!DadosGHD[CD_GEOCMU],[1]!DadosGHD[uf])</f>
        <v>BA</v>
      </c>
      <c r="E826" s="5" t="str">
        <f>_xlfn.XLOOKUP(A826,[1]!DadosGHD[CD_GEOCMU],[1]!DadosGHD[MUNICIPIO])</f>
        <v>MONTE SANTO</v>
      </c>
      <c r="F826" s="6">
        <v>33.690441131591797</v>
      </c>
      <c r="G826" s="6">
        <v>33.769557952880902</v>
      </c>
      <c r="H826" s="6">
        <v>28.974681854248001</v>
      </c>
      <c r="I826" s="6">
        <v>28.958475112915</v>
      </c>
      <c r="J826" s="6">
        <v>28.976760864257798</v>
      </c>
      <c r="K826" s="6">
        <v>33.867835998535199</v>
      </c>
      <c r="L826" s="6">
        <v>30.697811126708999</v>
      </c>
    </row>
    <row r="827" spans="1:12" x14ac:dyDescent="0.25">
      <c r="A827">
        <v>2202059</v>
      </c>
      <c r="B827" t="str">
        <f t="shared" si="12"/>
        <v>CABECEIRAS DO PIAUI, PI, Brasil</v>
      </c>
      <c r="C827" s="4" t="str">
        <f>_xlfn.XLOOKUP(A827,[1]!DadosGHD[CD_GEOCMU],[1]!DadosGHD[Região])</f>
        <v>NE</v>
      </c>
      <c r="D827" s="4" t="str">
        <f>_xlfn.XLOOKUP(A827,[1]!DadosGHD[CD_GEOCMU],[1]!DadosGHD[uf])</f>
        <v>PI</v>
      </c>
      <c r="E827" s="5" t="str">
        <f>_xlfn.XLOOKUP(A827,[1]!DadosGHD[CD_GEOCMU],[1]!DadosGHD[MUNICIPIO])</f>
        <v>CABECEIRAS DO PIAUI</v>
      </c>
      <c r="F827" s="6">
        <v>33.690563201904297</v>
      </c>
      <c r="G827" s="6">
        <v>28.931585311889702</v>
      </c>
      <c r="H827" s="6">
        <v>28.969188690185501</v>
      </c>
      <c r="I827" s="6">
        <v>28.953973770141602</v>
      </c>
      <c r="J827" s="6">
        <v>28.962457656860401</v>
      </c>
      <c r="K827" s="6">
        <v>29.001836776733398</v>
      </c>
      <c r="L827" s="6">
        <v>26.2908229827881</v>
      </c>
    </row>
    <row r="828" spans="1:12" x14ac:dyDescent="0.25">
      <c r="A828">
        <v>2904407</v>
      </c>
      <c r="B828" t="str">
        <f t="shared" si="12"/>
        <v>BREJOLANDIA, BA, Brasil</v>
      </c>
      <c r="C828" s="4" t="str">
        <f>_xlfn.XLOOKUP(A828,[1]!DadosGHD[CD_GEOCMU],[1]!DadosGHD[Região])</f>
        <v>NE</v>
      </c>
      <c r="D828" s="4" t="str">
        <f>_xlfn.XLOOKUP(A828,[1]!DadosGHD[CD_GEOCMU],[1]!DadosGHD[uf])</f>
        <v>BA</v>
      </c>
      <c r="E828" s="5" t="str">
        <f>_xlfn.XLOOKUP(A828,[1]!DadosGHD[CD_GEOCMU],[1]!DadosGHD[MUNICIPIO])</f>
        <v>BREJOLANDIA</v>
      </c>
      <c r="F828" s="6">
        <v>33.690711975097699</v>
      </c>
      <c r="G828" s="6">
        <v>28.9313659667969</v>
      </c>
      <c r="H828" s="6">
        <v>28.964799880981399</v>
      </c>
      <c r="I828" s="6">
        <v>28.947587966918899</v>
      </c>
      <c r="J828" s="6">
        <v>28.964513778686499</v>
      </c>
      <c r="K828" s="6">
        <v>28.991041183471701</v>
      </c>
      <c r="L828" s="6">
        <v>26.2920951843262</v>
      </c>
    </row>
    <row r="829" spans="1:12" x14ac:dyDescent="0.25">
      <c r="A829">
        <v>2612901</v>
      </c>
      <c r="B829" t="str">
        <f t="shared" si="12"/>
        <v>SAO BENEDITO DO SUL, PE, Brasil</v>
      </c>
      <c r="C829" s="4" t="str">
        <f>_xlfn.XLOOKUP(A829,[1]!DadosGHD[CD_GEOCMU],[1]!DadosGHD[Região])</f>
        <v>NE</v>
      </c>
      <c r="D829" s="4" t="str">
        <f>_xlfn.XLOOKUP(A829,[1]!DadosGHD[CD_GEOCMU],[1]!DadosGHD[uf])</f>
        <v>PE</v>
      </c>
      <c r="E829" s="5" t="str">
        <f>_xlfn.XLOOKUP(A829,[1]!DadosGHD[CD_GEOCMU],[1]!DadosGHD[MUNICIPIO])</f>
        <v>SAO BENEDITO DO SUL</v>
      </c>
      <c r="F829" s="6">
        <v>33.690921783447301</v>
      </c>
      <c r="G829" s="6">
        <v>28.924200057983398</v>
      </c>
      <c r="H829" s="6">
        <v>33.821861267089801</v>
      </c>
      <c r="I829" s="6">
        <v>33.792278289794901</v>
      </c>
      <c r="J829" s="6">
        <v>28.9523620605469</v>
      </c>
      <c r="K829" s="6">
        <v>28.979005813598601</v>
      </c>
      <c r="L829" s="6">
        <v>26.2798957824707</v>
      </c>
    </row>
    <row r="830" spans="1:12" x14ac:dyDescent="0.25">
      <c r="A830">
        <v>2903953</v>
      </c>
      <c r="B830" t="str">
        <f t="shared" si="12"/>
        <v>BOM JESUS DA SERRA, BA, Brasil</v>
      </c>
      <c r="C830" s="4" t="str">
        <f>_xlfn.XLOOKUP(A830,[1]!DadosGHD[CD_GEOCMU],[1]!DadosGHD[Região])</f>
        <v>NE</v>
      </c>
      <c r="D830" s="4" t="str">
        <f>_xlfn.XLOOKUP(A830,[1]!DadosGHD[CD_GEOCMU],[1]!DadosGHD[uf])</f>
        <v>BA</v>
      </c>
      <c r="E830" s="5" t="str">
        <f>_xlfn.XLOOKUP(A830,[1]!DadosGHD[CD_GEOCMU],[1]!DadosGHD[MUNICIPIO])</f>
        <v>BOM JESUS DA SERRA</v>
      </c>
      <c r="F830" s="6">
        <v>33.691295623779297</v>
      </c>
      <c r="G830" s="6">
        <v>28.931154251098601</v>
      </c>
      <c r="H830" s="6">
        <v>28.967941284179702</v>
      </c>
      <c r="I830" s="6">
        <v>28.949317932128899</v>
      </c>
      <c r="J830" s="6">
        <v>28.9668064117432</v>
      </c>
      <c r="K830" s="6">
        <v>28.992189407348601</v>
      </c>
      <c r="L830" s="6">
        <v>26.290037155151399</v>
      </c>
    </row>
    <row r="831" spans="1:12" x14ac:dyDescent="0.25">
      <c r="A831">
        <v>2313104</v>
      </c>
      <c r="B831" t="str">
        <f t="shared" si="12"/>
        <v>TABULEIRO DO NORTE, CE, Brasil</v>
      </c>
      <c r="C831" s="4" t="str">
        <f>_xlfn.XLOOKUP(A831,[1]!DadosGHD[CD_GEOCMU],[1]!DadosGHD[Região])</f>
        <v>NE</v>
      </c>
      <c r="D831" s="4" t="str">
        <f>_xlfn.XLOOKUP(A831,[1]!DadosGHD[CD_GEOCMU],[1]!DadosGHD[uf])</f>
        <v>CE</v>
      </c>
      <c r="E831" s="5" t="str">
        <f>_xlfn.XLOOKUP(A831,[1]!DadosGHD[CD_GEOCMU],[1]!DadosGHD[MUNICIPIO])</f>
        <v>TABULEIRO DO NORTE</v>
      </c>
      <c r="F831" s="6">
        <v>33.691402435302699</v>
      </c>
      <c r="G831" s="6">
        <v>38.701702117919901</v>
      </c>
      <c r="H831" s="6">
        <v>38.782508850097699</v>
      </c>
      <c r="I831" s="6">
        <v>38.807422637939503</v>
      </c>
      <c r="J831" s="6">
        <v>38.813488006591797</v>
      </c>
      <c r="K831" s="6">
        <v>38.853328704833999</v>
      </c>
      <c r="L831" s="6">
        <v>44.018482208252003</v>
      </c>
    </row>
    <row r="832" spans="1:12" x14ac:dyDescent="0.25">
      <c r="A832">
        <v>2925006</v>
      </c>
      <c r="B832" t="str">
        <f t="shared" si="12"/>
        <v>PLANALTO, BA, Brasil</v>
      </c>
      <c r="C832" s="4" t="str">
        <f>_xlfn.XLOOKUP(A832,[1]!DadosGHD[CD_GEOCMU],[1]!DadosGHD[Região])</f>
        <v>NE</v>
      </c>
      <c r="D832" s="4" t="str">
        <f>_xlfn.XLOOKUP(A832,[1]!DadosGHD[CD_GEOCMU],[1]!DadosGHD[uf])</f>
        <v>BA</v>
      </c>
      <c r="E832" s="5" t="str">
        <f>_xlfn.XLOOKUP(A832,[1]!DadosGHD[CD_GEOCMU],[1]!DadosGHD[MUNICIPIO])</f>
        <v>PLANALTO</v>
      </c>
      <c r="F832" s="6">
        <v>33.691444396972699</v>
      </c>
      <c r="G832" s="6">
        <v>28.9386177062988</v>
      </c>
      <c r="H832" s="6">
        <v>28.973640441894499</v>
      </c>
      <c r="I832" s="6">
        <v>28.9430446624756</v>
      </c>
      <c r="J832" s="6">
        <v>28.9578647613525</v>
      </c>
      <c r="K832" s="6">
        <v>28.986852645873999</v>
      </c>
      <c r="L832" s="6">
        <v>26.2798957824707</v>
      </c>
    </row>
    <row r="833" spans="1:12" x14ac:dyDescent="0.25">
      <c r="A833">
        <v>2308708</v>
      </c>
      <c r="B833" t="str">
        <f t="shared" si="12"/>
        <v>MORADA NOVA, CE, Brasil</v>
      </c>
      <c r="C833" s="4" t="str">
        <f>_xlfn.XLOOKUP(A833,[1]!DadosGHD[CD_GEOCMU],[1]!DadosGHD[Região])</f>
        <v>NE</v>
      </c>
      <c r="D833" s="4" t="str">
        <f>_xlfn.XLOOKUP(A833,[1]!DadosGHD[CD_GEOCMU],[1]!DadosGHD[uf])</f>
        <v>CE</v>
      </c>
      <c r="E833" s="5" t="str">
        <f>_xlfn.XLOOKUP(A833,[1]!DadosGHD[CD_GEOCMU],[1]!DadosGHD[MUNICIPIO])</f>
        <v>MORADA NOVA</v>
      </c>
      <c r="F833" s="6">
        <v>33.691455841064503</v>
      </c>
      <c r="G833" s="6">
        <v>33.819976806640597</v>
      </c>
      <c r="H833" s="6">
        <v>38.743202209472699</v>
      </c>
      <c r="I833" s="6">
        <v>38.747337341308601</v>
      </c>
      <c r="J833" s="6">
        <v>38.793174743652301</v>
      </c>
      <c r="K833" s="6">
        <v>38.882827758789098</v>
      </c>
      <c r="L833" s="6">
        <v>39.6102104187012</v>
      </c>
    </row>
    <row r="834" spans="1:12" x14ac:dyDescent="0.25">
      <c r="A834">
        <v>2708501</v>
      </c>
      <c r="B834" t="str">
        <f t="shared" si="12"/>
        <v>SAO LUIS DO QUITUNDE, AL, Brasil</v>
      </c>
      <c r="C834" s="4" t="str">
        <f>_xlfn.XLOOKUP(A834,[1]!DadosGHD[CD_GEOCMU],[1]!DadosGHD[Região])</f>
        <v>NE</v>
      </c>
      <c r="D834" s="4" t="str">
        <f>_xlfn.XLOOKUP(A834,[1]!DadosGHD[CD_GEOCMU],[1]!DadosGHD[uf])</f>
        <v>AL</v>
      </c>
      <c r="E834" s="5" t="str">
        <f>_xlfn.XLOOKUP(A834,[1]!DadosGHD[CD_GEOCMU],[1]!DadosGHD[MUNICIPIO])</f>
        <v>SAO LUIS DO QUITUNDE</v>
      </c>
      <c r="F834" s="6">
        <v>33.691535949707003</v>
      </c>
      <c r="G834" s="6">
        <v>33.789066314697301</v>
      </c>
      <c r="H834" s="6">
        <v>33.842983245849602</v>
      </c>
      <c r="I834" s="6">
        <v>33.812801361083999</v>
      </c>
      <c r="J834" s="6">
        <v>33.829948425292997</v>
      </c>
      <c r="K834" s="6">
        <v>29.005199432373001</v>
      </c>
      <c r="L834" s="6">
        <v>26.295001983642599</v>
      </c>
    </row>
    <row r="835" spans="1:12" x14ac:dyDescent="0.25">
      <c r="A835">
        <v>4320263</v>
      </c>
      <c r="B835" t="str">
        <f t="shared" si="12"/>
        <v>SEGREDO, RS, Brasil</v>
      </c>
      <c r="C835" s="4" t="str">
        <f>_xlfn.XLOOKUP(A835,[1]!DadosGHD[CD_GEOCMU],[1]!DadosGHD[Região])</f>
        <v>SL</v>
      </c>
      <c r="D835" s="4" t="str">
        <f>_xlfn.XLOOKUP(A835,[1]!DadosGHD[CD_GEOCMU],[1]!DadosGHD[uf])</f>
        <v>RS</v>
      </c>
      <c r="E835" s="5" t="str">
        <f>_xlfn.XLOOKUP(A835,[1]!DadosGHD[CD_GEOCMU],[1]!DadosGHD[MUNICIPIO])</f>
        <v>SEGREDO</v>
      </c>
      <c r="F835" s="6">
        <v>33.691551208496101</v>
      </c>
      <c r="G835" s="6">
        <v>38.690299987792997</v>
      </c>
      <c r="H835" s="6">
        <v>38.763988494873097</v>
      </c>
      <c r="I835" s="6">
        <v>38.738540649414098</v>
      </c>
      <c r="J835" s="6">
        <v>38.762298583984403</v>
      </c>
      <c r="K835" s="6">
        <v>38.821384429931598</v>
      </c>
      <c r="L835" s="6">
        <v>35.139278411865199</v>
      </c>
    </row>
    <row r="836" spans="1:12" x14ac:dyDescent="0.25">
      <c r="A836">
        <v>2610608</v>
      </c>
      <c r="B836" t="str">
        <f t="shared" ref="B836:B899" si="13">_xlfn.CONCAT(E836, ", ", D836, ", Brasil")</f>
        <v>PAUDALHO, PE, Brasil</v>
      </c>
      <c r="C836" s="4" t="str">
        <f>_xlfn.XLOOKUP(A836,[1]!DadosGHD[CD_GEOCMU],[1]!DadosGHD[Região])</f>
        <v>NE</v>
      </c>
      <c r="D836" s="4" t="str">
        <f>_xlfn.XLOOKUP(A836,[1]!DadosGHD[CD_GEOCMU],[1]!DadosGHD[uf])</f>
        <v>PE</v>
      </c>
      <c r="E836" s="5" t="str">
        <f>_xlfn.XLOOKUP(A836,[1]!DadosGHD[CD_GEOCMU],[1]!DadosGHD[MUNICIPIO])</f>
        <v>PAUDALHO</v>
      </c>
      <c r="F836" s="6">
        <v>33.691551208496101</v>
      </c>
      <c r="G836" s="6">
        <v>28.9397068023682</v>
      </c>
      <c r="H836" s="6">
        <v>33.812026977539098</v>
      </c>
      <c r="I836" s="6">
        <v>33.793224334716797</v>
      </c>
      <c r="J836" s="6">
        <v>33.815952301025398</v>
      </c>
      <c r="K836" s="6">
        <v>29.004833221435501</v>
      </c>
      <c r="L836" s="6">
        <v>30.688499450683601</v>
      </c>
    </row>
    <row r="837" spans="1:12" x14ac:dyDescent="0.25">
      <c r="A837">
        <v>2800506</v>
      </c>
      <c r="B837" t="str">
        <f t="shared" si="13"/>
        <v>AREIA BRANCA, SE, Brasil</v>
      </c>
      <c r="C837" s="4" t="str">
        <f>_xlfn.XLOOKUP(A837,[1]!DadosGHD[CD_GEOCMU],[1]!DadosGHD[Região])</f>
        <v>NE</v>
      </c>
      <c r="D837" s="4" t="str">
        <f>_xlfn.XLOOKUP(A837,[1]!DadosGHD[CD_GEOCMU],[1]!DadosGHD[uf])</f>
        <v>SE</v>
      </c>
      <c r="E837" s="5" t="str">
        <f>_xlfn.XLOOKUP(A837,[1]!DadosGHD[CD_GEOCMU],[1]!DadosGHD[MUNICIPIO])</f>
        <v>AREIA BRANCA</v>
      </c>
      <c r="F837" s="6">
        <v>33.691646575927699</v>
      </c>
      <c r="G837" s="6">
        <v>33.802707672119098</v>
      </c>
      <c r="H837" s="6">
        <v>33.846973419189503</v>
      </c>
      <c r="I837" s="6">
        <v>33.829418182373097</v>
      </c>
      <c r="J837" s="6">
        <v>33.845245361328097</v>
      </c>
      <c r="K837" s="6">
        <v>33.846382141113303</v>
      </c>
      <c r="L837" s="6">
        <v>30.684888839721701</v>
      </c>
    </row>
    <row r="838" spans="1:12" x14ac:dyDescent="0.25">
      <c r="A838">
        <v>2309706</v>
      </c>
      <c r="B838" t="str">
        <f t="shared" si="13"/>
        <v>PACATUBA, CE, Brasil</v>
      </c>
      <c r="C838" s="4" t="str">
        <f>_xlfn.XLOOKUP(A838,[1]!DadosGHD[CD_GEOCMU],[1]!DadosGHD[Região])</f>
        <v>NE</v>
      </c>
      <c r="D838" s="4" t="str">
        <f>_xlfn.XLOOKUP(A838,[1]!DadosGHD[CD_GEOCMU],[1]!DadosGHD[uf])</f>
        <v>CE</v>
      </c>
      <c r="E838" s="5" t="str">
        <f>_xlfn.XLOOKUP(A838,[1]!DadosGHD[CD_GEOCMU],[1]!DadosGHD[MUNICIPIO])</f>
        <v>PACATUBA</v>
      </c>
      <c r="F838" s="6">
        <v>33.691917419433601</v>
      </c>
      <c r="G838" s="6">
        <v>33.768154144287102</v>
      </c>
      <c r="H838" s="6">
        <v>33.811817169189503</v>
      </c>
      <c r="I838" s="6">
        <v>33.807468414306598</v>
      </c>
      <c r="J838" s="6">
        <v>33.834175109863303</v>
      </c>
      <c r="K838" s="6">
        <v>33.868850708007798</v>
      </c>
      <c r="L838" s="6">
        <v>30.701278686523398</v>
      </c>
    </row>
    <row r="839" spans="1:12" x14ac:dyDescent="0.25">
      <c r="A839">
        <v>2207603</v>
      </c>
      <c r="B839" t="str">
        <f t="shared" si="13"/>
        <v>PARNAGUA, PI, Brasil</v>
      </c>
      <c r="C839" s="4" t="str">
        <f>_xlfn.XLOOKUP(A839,[1]!DadosGHD[CD_GEOCMU],[1]!DadosGHD[Região])</f>
        <v>NE</v>
      </c>
      <c r="D839" s="4" t="str">
        <f>_xlfn.XLOOKUP(A839,[1]!DadosGHD[CD_GEOCMU],[1]!DadosGHD[uf])</f>
        <v>PI</v>
      </c>
      <c r="E839" s="5" t="str">
        <f>_xlfn.XLOOKUP(A839,[1]!DadosGHD[CD_GEOCMU],[1]!DadosGHD[MUNICIPIO])</f>
        <v>PARNAGUA</v>
      </c>
      <c r="F839" s="6">
        <v>33.692203521728501</v>
      </c>
      <c r="G839" s="6">
        <v>28.9336853027344</v>
      </c>
      <c r="H839" s="6">
        <v>28.965305328369102</v>
      </c>
      <c r="I839" s="6">
        <v>28.943754196166999</v>
      </c>
      <c r="J839" s="6">
        <v>28.964704513549801</v>
      </c>
      <c r="K839" s="6">
        <v>28.9856071472168</v>
      </c>
      <c r="L839" s="6">
        <v>26.2806587219238</v>
      </c>
    </row>
    <row r="840" spans="1:12" x14ac:dyDescent="0.25">
      <c r="A840">
        <v>2701001</v>
      </c>
      <c r="B840" t="str">
        <f t="shared" si="13"/>
        <v>BOCA DA MATA, AL, Brasil</v>
      </c>
      <c r="C840" s="4" t="str">
        <f>_xlfn.XLOOKUP(A840,[1]!DadosGHD[CD_GEOCMU],[1]!DadosGHD[Região])</f>
        <v>NE</v>
      </c>
      <c r="D840" s="4" t="str">
        <f>_xlfn.XLOOKUP(A840,[1]!DadosGHD[CD_GEOCMU],[1]!DadosGHD[uf])</f>
        <v>AL</v>
      </c>
      <c r="E840" s="5" t="str">
        <f>_xlfn.XLOOKUP(A840,[1]!DadosGHD[CD_GEOCMU],[1]!DadosGHD[MUNICIPIO])</f>
        <v>BOCA DA MATA</v>
      </c>
      <c r="F840" s="6">
        <v>33.692459106445298</v>
      </c>
      <c r="G840" s="6">
        <v>28.939947128295898</v>
      </c>
      <c r="H840" s="6">
        <v>28.976514816284201</v>
      </c>
      <c r="I840" s="6">
        <v>33.789241790771499</v>
      </c>
      <c r="J840" s="6">
        <v>33.812000274658203</v>
      </c>
      <c r="K840" s="6">
        <v>33.857616424560597</v>
      </c>
      <c r="L840" s="6">
        <v>30.684392929077202</v>
      </c>
    </row>
    <row r="841" spans="1:12" x14ac:dyDescent="0.25">
      <c r="A841">
        <v>2102309</v>
      </c>
      <c r="B841" t="str">
        <f t="shared" si="13"/>
        <v>BURITI BRAVO, MA, Brasil</v>
      </c>
      <c r="C841" s="4" t="str">
        <f>_xlfn.XLOOKUP(A841,[1]!DadosGHD[CD_GEOCMU],[1]!DadosGHD[Região])</f>
        <v>NE</v>
      </c>
      <c r="D841" s="4" t="str">
        <f>_xlfn.XLOOKUP(A841,[1]!DadosGHD[CD_GEOCMU],[1]!DadosGHD[uf])</f>
        <v>MA</v>
      </c>
      <c r="E841" s="5" t="str">
        <f>_xlfn.XLOOKUP(A841,[1]!DadosGHD[CD_GEOCMU],[1]!DadosGHD[MUNICIPIO])</f>
        <v>BURITI BRAVO</v>
      </c>
      <c r="F841" s="6">
        <v>33.6925048828125</v>
      </c>
      <c r="G841" s="6">
        <v>28.9336643218994</v>
      </c>
      <c r="H841" s="6">
        <v>28.962907791137699</v>
      </c>
      <c r="I841" s="6">
        <v>28.941917419433601</v>
      </c>
      <c r="J841" s="6">
        <v>28.954677581787099</v>
      </c>
      <c r="K841" s="6">
        <v>28.981992721557599</v>
      </c>
      <c r="L841" s="6">
        <v>26.283439636230501</v>
      </c>
    </row>
    <row r="842" spans="1:12" x14ac:dyDescent="0.25">
      <c r="A842">
        <v>2500106</v>
      </c>
      <c r="B842" t="str">
        <f t="shared" si="13"/>
        <v>AGUA BRANCA, PB, Brasil</v>
      </c>
      <c r="C842" s="4" t="str">
        <f>_xlfn.XLOOKUP(A842,[1]!DadosGHD[CD_GEOCMU],[1]!DadosGHD[Região])</f>
        <v>NE</v>
      </c>
      <c r="D842" s="4" t="str">
        <f>_xlfn.XLOOKUP(A842,[1]!DadosGHD[CD_GEOCMU],[1]!DadosGHD[uf])</f>
        <v>PB</v>
      </c>
      <c r="E842" s="5" t="str">
        <f>_xlfn.XLOOKUP(A842,[1]!DadosGHD[CD_GEOCMU],[1]!DadosGHD[MUNICIPIO])</f>
        <v>AGUA BRANCA</v>
      </c>
      <c r="F842" s="6">
        <v>33.692508697509801</v>
      </c>
      <c r="G842" s="6">
        <v>33.765129089355497</v>
      </c>
      <c r="H842" s="6">
        <v>33.828769683837898</v>
      </c>
      <c r="I842" s="6">
        <v>33.799552917480497</v>
      </c>
      <c r="J842" s="6">
        <v>33.8212280273438</v>
      </c>
      <c r="K842" s="6">
        <v>33.870079040527301</v>
      </c>
      <c r="L842" s="6">
        <v>35.112770080566399</v>
      </c>
    </row>
    <row r="843" spans="1:12" x14ac:dyDescent="0.25">
      <c r="A843">
        <v>2407005</v>
      </c>
      <c r="B843" t="str">
        <f t="shared" si="13"/>
        <v>LUIS GOMES, RN, Brasil</v>
      </c>
      <c r="C843" s="4" t="str">
        <f>_xlfn.XLOOKUP(A843,[1]!DadosGHD[CD_GEOCMU],[1]!DadosGHD[Região])</f>
        <v>NE</v>
      </c>
      <c r="D843" s="4" t="str">
        <f>_xlfn.XLOOKUP(A843,[1]!DadosGHD[CD_GEOCMU],[1]!DadosGHD[uf])</f>
        <v>RN</v>
      </c>
      <c r="E843" s="5" t="str">
        <f>_xlfn.XLOOKUP(A843,[1]!DadosGHD[CD_GEOCMU],[1]!DadosGHD[MUNICIPIO])</f>
        <v>LUIS GOMES</v>
      </c>
      <c r="F843" s="6">
        <v>33.692516326904297</v>
      </c>
      <c r="G843" s="6">
        <v>33.803394317627003</v>
      </c>
      <c r="H843" s="6">
        <v>33.876468658447301</v>
      </c>
      <c r="I843" s="6">
        <v>38.740123748779297</v>
      </c>
      <c r="J843" s="6">
        <v>38.767215728759801</v>
      </c>
      <c r="K843" s="6">
        <v>38.808742523193402</v>
      </c>
      <c r="L843" s="6">
        <v>44.061603546142599</v>
      </c>
    </row>
    <row r="844" spans="1:12" x14ac:dyDescent="0.25">
      <c r="A844">
        <v>1703800</v>
      </c>
      <c r="B844" t="str">
        <f t="shared" si="13"/>
        <v>BURITI DO TOCANTINS, TO, Brasil</v>
      </c>
      <c r="C844" s="4" t="str">
        <f>_xlfn.XLOOKUP(A844,[1]!DadosGHD[CD_GEOCMU],[1]!DadosGHD[Região])</f>
        <v>NO</v>
      </c>
      <c r="D844" s="4" t="str">
        <f>_xlfn.XLOOKUP(A844,[1]!DadosGHD[CD_GEOCMU],[1]!DadosGHD[uf])</f>
        <v>TO</v>
      </c>
      <c r="E844" s="5" t="str">
        <f>_xlfn.XLOOKUP(A844,[1]!DadosGHD[CD_GEOCMU],[1]!DadosGHD[MUNICIPIO])</f>
        <v>BURITI DO TOCANTINS</v>
      </c>
      <c r="F844" s="6">
        <v>33.692604064941399</v>
      </c>
      <c r="G844" s="6">
        <v>28.936891555786101</v>
      </c>
      <c r="H844" s="6">
        <v>28.967500686645501</v>
      </c>
      <c r="I844" s="6">
        <v>28.9451198577881</v>
      </c>
      <c r="J844" s="6">
        <v>28.956504821777301</v>
      </c>
      <c r="K844" s="6">
        <v>28.9814643859863</v>
      </c>
      <c r="L844" s="6">
        <v>26.2798957824707</v>
      </c>
    </row>
    <row r="845" spans="1:12" x14ac:dyDescent="0.25">
      <c r="A845">
        <v>2206100</v>
      </c>
      <c r="B845" t="str">
        <f t="shared" si="13"/>
        <v>MATIAS OLIMPIO, PI, Brasil</v>
      </c>
      <c r="C845" s="4" t="str">
        <f>_xlfn.XLOOKUP(A845,[1]!DadosGHD[CD_GEOCMU],[1]!DadosGHD[Região])</f>
        <v>NE</v>
      </c>
      <c r="D845" s="4" t="str">
        <f>_xlfn.XLOOKUP(A845,[1]!DadosGHD[CD_GEOCMU],[1]!DadosGHD[uf])</f>
        <v>PI</v>
      </c>
      <c r="E845" s="5" t="str">
        <f>_xlfn.XLOOKUP(A845,[1]!DadosGHD[CD_GEOCMU],[1]!DadosGHD[MUNICIPIO])</f>
        <v>MATIAS OLIMPIO</v>
      </c>
      <c r="F845" s="6">
        <v>33.692764282226598</v>
      </c>
      <c r="G845" s="6">
        <v>28.930955886840799</v>
      </c>
      <c r="H845" s="6">
        <v>28.962060928344702</v>
      </c>
      <c r="I845" s="6">
        <v>28.942949295043899</v>
      </c>
      <c r="J845" s="6">
        <v>28.957750320434599</v>
      </c>
      <c r="K845" s="6">
        <v>28.9848442077637</v>
      </c>
      <c r="L845" s="6">
        <v>26.2994899749756</v>
      </c>
    </row>
    <row r="846" spans="1:12" x14ac:dyDescent="0.25">
      <c r="A846">
        <v>2407708</v>
      </c>
      <c r="B846" t="str">
        <f t="shared" si="13"/>
        <v>MONTANHAS, RN, Brasil</v>
      </c>
      <c r="C846" s="4" t="str">
        <f>_xlfn.XLOOKUP(A846,[1]!DadosGHD[CD_GEOCMU],[1]!DadosGHD[Região])</f>
        <v>NE</v>
      </c>
      <c r="D846" s="4" t="str">
        <f>_xlfn.XLOOKUP(A846,[1]!DadosGHD[CD_GEOCMU],[1]!DadosGHD[uf])</f>
        <v>RN</v>
      </c>
      <c r="E846" s="5" t="str">
        <f>_xlfn.XLOOKUP(A846,[1]!DadosGHD[CD_GEOCMU],[1]!DadosGHD[MUNICIPIO])</f>
        <v>MONTANHAS</v>
      </c>
      <c r="F846" s="6">
        <v>33.692779541015597</v>
      </c>
      <c r="G846" s="6">
        <v>28.936203002929702</v>
      </c>
      <c r="H846" s="6">
        <v>28.9696941375732</v>
      </c>
      <c r="I846" s="6">
        <v>28.9481315612793</v>
      </c>
      <c r="J846" s="6">
        <v>28.9609889984131</v>
      </c>
      <c r="K846" s="6">
        <v>28.9937553405762</v>
      </c>
      <c r="L846" s="6">
        <v>26.294153213501001</v>
      </c>
    </row>
    <row r="847" spans="1:12" x14ac:dyDescent="0.25">
      <c r="A847">
        <v>1504950</v>
      </c>
      <c r="B847" t="str">
        <f t="shared" si="13"/>
        <v>NOVA ESPERANCA DO PIRIA, PA, Brasil</v>
      </c>
      <c r="C847" s="4" t="str">
        <f>_xlfn.XLOOKUP(A847,[1]!DadosGHD[CD_GEOCMU],[1]!DadosGHD[Região])</f>
        <v>NO</v>
      </c>
      <c r="D847" s="4" t="str">
        <f>_xlfn.XLOOKUP(A847,[1]!DadosGHD[CD_GEOCMU],[1]!DadosGHD[uf])</f>
        <v>PA</v>
      </c>
      <c r="E847" s="5" t="str">
        <f>_xlfn.XLOOKUP(A847,[1]!DadosGHD[CD_GEOCMU],[1]!DadosGHD[MUNICIPIO])</f>
        <v>NOVA ESPERANCA DO PIRIA</v>
      </c>
      <c r="F847" s="6">
        <v>33.692977905273402</v>
      </c>
      <c r="G847" s="6">
        <v>28.933809280395501</v>
      </c>
      <c r="H847" s="6">
        <v>28.9658107757568</v>
      </c>
      <c r="I847" s="6">
        <v>28.946720123291001</v>
      </c>
      <c r="J847" s="6">
        <v>28.961231231689499</v>
      </c>
      <c r="K847" s="6">
        <v>28.979906082153299</v>
      </c>
      <c r="L847" s="6">
        <v>26.280021667480501</v>
      </c>
    </row>
    <row r="848" spans="1:12" x14ac:dyDescent="0.25">
      <c r="A848">
        <v>4300570</v>
      </c>
      <c r="B848" t="str">
        <f t="shared" si="13"/>
        <v>ALTO FELIZ, RS, Brasil</v>
      </c>
      <c r="C848" s="4" t="str">
        <f>_xlfn.XLOOKUP(A848,[1]!DadosGHD[CD_GEOCMU],[1]!DadosGHD[Região])</f>
        <v>SL</v>
      </c>
      <c r="D848" s="4" t="str">
        <f>_xlfn.XLOOKUP(A848,[1]!DadosGHD[CD_GEOCMU],[1]!DadosGHD[uf])</f>
        <v>RS</v>
      </c>
      <c r="E848" s="5" t="str">
        <f>_xlfn.XLOOKUP(A848,[1]!DadosGHD[CD_GEOCMU],[1]!DadosGHD[MUNICIPIO])</f>
        <v>ALTO FELIZ</v>
      </c>
      <c r="F848" s="6">
        <v>33.693031311035199</v>
      </c>
      <c r="G848" s="6">
        <v>43.6900024414063</v>
      </c>
      <c r="H848" s="6">
        <v>43.762317657470703</v>
      </c>
      <c r="I848" s="6">
        <v>43.719570159912102</v>
      </c>
      <c r="J848" s="6">
        <v>43.774070739746101</v>
      </c>
      <c r="K848" s="6">
        <v>43.818470001220703</v>
      </c>
      <c r="L848" s="6">
        <v>53.006359100341797</v>
      </c>
    </row>
    <row r="849" spans="1:12" x14ac:dyDescent="0.25">
      <c r="A849">
        <v>2302404</v>
      </c>
      <c r="B849" t="str">
        <f t="shared" si="13"/>
        <v>BOA VIAGEM, CE, Brasil</v>
      </c>
      <c r="C849" s="4" t="str">
        <f>_xlfn.XLOOKUP(A849,[1]!DadosGHD[CD_GEOCMU],[1]!DadosGHD[Região])</f>
        <v>NE</v>
      </c>
      <c r="D849" s="4" t="str">
        <f>_xlfn.XLOOKUP(A849,[1]!DadosGHD[CD_GEOCMU],[1]!DadosGHD[uf])</f>
        <v>CE</v>
      </c>
      <c r="E849" s="5" t="str">
        <f>_xlfn.XLOOKUP(A849,[1]!DadosGHD[CD_GEOCMU],[1]!DadosGHD[MUNICIPIO])</f>
        <v>BOA VIAGEM</v>
      </c>
      <c r="F849" s="6">
        <v>33.693084716796903</v>
      </c>
      <c r="G849" s="6">
        <v>33.775699615478501</v>
      </c>
      <c r="H849" s="6">
        <v>33.816852569580099</v>
      </c>
      <c r="I849" s="6">
        <v>33.811592102050803</v>
      </c>
      <c r="J849" s="6">
        <v>33.871330261230497</v>
      </c>
      <c r="K849" s="6">
        <v>38.792976379394503</v>
      </c>
      <c r="L849" s="6">
        <v>39.566074371337898</v>
      </c>
    </row>
    <row r="850" spans="1:12" x14ac:dyDescent="0.25">
      <c r="A850">
        <v>2305605</v>
      </c>
      <c r="B850" t="str">
        <f t="shared" si="13"/>
        <v>INDEPENDENCIA, CE, Brasil</v>
      </c>
      <c r="C850" s="4" t="str">
        <f>_xlfn.XLOOKUP(A850,[1]!DadosGHD[CD_GEOCMU],[1]!DadosGHD[Região])</f>
        <v>NE</v>
      </c>
      <c r="D850" s="4" t="str">
        <f>_xlfn.XLOOKUP(A850,[1]!DadosGHD[CD_GEOCMU],[1]!DadosGHD[uf])</f>
        <v>CE</v>
      </c>
      <c r="E850" s="5" t="str">
        <f>_xlfn.XLOOKUP(A850,[1]!DadosGHD[CD_GEOCMU],[1]!DadosGHD[MUNICIPIO])</f>
        <v>INDEPENDENCIA</v>
      </c>
      <c r="F850" s="6">
        <v>33.693145751953097</v>
      </c>
      <c r="G850" s="6">
        <v>33.792087554931598</v>
      </c>
      <c r="H850" s="6">
        <v>28.965520858764702</v>
      </c>
      <c r="I850" s="6">
        <v>33.8051147460938</v>
      </c>
      <c r="J850" s="6">
        <v>33.830844879150398</v>
      </c>
      <c r="K850" s="6">
        <v>29.0069370269775</v>
      </c>
      <c r="L850" s="6">
        <v>30.718643188476602</v>
      </c>
    </row>
    <row r="851" spans="1:12" x14ac:dyDescent="0.25">
      <c r="A851">
        <v>2609204</v>
      </c>
      <c r="B851" t="str">
        <f t="shared" si="13"/>
        <v>MARAIAL, PE, Brasil</v>
      </c>
      <c r="C851" s="4" t="str">
        <f>_xlfn.XLOOKUP(A851,[1]!DadosGHD[CD_GEOCMU],[1]!DadosGHD[Região])</f>
        <v>NE</v>
      </c>
      <c r="D851" s="4" t="str">
        <f>_xlfn.XLOOKUP(A851,[1]!DadosGHD[CD_GEOCMU],[1]!DadosGHD[uf])</f>
        <v>PE</v>
      </c>
      <c r="E851" s="5" t="str">
        <f>_xlfn.XLOOKUP(A851,[1]!DadosGHD[CD_GEOCMU],[1]!DadosGHD[MUNICIPIO])</f>
        <v>MARAIAL</v>
      </c>
      <c r="F851" s="6">
        <v>33.693199157714801</v>
      </c>
      <c r="G851" s="6">
        <v>28.934989929199201</v>
      </c>
      <c r="H851" s="6">
        <v>28.970310211181602</v>
      </c>
      <c r="I851" s="6">
        <v>33.790496826171903</v>
      </c>
      <c r="J851" s="6">
        <v>28.9765110015869</v>
      </c>
      <c r="K851" s="6">
        <v>28.997817993164102</v>
      </c>
      <c r="L851" s="6">
        <v>26.295137405395501</v>
      </c>
    </row>
    <row r="852" spans="1:12" x14ac:dyDescent="0.25">
      <c r="A852">
        <v>1301902</v>
      </c>
      <c r="B852" t="str">
        <f t="shared" si="13"/>
        <v>ITACOATIARA, AM, Brasil</v>
      </c>
      <c r="C852" s="4" t="str">
        <f>_xlfn.XLOOKUP(A852,[1]!DadosGHD[CD_GEOCMU],[1]!DadosGHD[Região])</f>
        <v>NO</v>
      </c>
      <c r="D852" s="4" t="str">
        <f>_xlfn.XLOOKUP(A852,[1]!DadosGHD[CD_GEOCMU],[1]!DadosGHD[uf])</f>
        <v>AM</v>
      </c>
      <c r="E852" s="5" t="str">
        <f>_xlfn.XLOOKUP(A852,[1]!DadosGHD[CD_GEOCMU],[1]!DadosGHD[MUNICIPIO])</f>
        <v>ITACOATIARA</v>
      </c>
      <c r="F852" s="6">
        <v>33.693233489990199</v>
      </c>
      <c r="G852" s="6">
        <v>28.927915573120099</v>
      </c>
      <c r="H852" s="6">
        <v>28.964849472045898</v>
      </c>
      <c r="I852" s="6">
        <v>28.9492282867432</v>
      </c>
      <c r="J852" s="6">
        <v>28.965774536132798</v>
      </c>
      <c r="K852" s="6">
        <v>33.8480834960938</v>
      </c>
      <c r="L852" s="6">
        <v>57.589881896972699</v>
      </c>
    </row>
    <row r="853" spans="1:12" x14ac:dyDescent="0.25">
      <c r="A853">
        <v>2703205</v>
      </c>
      <c r="B853" t="str">
        <f t="shared" si="13"/>
        <v>IGREJA NOVA, AL, Brasil</v>
      </c>
      <c r="C853" s="4" t="str">
        <f>_xlfn.XLOOKUP(A853,[1]!DadosGHD[CD_GEOCMU],[1]!DadosGHD[Região])</f>
        <v>NE</v>
      </c>
      <c r="D853" s="4" t="str">
        <f>_xlfn.XLOOKUP(A853,[1]!DadosGHD[CD_GEOCMU],[1]!DadosGHD[uf])</f>
        <v>AL</v>
      </c>
      <c r="E853" s="5" t="str">
        <f>_xlfn.XLOOKUP(A853,[1]!DadosGHD[CD_GEOCMU],[1]!DadosGHD[MUNICIPIO])</f>
        <v>IGREJA NOVA</v>
      </c>
      <c r="F853" s="6">
        <v>33.6932563781738</v>
      </c>
      <c r="G853" s="6">
        <v>28.937597274780298</v>
      </c>
      <c r="H853" s="6">
        <v>28.972215652465799</v>
      </c>
      <c r="I853" s="6">
        <v>28.939136505126999</v>
      </c>
      <c r="J853" s="6">
        <v>28.9409065246582</v>
      </c>
      <c r="K853" s="6">
        <v>28.969537734985401</v>
      </c>
      <c r="L853" s="6">
        <v>26.2798957824707</v>
      </c>
    </row>
    <row r="854" spans="1:12" x14ac:dyDescent="0.25">
      <c r="A854">
        <v>2103406</v>
      </c>
      <c r="B854" t="str">
        <f t="shared" si="13"/>
        <v>COELHO NETO, MA, Brasil</v>
      </c>
      <c r="C854" s="4" t="str">
        <f>_xlfn.XLOOKUP(A854,[1]!DadosGHD[CD_GEOCMU],[1]!DadosGHD[Região])</f>
        <v>NE</v>
      </c>
      <c r="D854" s="4" t="str">
        <f>_xlfn.XLOOKUP(A854,[1]!DadosGHD[CD_GEOCMU],[1]!DadosGHD[uf])</f>
        <v>MA</v>
      </c>
      <c r="E854" s="5" t="str">
        <f>_xlfn.XLOOKUP(A854,[1]!DadosGHD[CD_GEOCMU],[1]!DadosGHD[MUNICIPIO])</f>
        <v>COELHO NETO</v>
      </c>
      <c r="F854" s="6">
        <v>33.693325042724602</v>
      </c>
      <c r="G854" s="6">
        <v>28.922218322753899</v>
      </c>
      <c r="H854" s="6">
        <v>28.9556484222412</v>
      </c>
      <c r="I854" s="6">
        <v>28.941888809204102</v>
      </c>
      <c r="J854" s="6">
        <v>28.959243774414102</v>
      </c>
      <c r="K854" s="6">
        <v>28.9823398590088</v>
      </c>
      <c r="L854" s="6">
        <v>30.701484680175799</v>
      </c>
    </row>
    <row r="855" spans="1:12" x14ac:dyDescent="0.25">
      <c r="A855">
        <v>4311254</v>
      </c>
      <c r="B855" t="str">
        <f t="shared" si="13"/>
        <v>LAGOAO, RS, Brasil</v>
      </c>
      <c r="C855" s="4" t="str">
        <f>_xlfn.XLOOKUP(A855,[1]!DadosGHD[CD_GEOCMU],[1]!DadosGHD[Região])</f>
        <v>SL</v>
      </c>
      <c r="D855" s="4" t="str">
        <f>_xlfn.XLOOKUP(A855,[1]!DadosGHD[CD_GEOCMU],[1]!DadosGHD[uf])</f>
        <v>RS</v>
      </c>
      <c r="E855" s="5" t="str">
        <f>_xlfn.XLOOKUP(A855,[1]!DadosGHD[CD_GEOCMU],[1]!DadosGHD[MUNICIPIO])</f>
        <v>LAGOAO</v>
      </c>
      <c r="F855" s="6">
        <v>33.6933784484863</v>
      </c>
      <c r="G855" s="6">
        <v>38.708332061767599</v>
      </c>
      <c r="H855" s="6">
        <v>38.770835876464801</v>
      </c>
      <c r="I855" s="6">
        <v>38.757118225097699</v>
      </c>
      <c r="J855" s="6">
        <v>38.779750823974602</v>
      </c>
      <c r="K855" s="6">
        <v>38.795570373535199</v>
      </c>
      <c r="L855" s="6">
        <v>35.133220672607401</v>
      </c>
    </row>
    <row r="856" spans="1:12" x14ac:dyDescent="0.25">
      <c r="A856">
        <v>2613008</v>
      </c>
      <c r="B856" t="str">
        <f t="shared" si="13"/>
        <v>SAO BENTO DO UNA, PE, Brasil</v>
      </c>
      <c r="C856" s="4" t="str">
        <f>_xlfn.XLOOKUP(A856,[1]!DadosGHD[CD_GEOCMU],[1]!DadosGHD[Região])</f>
        <v>NE</v>
      </c>
      <c r="D856" s="4" t="str">
        <f>_xlfn.XLOOKUP(A856,[1]!DadosGHD[CD_GEOCMU],[1]!DadosGHD[uf])</f>
        <v>PE</v>
      </c>
      <c r="E856" s="5" t="str">
        <f>_xlfn.XLOOKUP(A856,[1]!DadosGHD[CD_GEOCMU],[1]!DadosGHD[MUNICIPIO])</f>
        <v>SAO BENTO DO UNA</v>
      </c>
      <c r="F856" s="6">
        <v>33.693565368652301</v>
      </c>
      <c r="G856" s="6">
        <v>28.938459396362301</v>
      </c>
      <c r="H856" s="6">
        <v>28.9639778137207</v>
      </c>
      <c r="I856" s="6">
        <v>28.944171905517599</v>
      </c>
      <c r="J856" s="6">
        <v>33.816478729248097</v>
      </c>
      <c r="K856" s="6">
        <v>33.876010894775398</v>
      </c>
      <c r="L856" s="6">
        <v>35.137710571289098</v>
      </c>
    </row>
    <row r="857" spans="1:12" x14ac:dyDescent="0.25">
      <c r="A857">
        <v>1301001</v>
      </c>
      <c r="B857" t="str">
        <f t="shared" si="13"/>
        <v>CARAUARI, AM, Brasil</v>
      </c>
      <c r="C857" s="4" t="str">
        <f>_xlfn.XLOOKUP(A857,[1]!DadosGHD[CD_GEOCMU],[1]!DadosGHD[Região])</f>
        <v>NO</v>
      </c>
      <c r="D857" s="4" t="str">
        <f>_xlfn.XLOOKUP(A857,[1]!DadosGHD[CD_GEOCMU],[1]!DadosGHD[uf])</f>
        <v>AM</v>
      </c>
      <c r="E857" s="5" t="str">
        <f>_xlfn.XLOOKUP(A857,[1]!DadosGHD[CD_GEOCMU],[1]!DadosGHD[MUNICIPIO])</f>
        <v>CARAUARI</v>
      </c>
      <c r="F857" s="6">
        <v>33.693595886230497</v>
      </c>
      <c r="G857" s="6">
        <v>28.937150955200199</v>
      </c>
      <c r="H857" s="6">
        <v>28.9683513641357</v>
      </c>
      <c r="I857" s="6">
        <v>28.949487686157202</v>
      </c>
      <c r="J857" s="6">
        <v>28.964950561523398</v>
      </c>
      <c r="K857" s="6">
        <v>28.993148803710898</v>
      </c>
      <c r="L857" s="6">
        <v>26.2798957824707</v>
      </c>
    </row>
    <row r="858" spans="1:12" x14ac:dyDescent="0.25">
      <c r="A858">
        <v>1707405</v>
      </c>
      <c r="B858" t="str">
        <f t="shared" si="13"/>
        <v>ESPERANTINA, TO, Brasil</v>
      </c>
      <c r="C858" s="4" t="str">
        <f>_xlfn.XLOOKUP(A858,[1]!DadosGHD[CD_GEOCMU],[1]!DadosGHD[Região])</f>
        <v>NO</v>
      </c>
      <c r="D858" s="4" t="str">
        <f>_xlfn.XLOOKUP(A858,[1]!DadosGHD[CD_GEOCMU],[1]!DadosGHD[uf])</f>
        <v>TO</v>
      </c>
      <c r="E858" s="5" t="str">
        <f>_xlfn.XLOOKUP(A858,[1]!DadosGHD[CD_GEOCMU],[1]!DadosGHD[MUNICIPIO])</f>
        <v>ESPERANTINA</v>
      </c>
      <c r="F858" s="6">
        <v>33.693607330322301</v>
      </c>
      <c r="G858" s="6">
        <v>28.933559417724599</v>
      </c>
      <c r="H858" s="6">
        <v>28.978918075561499</v>
      </c>
      <c r="I858" s="6">
        <v>28.942626953125</v>
      </c>
      <c r="J858" s="6">
        <v>28.956785202026399</v>
      </c>
      <c r="K858" s="6">
        <v>28.9832649230957</v>
      </c>
      <c r="L858" s="6">
        <v>26.288795471191399</v>
      </c>
    </row>
    <row r="859" spans="1:12" x14ac:dyDescent="0.25">
      <c r="A859">
        <v>2104909</v>
      </c>
      <c r="B859" t="str">
        <f t="shared" si="13"/>
        <v>GUIMARAES, MA, Brasil</v>
      </c>
      <c r="C859" s="4" t="str">
        <f>_xlfn.XLOOKUP(A859,[1]!DadosGHD[CD_GEOCMU],[1]!DadosGHD[Região])</f>
        <v>NE</v>
      </c>
      <c r="D859" s="4" t="str">
        <f>_xlfn.XLOOKUP(A859,[1]!DadosGHD[CD_GEOCMU],[1]!DadosGHD[uf])</f>
        <v>MA</v>
      </c>
      <c r="E859" s="5" t="str">
        <f>_xlfn.XLOOKUP(A859,[1]!DadosGHD[CD_GEOCMU],[1]!DadosGHD[MUNICIPIO])</f>
        <v>GUIMARAES</v>
      </c>
      <c r="F859" s="6">
        <v>33.693672180175803</v>
      </c>
      <c r="G859" s="6">
        <v>28.933404922485401</v>
      </c>
      <c r="H859" s="6">
        <v>28.960960388183601</v>
      </c>
      <c r="I859" s="6">
        <v>28.940259933471701</v>
      </c>
      <c r="J859" s="6">
        <v>28.9532680511475</v>
      </c>
      <c r="K859" s="6">
        <v>28.979959487915</v>
      </c>
      <c r="L859" s="6">
        <v>26.2798957824707</v>
      </c>
    </row>
    <row r="860" spans="1:12" x14ac:dyDescent="0.25">
      <c r="A860">
        <v>2906105</v>
      </c>
      <c r="B860" t="str">
        <f t="shared" si="13"/>
        <v>CANAPOLIS, BA, Brasil</v>
      </c>
      <c r="C860" s="4" t="str">
        <f>_xlfn.XLOOKUP(A860,[1]!DadosGHD[CD_GEOCMU],[1]!DadosGHD[Região])</f>
        <v>NE</v>
      </c>
      <c r="D860" s="4" t="str">
        <f>_xlfn.XLOOKUP(A860,[1]!DadosGHD[CD_GEOCMU],[1]!DadosGHD[uf])</f>
        <v>BA</v>
      </c>
      <c r="E860" s="5" t="str">
        <f>_xlfn.XLOOKUP(A860,[1]!DadosGHD[CD_GEOCMU],[1]!DadosGHD[MUNICIPIO])</f>
        <v>CANAPOLIS</v>
      </c>
      <c r="F860" s="6">
        <v>33.693710327148402</v>
      </c>
      <c r="G860" s="6">
        <v>28.933839797973601</v>
      </c>
      <c r="H860" s="6">
        <v>28.969459533691399</v>
      </c>
      <c r="I860" s="6">
        <v>28.950462341308601</v>
      </c>
      <c r="J860" s="6">
        <v>28.9654235839844</v>
      </c>
      <c r="K860" s="6">
        <v>28.9686679840088</v>
      </c>
      <c r="L860" s="6">
        <v>26.284631729126001</v>
      </c>
    </row>
    <row r="861" spans="1:12" x14ac:dyDescent="0.25">
      <c r="A861">
        <v>2414803</v>
      </c>
      <c r="B861" t="str">
        <f t="shared" si="13"/>
        <v>VERA CRUZ, RN, Brasil</v>
      </c>
      <c r="C861" s="4" t="str">
        <f>_xlfn.XLOOKUP(A861,[1]!DadosGHD[CD_GEOCMU],[1]!DadosGHD[Região])</f>
        <v>NE</v>
      </c>
      <c r="D861" s="4" t="str">
        <f>_xlfn.XLOOKUP(A861,[1]!DadosGHD[CD_GEOCMU],[1]!DadosGHD[uf])</f>
        <v>RN</v>
      </c>
      <c r="E861" s="5" t="str">
        <f>_xlfn.XLOOKUP(A861,[1]!DadosGHD[CD_GEOCMU],[1]!DadosGHD[MUNICIPIO])</f>
        <v>VERA CRUZ</v>
      </c>
      <c r="F861" s="6">
        <v>33.693855285644503</v>
      </c>
      <c r="G861" s="6">
        <v>28.936058044433601</v>
      </c>
      <c r="H861" s="6">
        <v>33.811386108398402</v>
      </c>
      <c r="I861" s="6">
        <v>28.957546234130898</v>
      </c>
      <c r="J861" s="6">
        <v>28.9705619812012</v>
      </c>
      <c r="K861" s="6">
        <v>33.897468566894503</v>
      </c>
      <c r="L861" s="6">
        <v>48.494571685791001</v>
      </c>
    </row>
    <row r="862" spans="1:12" x14ac:dyDescent="0.25">
      <c r="A862">
        <v>2100402</v>
      </c>
      <c r="B862" t="str">
        <f t="shared" si="13"/>
        <v>ALTAMIRA DO MARANHAO, MA, Brasil</v>
      </c>
      <c r="C862" s="4" t="str">
        <f>_xlfn.XLOOKUP(A862,[1]!DadosGHD[CD_GEOCMU],[1]!DadosGHD[Região])</f>
        <v>NE</v>
      </c>
      <c r="D862" s="4" t="str">
        <f>_xlfn.XLOOKUP(A862,[1]!DadosGHD[CD_GEOCMU],[1]!DadosGHD[uf])</f>
        <v>MA</v>
      </c>
      <c r="E862" s="5" t="str">
        <f>_xlfn.XLOOKUP(A862,[1]!DadosGHD[CD_GEOCMU],[1]!DadosGHD[MUNICIPIO])</f>
        <v>ALTAMIRA DO MARANHAO</v>
      </c>
      <c r="F862" s="6">
        <v>33.693885803222699</v>
      </c>
      <c r="G862" s="6">
        <v>33.778148651123097</v>
      </c>
      <c r="H862" s="6">
        <v>33.813850402832003</v>
      </c>
      <c r="I862" s="6">
        <v>33.7916870117188</v>
      </c>
      <c r="J862" s="6">
        <v>33.822975158691399</v>
      </c>
      <c r="K862" s="6">
        <v>33.888576507568402</v>
      </c>
      <c r="L862" s="6">
        <v>35.124015808105497</v>
      </c>
    </row>
    <row r="863" spans="1:12" x14ac:dyDescent="0.25">
      <c r="A863">
        <v>2306603</v>
      </c>
      <c r="B863" t="str">
        <f t="shared" si="13"/>
        <v>ITATIRA, CE, Brasil</v>
      </c>
      <c r="C863" s="4" t="str">
        <f>_xlfn.XLOOKUP(A863,[1]!DadosGHD[CD_GEOCMU],[1]!DadosGHD[Região])</f>
        <v>NE</v>
      </c>
      <c r="D863" s="4" t="str">
        <f>_xlfn.XLOOKUP(A863,[1]!DadosGHD[CD_GEOCMU],[1]!DadosGHD[uf])</f>
        <v>CE</v>
      </c>
      <c r="E863" s="5" t="str">
        <f>_xlfn.XLOOKUP(A863,[1]!DadosGHD[CD_GEOCMU],[1]!DadosGHD[MUNICIPIO])</f>
        <v>ITATIRA</v>
      </c>
      <c r="F863" s="6">
        <v>33.693939208984403</v>
      </c>
      <c r="G863" s="6">
        <v>28.9330158233643</v>
      </c>
      <c r="H863" s="6">
        <v>28.9650764465332</v>
      </c>
      <c r="I863" s="6">
        <v>28.9435710906982</v>
      </c>
      <c r="J863" s="6">
        <v>28.963544845581101</v>
      </c>
      <c r="K863" s="6">
        <v>28.984683990478501</v>
      </c>
      <c r="L863" s="6">
        <v>26.295366287231399</v>
      </c>
    </row>
    <row r="864" spans="1:12" x14ac:dyDescent="0.25">
      <c r="A864">
        <v>2105450</v>
      </c>
      <c r="B864" t="str">
        <f t="shared" si="13"/>
        <v>JATOBA, MA, Brasil</v>
      </c>
      <c r="C864" s="4" t="str">
        <f>_xlfn.XLOOKUP(A864,[1]!DadosGHD[CD_GEOCMU],[1]!DadosGHD[Região])</f>
        <v>NE</v>
      </c>
      <c r="D864" s="4" t="str">
        <f>_xlfn.XLOOKUP(A864,[1]!DadosGHD[CD_GEOCMU],[1]!DadosGHD[uf])</f>
        <v>MA</v>
      </c>
      <c r="E864" s="5" t="str">
        <f>_xlfn.XLOOKUP(A864,[1]!DadosGHD[CD_GEOCMU],[1]!DadosGHD[MUNICIPIO])</f>
        <v>JATOBA</v>
      </c>
      <c r="F864" s="6">
        <v>33.693992614746101</v>
      </c>
      <c r="G864" s="6">
        <v>28.932746887206999</v>
      </c>
      <c r="H864" s="6">
        <v>28.9727878570557</v>
      </c>
      <c r="I864" s="6">
        <v>28.954286575317401</v>
      </c>
      <c r="J864" s="6">
        <v>28.977989196777301</v>
      </c>
      <c r="K864" s="6">
        <v>29.000947952270501</v>
      </c>
      <c r="L864" s="6">
        <v>30.684921264648398</v>
      </c>
    </row>
    <row r="865" spans="1:12" x14ac:dyDescent="0.25">
      <c r="A865">
        <v>1500107</v>
      </c>
      <c r="B865" t="str">
        <f t="shared" si="13"/>
        <v>ABAETETUBA, PA, Brasil</v>
      </c>
      <c r="C865" s="4" t="str">
        <f>_xlfn.XLOOKUP(A865,[1]!DadosGHD[CD_GEOCMU],[1]!DadosGHD[Região])</f>
        <v>NO</v>
      </c>
      <c r="D865" s="4" t="str">
        <f>_xlfn.XLOOKUP(A865,[1]!DadosGHD[CD_GEOCMU],[1]!DadosGHD[uf])</f>
        <v>PA</v>
      </c>
      <c r="E865" s="5" t="str">
        <f>_xlfn.XLOOKUP(A865,[1]!DadosGHD[CD_GEOCMU],[1]!DadosGHD[MUNICIPIO])</f>
        <v>ABAETETUBA</v>
      </c>
      <c r="F865" s="6">
        <v>33.6940727233887</v>
      </c>
      <c r="G865" s="6">
        <v>33.776332855224602</v>
      </c>
      <c r="H865" s="6">
        <v>33.813961029052699</v>
      </c>
      <c r="I865" s="6">
        <v>33.796295166015597</v>
      </c>
      <c r="J865" s="6">
        <v>33.846370697021499</v>
      </c>
      <c r="K865" s="6">
        <v>33.878299713134801</v>
      </c>
      <c r="L865" s="6">
        <v>30.699470520019499</v>
      </c>
    </row>
    <row r="866" spans="1:12" x14ac:dyDescent="0.25">
      <c r="A866">
        <v>3149150</v>
      </c>
      <c r="B866" t="str">
        <f t="shared" si="13"/>
        <v>PEDRAS DE MARIA DA CRUZ, MG, Brasil</v>
      </c>
      <c r="C866" s="4" t="str">
        <f>_xlfn.XLOOKUP(A866,[1]!DadosGHD[CD_GEOCMU],[1]!DadosGHD[Região])</f>
        <v>SD</v>
      </c>
      <c r="D866" s="4" t="str">
        <f>_xlfn.XLOOKUP(A866,[1]!DadosGHD[CD_GEOCMU],[1]!DadosGHD[uf])</f>
        <v>MG</v>
      </c>
      <c r="E866" s="5" t="str">
        <f>_xlfn.XLOOKUP(A866,[1]!DadosGHD[CD_GEOCMU],[1]!DadosGHD[MUNICIPIO])</f>
        <v>PEDRAS DE MARIA DA CRUZ</v>
      </c>
      <c r="F866" s="6">
        <v>33.694129943847699</v>
      </c>
      <c r="G866" s="6">
        <v>28.9369297027588</v>
      </c>
      <c r="H866" s="6">
        <v>28.9687309265137</v>
      </c>
      <c r="I866" s="6">
        <v>28.9416198730469</v>
      </c>
      <c r="J866" s="6">
        <v>28.954027175903299</v>
      </c>
      <c r="K866" s="6">
        <v>28.978704452514702</v>
      </c>
      <c r="L866" s="6">
        <v>26.2931423187256</v>
      </c>
    </row>
    <row r="867" spans="1:12" x14ac:dyDescent="0.25">
      <c r="A867">
        <v>2608255</v>
      </c>
      <c r="B867" t="str">
        <f t="shared" si="13"/>
        <v>JUCATI, PE, Brasil</v>
      </c>
      <c r="C867" s="4" t="str">
        <f>_xlfn.XLOOKUP(A867,[1]!DadosGHD[CD_GEOCMU],[1]!DadosGHD[Região])</f>
        <v>NE</v>
      </c>
      <c r="D867" s="4" t="str">
        <f>_xlfn.XLOOKUP(A867,[1]!DadosGHD[CD_GEOCMU],[1]!DadosGHD[uf])</f>
        <v>PE</v>
      </c>
      <c r="E867" s="5" t="str">
        <f>_xlfn.XLOOKUP(A867,[1]!DadosGHD[CD_GEOCMU],[1]!DadosGHD[MUNICIPIO])</f>
        <v>JUCATI</v>
      </c>
      <c r="F867" s="6">
        <v>33.694324493408203</v>
      </c>
      <c r="G867" s="6">
        <v>33.765510559082003</v>
      </c>
      <c r="H867" s="6">
        <v>28.974431991577202</v>
      </c>
      <c r="I867" s="6">
        <v>28.9566555023193</v>
      </c>
      <c r="J867" s="6">
        <v>28.974809646606399</v>
      </c>
      <c r="K867" s="6">
        <v>28.993068695068398</v>
      </c>
      <c r="L867" s="6">
        <v>26.2998752593994</v>
      </c>
    </row>
    <row r="868" spans="1:12" x14ac:dyDescent="0.25">
      <c r="A868">
        <v>3543238</v>
      </c>
      <c r="B868" t="str">
        <f t="shared" si="13"/>
        <v>RIBEIRAO DOS INDIOS, SP, Brasil</v>
      </c>
      <c r="C868" s="4" t="str">
        <f>_xlfn.XLOOKUP(A868,[1]!DadosGHD[CD_GEOCMU],[1]!DadosGHD[Região])</f>
        <v>SD</v>
      </c>
      <c r="D868" s="4" t="str">
        <f>_xlfn.XLOOKUP(A868,[1]!DadosGHD[CD_GEOCMU],[1]!DadosGHD[uf])</f>
        <v>SP</v>
      </c>
      <c r="E868" s="5" t="str">
        <f>_xlfn.XLOOKUP(A868,[1]!DadosGHD[CD_GEOCMU],[1]!DadosGHD[MUNICIPIO])</f>
        <v>RIBEIRAO DOS INDIOS</v>
      </c>
      <c r="F868" s="6">
        <v>33.694332122802699</v>
      </c>
      <c r="G868" s="6">
        <v>28.938398361206101</v>
      </c>
      <c r="H868" s="6">
        <v>28.978630065918001</v>
      </c>
      <c r="I868" s="6">
        <v>33.792270660400398</v>
      </c>
      <c r="J868" s="6">
        <v>33.847896575927699</v>
      </c>
      <c r="K868" s="6">
        <v>33.8965873718262</v>
      </c>
      <c r="L868" s="6">
        <v>35.157028198242202</v>
      </c>
    </row>
    <row r="869" spans="1:12" x14ac:dyDescent="0.25">
      <c r="A869">
        <v>1300805</v>
      </c>
      <c r="B869" t="str">
        <f t="shared" si="13"/>
        <v>BORBA, AM, Brasil</v>
      </c>
      <c r="C869" s="4" t="str">
        <f>_xlfn.XLOOKUP(A869,[1]!DadosGHD[CD_GEOCMU],[1]!DadosGHD[Região])</f>
        <v>NO</v>
      </c>
      <c r="D869" s="4" t="str">
        <f>_xlfn.XLOOKUP(A869,[1]!DadosGHD[CD_GEOCMU],[1]!DadosGHD[uf])</f>
        <v>AM</v>
      </c>
      <c r="E869" s="5" t="str">
        <f>_xlfn.XLOOKUP(A869,[1]!DadosGHD[CD_GEOCMU],[1]!DadosGHD[MUNICIPIO])</f>
        <v>BORBA</v>
      </c>
      <c r="F869" s="6">
        <v>33.694416046142599</v>
      </c>
      <c r="G869" s="6">
        <v>28.9335231781006</v>
      </c>
      <c r="H869" s="6">
        <v>28.966138839721701</v>
      </c>
      <c r="I869" s="6">
        <v>28.946559906005898</v>
      </c>
      <c r="J869" s="6">
        <v>28.9604587554932</v>
      </c>
      <c r="K869" s="6">
        <v>28.989021301269499</v>
      </c>
      <c r="L869" s="6">
        <v>57.589881896972699</v>
      </c>
    </row>
    <row r="870" spans="1:12" x14ac:dyDescent="0.25">
      <c r="A870">
        <v>2928059</v>
      </c>
      <c r="B870" t="str">
        <f t="shared" si="13"/>
        <v>SANTA LUZIA, BA, Brasil</v>
      </c>
      <c r="C870" s="4" t="str">
        <f>_xlfn.XLOOKUP(A870,[1]!DadosGHD[CD_GEOCMU],[1]!DadosGHD[Região])</f>
        <v>NE</v>
      </c>
      <c r="D870" s="4" t="str">
        <f>_xlfn.XLOOKUP(A870,[1]!DadosGHD[CD_GEOCMU],[1]!DadosGHD[uf])</f>
        <v>BA</v>
      </c>
      <c r="E870" s="5" t="str">
        <f>_xlfn.XLOOKUP(A870,[1]!DadosGHD[CD_GEOCMU],[1]!DadosGHD[MUNICIPIO])</f>
        <v>SANTA LUZIA</v>
      </c>
      <c r="F870" s="6">
        <v>33.694427490234403</v>
      </c>
      <c r="G870" s="6">
        <v>28.9372673034668</v>
      </c>
      <c r="H870" s="6">
        <v>28.9698276519775</v>
      </c>
      <c r="I870" s="6">
        <v>28.9455471038818</v>
      </c>
      <c r="J870" s="6">
        <v>28.959745407104499</v>
      </c>
      <c r="K870" s="6">
        <v>33.873889923095703</v>
      </c>
      <c r="L870" s="6">
        <v>35.126457214355497</v>
      </c>
    </row>
    <row r="871" spans="1:12" x14ac:dyDescent="0.25">
      <c r="A871">
        <v>2510105</v>
      </c>
      <c r="B871" t="str">
        <f t="shared" si="13"/>
        <v>NOVA FLORESTA, PB, Brasil</v>
      </c>
      <c r="C871" s="4" t="str">
        <f>_xlfn.XLOOKUP(A871,[1]!DadosGHD[CD_GEOCMU],[1]!DadosGHD[Região])</f>
        <v>NE</v>
      </c>
      <c r="D871" s="4" t="str">
        <f>_xlfn.XLOOKUP(A871,[1]!DadosGHD[CD_GEOCMU],[1]!DadosGHD[uf])</f>
        <v>PB</v>
      </c>
      <c r="E871" s="5" t="str">
        <f>_xlfn.XLOOKUP(A871,[1]!DadosGHD[CD_GEOCMU],[1]!DadosGHD[MUNICIPIO])</f>
        <v>NOVA FLORESTA</v>
      </c>
      <c r="F871" s="6">
        <v>33.694427490234403</v>
      </c>
      <c r="G871" s="6">
        <v>33.764522552490199</v>
      </c>
      <c r="H871" s="6">
        <v>28.980005264282202</v>
      </c>
      <c r="I871" s="6">
        <v>33.820899963378899</v>
      </c>
      <c r="J871" s="6">
        <v>33.882114410400398</v>
      </c>
      <c r="K871" s="6">
        <v>38.7913818359375</v>
      </c>
      <c r="L871" s="6">
        <v>39.5593070983887</v>
      </c>
    </row>
    <row r="872" spans="1:12" x14ac:dyDescent="0.25">
      <c r="A872">
        <v>2301703</v>
      </c>
      <c r="B872" t="str">
        <f t="shared" si="13"/>
        <v>AURORA, CE, Brasil</v>
      </c>
      <c r="C872" s="4" t="str">
        <f>_xlfn.XLOOKUP(A872,[1]!DadosGHD[CD_GEOCMU],[1]!DadosGHD[Região])</f>
        <v>NE</v>
      </c>
      <c r="D872" s="4" t="str">
        <f>_xlfn.XLOOKUP(A872,[1]!DadosGHD[CD_GEOCMU],[1]!DadosGHD[uf])</f>
        <v>CE</v>
      </c>
      <c r="E872" s="5" t="str">
        <f>_xlfn.XLOOKUP(A872,[1]!DadosGHD[CD_GEOCMU],[1]!DadosGHD[MUNICIPIO])</f>
        <v>AURORA</v>
      </c>
      <c r="F872" s="6">
        <v>33.694469451904297</v>
      </c>
      <c r="G872" s="6">
        <v>33.7711372375488</v>
      </c>
      <c r="H872" s="6">
        <v>33.8626899719238</v>
      </c>
      <c r="I872" s="6">
        <v>33.841438293457003</v>
      </c>
      <c r="J872" s="6">
        <v>33.856178283691399</v>
      </c>
      <c r="K872" s="6">
        <v>38.780044555664098</v>
      </c>
      <c r="L872" s="6">
        <v>35.139411926269503</v>
      </c>
    </row>
    <row r="873" spans="1:12" x14ac:dyDescent="0.25">
      <c r="A873">
        <v>2307403</v>
      </c>
      <c r="B873" t="str">
        <f t="shared" si="13"/>
        <v>JUCAS, CE, Brasil</v>
      </c>
      <c r="C873" s="4" t="str">
        <f>_xlfn.XLOOKUP(A873,[1]!DadosGHD[CD_GEOCMU],[1]!DadosGHD[Região])</f>
        <v>NE</v>
      </c>
      <c r="D873" s="4" t="str">
        <f>_xlfn.XLOOKUP(A873,[1]!DadosGHD[CD_GEOCMU],[1]!DadosGHD[uf])</f>
        <v>CE</v>
      </c>
      <c r="E873" s="5" t="str">
        <f>_xlfn.XLOOKUP(A873,[1]!DadosGHD[CD_GEOCMU],[1]!DadosGHD[MUNICIPIO])</f>
        <v>JUCAS</v>
      </c>
      <c r="F873" s="6">
        <v>33.694572448730497</v>
      </c>
      <c r="G873" s="6">
        <v>33.768661499023402</v>
      </c>
      <c r="H873" s="6">
        <v>33.828815460205099</v>
      </c>
      <c r="I873" s="6">
        <v>33.867496490478501</v>
      </c>
      <c r="J873" s="6">
        <v>33.884815216064503</v>
      </c>
      <c r="K873" s="6">
        <v>33.905609130859403</v>
      </c>
      <c r="L873" s="6">
        <v>35.123527526855497</v>
      </c>
    </row>
    <row r="874" spans="1:12" x14ac:dyDescent="0.25">
      <c r="A874">
        <v>2705101</v>
      </c>
      <c r="B874" t="str">
        <f t="shared" si="13"/>
        <v>MATRIZ DE CAMARAGIBE, AL, Brasil</v>
      </c>
      <c r="C874" s="4" t="str">
        <f>_xlfn.XLOOKUP(A874,[1]!DadosGHD[CD_GEOCMU],[1]!DadosGHD[Região])</f>
        <v>NE</v>
      </c>
      <c r="D874" s="4" t="str">
        <f>_xlfn.XLOOKUP(A874,[1]!DadosGHD[CD_GEOCMU],[1]!DadosGHD[uf])</f>
        <v>AL</v>
      </c>
      <c r="E874" s="5" t="str">
        <f>_xlfn.XLOOKUP(A874,[1]!DadosGHD[CD_GEOCMU],[1]!DadosGHD[MUNICIPIO])</f>
        <v>MATRIZ DE CAMARAGIBE</v>
      </c>
      <c r="F874" s="6">
        <v>33.694595336914098</v>
      </c>
      <c r="G874" s="6">
        <v>28.937992095947301</v>
      </c>
      <c r="H874" s="6">
        <v>28.9723720550537</v>
      </c>
      <c r="I874" s="6">
        <v>28.946283340454102</v>
      </c>
      <c r="J874" s="6">
        <v>28.951198577880898</v>
      </c>
      <c r="K874" s="6">
        <v>28.9784240722656</v>
      </c>
      <c r="L874" s="6">
        <v>26.290216445922901</v>
      </c>
    </row>
    <row r="875" spans="1:12" x14ac:dyDescent="0.25">
      <c r="A875">
        <v>2614808</v>
      </c>
      <c r="B875" t="str">
        <f t="shared" si="13"/>
        <v>TACARATU, PE, Brasil</v>
      </c>
      <c r="C875" s="4" t="str">
        <f>_xlfn.XLOOKUP(A875,[1]!DadosGHD[CD_GEOCMU],[1]!DadosGHD[Região])</f>
        <v>NE</v>
      </c>
      <c r="D875" s="4" t="str">
        <f>_xlfn.XLOOKUP(A875,[1]!DadosGHD[CD_GEOCMU],[1]!DadosGHD[uf])</f>
        <v>PE</v>
      </c>
      <c r="E875" s="5" t="str">
        <f>_xlfn.XLOOKUP(A875,[1]!DadosGHD[CD_GEOCMU],[1]!DadosGHD[MUNICIPIO])</f>
        <v>TACARATU</v>
      </c>
      <c r="F875" s="6">
        <v>33.694614410400398</v>
      </c>
      <c r="G875" s="6">
        <v>33.775363922119098</v>
      </c>
      <c r="H875" s="6">
        <v>28.972801208496101</v>
      </c>
      <c r="I875" s="6">
        <v>28.959175109863299</v>
      </c>
      <c r="J875" s="6">
        <v>33.810432434082003</v>
      </c>
      <c r="K875" s="6">
        <v>33.851749420166001</v>
      </c>
      <c r="L875" s="6">
        <v>35.147422790527301</v>
      </c>
    </row>
    <row r="876" spans="1:12" x14ac:dyDescent="0.25">
      <c r="A876">
        <v>3138708</v>
      </c>
      <c r="B876" t="str">
        <f t="shared" si="13"/>
        <v>LUMINARIAS, MG, Brasil</v>
      </c>
      <c r="C876" s="4" t="str">
        <f>_xlfn.XLOOKUP(A876,[1]!DadosGHD[CD_GEOCMU],[1]!DadosGHD[Região])</f>
        <v>SD</v>
      </c>
      <c r="D876" s="4" t="str">
        <f>_xlfn.XLOOKUP(A876,[1]!DadosGHD[CD_GEOCMU],[1]!DadosGHD[uf])</f>
        <v>MG</v>
      </c>
      <c r="E876" s="5" t="str">
        <f>_xlfn.XLOOKUP(A876,[1]!DadosGHD[CD_GEOCMU],[1]!DadosGHD[MUNICIPIO])</f>
        <v>LUMINARIAS</v>
      </c>
      <c r="F876" s="6">
        <v>33.694667816162102</v>
      </c>
      <c r="G876" s="6">
        <v>38.7161254882813</v>
      </c>
      <c r="H876" s="6">
        <v>33.822715759277301</v>
      </c>
      <c r="I876" s="6">
        <v>33.816120147705099</v>
      </c>
      <c r="J876" s="6">
        <v>33.847763061523402</v>
      </c>
      <c r="K876" s="6">
        <v>38.846839904785199</v>
      </c>
      <c r="L876" s="6">
        <v>35.127632141113303</v>
      </c>
    </row>
    <row r="877" spans="1:12" x14ac:dyDescent="0.25">
      <c r="A877">
        <v>2103307</v>
      </c>
      <c r="B877" t="str">
        <f t="shared" si="13"/>
        <v>CODO, MA, Brasil</v>
      </c>
      <c r="C877" s="4" t="str">
        <f>_xlfn.XLOOKUP(A877,[1]!DadosGHD[CD_GEOCMU],[1]!DadosGHD[Região])</f>
        <v>NE</v>
      </c>
      <c r="D877" s="4" t="str">
        <f>_xlfn.XLOOKUP(A877,[1]!DadosGHD[CD_GEOCMU],[1]!DadosGHD[uf])</f>
        <v>MA</v>
      </c>
      <c r="E877" s="5" t="str">
        <f>_xlfn.XLOOKUP(A877,[1]!DadosGHD[CD_GEOCMU],[1]!DadosGHD[MUNICIPIO])</f>
        <v>CODO</v>
      </c>
      <c r="F877" s="6">
        <v>33.694866180419901</v>
      </c>
      <c r="G877" s="6">
        <v>33.776828765869098</v>
      </c>
      <c r="H877" s="6">
        <v>28.980150222778299</v>
      </c>
      <c r="I877" s="6">
        <v>33.796798706054702</v>
      </c>
      <c r="J877" s="6">
        <v>33.825439453125</v>
      </c>
      <c r="K877" s="6">
        <v>33.8708305358887</v>
      </c>
      <c r="L877" s="6">
        <v>30.705364227294901</v>
      </c>
    </row>
    <row r="878" spans="1:12" x14ac:dyDescent="0.25">
      <c r="A878">
        <v>2311264</v>
      </c>
      <c r="B878" t="str">
        <f t="shared" si="13"/>
        <v>QUITERIANOPOLIS, CE, Brasil</v>
      </c>
      <c r="C878" s="4" t="str">
        <f>_xlfn.XLOOKUP(A878,[1]!DadosGHD[CD_GEOCMU],[1]!DadosGHD[Região])</f>
        <v>NE</v>
      </c>
      <c r="D878" s="4" t="str">
        <f>_xlfn.XLOOKUP(A878,[1]!DadosGHD[CD_GEOCMU],[1]!DadosGHD[uf])</f>
        <v>CE</v>
      </c>
      <c r="E878" s="5" t="str">
        <f>_xlfn.XLOOKUP(A878,[1]!DadosGHD[CD_GEOCMU],[1]!DadosGHD[MUNICIPIO])</f>
        <v>QUITERIANOPOLIS</v>
      </c>
      <c r="F878" s="6">
        <v>33.694919586181598</v>
      </c>
      <c r="G878" s="6">
        <v>33.768646240234403</v>
      </c>
      <c r="H878" s="6">
        <v>28.972755432128899</v>
      </c>
      <c r="I878" s="6">
        <v>33.792709350585902</v>
      </c>
      <c r="J878" s="6">
        <v>33.816680908203097</v>
      </c>
      <c r="K878" s="6">
        <v>33.854576110839801</v>
      </c>
      <c r="L878" s="6">
        <v>30.689628601074201</v>
      </c>
    </row>
    <row r="879" spans="1:12" x14ac:dyDescent="0.25">
      <c r="A879">
        <v>2917904</v>
      </c>
      <c r="B879" t="str">
        <f t="shared" si="13"/>
        <v>JANDAIRA, BA, Brasil</v>
      </c>
      <c r="C879" s="4" t="str">
        <f>_xlfn.XLOOKUP(A879,[1]!DadosGHD[CD_GEOCMU],[1]!DadosGHD[Região])</f>
        <v>NE</v>
      </c>
      <c r="D879" s="4" t="str">
        <f>_xlfn.XLOOKUP(A879,[1]!DadosGHD[CD_GEOCMU],[1]!DadosGHD[uf])</f>
        <v>BA</v>
      </c>
      <c r="E879" s="5" t="str">
        <f>_xlfn.XLOOKUP(A879,[1]!DadosGHD[CD_GEOCMU],[1]!DadosGHD[MUNICIPIO])</f>
        <v>JANDAIRA</v>
      </c>
      <c r="F879" s="6">
        <v>33.694984436035199</v>
      </c>
      <c r="G879" s="6">
        <v>28.935224533081101</v>
      </c>
      <c r="H879" s="6">
        <v>28.969190597534201</v>
      </c>
      <c r="I879" s="6">
        <v>28.9512424468994</v>
      </c>
      <c r="J879" s="6">
        <v>28.970134735107401</v>
      </c>
      <c r="K879" s="6">
        <v>28.999526977539102</v>
      </c>
      <c r="L879" s="6">
        <v>26.291975021362301</v>
      </c>
    </row>
    <row r="880" spans="1:12" x14ac:dyDescent="0.25">
      <c r="A880">
        <v>2101707</v>
      </c>
      <c r="B880" t="str">
        <f t="shared" si="13"/>
        <v>BARREIRINHAS, MA, Brasil</v>
      </c>
      <c r="C880" s="4" t="str">
        <f>_xlfn.XLOOKUP(A880,[1]!DadosGHD[CD_GEOCMU],[1]!DadosGHD[Região])</f>
        <v>NE</v>
      </c>
      <c r="D880" s="4" t="str">
        <f>_xlfn.XLOOKUP(A880,[1]!DadosGHD[CD_GEOCMU],[1]!DadosGHD[uf])</f>
        <v>MA</v>
      </c>
      <c r="E880" s="5" t="str">
        <f>_xlfn.XLOOKUP(A880,[1]!DadosGHD[CD_GEOCMU],[1]!DadosGHD[MUNICIPIO])</f>
        <v>BARREIRINHAS</v>
      </c>
      <c r="F880" s="6">
        <v>33.695034027099602</v>
      </c>
      <c r="G880" s="6">
        <v>28.9364910125732</v>
      </c>
      <c r="H880" s="6">
        <v>28.9719753265381</v>
      </c>
      <c r="I880" s="6">
        <v>33.789241790771499</v>
      </c>
      <c r="J880" s="6">
        <v>33.820446014404297</v>
      </c>
      <c r="K880" s="6">
        <v>33.849296569824197</v>
      </c>
      <c r="L880" s="6">
        <v>26.291461944580099</v>
      </c>
    </row>
    <row r="881" spans="1:12" x14ac:dyDescent="0.25">
      <c r="A881">
        <v>4314068</v>
      </c>
      <c r="B881" t="str">
        <f t="shared" si="13"/>
        <v>PASSA SETE, RS, Brasil</v>
      </c>
      <c r="C881" s="4" t="str">
        <f>_xlfn.XLOOKUP(A881,[1]!DadosGHD[CD_GEOCMU],[1]!DadosGHD[Região])</f>
        <v>SL</v>
      </c>
      <c r="D881" s="4" t="str">
        <f>_xlfn.XLOOKUP(A881,[1]!DadosGHD[CD_GEOCMU],[1]!DadosGHD[uf])</f>
        <v>RS</v>
      </c>
      <c r="E881" s="5" t="str">
        <f>_xlfn.XLOOKUP(A881,[1]!DadosGHD[CD_GEOCMU],[1]!DadosGHD[MUNICIPIO])</f>
        <v>PASSA SETE</v>
      </c>
      <c r="F881" s="6">
        <v>33.695045471191399</v>
      </c>
      <c r="G881" s="6">
        <v>38.716835021972699</v>
      </c>
      <c r="H881" s="6">
        <v>38.774295806884801</v>
      </c>
      <c r="I881" s="6">
        <v>38.764720916748097</v>
      </c>
      <c r="J881" s="6">
        <v>38.786224365234403</v>
      </c>
      <c r="K881" s="6">
        <v>38.820953369140597</v>
      </c>
      <c r="L881" s="6">
        <v>39.571525573730497</v>
      </c>
    </row>
    <row r="882" spans="1:12" x14ac:dyDescent="0.25">
      <c r="A882">
        <v>2300150</v>
      </c>
      <c r="B882" t="str">
        <f t="shared" si="13"/>
        <v>ACARAPE, CE, Brasil</v>
      </c>
      <c r="C882" s="4" t="str">
        <f>_xlfn.XLOOKUP(A882,[1]!DadosGHD[CD_GEOCMU],[1]!DadosGHD[Região])</f>
        <v>NE</v>
      </c>
      <c r="D882" s="4" t="str">
        <f>_xlfn.XLOOKUP(A882,[1]!DadosGHD[CD_GEOCMU],[1]!DadosGHD[uf])</f>
        <v>CE</v>
      </c>
      <c r="E882" s="5" t="str">
        <f>_xlfn.XLOOKUP(A882,[1]!DadosGHD[CD_GEOCMU],[1]!DadosGHD[MUNICIPIO])</f>
        <v>ACARAPE</v>
      </c>
      <c r="F882" s="6">
        <v>33.695075988769503</v>
      </c>
      <c r="G882" s="6">
        <v>33.805091857910199</v>
      </c>
      <c r="H882" s="6">
        <v>33.865428924560597</v>
      </c>
      <c r="I882" s="6">
        <v>33.854824066162102</v>
      </c>
      <c r="J882" s="6">
        <v>38.753200531005902</v>
      </c>
      <c r="K882" s="6">
        <v>33.897045135498097</v>
      </c>
      <c r="L882" s="6">
        <v>35.157012939453097</v>
      </c>
    </row>
    <row r="883" spans="1:12" x14ac:dyDescent="0.25">
      <c r="A883">
        <v>2303956</v>
      </c>
      <c r="B883" t="str">
        <f t="shared" si="13"/>
        <v>CHOROZINHO, CE, Brasil</v>
      </c>
      <c r="C883" s="4" t="str">
        <f>_xlfn.XLOOKUP(A883,[1]!DadosGHD[CD_GEOCMU],[1]!DadosGHD[Região])</f>
        <v>NE</v>
      </c>
      <c r="D883" s="4" t="str">
        <f>_xlfn.XLOOKUP(A883,[1]!DadosGHD[CD_GEOCMU],[1]!DadosGHD[uf])</f>
        <v>CE</v>
      </c>
      <c r="E883" s="5" t="str">
        <f>_xlfn.XLOOKUP(A883,[1]!DadosGHD[CD_GEOCMU],[1]!DadosGHD[MUNICIPIO])</f>
        <v>CHOROZINHO</v>
      </c>
      <c r="F883" s="6">
        <v>33.695102691650398</v>
      </c>
      <c r="G883" s="6">
        <v>33.765773773193402</v>
      </c>
      <c r="H883" s="6">
        <v>28.973091125488299</v>
      </c>
      <c r="I883" s="6">
        <v>28.9579563140869</v>
      </c>
      <c r="J883" s="6">
        <v>33.843082427978501</v>
      </c>
      <c r="K883" s="6">
        <v>33.905517578125</v>
      </c>
      <c r="L883" s="6">
        <v>35.144996643066399</v>
      </c>
    </row>
    <row r="884" spans="1:12" x14ac:dyDescent="0.25">
      <c r="A884">
        <v>2902252</v>
      </c>
      <c r="B884" t="str">
        <f t="shared" si="13"/>
        <v>ARATACA, BA, Brasil</v>
      </c>
      <c r="C884" s="4" t="str">
        <f>_xlfn.XLOOKUP(A884,[1]!DadosGHD[CD_GEOCMU],[1]!DadosGHD[Região])</f>
        <v>NE</v>
      </c>
      <c r="D884" s="4" t="str">
        <f>_xlfn.XLOOKUP(A884,[1]!DadosGHD[CD_GEOCMU],[1]!DadosGHD[uf])</f>
        <v>BA</v>
      </c>
      <c r="E884" s="5" t="str">
        <f>_xlfn.XLOOKUP(A884,[1]!DadosGHD[CD_GEOCMU],[1]!DadosGHD[MUNICIPIO])</f>
        <v>ARATACA</v>
      </c>
      <c r="F884" s="6">
        <v>33.695148468017599</v>
      </c>
      <c r="G884" s="6">
        <v>28.938707351684599</v>
      </c>
      <c r="H884" s="6">
        <v>28.976411819458001</v>
      </c>
      <c r="I884" s="6">
        <v>28.9554843902588</v>
      </c>
      <c r="J884" s="6">
        <v>28.967849731445298</v>
      </c>
      <c r="K884" s="6">
        <v>33.862586975097699</v>
      </c>
      <c r="L884" s="6">
        <v>35.144828796386697</v>
      </c>
    </row>
    <row r="885" spans="1:12" x14ac:dyDescent="0.25">
      <c r="A885">
        <v>2912707</v>
      </c>
      <c r="B885" t="str">
        <f t="shared" si="13"/>
        <v>IBIRAPITANGA, BA, Brasil</v>
      </c>
      <c r="C885" s="4" t="str">
        <f>_xlfn.XLOOKUP(A885,[1]!DadosGHD[CD_GEOCMU],[1]!DadosGHD[Região])</f>
        <v>NE</v>
      </c>
      <c r="D885" s="4" t="str">
        <f>_xlfn.XLOOKUP(A885,[1]!DadosGHD[CD_GEOCMU],[1]!DadosGHD[uf])</f>
        <v>BA</v>
      </c>
      <c r="E885" s="5" t="str">
        <f>_xlfn.XLOOKUP(A885,[1]!DadosGHD[CD_GEOCMU],[1]!DadosGHD[MUNICIPIO])</f>
        <v>IBIRAPITANGA</v>
      </c>
      <c r="F885" s="6">
        <v>33.695163726806598</v>
      </c>
      <c r="G885" s="6">
        <v>28.938564300537099</v>
      </c>
      <c r="H885" s="6">
        <v>28.977939605712901</v>
      </c>
      <c r="I885" s="6">
        <v>33.803516387939503</v>
      </c>
      <c r="J885" s="6">
        <v>33.841865539550803</v>
      </c>
      <c r="K885" s="6">
        <v>28.9836330413818</v>
      </c>
      <c r="L885" s="6">
        <v>26.286729812622099</v>
      </c>
    </row>
    <row r="886" spans="1:12" x14ac:dyDescent="0.25">
      <c r="A886">
        <v>3108255</v>
      </c>
      <c r="B886" t="str">
        <f t="shared" si="13"/>
        <v>BONITO DE MINAS, MG, Brasil</v>
      </c>
      <c r="C886" s="4" t="str">
        <f>_xlfn.XLOOKUP(A886,[1]!DadosGHD[CD_GEOCMU],[1]!DadosGHD[Região])</f>
        <v>SD</v>
      </c>
      <c r="D886" s="4" t="str">
        <f>_xlfn.XLOOKUP(A886,[1]!DadosGHD[CD_GEOCMU],[1]!DadosGHD[uf])</f>
        <v>MG</v>
      </c>
      <c r="E886" s="5" t="str">
        <f>_xlfn.XLOOKUP(A886,[1]!DadosGHD[CD_GEOCMU],[1]!DadosGHD[MUNICIPIO])</f>
        <v>BONITO DE MINAS</v>
      </c>
      <c r="F886" s="6">
        <v>33.695320129394503</v>
      </c>
      <c r="G886" s="6">
        <v>28.936355590820298</v>
      </c>
      <c r="H886" s="6">
        <v>28.970573425293001</v>
      </c>
      <c r="I886" s="6">
        <v>28.949613571166999</v>
      </c>
      <c r="J886" s="6">
        <v>28.964818954467798</v>
      </c>
      <c r="K886" s="6">
        <v>28.992246627807599</v>
      </c>
      <c r="L886" s="6">
        <v>30.6900310516357</v>
      </c>
    </row>
    <row r="887" spans="1:12" x14ac:dyDescent="0.25">
      <c r="A887">
        <v>2923209</v>
      </c>
      <c r="B887" t="str">
        <f t="shared" si="13"/>
        <v>OLIVEIRA DOS BREJINHOS, BA, Brasil</v>
      </c>
      <c r="C887" s="4" t="str">
        <f>_xlfn.XLOOKUP(A887,[1]!DadosGHD[CD_GEOCMU],[1]!DadosGHD[Região])</f>
        <v>NE</v>
      </c>
      <c r="D887" s="4" t="str">
        <f>_xlfn.XLOOKUP(A887,[1]!DadosGHD[CD_GEOCMU],[1]!DadosGHD[uf])</f>
        <v>BA</v>
      </c>
      <c r="E887" s="5" t="str">
        <f>_xlfn.XLOOKUP(A887,[1]!DadosGHD[CD_GEOCMU],[1]!DadosGHD[MUNICIPIO])</f>
        <v>OLIVEIRA DOS BREJINHOS</v>
      </c>
      <c r="F887" s="6">
        <v>33.695343017578097</v>
      </c>
      <c r="G887" s="6">
        <v>28.935255050659201</v>
      </c>
      <c r="H887" s="6">
        <v>28.979225158691399</v>
      </c>
      <c r="I887" s="6">
        <v>28.951114654541001</v>
      </c>
      <c r="J887" s="6">
        <v>28.945795059204102</v>
      </c>
      <c r="K887" s="6">
        <v>28.9997234344482</v>
      </c>
      <c r="L887" s="6">
        <v>30.698680877685501</v>
      </c>
    </row>
    <row r="888" spans="1:12" x14ac:dyDescent="0.25">
      <c r="A888">
        <v>2707503</v>
      </c>
      <c r="B888" t="str">
        <f t="shared" si="13"/>
        <v>PORTO REAL DO COLEGIO, AL, Brasil</v>
      </c>
      <c r="C888" s="4" t="str">
        <f>_xlfn.XLOOKUP(A888,[1]!DadosGHD[CD_GEOCMU],[1]!DadosGHD[Região])</f>
        <v>NE</v>
      </c>
      <c r="D888" s="4" t="str">
        <f>_xlfn.XLOOKUP(A888,[1]!DadosGHD[CD_GEOCMU],[1]!DadosGHD[uf])</f>
        <v>AL</v>
      </c>
      <c r="E888" s="5" t="str">
        <f>_xlfn.XLOOKUP(A888,[1]!DadosGHD[CD_GEOCMU],[1]!DadosGHD[MUNICIPIO])</f>
        <v>PORTO REAL DO COLEGIO</v>
      </c>
      <c r="F888" s="6">
        <v>33.695411682128899</v>
      </c>
      <c r="G888" s="6">
        <v>28.9331150054932</v>
      </c>
      <c r="H888" s="6">
        <v>28.967500686645501</v>
      </c>
      <c r="I888" s="6">
        <v>28.948310852050799</v>
      </c>
      <c r="J888" s="6">
        <v>28.952293395996101</v>
      </c>
      <c r="K888" s="6">
        <v>28.9686679840088</v>
      </c>
      <c r="L888" s="6">
        <v>26.2798957824707</v>
      </c>
    </row>
    <row r="889" spans="1:12" x14ac:dyDescent="0.25">
      <c r="A889">
        <v>2402709</v>
      </c>
      <c r="B889" t="str">
        <f t="shared" si="13"/>
        <v>CERRO CORA, RN, Brasil</v>
      </c>
      <c r="C889" s="4" t="str">
        <f>_xlfn.XLOOKUP(A889,[1]!DadosGHD[CD_GEOCMU],[1]!DadosGHD[Região])</f>
        <v>NE</v>
      </c>
      <c r="D889" s="4" t="str">
        <f>_xlfn.XLOOKUP(A889,[1]!DadosGHD[CD_GEOCMU],[1]!DadosGHD[uf])</f>
        <v>RN</v>
      </c>
      <c r="E889" s="5" t="str">
        <f>_xlfn.XLOOKUP(A889,[1]!DadosGHD[CD_GEOCMU],[1]!DadosGHD[MUNICIPIO])</f>
        <v>CERRO CORA</v>
      </c>
      <c r="F889" s="6">
        <v>33.6954345703125</v>
      </c>
      <c r="G889" s="6">
        <v>28.929700851440401</v>
      </c>
      <c r="H889" s="6">
        <v>33.827449798583999</v>
      </c>
      <c r="I889" s="6">
        <v>33.815921783447301</v>
      </c>
      <c r="J889" s="6">
        <v>33.868598937988303</v>
      </c>
      <c r="K889" s="6">
        <v>33.908626556396499</v>
      </c>
      <c r="L889" s="6">
        <v>39.557544708252003</v>
      </c>
    </row>
    <row r="890" spans="1:12" x14ac:dyDescent="0.25">
      <c r="A890">
        <v>2906899</v>
      </c>
      <c r="B890" t="str">
        <f t="shared" si="13"/>
        <v>CARAIBAS, BA, Brasil</v>
      </c>
      <c r="C890" s="4" t="str">
        <f>_xlfn.XLOOKUP(A890,[1]!DadosGHD[CD_GEOCMU],[1]!DadosGHD[Região])</f>
        <v>NE</v>
      </c>
      <c r="D890" s="4" t="str">
        <f>_xlfn.XLOOKUP(A890,[1]!DadosGHD[CD_GEOCMU],[1]!DadosGHD[uf])</f>
        <v>BA</v>
      </c>
      <c r="E890" s="5" t="str">
        <f>_xlfn.XLOOKUP(A890,[1]!DadosGHD[CD_GEOCMU],[1]!DadosGHD[MUNICIPIO])</f>
        <v>CARAIBAS</v>
      </c>
      <c r="F890" s="6">
        <v>33.695438385009801</v>
      </c>
      <c r="G890" s="6">
        <v>33.774726867675803</v>
      </c>
      <c r="H890" s="6">
        <v>33.8151245117188</v>
      </c>
      <c r="I890" s="6">
        <v>33.792655944824197</v>
      </c>
      <c r="J890" s="6">
        <v>33.810317993164098</v>
      </c>
      <c r="K890" s="6">
        <v>33.8861274719238</v>
      </c>
      <c r="L890" s="6">
        <v>35.119956970214801</v>
      </c>
    </row>
    <row r="891" spans="1:12" x14ac:dyDescent="0.25">
      <c r="A891">
        <v>2405306</v>
      </c>
      <c r="B891" t="str">
        <f t="shared" si="13"/>
        <v>JANUARIO CICCO, RN, Brasil</v>
      </c>
      <c r="C891" s="4" t="str">
        <f>_xlfn.XLOOKUP(A891,[1]!DadosGHD[CD_GEOCMU],[1]!DadosGHD[Região])</f>
        <v>NE</v>
      </c>
      <c r="D891" s="4" t="str">
        <f>_xlfn.XLOOKUP(A891,[1]!DadosGHD[CD_GEOCMU],[1]!DadosGHD[uf])</f>
        <v>RN</v>
      </c>
      <c r="E891" s="5" t="str">
        <f>_xlfn.XLOOKUP(A891,[1]!DadosGHD[CD_GEOCMU],[1]!DadosGHD[MUNICIPIO])</f>
        <v>JANUARIO CICCO</v>
      </c>
      <c r="F891" s="6">
        <v>33.695610046386697</v>
      </c>
      <c r="G891" s="6">
        <v>28.938255310058601</v>
      </c>
      <c r="H891" s="6">
        <v>28.977678298950199</v>
      </c>
      <c r="I891" s="6">
        <v>28.9511413574219</v>
      </c>
      <c r="J891" s="6">
        <v>28.965215682983398</v>
      </c>
      <c r="K891" s="6">
        <v>33.841876983642599</v>
      </c>
      <c r="L891" s="6">
        <v>30.706222534179702</v>
      </c>
    </row>
    <row r="892" spans="1:12" x14ac:dyDescent="0.25">
      <c r="A892">
        <v>1301605</v>
      </c>
      <c r="B892" t="str">
        <f t="shared" si="13"/>
        <v>FONTE BOA, AM, Brasil</v>
      </c>
      <c r="C892" s="4" t="str">
        <f>_xlfn.XLOOKUP(A892,[1]!DadosGHD[CD_GEOCMU],[1]!DadosGHD[Região])</f>
        <v>NO</v>
      </c>
      <c r="D892" s="4" t="str">
        <f>_xlfn.XLOOKUP(A892,[1]!DadosGHD[CD_GEOCMU],[1]!DadosGHD[uf])</f>
        <v>AM</v>
      </c>
      <c r="E892" s="5" t="str">
        <f>_xlfn.XLOOKUP(A892,[1]!DadosGHD[CD_GEOCMU],[1]!DadosGHD[MUNICIPIO])</f>
        <v>FONTE BOA</v>
      </c>
      <c r="F892" s="6">
        <v>33.695674896240199</v>
      </c>
      <c r="G892" s="6">
        <v>28.937580108642599</v>
      </c>
      <c r="H892" s="6">
        <v>28.976583480835</v>
      </c>
      <c r="I892" s="6">
        <v>28.960233688354499</v>
      </c>
      <c r="J892" s="6">
        <v>28.977622985839801</v>
      </c>
      <c r="K892" s="6">
        <v>28.9948406219482</v>
      </c>
      <c r="L892" s="6">
        <v>39.585788726806598</v>
      </c>
    </row>
    <row r="893" spans="1:12" x14ac:dyDescent="0.25">
      <c r="A893">
        <v>2210656</v>
      </c>
      <c r="B893" t="str">
        <f t="shared" si="13"/>
        <v>SIGEFREDO PACHECO, PI, Brasil</v>
      </c>
      <c r="C893" s="4" t="str">
        <f>_xlfn.XLOOKUP(A893,[1]!DadosGHD[CD_GEOCMU],[1]!DadosGHD[Região])</f>
        <v>NE</v>
      </c>
      <c r="D893" s="4" t="str">
        <f>_xlfn.XLOOKUP(A893,[1]!DadosGHD[CD_GEOCMU],[1]!DadosGHD[uf])</f>
        <v>PI</v>
      </c>
      <c r="E893" s="5" t="str">
        <f>_xlfn.XLOOKUP(A893,[1]!DadosGHD[CD_GEOCMU],[1]!DadosGHD[MUNICIPIO])</f>
        <v>SIGEFREDO PACHECO</v>
      </c>
      <c r="F893" s="6">
        <v>33.695705413818402</v>
      </c>
      <c r="G893" s="6">
        <v>28.934995651245099</v>
      </c>
      <c r="H893" s="6">
        <v>28.967401504516602</v>
      </c>
      <c r="I893" s="6">
        <v>28.9558506011963</v>
      </c>
      <c r="J893" s="6">
        <v>28.974769592285199</v>
      </c>
      <c r="K893" s="6">
        <v>33.854503631591797</v>
      </c>
      <c r="L893" s="6">
        <v>26.298070907592798</v>
      </c>
    </row>
    <row r="894" spans="1:12" x14ac:dyDescent="0.25">
      <c r="A894">
        <v>3155603</v>
      </c>
      <c r="B894" t="str">
        <f t="shared" si="13"/>
        <v>RIO PARDO DE MINAS, MG, Brasil</v>
      </c>
      <c r="C894" s="4" t="str">
        <f>_xlfn.XLOOKUP(A894,[1]!DadosGHD[CD_GEOCMU],[1]!DadosGHD[Região])</f>
        <v>SD</v>
      </c>
      <c r="D894" s="4" t="str">
        <f>_xlfn.XLOOKUP(A894,[1]!DadosGHD[CD_GEOCMU],[1]!DadosGHD[uf])</f>
        <v>MG</v>
      </c>
      <c r="E894" s="5" t="str">
        <f>_xlfn.XLOOKUP(A894,[1]!DadosGHD[CD_GEOCMU],[1]!DadosGHD[MUNICIPIO])</f>
        <v>RIO PARDO DE MINAS</v>
      </c>
      <c r="F894" s="6">
        <v>33.695789337158203</v>
      </c>
      <c r="G894" s="6">
        <v>33.764045715332003</v>
      </c>
      <c r="H894" s="6">
        <v>28.978075027465799</v>
      </c>
      <c r="I894" s="6">
        <v>33.806167602539098</v>
      </c>
      <c r="J894" s="6">
        <v>33.820121765136697</v>
      </c>
      <c r="K894" s="6">
        <v>33.849391937255902</v>
      </c>
      <c r="L894" s="6">
        <v>30.683815002441399</v>
      </c>
    </row>
    <row r="895" spans="1:12" x14ac:dyDescent="0.25">
      <c r="A895">
        <v>2615607</v>
      </c>
      <c r="B895" t="str">
        <f t="shared" si="13"/>
        <v>TRINDADE, PE, Brasil</v>
      </c>
      <c r="C895" s="4" t="str">
        <f>_xlfn.XLOOKUP(A895,[1]!DadosGHD[CD_GEOCMU],[1]!DadosGHD[Região])</f>
        <v>NE</v>
      </c>
      <c r="D895" s="4" t="str">
        <f>_xlfn.XLOOKUP(A895,[1]!DadosGHD[CD_GEOCMU],[1]!DadosGHD[uf])</f>
        <v>PE</v>
      </c>
      <c r="E895" s="5" t="str">
        <f>_xlfn.XLOOKUP(A895,[1]!DadosGHD[CD_GEOCMU],[1]!DadosGHD[MUNICIPIO])</f>
        <v>TRINDADE</v>
      </c>
      <c r="F895" s="6">
        <v>33.695812225341797</v>
      </c>
      <c r="G895" s="6">
        <v>33.769763946533203</v>
      </c>
      <c r="H895" s="6">
        <v>33.814132690429702</v>
      </c>
      <c r="I895" s="6">
        <v>33.795051574707003</v>
      </c>
      <c r="J895" s="6">
        <v>33.826400756835902</v>
      </c>
      <c r="K895" s="6">
        <v>33.863849639892599</v>
      </c>
      <c r="L895" s="6">
        <v>35.142929077148402</v>
      </c>
    </row>
    <row r="896" spans="1:12" x14ac:dyDescent="0.25">
      <c r="A896">
        <v>2929008</v>
      </c>
      <c r="B896" t="str">
        <f t="shared" si="13"/>
        <v>SAO FELIX, BA, Brasil</v>
      </c>
      <c r="C896" s="4" t="str">
        <f>_xlfn.XLOOKUP(A896,[1]!DadosGHD[CD_GEOCMU],[1]!DadosGHD[Região])</f>
        <v>NE</v>
      </c>
      <c r="D896" s="4" t="str">
        <f>_xlfn.XLOOKUP(A896,[1]!DadosGHD[CD_GEOCMU],[1]!DadosGHD[uf])</f>
        <v>BA</v>
      </c>
      <c r="E896" s="5" t="str">
        <f>_xlfn.XLOOKUP(A896,[1]!DadosGHD[CD_GEOCMU],[1]!DadosGHD[MUNICIPIO])</f>
        <v>SAO FELIX</v>
      </c>
      <c r="F896" s="6">
        <v>33.695915222167997</v>
      </c>
      <c r="G896" s="6">
        <v>33.766746520996101</v>
      </c>
      <c r="H896" s="6">
        <v>33.810779571533203</v>
      </c>
      <c r="I896" s="6">
        <v>33.836235046386697</v>
      </c>
      <c r="J896" s="6">
        <v>33.8190307617188</v>
      </c>
      <c r="K896" s="6">
        <v>33.871818542480497</v>
      </c>
      <c r="L896" s="6">
        <v>30.705856323242202</v>
      </c>
    </row>
    <row r="897" spans="1:12" x14ac:dyDescent="0.25">
      <c r="A897">
        <v>5106158</v>
      </c>
      <c r="B897" t="str">
        <f t="shared" si="13"/>
        <v>NOVA BANDEIRANTES, MT, Brasil</v>
      </c>
      <c r="C897" s="4" t="str">
        <f>_xlfn.XLOOKUP(A897,[1]!DadosGHD[CD_GEOCMU],[1]!DadosGHD[Região])</f>
        <v>CO</v>
      </c>
      <c r="D897" s="4" t="str">
        <f>_xlfn.XLOOKUP(A897,[1]!DadosGHD[CD_GEOCMU],[1]!DadosGHD[uf])</f>
        <v>MT</v>
      </c>
      <c r="E897" s="5" t="str">
        <f>_xlfn.XLOOKUP(A897,[1]!DadosGHD[CD_GEOCMU],[1]!DadosGHD[MUNICIPIO])</f>
        <v>NOVA BANDEIRANTES</v>
      </c>
      <c r="F897" s="6">
        <v>33.695957183837898</v>
      </c>
      <c r="G897" s="6">
        <v>33.795627593994098</v>
      </c>
      <c r="H897" s="6">
        <v>33.835384368896499</v>
      </c>
      <c r="I897" s="6">
        <v>33.810806274414098</v>
      </c>
      <c r="J897" s="6">
        <v>33.847152709960902</v>
      </c>
      <c r="K897" s="6">
        <v>38.796188354492202</v>
      </c>
      <c r="L897" s="6">
        <v>39.590141296386697</v>
      </c>
    </row>
    <row r="898" spans="1:12" x14ac:dyDescent="0.25">
      <c r="A898">
        <v>2100873</v>
      </c>
      <c r="B898" t="str">
        <f t="shared" si="13"/>
        <v>ARAGUANA, MA, Brasil</v>
      </c>
      <c r="C898" s="4" t="str">
        <f>_xlfn.XLOOKUP(A898,[1]!DadosGHD[CD_GEOCMU],[1]!DadosGHD[Região])</f>
        <v>NE</v>
      </c>
      <c r="D898" s="4" t="str">
        <f>_xlfn.XLOOKUP(A898,[1]!DadosGHD[CD_GEOCMU],[1]!DadosGHD[uf])</f>
        <v>MA</v>
      </c>
      <c r="E898" s="5" t="str">
        <f>_xlfn.XLOOKUP(A898,[1]!DadosGHD[CD_GEOCMU],[1]!DadosGHD[MUNICIPIO])</f>
        <v>ARAGUANA</v>
      </c>
      <c r="F898" s="6">
        <v>33.6959838867188</v>
      </c>
      <c r="G898" s="6">
        <v>28.927427291870099</v>
      </c>
      <c r="H898" s="6">
        <v>28.960119247436499</v>
      </c>
      <c r="I898" s="6">
        <v>28.939891815185501</v>
      </c>
      <c r="J898" s="6">
        <v>28.9409065246582</v>
      </c>
      <c r="K898" s="6">
        <v>28.9686679840088</v>
      </c>
      <c r="L898" s="6">
        <v>30.688749313354499</v>
      </c>
    </row>
    <row r="899" spans="1:12" x14ac:dyDescent="0.25">
      <c r="A899">
        <v>5220009</v>
      </c>
      <c r="B899" t="str">
        <f t="shared" si="13"/>
        <v>SAO JOAO D'ALIANCA, GO, Brasil</v>
      </c>
      <c r="C899" s="4" t="str">
        <f>_xlfn.XLOOKUP(A899,[1]!DadosGHD[CD_GEOCMU],[1]!DadosGHD[Região])</f>
        <v>CO</v>
      </c>
      <c r="D899" s="4" t="str">
        <f>_xlfn.XLOOKUP(A899,[1]!DadosGHD[CD_GEOCMU],[1]!DadosGHD[uf])</f>
        <v>GO</v>
      </c>
      <c r="E899" s="5" t="str">
        <f>_xlfn.XLOOKUP(A899,[1]!DadosGHD[CD_GEOCMU],[1]!DadosGHD[MUNICIPIO])</f>
        <v>SAO JOAO D'ALIANCA</v>
      </c>
      <c r="F899" s="6">
        <v>33.696056365966797</v>
      </c>
      <c r="G899" s="6">
        <v>33.837482452392599</v>
      </c>
      <c r="H899" s="6">
        <v>33.856788635253899</v>
      </c>
      <c r="I899" s="6">
        <v>33.823207855224602</v>
      </c>
      <c r="J899" s="6">
        <v>33.8290824890137</v>
      </c>
      <c r="K899" s="6">
        <v>33.865886688232401</v>
      </c>
      <c r="L899" s="6">
        <v>30.699314117431602</v>
      </c>
    </row>
    <row r="900" spans="1:12" x14ac:dyDescent="0.25">
      <c r="A900">
        <v>2907707</v>
      </c>
      <c r="B900" t="str">
        <f t="shared" ref="B900:B963" si="14">_xlfn.CONCAT(E900, ", ", D900, ", Brasil")</f>
        <v>CHORROCHO, BA, Brasil</v>
      </c>
      <c r="C900" s="4" t="str">
        <f>_xlfn.XLOOKUP(A900,[1]!DadosGHD[CD_GEOCMU],[1]!DadosGHD[Região])</f>
        <v>NE</v>
      </c>
      <c r="D900" s="4" t="str">
        <f>_xlfn.XLOOKUP(A900,[1]!DadosGHD[CD_GEOCMU],[1]!DadosGHD[uf])</f>
        <v>BA</v>
      </c>
      <c r="E900" s="5" t="str">
        <f>_xlfn.XLOOKUP(A900,[1]!DadosGHD[CD_GEOCMU],[1]!DadosGHD[MUNICIPIO])</f>
        <v>CHORROCHO</v>
      </c>
      <c r="F900" s="6">
        <v>33.6961860656738</v>
      </c>
      <c r="G900" s="6">
        <v>33.773094177246101</v>
      </c>
      <c r="H900" s="6">
        <v>28.97412109375</v>
      </c>
      <c r="I900" s="6">
        <v>28.956001281738299</v>
      </c>
      <c r="J900" s="6">
        <v>33.820236206054702</v>
      </c>
      <c r="K900" s="6">
        <v>33.878189086914098</v>
      </c>
      <c r="L900" s="6">
        <v>39.561367034912102</v>
      </c>
    </row>
    <row r="901" spans="1:12" x14ac:dyDescent="0.25">
      <c r="A901">
        <v>2313757</v>
      </c>
      <c r="B901" t="str">
        <f t="shared" si="14"/>
        <v>UMIRIM, CE, Brasil</v>
      </c>
      <c r="C901" s="4" t="str">
        <f>_xlfn.XLOOKUP(A901,[1]!DadosGHD[CD_GEOCMU],[1]!DadosGHD[Região])</f>
        <v>NE</v>
      </c>
      <c r="D901" s="4" t="str">
        <f>_xlfn.XLOOKUP(A901,[1]!DadosGHD[CD_GEOCMU],[1]!DadosGHD[uf])</f>
        <v>CE</v>
      </c>
      <c r="E901" s="5" t="str">
        <f>_xlfn.XLOOKUP(A901,[1]!DadosGHD[CD_GEOCMU],[1]!DadosGHD[MUNICIPIO])</f>
        <v>UMIRIM</v>
      </c>
      <c r="F901" s="6">
        <v>33.696395874023402</v>
      </c>
      <c r="G901" s="6">
        <v>28.935274124145501</v>
      </c>
      <c r="H901" s="6">
        <v>28.968183517456101</v>
      </c>
      <c r="I901" s="6">
        <v>28.956302642822301</v>
      </c>
      <c r="J901" s="6">
        <v>33.8092231750488</v>
      </c>
      <c r="K901" s="6">
        <v>38.875503540039098</v>
      </c>
      <c r="L901" s="6">
        <v>30.698928833007798</v>
      </c>
    </row>
    <row r="902" spans="1:12" x14ac:dyDescent="0.25">
      <c r="A902">
        <v>2506202</v>
      </c>
      <c r="B902" t="str">
        <f t="shared" si="14"/>
        <v>FREI MARTINHO, PB, Brasil</v>
      </c>
      <c r="C902" s="4" t="str">
        <f>_xlfn.XLOOKUP(A902,[1]!DadosGHD[CD_GEOCMU],[1]!DadosGHD[Região])</f>
        <v>NE</v>
      </c>
      <c r="D902" s="4" t="str">
        <f>_xlfn.XLOOKUP(A902,[1]!DadosGHD[CD_GEOCMU],[1]!DadosGHD[uf])</f>
        <v>PB</v>
      </c>
      <c r="E902" s="5" t="str">
        <f>_xlfn.XLOOKUP(A902,[1]!DadosGHD[CD_GEOCMU],[1]!DadosGHD[MUNICIPIO])</f>
        <v>FREI MARTINHO</v>
      </c>
      <c r="F902" s="6">
        <v>33.696441650390597</v>
      </c>
      <c r="G902" s="6">
        <v>33.776294708252003</v>
      </c>
      <c r="H902" s="6">
        <v>28.948827743530298</v>
      </c>
      <c r="I902" s="6">
        <v>28.925045013427699</v>
      </c>
      <c r="J902" s="6">
        <v>28.9409065246582</v>
      </c>
      <c r="K902" s="6">
        <v>33.905647277832003</v>
      </c>
      <c r="L902" s="6">
        <v>39.5822143554688</v>
      </c>
    </row>
    <row r="903" spans="1:12" x14ac:dyDescent="0.25">
      <c r="A903">
        <v>2932309</v>
      </c>
      <c r="B903" t="str">
        <f t="shared" si="14"/>
        <v>UBATA, BA, Brasil</v>
      </c>
      <c r="C903" s="4" t="str">
        <f>_xlfn.XLOOKUP(A903,[1]!DadosGHD[CD_GEOCMU],[1]!DadosGHD[Região])</f>
        <v>NE</v>
      </c>
      <c r="D903" s="4" t="str">
        <f>_xlfn.XLOOKUP(A903,[1]!DadosGHD[CD_GEOCMU],[1]!DadosGHD[uf])</f>
        <v>BA</v>
      </c>
      <c r="E903" s="5" t="str">
        <f>_xlfn.XLOOKUP(A903,[1]!DadosGHD[CD_GEOCMU],[1]!DadosGHD[MUNICIPIO])</f>
        <v>UBATA</v>
      </c>
      <c r="F903" s="6">
        <v>33.696487426757798</v>
      </c>
      <c r="G903" s="6">
        <v>28.9388637542725</v>
      </c>
      <c r="H903" s="6">
        <v>28.975055694580099</v>
      </c>
      <c r="I903" s="6">
        <v>28.955417633056602</v>
      </c>
      <c r="J903" s="6">
        <v>28.9784145355225</v>
      </c>
      <c r="K903" s="6">
        <v>33.866592407226598</v>
      </c>
      <c r="L903" s="6">
        <v>30.7056770324707</v>
      </c>
    </row>
    <row r="904" spans="1:12" x14ac:dyDescent="0.25">
      <c r="A904">
        <v>1600808</v>
      </c>
      <c r="B904" t="str">
        <f t="shared" si="14"/>
        <v>VITORIA DO JARI, AP, Brasil</v>
      </c>
      <c r="C904" s="4" t="str">
        <f>_xlfn.XLOOKUP(A904,[1]!DadosGHD[CD_GEOCMU],[1]!DadosGHD[Região])</f>
        <v>NO</v>
      </c>
      <c r="D904" s="4" t="str">
        <f>_xlfn.XLOOKUP(A904,[1]!DadosGHD[CD_GEOCMU],[1]!DadosGHD[uf])</f>
        <v>AP</v>
      </c>
      <c r="E904" s="5" t="str">
        <f>_xlfn.XLOOKUP(A904,[1]!DadosGHD[CD_GEOCMU],[1]!DadosGHD[MUNICIPIO])</f>
        <v>VITORIA DO JARI</v>
      </c>
      <c r="F904" s="6">
        <v>33.6965522766113</v>
      </c>
      <c r="G904" s="6">
        <v>28.926816940307599</v>
      </c>
      <c r="H904" s="6">
        <v>28.957992553710898</v>
      </c>
      <c r="I904" s="6">
        <v>28.9379062652588</v>
      </c>
      <c r="J904" s="6">
        <v>28.976171493530298</v>
      </c>
      <c r="K904" s="6">
        <v>33.854270935058601</v>
      </c>
      <c r="L904" s="6">
        <v>35.158740997314503</v>
      </c>
    </row>
    <row r="905" spans="1:12" x14ac:dyDescent="0.25">
      <c r="A905">
        <v>2929107</v>
      </c>
      <c r="B905" t="str">
        <f t="shared" si="14"/>
        <v>SAO FELIPE, BA, Brasil</v>
      </c>
      <c r="C905" s="4" t="str">
        <f>_xlfn.XLOOKUP(A905,[1]!DadosGHD[CD_GEOCMU],[1]!DadosGHD[Região])</f>
        <v>NE</v>
      </c>
      <c r="D905" s="4" t="str">
        <f>_xlfn.XLOOKUP(A905,[1]!DadosGHD[CD_GEOCMU],[1]!DadosGHD[uf])</f>
        <v>BA</v>
      </c>
      <c r="E905" s="5" t="str">
        <f>_xlfn.XLOOKUP(A905,[1]!DadosGHD[CD_GEOCMU],[1]!DadosGHD[MUNICIPIO])</f>
        <v>SAO FELIPE</v>
      </c>
      <c r="F905" s="6">
        <v>33.696563720703097</v>
      </c>
      <c r="G905" s="6">
        <v>33.764823913574197</v>
      </c>
      <c r="H905" s="6">
        <v>33.841907501220703</v>
      </c>
      <c r="I905" s="6">
        <v>33.826255798339801</v>
      </c>
      <c r="J905" s="6">
        <v>33.835239410400398</v>
      </c>
      <c r="K905" s="6">
        <v>33.882816314697301</v>
      </c>
      <c r="L905" s="6">
        <v>35.116050720214801</v>
      </c>
    </row>
    <row r="906" spans="1:12" x14ac:dyDescent="0.25">
      <c r="A906">
        <v>2104206</v>
      </c>
      <c r="B906" t="str">
        <f t="shared" si="14"/>
        <v>FORTUNA, MA, Brasil</v>
      </c>
      <c r="C906" s="4" t="str">
        <f>_xlfn.XLOOKUP(A906,[1]!DadosGHD[CD_GEOCMU],[1]!DadosGHD[Região])</f>
        <v>NE</v>
      </c>
      <c r="D906" s="4" t="str">
        <f>_xlfn.XLOOKUP(A906,[1]!DadosGHD[CD_GEOCMU],[1]!DadosGHD[uf])</f>
        <v>MA</v>
      </c>
      <c r="E906" s="5" t="str">
        <f>_xlfn.XLOOKUP(A906,[1]!DadosGHD[CD_GEOCMU],[1]!DadosGHD[MUNICIPIO])</f>
        <v>FORTUNA</v>
      </c>
      <c r="F906" s="6">
        <v>33.696781158447301</v>
      </c>
      <c r="G906" s="6">
        <v>28.928693771362301</v>
      </c>
      <c r="H906" s="6">
        <v>28.9613037109375</v>
      </c>
      <c r="I906" s="6">
        <v>28.942480087280298</v>
      </c>
      <c r="J906" s="6">
        <v>28.9497585296631</v>
      </c>
      <c r="K906" s="6">
        <v>28.977210998535199</v>
      </c>
      <c r="L906" s="6">
        <v>26.2798957824707</v>
      </c>
    </row>
    <row r="907" spans="1:12" x14ac:dyDescent="0.25">
      <c r="A907">
        <v>2600401</v>
      </c>
      <c r="B907" t="str">
        <f t="shared" si="14"/>
        <v>AGUA PRETA, PE, Brasil</v>
      </c>
      <c r="C907" s="4" t="str">
        <f>_xlfn.XLOOKUP(A907,[1]!DadosGHD[CD_GEOCMU],[1]!DadosGHD[Região])</f>
        <v>NE</v>
      </c>
      <c r="D907" s="4" t="str">
        <f>_xlfn.XLOOKUP(A907,[1]!DadosGHD[CD_GEOCMU],[1]!DadosGHD[uf])</f>
        <v>PE</v>
      </c>
      <c r="E907" s="5" t="str">
        <f>_xlfn.XLOOKUP(A907,[1]!DadosGHD[CD_GEOCMU],[1]!DadosGHD[MUNICIPIO])</f>
        <v>AGUA PRETA</v>
      </c>
      <c r="F907" s="6">
        <v>33.696781158447301</v>
      </c>
      <c r="G907" s="6">
        <v>28.930686950683601</v>
      </c>
      <c r="H907" s="6">
        <v>28.967082977294901</v>
      </c>
      <c r="I907" s="6">
        <v>28.9464721679688</v>
      </c>
      <c r="J907" s="6">
        <v>28.9640789031982</v>
      </c>
      <c r="K907" s="6">
        <v>29.0003852844238</v>
      </c>
      <c r="L907" s="6">
        <v>26.294082641601602</v>
      </c>
    </row>
    <row r="908" spans="1:12" x14ac:dyDescent="0.25">
      <c r="A908">
        <v>2101905</v>
      </c>
      <c r="B908" t="str">
        <f t="shared" si="14"/>
        <v>BEQUIMAO, MA, Brasil</v>
      </c>
      <c r="C908" s="4" t="str">
        <f>_xlfn.XLOOKUP(A908,[1]!DadosGHD[CD_GEOCMU],[1]!DadosGHD[Região])</f>
        <v>NE</v>
      </c>
      <c r="D908" s="4" t="str">
        <f>_xlfn.XLOOKUP(A908,[1]!DadosGHD[CD_GEOCMU],[1]!DadosGHD[uf])</f>
        <v>MA</v>
      </c>
      <c r="E908" s="5" t="str">
        <f>_xlfn.XLOOKUP(A908,[1]!DadosGHD[CD_GEOCMU],[1]!DadosGHD[MUNICIPIO])</f>
        <v>BEQUIMAO</v>
      </c>
      <c r="F908" s="6">
        <v>33.697105407714801</v>
      </c>
      <c r="G908" s="6">
        <v>28.927360534668001</v>
      </c>
      <c r="H908" s="6">
        <v>28.9625453948975</v>
      </c>
      <c r="I908" s="6">
        <v>28.944538116455099</v>
      </c>
      <c r="J908" s="6">
        <v>28.959352493286101</v>
      </c>
      <c r="K908" s="6">
        <v>28.980352401733398</v>
      </c>
      <c r="L908" s="6">
        <v>26.2798957824707</v>
      </c>
    </row>
    <row r="909" spans="1:12" x14ac:dyDescent="0.25">
      <c r="A909">
        <v>2307635</v>
      </c>
      <c r="B909" t="str">
        <f t="shared" si="14"/>
        <v>MADALENA, CE, Brasil</v>
      </c>
      <c r="C909" s="4" t="str">
        <f>_xlfn.XLOOKUP(A909,[1]!DadosGHD[CD_GEOCMU],[1]!DadosGHD[Região])</f>
        <v>NE</v>
      </c>
      <c r="D909" s="4" t="str">
        <f>_xlfn.XLOOKUP(A909,[1]!DadosGHD[CD_GEOCMU],[1]!DadosGHD[uf])</f>
        <v>CE</v>
      </c>
      <c r="E909" s="5" t="str">
        <f>_xlfn.XLOOKUP(A909,[1]!DadosGHD[CD_GEOCMU],[1]!DadosGHD[MUNICIPIO])</f>
        <v>MADALENA</v>
      </c>
      <c r="F909" s="6">
        <v>33.697154998779297</v>
      </c>
      <c r="G909" s="6">
        <v>28.9377746582031</v>
      </c>
      <c r="H909" s="6">
        <v>28.971855163574201</v>
      </c>
      <c r="I909" s="6">
        <v>28.956884384155298</v>
      </c>
      <c r="J909" s="6">
        <v>28.967241287231399</v>
      </c>
      <c r="K909" s="6">
        <v>28.990543365478501</v>
      </c>
      <c r="L909" s="6">
        <v>30.690608978271499</v>
      </c>
    </row>
    <row r="910" spans="1:12" x14ac:dyDescent="0.25">
      <c r="A910">
        <v>2603306</v>
      </c>
      <c r="B910" t="str">
        <f t="shared" si="14"/>
        <v>CALCADO, PE, Brasil</v>
      </c>
      <c r="C910" s="4" t="str">
        <f>_xlfn.XLOOKUP(A910,[1]!DadosGHD[CD_GEOCMU],[1]!DadosGHD[Região])</f>
        <v>NE</v>
      </c>
      <c r="D910" s="4" t="str">
        <f>_xlfn.XLOOKUP(A910,[1]!DadosGHD[CD_GEOCMU],[1]!DadosGHD[uf])</f>
        <v>PE</v>
      </c>
      <c r="E910" s="5" t="str">
        <f>_xlfn.XLOOKUP(A910,[1]!DadosGHD[CD_GEOCMU],[1]!DadosGHD[MUNICIPIO])</f>
        <v>CALCADO</v>
      </c>
      <c r="F910" s="6">
        <v>33.697170257568402</v>
      </c>
      <c r="G910" s="6">
        <v>33.764293670654297</v>
      </c>
      <c r="H910" s="6">
        <v>28.97731590271</v>
      </c>
      <c r="I910" s="6">
        <v>33.822940826416001</v>
      </c>
      <c r="J910" s="6">
        <v>33.836132049560597</v>
      </c>
      <c r="K910" s="6">
        <v>33.846809387207003</v>
      </c>
      <c r="L910" s="6">
        <v>30.687839508056602</v>
      </c>
    </row>
    <row r="911" spans="1:12" x14ac:dyDescent="0.25">
      <c r="A911">
        <v>2304004</v>
      </c>
      <c r="B911" t="str">
        <f t="shared" si="14"/>
        <v>COREAU, CE, Brasil</v>
      </c>
      <c r="C911" s="4" t="str">
        <f>_xlfn.XLOOKUP(A911,[1]!DadosGHD[CD_GEOCMU],[1]!DadosGHD[Região])</f>
        <v>NE</v>
      </c>
      <c r="D911" s="4" t="str">
        <f>_xlfn.XLOOKUP(A911,[1]!DadosGHD[CD_GEOCMU],[1]!DadosGHD[uf])</f>
        <v>CE</v>
      </c>
      <c r="E911" s="5" t="str">
        <f>_xlfn.XLOOKUP(A911,[1]!DadosGHD[CD_GEOCMU],[1]!DadosGHD[MUNICIPIO])</f>
        <v>COREAU</v>
      </c>
      <c r="F911" s="6">
        <v>33.697277069091797</v>
      </c>
      <c r="G911" s="6">
        <v>33.765510559082003</v>
      </c>
      <c r="H911" s="6">
        <v>33.812568664550803</v>
      </c>
      <c r="I911" s="6">
        <v>28.957527160644499</v>
      </c>
      <c r="J911" s="6">
        <v>28.972141265869102</v>
      </c>
      <c r="K911" s="6">
        <v>28.9983825683594</v>
      </c>
      <c r="L911" s="6">
        <v>26.285709381103501</v>
      </c>
    </row>
    <row r="912" spans="1:12" x14ac:dyDescent="0.25">
      <c r="A912">
        <v>3128253</v>
      </c>
      <c r="B912" t="str">
        <f t="shared" si="14"/>
        <v>GUARACIAMA, MG, Brasil</v>
      </c>
      <c r="C912" s="4" t="str">
        <f>_xlfn.XLOOKUP(A912,[1]!DadosGHD[CD_GEOCMU],[1]!DadosGHD[Região])</f>
        <v>SD</v>
      </c>
      <c r="D912" s="4" t="str">
        <f>_xlfn.XLOOKUP(A912,[1]!DadosGHD[CD_GEOCMU],[1]!DadosGHD[uf])</f>
        <v>MG</v>
      </c>
      <c r="E912" s="5" t="str">
        <f>_xlfn.XLOOKUP(A912,[1]!DadosGHD[CD_GEOCMU],[1]!DadosGHD[MUNICIPIO])</f>
        <v>GUARACIAMA</v>
      </c>
      <c r="F912" s="6">
        <v>33.6972846984863</v>
      </c>
      <c r="G912" s="6">
        <v>28.9144172668457</v>
      </c>
      <c r="H912" s="6">
        <v>28.942651748657202</v>
      </c>
      <c r="I912" s="6">
        <v>28.925045013427699</v>
      </c>
      <c r="J912" s="6">
        <v>28.9409065246582</v>
      </c>
      <c r="K912" s="6">
        <v>28.9686679840088</v>
      </c>
      <c r="L912" s="6">
        <v>26.2798957824707</v>
      </c>
    </row>
    <row r="913" spans="1:12" x14ac:dyDescent="0.25">
      <c r="A913">
        <v>2312205</v>
      </c>
      <c r="B913" t="str">
        <f t="shared" si="14"/>
        <v>SANTA QUITERIA, CE, Brasil</v>
      </c>
      <c r="C913" s="4" t="str">
        <f>_xlfn.XLOOKUP(A913,[1]!DadosGHD[CD_GEOCMU],[1]!DadosGHD[Região])</f>
        <v>NE</v>
      </c>
      <c r="D913" s="4" t="str">
        <f>_xlfn.XLOOKUP(A913,[1]!DadosGHD[CD_GEOCMU],[1]!DadosGHD[uf])</f>
        <v>CE</v>
      </c>
      <c r="E913" s="5" t="str">
        <f>_xlfn.XLOOKUP(A913,[1]!DadosGHD[CD_GEOCMU],[1]!DadosGHD[MUNICIPIO])</f>
        <v>SANTA QUITERIA</v>
      </c>
      <c r="F913" s="6">
        <v>33.697372436523402</v>
      </c>
      <c r="G913" s="6">
        <v>33.775344848632798</v>
      </c>
      <c r="H913" s="6">
        <v>33.880577087402301</v>
      </c>
      <c r="I913" s="6">
        <v>38.748161315917997</v>
      </c>
      <c r="J913" s="6">
        <v>33.894737243652301</v>
      </c>
      <c r="K913" s="6">
        <v>33.9064750671387</v>
      </c>
      <c r="L913" s="6">
        <v>39.556015014648402</v>
      </c>
    </row>
    <row r="914" spans="1:12" x14ac:dyDescent="0.25">
      <c r="A914">
        <v>2506806</v>
      </c>
      <c r="B914" t="str">
        <f t="shared" si="14"/>
        <v>INGA, PB, Brasil</v>
      </c>
      <c r="C914" s="4" t="str">
        <f>_xlfn.XLOOKUP(A914,[1]!DadosGHD[CD_GEOCMU],[1]!DadosGHD[Região])</f>
        <v>NE</v>
      </c>
      <c r="D914" s="4" t="str">
        <f>_xlfn.XLOOKUP(A914,[1]!DadosGHD[CD_GEOCMU],[1]!DadosGHD[uf])</f>
        <v>PB</v>
      </c>
      <c r="E914" s="5" t="str">
        <f>_xlfn.XLOOKUP(A914,[1]!DadosGHD[CD_GEOCMU],[1]!DadosGHD[MUNICIPIO])</f>
        <v>INGA</v>
      </c>
      <c r="F914" s="6">
        <v>33.697498321533203</v>
      </c>
      <c r="G914" s="6">
        <v>28.927309036254901</v>
      </c>
      <c r="H914" s="6">
        <v>33.853420257568402</v>
      </c>
      <c r="I914" s="6">
        <v>33.850872039794901</v>
      </c>
      <c r="J914" s="6">
        <v>33.823516845703097</v>
      </c>
      <c r="K914" s="6">
        <v>33.855091094970703</v>
      </c>
      <c r="L914" s="6">
        <v>30.685230255126999</v>
      </c>
    </row>
    <row r="915" spans="1:12" x14ac:dyDescent="0.25">
      <c r="A915">
        <v>2301406</v>
      </c>
      <c r="B915" t="str">
        <f t="shared" si="14"/>
        <v>ARATUBA, CE, Brasil</v>
      </c>
      <c r="C915" s="4" t="str">
        <f>_xlfn.XLOOKUP(A915,[1]!DadosGHD[CD_GEOCMU],[1]!DadosGHD[Região])</f>
        <v>NE</v>
      </c>
      <c r="D915" s="4" t="str">
        <f>_xlfn.XLOOKUP(A915,[1]!DadosGHD[CD_GEOCMU],[1]!DadosGHD[uf])</f>
        <v>CE</v>
      </c>
      <c r="E915" s="5" t="str">
        <f>_xlfn.XLOOKUP(A915,[1]!DadosGHD[CD_GEOCMU],[1]!DadosGHD[MUNICIPIO])</f>
        <v>ARATUBA</v>
      </c>
      <c r="F915" s="6">
        <v>33.697498321533203</v>
      </c>
      <c r="G915" s="6">
        <v>33.790107727050803</v>
      </c>
      <c r="H915" s="6">
        <v>33.858196258544901</v>
      </c>
      <c r="I915" s="6">
        <v>33.805625915527301</v>
      </c>
      <c r="J915" s="6">
        <v>28.965311050415</v>
      </c>
      <c r="K915" s="6">
        <v>33.875652313232401</v>
      </c>
      <c r="L915" s="6">
        <v>30.7102756500244</v>
      </c>
    </row>
    <row r="916" spans="1:12" x14ac:dyDescent="0.25">
      <c r="A916">
        <v>3121001</v>
      </c>
      <c r="B916" t="str">
        <f t="shared" si="14"/>
        <v>DATAS, MG, Brasil</v>
      </c>
      <c r="C916" s="4" t="str">
        <f>_xlfn.XLOOKUP(A916,[1]!DadosGHD[CD_GEOCMU],[1]!DadosGHD[Região])</f>
        <v>SD</v>
      </c>
      <c r="D916" s="4" t="str">
        <f>_xlfn.XLOOKUP(A916,[1]!DadosGHD[CD_GEOCMU],[1]!DadosGHD[uf])</f>
        <v>MG</v>
      </c>
      <c r="E916" s="5" t="str">
        <f>_xlfn.XLOOKUP(A916,[1]!DadosGHD[CD_GEOCMU],[1]!DadosGHD[MUNICIPIO])</f>
        <v>DATAS</v>
      </c>
      <c r="F916" s="6">
        <v>33.697635650634801</v>
      </c>
      <c r="G916" s="6">
        <v>33.802433013916001</v>
      </c>
      <c r="H916" s="6">
        <v>33.846561431884801</v>
      </c>
      <c r="I916" s="6">
        <v>33.830772399902301</v>
      </c>
      <c r="J916" s="6">
        <v>33.8601264953613</v>
      </c>
      <c r="K916" s="6">
        <v>38.829811096191399</v>
      </c>
      <c r="L916" s="6">
        <v>39.594871520996101</v>
      </c>
    </row>
    <row r="917" spans="1:12" x14ac:dyDescent="0.25">
      <c r="A917">
        <v>1501709</v>
      </c>
      <c r="B917" t="str">
        <f t="shared" si="14"/>
        <v>BRAGANCA, PA, Brasil</v>
      </c>
      <c r="C917" s="4" t="str">
        <f>_xlfn.XLOOKUP(A917,[1]!DadosGHD[CD_GEOCMU],[1]!DadosGHD[Região])</f>
        <v>NO</v>
      </c>
      <c r="D917" s="4" t="str">
        <f>_xlfn.XLOOKUP(A917,[1]!DadosGHD[CD_GEOCMU],[1]!DadosGHD[uf])</f>
        <v>PA</v>
      </c>
      <c r="E917" s="5" t="str">
        <f>_xlfn.XLOOKUP(A917,[1]!DadosGHD[CD_GEOCMU],[1]!DadosGHD[MUNICIPIO])</f>
        <v>BRAGANCA</v>
      </c>
      <c r="F917" s="6">
        <v>33.6978569030762</v>
      </c>
      <c r="G917" s="6">
        <v>33.781055450439503</v>
      </c>
      <c r="H917" s="6">
        <v>33.813915252685597</v>
      </c>
      <c r="I917" s="6">
        <v>33.7929878234863</v>
      </c>
      <c r="J917" s="6">
        <v>33.81640625</v>
      </c>
      <c r="K917" s="6">
        <v>33.85791015625</v>
      </c>
      <c r="L917" s="6">
        <v>30.691278457641602</v>
      </c>
    </row>
    <row r="918" spans="1:12" x14ac:dyDescent="0.25">
      <c r="A918">
        <v>2921450</v>
      </c>
      <c r="B918" t="str">
        <f t="shared" si="14"/>
        <v>MIRANTE, BA, Brasil</v>
      </c>
      <c r="C918" s="4" t="str">
        <f>_xlfn.XLOOKUP(A918,[1]!DadosGHD[CD_GEOCMU],[1]!DadosGHD[Região])</f>
        <v>NE</v>
      </c>
      <c r="D918" s="4" t="str">
        <f>_xlfn.XLOOKUP(A918,[1]!DadosGHD[CD_GEOCMU],[1]!DadosGHD[uf])</f>
        <v>BA</v>
      </c>
      <c r="E918" s="5" t="str">
        <f>_xlfn.XLOOKUP(A918,[1]!DadosGHD[CD_GEOCMU],[1]!DadosGHD[MUNICIPIO])</f>
        <v>MIRANTE</v>
      </c>
      <c r="F918" s="6">
        <v>33.697948455810597</v>
      </c>
      <c r="G918" s="6">
        <v>28.9372444152832</v>
      </c>
      <c r="H918" s="6">
        <v>28.976142883300799</v>
      </c>
      <c r="I918" s="6">
        <v>33.791938781738303</v>
      </c>
      <c r="J918" s="6">
        <v>33.812286376953097</v>
      </c>
      <c r="K918" s="6">
        <v>29.006567001342798</v>
      </c>
      <c r="L918" s="6">
        <v>26.2798957824707</v>
      </c>
    </row>
    <row r="919" spans="1:12" x14ac:dyDescent="0.25">
      <c r="A919">
        <v>4304689</v>
      </c>
      <c r="B919" t="str">
        <f t="shared" si="14"/>
        <v>CAPELA DE SANTANA, RS, Brasil</v>
      </c>
      <c r="C919" s="4" t="str">
        <f>_xlfn.XLOOKUP(A919,[1]!DadosGHD[CD_GEOCMU],[1]!DadosGHD[Região])</f>
        <v>SL</v>
      </c>
      <c r="D919" s="4" t="str">
        <f>_xlfn.XLOOKUP(A919,[1]!DadosGHD[CD_GEOCMU],[1]!DadosGHD[uf])</f>
        <v>RS</v>
      </c>
      <c r="E919" s="5" t="str">
        <f>_xlfn.XLOOKUP(A919,[1]!DadosGHD[CD_GEOCMU],[1]!DadosGHD[MUNICIPIO])</f>
        <v>CAPELA DE SANTANA</v>
      </c>
      <c r="F919" s="6">
        <v>33.698074340820298</v>
      </c>
      <c r="G919" s="6">
        <v>33.785736083984403</v>
      </c>
      <c r="H919" s="6">
        <v>33.823741912841797</v>
      </c>
      <c r="I919" s="6">
        <v>33.849964141845703</v>
      </c>
      <c r="J919" s="6">
        <v>38.765735626220703</v>
      </c>
      <c r="K919" s="6">
        <v>33.899818420410199</v>
      </c>
      <c r="L919" s="6">
        <v>39.586193084716797</v>
      </c>
    </row>
    <row r="920" spans="1:12" x14ac:dyDescent="0.25">
      <c r="A920">
        <v>1303809</v>
      </c>
      <c r="B920" t="str">
        <f t="shared" si="14"/>
        <v>SAO GABRIEL DA CACHOEIRA, AM, Brasil</v>
      </c>
      <c r="C920" s="4" t="str">
        <f>_xlfn.XLOOKUP(A920,[1]!DadosGHD[CD_GEOCMU],[1]!DadosGHD[Região])</f>
        <v>NO</v>
      </c>
      <c r="D920" s="4" t="str">
        <f>_xlfn.XLOOKUP(A920,[1]!DadosGHD[CD_GEOCMU],[1]!DadosGHD[uf])</f>
        <v>AM</v>
      </c>
      <c r="E920" s="5" t="str">
        <f>_xlfn.XLOOKUP(A920,[1]!DadosGHD[CD_GEOCMU],[1]!DadosGHD[MUNICIPIO])</f>
        <v>SAO GABRIEL DA CACHOEIRA</v>
      </c>
      <c r="F920" s="6">
        <v>33.698104858398402</v>
      </c>
      <c r="G920" s="6">
        <v>28.928358078002901</v>
      </c>
      <c r="H920" s="6">
        <v>28.962181091308601</v>
      </c>
      <c r="I920" s="6">
        <v>28.944562911987301</v>
      </c>
      <c r="J920" s="6">
        <v>28.959159851074201</v>
      </c>
      <c r="K920" s="6">
        <v>28.9819221496582</v>
      </c>
      <c r="L920" s="6">
        <v>26.2798957824707</v>
      </c>
    </row>
    <row r="921" spans="1:12" x14ac:dyDescent="0.25">
      <c r="A921">
        <v>2600807</v>
      </c>
      <c r="B921" t="str">
        <f t="shared" si="14"/>
        <v>ALTINHO, PE, Brasil</v>
      </c>
      <c r="C921" s="4" t="str">
        <f>_xlfn.XLOOKUP(A921,[1]!DadosGHD[CD_GEOCMU],[1]!DadosGHD[Região])</f>
        <v>NE</v>
      </c>
      <c r="D921" s="4" t="str">
        <f>_xlfn.XLOOKUP(A921,[1]!DadosGHD[CD_GEOCMU],[1]!DadosGHD[uf])</f>
        <v>PE</v>
      </c>
      <c r="E921" s="5" t="str">
        <f>_xlfn.XLOOKUP(A921,[1]!DadosGHD[CD_GEOCMU],[1]!DadosGHD[MUNICIPIO])</f>
        <v>ALTINHO</v>
      </c>
      <c r="F921" s="6">
        <v>33.698108673095703</v>
      </c>
      <c r="G921" s="6">
        <v>33.780979156494098</v>
      </c>
      <c r="H921" s="6">
        <v>33.836952209472699</v>
      </c>
      <c r="I921" s="6">
        <v>33.8432006835938</v>
      </c>
      <c r="J921" s="6">
        <v>33.856437683105497</v>
      </c>
      <c r="K921" s="6">
        <v>38.782848358154297</v>
      </c>
      <c r="L921" s="6">
        <v>35.131851196289098</v>
      </c>
    </row>
    <row r="922" spans="1:12" x14ac:dyDescent="0.25">
      <c r="A922">
        <v>2301950</v>
      </c>
      <c r="B922" t="str">
        <f t="shared" si="14"/>
        <v>BARREIRA, CE, Brasil</v>
      </c>
      <c r="C922" s="4" t="str">
        <f>_xlfn.XLOOKUP(A922,[1]!DadosGHD[CD_GEOCMU],[1]!DadosGHD[Região])</f>
        <v>NE</v>
      </c>
      <c r="D922" s="4" t="str">
        <f>_xlfn.XLOOKUP(A922,[1]!DadosGHD[CD_GEOCMU],[1]!DadosGHD[uf])</f>
        <v>CE</v>
      </c>
      <c r="E922" s="5" t="str">
        <f>_xlfn.XLOOKUP(A922,[1]!DadosGHD[CD_GEOCMU],[1]!DadosGHD[MUNICIPIO])</f>
        <v>BARREIRA</v>
      </c>
      <c r="F922" s="6">
        <v>33.698192596435597</v>
      </c>
      <c r="G922" s="6">
        <v>33.765884399414098</v>
      </c>
      <c r="H922" s="6">
        <v>28.964189529418899</v>
      </c>
      <c r="I922" s="6">
        <v>28.9418048858643</v>
      </c>
      <c r="J922" s="6">
        <v>28.968662261962901</v>
      </c>
      <c r="K922" s="6">
        <v>28.985811233520501</v>
      </c>
      <c r="L922" s="6">
        <v>26.284112930297901</v>
      </c>
    </row>
    <row r="923" spans="1:12" x14ac:dyDescent="0.25">
      <c r="A923">
        <v>1506401</v>
      </c>
      <c r="B923" t="str">
        <f t="shared" si="14"/>
        <v>SANTA CRUZ DO ARARI, PA, Brasil</v>
      </c>
      <c r="C923" s="4" t="str">
        <f>_xlfn.XLOOKUP(A923,[1]!DadosGHD[CD_GEOCMU],[1]!DadosGHD[Região])</f>
        <v>NO</v>
      </c>
      <c r="D923" s="4" t="str">
        <f>_xlfn.XLOOKUP(A923,[1]!DadosGHD[CD_GEOCMU],[1]!DadosGHD[uf])</f>
        <v>PA</v>
      </c>
      <c r="E923" s="5" t="str">
        <f>_xlfn.XLOOKUP(A923,[1]!DadosGHD[CD_GEOCMU],[1]!DadosGHD[MUNICIPIO])</f>
        <v>SANTA CRUZ DO ARARI</v>
      </c>
      <c r="F923" s="6">
        <v>33.698234558105497</v>
      </c>
      <c r="G923" s="6">
        <v>28.935234069824201</v>
      </c>
      <c r="H923" s="6">
        <v>28.975286483764702</v>
      </c>
      <c r="I923" s="6">
        <v>33.791057586669901</v>
      </c>
      <c r="J923" s="6">
        <v>28.976261138916001</v>
      </c>
      <c r="K923" s="6">
        <v>28.998411178588899</v>
      </c>
      <c r="L923" s="6">
        <v>35.115814208984403</v>
      </c>
    </row>
    <row r="924" spans="1:12" x14ac:dyDescent="0.25">
      <c r="A924">
        <v>2702603</v>
      </c>
      <c r="B924" t="str">
        <f t="shared" si="14"/>
        <v>FEIRA GRANDE, AL, Brasil</v>
      </c>
      <c r="C924" s="4" t="str">
        <f>_xlfn.XLOOKUP(A924,[1]!DadosGHD[CD_GEOCMU],[1]!DadosGHD[Região])</f>
        <v>NE</v>
      </c>
      <c r="D924" s="4" t="str">
        <f>_xlfn.XLOOKUP(A924,[1]!DadosGHD[CD_GEOCMU],[1]!DadosGHD[uf])</f>
        <v>AL</v>
      </c>
      <c r="E924" s="5" t="str">
        <f>_xlfn.XLOOKUP(A924,[1]!DadosGHD[CD_GEOCMU],[1]!DadosGHD[MUNICIPIO])</f>
        <v>FEIRA GRANDE</v>
      </c>
      <c r="F924" s="6">
        <v>33.6985473632813</v>
      </c>
      <c r="G924" s="6">
        <v>33.767620086669901</v>
      </c>
      <c r="H924" s="6">
        <v>28.977588653564499</v>
      </c>
      <c r="I924" s="6">
        <v>28.956104278564499</v>
      </c>
      <c r="J924" s="6">
        <v>28.9611492156982</v>
      </c>
      <c r="K924" s="6">
        <v>33.846138000488303</v>
      </c>
      <c r="L924" s="6">
        <v>35.116123199462898</v>
      </c>
    </row>
    <row r="925" spans="1:12" x14ac:dyDescent="0.25">
      <c r="A925">
        <v>3156205</v>
      </c>
      <c r="B925" t="str">
        <f t="shared" si="14"/>
        <v>ROCHEDO DE MINAS, MG, Brasil</v>
      </c>
      <c r="C925" s="4" t="str">
        <f>_xlfn.XLOOKUP(A925,[1]!DadosGHD[CD_GEOCMU],[1]!DadosGHD[Região])</f>
        <v>SD</v>
      </c>
      <c r="D925" s="4" t="str">
        <f>_xlfn.XLOOKUP(A925,[1]!DadosGHD[CD_GEOCMU],[1]!DadosGHD[uf])</f>
        <v>MG</v>
      </c>
      <c r="E925" s="5" t="str">
        <f>_xlfn.XLOOKUP(A925,[1]!DadosGHD[CD_GEOCMU],[1]!DadosGHD[MUNICIPIO])</f>
        <v>ROCHEDO DE MINAS</v>
      </c>
      <c r="F925" s="6">
        <v>33.698600769042997</v>
      </c>
      <c r="G925" s="6">
        <v>43.685287475585902</v>
      </c>
      <c r="H925" s="6">
        <v>43.741085052490199</v>
      </c>
      <c r="I925" s="6">
        <v>43.725032806396499</v>
      </c>
      <c r="J925" s="6">
        <v>43.741451263427699</v>
      </c>
      <c r="K925" s="6">
        <v>43.834335327148402</v>
      </c>
      <c r="L925" s="6">
        <v>44.056045532226598</v>
      </c>
    </row>
    <row r="926" spans="1:12" x14ac:dyDescent="0.25">
      <c r="A926">
        <v>2402501</v>
      </c>
      <c r="B926" t="str">
        <f t="shared" si="14"/>
        <v>CARNAUBAIS, RN, Brasil</v>
      </c>
      <c r="C926" s="4" t="str">
        <f>_xlfn.XLOOKUP(A926,[1]!DadosGHD[CD_GEOCMU],[1]!DadosGHD[Região])</f>
        <v>NE</v>
      </c>
      <c r="D926" s="4" t="str">
        <f>_xlfn.XLOOKUP(A926,[1]!DadosGHD[CD_GEOCMU],[1]!DadosGHD[uf])</f>
        <v>RN</v>
      </c>
      <c r="E926" s="5" t="str">
        <f>_xlfn.XLOOKUP(A926,[1]!DadosGHD[CD_GEOCMU],[1]!DadosGHD[MUNICIPIO])</f>
        <v>CARNAUBAIS</v>
      </c>
      <c r="F926" s="6">
        <v>33.6986694335938</v>
      </c>
      <c r="G926" s="6">
        <v>33.781059265136697</v>
      </c>
      <c r="H926" s="6">
        <v>33.810863494873097</v>
      </c>
      <c r="I926" s="6">
        <v>28.9610481262207</v>
      </c>
      <c r="J926" s="6">
        <v>28.976263046264702</v>
      </c>
      <c r="K926" s="6">
        <v>33.918998718261697</v>
      </c>
      <c r="L926" s="6">
        <v>39.608474731445298</v>
      </c>
    </row>
    <row r="927" spans="1:12" x14ac:dyDescent="0.25">
      <c r="A927">
        <v>2112233</v>
      </c>
      <c r="B927" t="str">
        <f t="shared" si="14"/>
        <v>TRIZIDELA DO VALE, MA, Brasil</v>
      </c>
      <c r="C927" s="4" t="str">
        <f>_xlfn.XLOOKUP(A927,[1]!DadosGHD[CD_GEOCMU],[1]!DadosGHD[Região])</f>
        <v>NE</v>
      </c>
      <c r="D927" s="4" t="str">
        <f>_xlfn.XLOOKUP(A927,[1]!DadosGHD[CD_GEOCMU],[1]!DadosGHD[uf])</f>
        <v>MA</v>
      </c>
      <c r="E927" s="5" t="str">
        <f>_xlfn.XLOOKUP(A927,[1]!DadosGHD[CD_GEOCMU],[1]!DadosGHD[MUNICIPIO])</f>
        <v>TRIZIDELA DO VALE</v>
      </c>
      <c r="F927" s="6">
        <v>33.698917388916001</v>
      </c>
      <c r="G927" s="6">
        <v>28.937992095947301</v>
      </c>
      <c r="H927" s="6">
        <v>28.972232818603501</v>
      </c>
      <c r="I927" s="6">
        <v>28.960628509521499</v>
      </c>
      <c r="J927" s="6">
        <v>28.957948684692401</v>
      </c>
      <c r="K927" s="6">
        <v>28.9841403961182</v>
      </c>
      <c r="L927" s="6">
        <v>26.2798957824707</v>
      </c>
    </row>
    <row r="928" spans="1:12" x14ac:dyDescent="0.25">
      <c r="A928">
        <v>2613305</v>
      </c>
      <c r="B928" t="str">
        <f t="shared" si="14"/>
        <v>SAO JOAQUIM DO MONTE, PE, Brasil</v>
      </c>
      <c r="C928" s="4" t="str">
        <f>_xlfn.XLOOKUP(A928,[1]!DadosGHD[CD_GEOCMU],[1]!DadosGHD[Região])</f>
        <v>NE</v>
      </c>
      <c r="D928" s="4" t="str">
        <f>_xlfn.XLOOKUP(A928,[1]!DadosGHD[CD_GEOCMU],[1]!DadosGHD[uf])</f>
        <v>PE</v>
      </c>
      <c r="E928" s="5" t="str">
        <f>_xlfn.XLOOKUP(A928,[1]!DadosGHD[CD_GEOCMU],[1]!DadosGHD[MUNICIPIO])</f>
        <v>SAO JOAQUIM DO MONTE</v>
      </c>
      <c r="F928" s="6">
        <v>33.698940277099602</v>
      </c>
      <c r="G928" s="6">
        <v>28.9391784667969</v>
      </c>
      <c r="H928" s="6">
        <v>28.972711563110401</v>
      </c>
      <c r="I928" s="6">
        <v>28.954341888427699</v>
      </c>
      <c r="J928" s="6">
        <v>28.969598770141602</v>
      </c>
      <c r="K928" s="6">
        <v>33.857738494873097</v>
      </c>
      <c r="L928" s="6">
        <v>30.701824188232401</v>
      </c>
    </row>
    <row r="929" spans="1:12" x14ac:dyDescent="0.25">
      <c r="A929">
        <v>2611408</v>
      </c>
      <c r="B929" t="str">
        <f t="shared" si="14"/>
        <v>PRIMAVERA, PE, Brasil</v>
      </c>
      <c r="C929" s="4" t="str">
        <f>_xlfn.XLOOKUP(A929,[1]!DadosGHD[CD_GEOCMU],[1]!DadosGHD[Região])</f>
        <v>NE</v>
      </c>
      <c r="D929" s="4" t="str">
        <f>_xlfn.XLOOKUP(A929,[1]!DadosGHD[CD_GEOCMU],[1]!DadosGHD[uf])</f>
        <v>PE</v>
      </c>
      <c r="E929" s="5" t="str">
        <f>_xlfn.XLOOKUP(A929,[1]!DadosGHD[CD_GEOCMU],[1]!DadosGHD[MUNICIPIO])</f>
        <v>PRIMAVERA</v>
      </c>
      <c r="F929" s="6">
        <v>33.698940277099602</v>
      </c>
      <c r="G929" s="6">
        <v>33.817440032958999</v>
      </c>
      <c r="H929" s="6">
        <v>33.860065460205099</v>
      </c>
      <c r="I929" s="6">
        <v>33.830558776855497</v>
      </c>
      <c r="J929" s="6">
        <v>33.866889953613303</v>
      </c>
      <c r="K929" s="6">
        <v>38.833213806152301</v>
      </c>
      <c r="L929" s="6">
        <v>48.516365051269503</v>
      </c>
    </row>
    <row r="930" spans="1:12" x14ac:dyDescent="0.25">
      <c r="A930">
        <v>2603702</v>
      </c>
      <c r="B930" t="str">
        <f t="shared" si="14"/>
        <v>CANHOTINHO, PE, Brasil</v>
      </c>
      <c r="C930" s="4" t="str">
        <f>_xlfn.XLOOKUP(A930,[1]!DadosGHD[CD_GEOCMU],[1]!DadosGHD[Região])</f>
        <v>NE</v>
      </c>
      <c r="D930" s="4" t="str">
        <f>_xlfn.XLOOKUP(A930,[1]!DadosGHD[CD_GEOCMU],[1]!DadosGHD[uf])</f>
        <v>PE</v>
      </c>
      <c r="E930" s="5" t="str">
        <f>_xlfn.XLOOKUP(A930,[1]!DadosGHD[CD_GEOCMU],[1]!DadosGHD[MUNICIPIO])</f>
        <v>CANHOTINHO</v>
      </c>
      <c r="F930" s="6">
        <v>33.6991577148438</v>
      </c>
      <c r="G930" s="6">
        <v>33.769580841064503</v>
      </c>
      <c r="H930" s="6">
        <v>33.816032409667997</v>
      </c>
      <c r="I930" s="6">
        <v>33.799983978271499</v>
      </c>
      <c r="J930" s="6">
        <v>33.830604553222699</v>
      </c>
      <c r="K930" s="6">
        <v>33.855968475341797</v>
      </c>
      <c r="L930" s="6">
        <v>30.686130523681602</v>
      </c>
    </row>
    <row r="931" spans="1:12" x14ac:dyDescent="0.25">
      <c r="A931">
        <v>1503044</v>
      </c>
      <c r="B931" t="str">
        <f t="shared" si="14"/>
        <v>FLORESTA DO ARAGUAIA, PA, Brasil</v>
      </c>
      <c r="C931" s="4" t="str">
        <f>_xlfn.XLOOKUP(A931,[1]!DadosGHD[CD_GEOCMU],[1]!DadosGHD[Região])</f>
        <v>NO</v>
      </c>
      <c r="D931" s="4" t="str">
        <f>_xlfn.XLOOKUP(A931,[1]!DadosGHD[CD_GEOCMU],[1]!DadosGHD[uf])</f>
        <v>PA</v>
      </c>
      <c r="E931" s="5" t="str">
        <f>_xlfn.XLOOKUP(A931,[1]!DadosGHD[CD_GEOCMU],[1]!DadosGHD[MUNICIPIO])</f>
        <v>FLORESTA DO ARAGUAIA</v>
      </c>
      <c r="F931" s="6">
        <v>33.699428558349602</v>
      </c>
      <c r="G931" s="6">
        <v>33.773311614990199</v>
      </c>
      <c r="H931" s="6">
        <v>33.853519439697301</v>
      </c>
      <c r="I931" s="6">
        <v>33.830638885498097</v>
      </c>
      <c r="J931" s="6">
        <v>33.827880859375</v>
      </c>
      <c r="K931" s="6">
        <v>29.001701354980501</v>
      </c>
      <c r="L931" s="6">
        <v>26.287868499755898</v>
      </c>
    </row>
    <row r="932" spans="1:12" x14ac:dyDescent="0.25">
      <c r="A932">
        <v>2606507</v>
      </c>
      <c r="B932" t="str">
        <f t="shared" si="14"/>
        <v>IATI, PE, Brasil</v>
      </c>
      <c r="C932" s="4" t="str">
        <f>_xlfn.XLOOKUP(A932,[1]!DadosGHD[CD_GEOCMU],[1]!DadosGHD[Região])</f>
        <v>NE</v>
      </c>
      <c r="D932" s="4" t="str">
        <f>_xlfn.XLOOKUP(A932,[1]!DadosGHD[CD_GEOCMU],[1]!DadosGHD[uf])</f>
        <v>PE</v>
      </c>
      <c r="E932" s="5" t="str">
        <f>_xlfn.XLOOKUP(A932,[1]!DadosGHD[CD_GEOCMU],[1]!DadosGHD[MUNICIPIO])</f>
        <v>IATI</v>
      </c>
      <c r="F932" s="6">
        <v>33.699451446533203</v>
      </c>
      <c r="G932" s="6">
        <v>28.9373264312744</v>
      </c>
      <c r="H932" s="6">
        <v>28.977973937988299</v>
      </c>
      <c r="I932" s="6">
        <v>33.8013725280762</v>
      </c>
      <c r="J932" s="6">
        <v>33.828655242919901</v>
      </c>
      <c r="K932" s="6">
        <v>33.861904144287102</v>
      </c>
      <c r="L932" s="6">
        <v>30.707077026367202</v>
      </c>
    </row>
    <row r="933" spans="1:12" x14ac:dyDescent="0.25">
      <c r="A933">
        <v>2907004</v>
      </c>
      <c r="B933" t="str">
        <f t="shared" si="14"/>
        <v>CARDEAL DA SILVA, BA, Brasil</v>
      </c>
      <c r="C933" s="4" t="str">
        <f>_xlfn.XLOOKUP(A933,[1]!DadosGHD[CD_GEOCMU],[1]!DadosGHD[Região])</f>
        <v>NE</v>
      </c>
      <c r="D933" s="4" t="str">
        <f>_xlfn.XLOOKUP(A933,[1]!DadosGHD[CD_GEOCMU],[1]!DadosGHD[uf])</f>
        <v>BA</v>
      </c>
      <c r="E933" s="5" t="str">
        <f>_xlfn.XLOOKUP(A933,[1]!DadosGHD[CD_GEOCMU],[1]!DadosGHD[MUNICIPIO])</f>
        <v>CARDEAL DA SILVA</v>
      </c>
      <c r="F933" s="6">
        <v>33.699535369873097</v>
      </c>
      <c r="G933" s="6">
        <v>33.770259857177699</v>
      </c>
      <c r="H933" s="6">
        <v>33.8423881530762</v>
      </c>
      <c r="I933" s="6">
        <v>33.845199584960902</v>
      </c>
      <c r="J933" s="6">
        <v>33.882308959960902</v>
      </c>
      <c r="K933" s="6">
        <v>33.912857055664098</v>
      </c>
      <c r="L933" s="6">
        <v>35.141502380371101</v>
      </c>
    </row>
    <row r="934" spans="1:12" x14ac:dyDescent="0.25">
      <c r="A934">
        <v>2701100</v>
      </c>
      <c r="B934" t="str">
        <f t="shared" si="14"/>
        <v>BRANQUINHA, AL, Brasil</v>
      </c>
      <c r="C934" s="4" t="str">
        <f>_xlfn.XLOOKUP(A934,[1]!DadosGHD[CD_GEOCMU],[1]!DadosGHD[Região])</f>
        <v>NE</v>
      </c>
      <c r="D934" s="4" t="str">
        <f>_xlfn.XLOOKUP(A934,[1]!DadosGHD[CD_GEOCMU],[1]!DadosGHD[uf])</f>
        <v>AL</v>
      </c>
      <c r="E934" s="5" t="str">
        <f>_xlfn.XLOOKUP(A934,[1]!DadosGHD[CD_GEOCMU],[1]!DadosGHD[MUNICIPIO])</f>
        <v>BRANQUINHA</v>
      </c>
      <c r="F934" s="6">
        <v>33.699592590332003</v>
      </c>
      <c r="G934" s="6">
        <v>28.939912796020501</v>
      </c>
      <c r="H934" s="6">
        <v>28.973783493041999</v>
      </c>
      <c r="I934" s="6">
        <v>28.957595825195298</v>
      </c>
      <c r="J934" s="6">
        <v>33.8214302062988</v>
      </c>
      <c r="K934" s="6">
        <v>28.987987518310501</v>
      </c>
      <c r="L934" s="6">
        <v>26.280782699585</v>
      </c>
    </row>
    <row r="935" spans="1:12" x14ac:dyDescent="0.25">
      <c r="A935">
        <v>2110708</v>
      </c>
      <c r="B935" t="str">
        <f t="shared" si="14"/>
        <v>SAO DOMINGOS DO MARANHAO, MA, Brasil</v>
      </c>
      <c r="C935" s="4" t="str">
        <f>_xlfn.XLOOKUP(A935,[1]!DadosGHD[CD_GEOCMU],[1]!DadosGHD[Região])</f>
        <v>NE</v>
      </c>
      <c r="D935" s="4" t="str">
        <f>_xlfn.XLOOKUP(A935,[1]!DadosGHD[CD_GEOCMU],[1]!DadosGHD[uf])</f>
        <v>MA</v>
      </c>
      <c r="E935" s="5" t="str">
        <f>_xlfn.XLOOKUP(A935,[1]!DadosGHD[CD_GEOCMU],[1]!DadosGHD[MUNICIPIO])</f>
        <v>SAO DOMINGOS DO MARANHAO</v>
      </c>
      <c r="F935" s="6">
        <v>33.699806213378899</v>
      </c>
      <c r="G935" s="6">
        <v>33.772792816162102</v>
      </c>
      <c r="H935" s="6">
        <v>28.9798908233643</v>
      </c>
      <c r="I935" s="6">
        <v>33.789810180664098</v>
      </c>
      <c r="J935" s="6">
        <v>33.823619842529297</v>
      </c>
      <c r="K935" s="6">
        <v>33.901336669921903</v>
      </c>
      <c r="L935" s="6">
        <v>26.288560867309599</v>
      </c>
    </row>
    <row r="936" spans="1:12" x14ac:dyDescent="0.25">
      <c r="A936">
        <v>2401206</v>
      </c>
      <c r="B936" t="str">
        <f t="shared" si="14"/>
        <v>ARES, RN, Brasil</v>
      </c>
      <c r="C936" s="4" t="str">
        <f>_xlfn.XLOOKUP(A936,[1]!DadosGHD[CD_GEOCMU],[1]!DadosGHD[Região])</f>
        <v>NE</v>
      </c>
      <c r="D936" s="4" t="str">
        <f>_xlfn.XLOOKUP(A936,[1]!DadosGHD[CD_GEOCMU],[1]!DadosGHD[uf])</f>
        <v>RN</v>
      </c>
      <c r="E936" s="5" t="str">
        <f>_xlfn.XLOOKUP(A936,[1]!DadosGHD[CD_GEOCMU],[1]!DadosGHD[MUNICIPIO])</f>
        <v>ARES</v>
      </c>
      <c r="F936" s="6">
        <v>33.699909210205099</v>
      </c>
      <c r="G936" s="6">
        <v>33.764247894287102</v>
      </c>
      <c r="H936" s="6">
        <v>28.961006164550799</v>
      </c>
      <c r="I936" s="6">
        <v>28.934970855712901</v>
      </c>
      <c r="J936" s="6">
        <v>28.9478664398193</v>
      </c>
      <c r="K936" s="6">
        <v>28.970373153686499</v>
      </c>
      <c r="L936" s="6">
        <v>26.2798957824707</v>
      </c>
    </row>
    <row r="937" spans="1:12" x14ac:dyDescent="0.25">
      <c r="A937">
        <v>2924058</v>
      </c>
      <c r="B937" t="str">
        <f t="shared" si="14"/>
        <v>PE DE SERRA, BA, Brasil</v>
      </c>
      <c r="C937" s="4" t="str">
        <f>_xlfn.XLOOKUP(A937,[1]!DadosGHD[CD_GEOCMU],[1]!DadosGHD[Região])</f>
        <v>NE</v>
      </c>
      <c r="D937" s="4" t="str">
        <f>_xlfn.XLOOKUP(A937,[1]!DadosGHD[CD_GEOCMU],[1]!DadosGHD[uf])</f>
        <v>BA</v>
      </c>
      <c r="E937" s="5" t="str">
        <f>_xlfn.XLOOKUP(A937,[1]!DadosGHD[CD_GEOCMU],[1]!DadosGHD[MUNICIPIO])</f>
        <v>PE DE SERRA</v>
      </c>
      <c r="F937" s="6">
        <v>33.699935913085902</v>
      </c>
      <c r="G937" s="6">
        <v>33.788074493408203</v>
      </c>
      <c r="H937" s="6">
        <v>33.831508636474602</v>
      </c>
      <c r="I937" s="6">
        <v>33.809169769287102</v>
      </c>
      <c r="J937" s="6">
        <v>33.811374664306598</v>
      </c>
      <c r="K937" s="6">
        <v>33.860252380371101</v>
      </c>
      <c r="L937" s="6">
        <v>30.704757690429702</v>
      </c>
    </row>
    <row r="938" spans="1:12" x14ac:dyDescent="0.25">
      <c r="A938">
        <v>2923100</v>
      </c>
      <c r="B938" t="str">
        <f t="shared" si="14"/>
        <v>OLINDINA, BA, Brasil</v>
      </c>
      <c r="C938" s="4" t="str">
        <f>_xlfn.XLOOKUP(A938,[1]!DadosGHD[CD_GEOCMU],[1]!DadosGHD[Região])</f>
        <v>NE</v>
      </c>
      <c r="D938" s="4" t="str">
        <f>_xlfn.XLOOKUP(A938,[1]!DadosGHD[CD_GEOCMU],[1]!DadosGHD[uf])</f>
        <v>BA</v>
      </c>
      <c r="E938" s="5" t="str">
        <f>_xlfn.XLOOKUP(A938,[1]!DadosGHD[CD_GEOCMU],[1]!DadosGHD[MUNICIPIO])</f>
        <v>OLINDINA</v>
      </c>
      <c r="F938" s="6">
        <v>33.699947357177699</v>
      </c>
      <c r="G938" s="6">
        <v>28.925937652587901</v>
      </c>
      <c r="H938" s="6">
        <v>28.955293655395501</v>
      </c>
      <c r="I938" s="6">
        <v>28.9265041351318</v>
      </c>
      <c r="J938" s="6">
        <v>28.9409065246582</v>
      </c>
      <c r="K938" s="6">
        <v>28.9686679840088</v>
      </c>
      <c r="L938" s="6">
        <v>26.2798957824707</v>
      </c>
    </row>
    <row r="939" spans="1:12" x14ac:dyDescent="0.25">
      <c r="A939">
        <v>2304269</v>
      </c>
      <c r="B939" t="str">
        <f t="shared" si="14"/>
        <v>DEPUTADO IRAPUAN PINHEIRO, CE, Brasil</v>
      </c>
      <c r="C939" s="4" t="str">
        <f>_xlfn.XLOOKUP(A939,[1]!DadosGHD[CD_GEOCMU],[1]!DadosGHD[Região])</f>
        <v>NE</v>
      </c>
      <c r="D939" s="4" t="str">
        <f>_xlfn.XLOOKUP(A939,[1]!DadosGHD[CD_GEOCMU],[1]!DadosGHD[uf])</f>
        <v>CE</v>
      </c>
      <c r="E939" s="5" t="str">
        <f>_xlfn.XLOOKUP(A939,[1]!DadosGHD[CD_GEOCMU],[1]!DadosGHD[MUNICIPIO])</f>
        <v>DEPUTADO IRAPUAN PINHEIRO</v>
      </c>
      <c r="F939" s="6">
        <v>33.699974060058601</v>
      </c>
      <c r="G939" s="6">
        <v>28.9375400543213</v>
      </c>
      <c r="H939" s="6">
        <v>28.970401763916001</v>
      </c>
      <c r="I939" s="6">
        <v>28.9510612487793</v>
      </c>
      <c r="J939" s="6">
        <v>28.978197097778299</v>
      </c>
      <c r="K939" s="6">
        <v>29.001905441284201</v>
      </c>
      <c r="L939" s="6">
        <v>26.2871913909912</v>
      </c>
    </row>
    <row r="940" spans="1:12" x14ac:dyDescent="0.25">
      <c r="A940">
        <v>2605400</v>
      </c>
      <c r="B940" t="str">
        <f t="shared" si="14"/>
        <v>FEIRA NOVA, PE, Brasil</v>
      </c>
      <c r="C940" s="4" t="str">
        <f>_xlfn.XLOOKUP(A940,[1]!DadosGHD[CD_GEOCMU],[1]!DadosGHD[Região])</f>
        <v>NE</v>
      </c>
      <c r="D940" s="4" t="str">
        <f>_xlfn.XLOOKUP(A940,[1]!DadosGHD[CD_GEOCMU],[1]!DadosGHD[uf])</f>
        <v>PE</v>
      </c>
      <c r="E940" s="5" t="str">
        <f>_xlfn.XLOOKUP(A940,[1]!DadosGHD[CD_GEOCMU],[1]!DadosGHD[MUNICIPIO])</f>
        <v>FEIRA NOVA</v>
      </c>
      <c r="F940" s="6">
        <v>33.699989318847699</v>
      </c>
      <c r="G940" s="6">
        <v>33.769775390625</v>
      </c>
      <c r="H940" s="6">
        <v>28.9768981933594</v>
      </c>
      <c r="I940" s="6">
        <v>28.958715438842798</v>
      </c>
      <c r="J940" s="6">
        <v>33.817535400390597</v>
      </c>
      <c r="K940" s="6">
        <v>33.853363037109403</v>
      </c>
      <c r="L940" s="6">
        <v>30.702304840087901</v>
      </c>
    </row>
    <row r="941" spans="1:12" x14ac:dyDescent="0.25">
      <c r="A941">
        <v>2608206</v>
      </c>
      <c r="B941" t="str">
        <f t="shared" si="14"/>
        <v>JOAQUIM NABUCO, PE, Brasil</v>
      </c>
      <c r="C941" s="4" t="str">
        <f>_xlfn.XLOOKUP(A941,[1]!DadosGHD[CD_GEOCMU],[1]!DadosGHD[Região])</f>
        <v>NE</v>
      </c>
      <c r="D941" s="4" t="str">
        <f>_xlfn.XLOOKUP(A941,[1]!DadosGHD[CD_GEOCMU],[1]!DadosGHD[uf])</f>
        <v>PE</v>
      </c>
      <c r="E941" s="5" t="str">
        <f>_xlfn.XLOOKUP(A941,[1]!DadosGHD[CD_GEOCMU],[1]!DadosGHD[MUNICIPIO])</f>
        <v>JOAQUIM NABUCO</v>
      </c>
      <c r="F941" s="6">
        <v>33.699993133544901</v>
      </c>
      <c r="G941" s="6">
        <v>28.935838699340799</v>
      </c>
      <c r="H941" s="6">
        <v>33.815994262695298</v>
      </c>
      <c r="I941" s="6">
        <v>33.792392730712898</v>
      </c>
      <c r="J941" s="6">
        <v>28.9483318328857</v>
      </c>
      <c r="K941" s="6">
        <v>28.9686679840088</v>
      </c>
      <c r="L941" s="6">
        <v>26.2798957824707</v>
      </c>
    </row>
    <row r="942" spans="1:12" x14ac:dyDescent="0.25">
      <c r="A942">
        <v>3144656</v>
      </c>
      <c r="B942" t="str">
        <f t="shared" si="14"/>
        <v>NINHEIRA, MG, Brasil</v>
      </c>
      <c r="C942" s="4" t="str">
        <f>_xlfn.XLOOKUP(A942,[1]!DadosGHD[CD_GEOCMU],[1]!DadosGHD[Região])</f>
        <v>SD</v>
      </c>
      <c r="D942" s="4" t="str">
        <f>_xlfn.XLOOKUP(A942,[1]!DadosGHD[CD_GEOCMU],[1]!DadosGHD[uf])</f>
        <v>MG</v>
      </c>
      <c r="E942" s="5" t="str">
        <f>_xlfn.XLOOKUP(A942,[1]!DadosGHD[CD_GEOCMU],[1]!DadosGHD[MUNICIPIO])</f>
        <v>NINHEIRA</v>
      </c>
      <c r="F942" s="6">
        <v>33.700115203857401</v>
      </c>
      <c r="G942" s="6">
        <v>28.940168380737301</v>
      </c>
      <c r="H942" s="6">
        <v>28.9676208496094</v>
      </c>
      <c r="I942" s="6">
        <v>28.951461791992202</v>
      </c>
      <c r="J942" s="6">
        <v>28.9716472625732</v>
      </c>
      <c r="K942" s="6">
        <v>28.995496749877901</v>
      </c>
      <c r="L942" s="6">
        <v>26.289453506469702</v>
      </c>
    </row>
    <row r="943" spans="1:12" x14ac:dyDescent="0.25">
      <c r="A943">
        <v>2511905</v>
      </c>
      <c r="B943" t="str">
        <f t="shared" si="14"/>
        <v>PITIMBU, PB, Brasil</v>
      </c>
      <c r="C943" s="4" t="str">
        <f>_xlfn.XLOOKUP(A943,[1]!DadosGHD[CD_GEOCMU],[1]!DadosGHD[Região])</f>
        <v>NE</v>
      </c>
      <c r="D943" s="4" t="str">
        <f>_xlfn.XLOOKUP(A943,[1]!DadosGHD[CD_GEOCMU],[1]!DadosGHD[uf])</f>
        <v>PB</v>
      </c>
      <c r="E943" s="5" t="str">
        <f>_xlfn.XLOOKUP(A943,[1]!DadosGHD[CD_GEOCMU],[1]!DadosGHD[MUNICIPIO])</f>
        <v>PITIMBU</v>
      </c>
      <c r="F943" s="6">
        <v>33.7001342773438</v>
      </c>
      <c r="G943" s="6">
        <v>28.9254455566406</v>
      </c>
      <c r="H943" s="6">
        <v>33.837432861328097</v>
      </c>
      <c r="I943" s="6">
        <v>28.9564819335938</v>
      </c>
      <c r="J943" s="6">
        <v>28.9596061706543</v>
      </c>
      <c r="K943" s="6">
        <v>28.9874153137207</v>
      </c>
      <c r="L943" s="6">
        <v>26.292789459228501</v>
      </c>
    </row>
    <row r="944" spans="1:12" x14ac:dyDescent="0.25">
      <c r="A944">
        <v>2110856</v>
      </c>
      <c r="B944" t="str">
        <f t="shared" si="14"/>
        <v>SAO FRANCISCO DO BREJAO, MA, Brasil</v>
      </c>
      <c r="C944" s="4" t="str">
        <f>_xlfn.XLOOKUP(A944,[1]!DadosGHD[CD_GEOCMU],[1]!DadosGHD[Região])</f>
        <v>NE</v>
      </c>
      <c r="D944" s="4" t="str">
        <f>_xlfn.XLOOKUP(A944,[1]!DadosGHD[CD_GEOCMU],[1]!DadosGHD[uf])</f>
        <v>MA</v>
      </c>
      <c r="E944" s="5" t="str">
        <f>_xlfn.XLOOKUP(A944,[1]!DadosGHD[CD_GEOCMU],[1]!DadosGHD[MUNICIPIO])</f>
        <v>SAO FRANCISCO DO BREJAO</v>
      </c>
      <c r="F944" s="6">
        <v>33.700168609619098</v>
      </c>
      <c r="G944" s="6">
        <v>28.929164886474599</v>
      </c>
      <c r="H944" s="6">
        <v>33.854297637939503</v>
      </c>
      <c r="I944" s="6">
        <v>33.837211608886697</v>
      </c>
      <c r="J944" s="6">
        <v>33.8735160827637</v>
      </c>
      <c r="K944" s="6">
        <v>33.909378051757798</v>
      </c>
      <c r="L944" s="6">
        <v>39.559585571289098</v>
      </c>
    </row>
    <row r="945" spans="1:12" x14ac:dyDescent="0.25">
      <c r="A945">
        <v>2307908</v>
      </c>
      <c r="B945" t="str">
        <f t="shared" si="14"/>
        <v>MARTINOPOLE, CE, Brasil</v>
      </c>
      <c r="C945" s="4" t="str">
        <f>_xlfn.XLOOKUP(A945,[1]!DadosGHD[CD_GEOCMU],[1]!DadosGHD[Região])</f>
        <v>NE</v>
      </c>
      <c r="D945" s="4" t="str">
        <f>_xlfn.XLOOKUP(A945,[1]!DadosGHD[CD_GEOCMU],[1]!DadosGHD[uf])</f>
        <v>CE</v>
      </c>
      <c r="E945" s="5" t="str">
        <f>_xlfn.XLOOKUP(A945,[1]!DadosGHD[CD_GEOCMU],[1]!DadosGHD[MUNICIPIO])</f>
        <v>MARTINOPOLE</v>
      </c>
      <c r="F945" s="6">
        <v>33.700248718261697</v>
      </c>
      <c r="G945" s="6">
        <v>28.9378051757813</v>
      </c>
      <c r="H945" s="6">
        <v>28.969423294067401</v>
      </c>
      <c r="I945" s="6">
        <v>28.947822570800799</v>
      </c>
      <c r="J945" s="6">
        <v>28.955844879150401</v>
      </c>
      <c r="K945" s="6">
        <v>28.988775253295898</v>
      </c>
      <c r="L945" s="6">
        <v>26.2798957824707</v>
      </c>
    </row>
    <row r="946" spans="1:12" x14ac:dyDescent="0.25">
      <c r="A946">
        <v>2506509</v>
      </c>
      <c r="B946" t="str">
        <f t="shared" si="14"/>
        <v>GURJAO, PB, Brasil</v>
      </c>
      <c r="C946" s="4" t="str">
        <f>_xlfn.XLOOKUP(A946,[1]!DadosGHD[CD_GEOCMU],[1]!DadosGHD[Região])</f>
        <v>NE</v>
      </c>
      <c r="D946" s="4" t="str">
        <f>_xlfn.XLOOKUP(A946,[1]!DadosGHD[CD_GEOCMU],[1]!DadosGHD[uf])</f>
        <v>PB</v>
      </c>
      <c r="E946" s="5" t="str">
        <f>_xlfn.XLOOKUP(A946,[1]!DadosGHD[CD_GEOCMU],[1]!DadosGHD[MUNICIPIO])</f>
        <v>GURJAO</v>
      </c>
      <c r="F946" s="6">
        <v>33.700302124023402</v>
      </c>
      <c r="G946" s="6">
        <v>33.830429077148402</v>
      </c>
      <c r="H946" s="6">
        <v>33.871589660644503</v>
      </c>
      <c r="I946" s="6">
        <v>28.9597072601318</v>
      </c>
      <c r="J946" s="6">
        <v>33.811515808105497</v>
      </c>
      <c r="K946" s="6">
        <v>33.8727836608887</v>
      </c>
      <c r="L946" s="6">
        <v>35.160087585449197</v>
      </c>
    </row>
    <row r="947" spans="1:12" x14ac:dyDescent="0.25">
      <c r="A947">
        <v>1504455</v>
      </c>
      <c r="B947" t="str">
        <f t="shared" si="14"/>
        <v>MEDICILANDIA, PA, Brasil</v>
      </c>
      <c r="C947" s="4" t="str">
        <f>_xlfn.XLOOKUP(A947,[1]!DadosGHD[CD_GEOCMU],[1]!DadosGHD[Região])</f>
        <v>NO</v>
      </c>
      <c r="D947" s="4" t="str">
        <f>_xlfn.XLOOKUP(A947,[1]!DadosGHD[CD_GEOCMU],[1]!DadosGHD[uf])</f>
        <v>PA</v>
      </c>
      <c r="E947" s="5" t="str">
        <f>_xlfn.XLOOKUP(A947,[1]!DadosGHD[CD_GEOCMU],[1]!DadosGHD[MUNICIPIO])</f>
        <v>MEDICILANDIA</v>
      </c>
      <c r="F947" s="6">
        <v>33.700408935546903</v>
      </c>
      <c r="G947" s="6">
        <v>33.768482208252003</v>
      </c>
      <c r="H947" s="6">
        <v>33.819267272949197</v>
      </c>
      <c r="I947" s="6">
        <v>33.817558288574197</v>
      </c>
      <c r="J947" s="6">
        <v>33.839691162109403</v>
      </c>
      <c r="K947" s="6">
        <v>33.893745422363303</v>
      </c>
      <c r="L947" s="6">
        <v>35.123809814453097</v>
      </c>
    </row>
    <row r="948" spans="1:12" x14ac:dyDescent="0.25">
      <c r="A948">
        <v>2919801</v>
      </c>
      <c r="B948" t="str">
        <f t="shared" si="14"/>
        <v>MACAUBAS, BA, Brasil</v>
      </c>
      <c r="C948" s="4" t="str">
        <f>_xlfn.XLOOKUP(A948,[1]!DadosGHD[CD_GEOCMU],[1]!DadosGHD[Região])</f>
        <v>NE</v>
      </c>
      <c r="D948" s="4" t="str">
        <f>_xlfn.XLOOKUP(A948,[1]!DadosGHD[CD_GEOCMU],[1]!DadosGHD[uf])</f>
        <v>BA</v>
      </c>
      <c r="E948" s="5" t="str">
        <f>_xlfn.XLOOKUP(A948,[1]!DadosGHD[CD_GEOCMU],[1]!DadosGHD[MUNICIPIO])</f>
        <v>MACAUBAS</v>
      </c>
      <c r="F948" s="6">
        <v>33.700588226318402</v>
      </c>
      <c r="G948" s="6">
        <v>33.783073425292997</v>
      </c>
      <c r="H948" s="6">
        <v>33.826690673828097</v>
      </c>
      <c r="I948" s="6">
        <v>33.792671203613303</v>
      </c>
      <c r="J948" s="6">
        <v>33.835506439208999</v>
      </c>
      <c r="K948" s="6">
        <v>33.899112701416001</v>
      </c>
      <c r="L948" s="6">
        <v>35.120655059814503</v>
      </c>
    </row>
    <row r="949" spans="1:12" x14ac:dyDescent="0.25">
      <c r="A949">
        <v>2803906</v>
      </c>
      <c r="B949" t="str">
        <f t="shared" si="14"/>
        <v>MALHADOR, SE, Brasil</v>
      </c>
      <c r="C949" s="4" t="str">
        <f>_xlfn.XLOOKUP(A949,[1]!DadosGHD[CD_GEOCMU],[1]!DadosGHD[Região])</f>
        <v>NE</v>
      </c>
      <c r="D949" s="4" t="str">
        <f>_xlfn.XLOOKUP(A949,[1]!DadosGHD[CD_GEOCMU],[1]!DadosGHD[uf])</f>
        <v>SE</v>
      </c>
      <c r="E949" s="5" t="str">
        <f>_xlfn.XLOOKUP(A949,[1]!DadosGHD[CD_GEOCMU],[1]!DadosGHD[MUNICIPIO])</f>
        <v>MALHADOR</v>
      </c>
      <c r="F949" s="6">
        <v>33.7006225585938</v>
      </c>
      <c r="G949" s="6">
        <v>33.781932830810597</v>
      </c>
      <c r="H949" s="6">
        <v>33.832561492919901</v>
      </c>
      <c r="I949" s="6">
        <v>33.840927124023402</v>
      </c>
      <c r="J949" s="6">
        <v>33.882617950439503</v>
      </c>
      <c r="K949" s="6">
        <v>38.793849945068402</v>
      </c>
      <c r="L949" s="6">
        <v>30.705549240112301</v>
      </c>
    </row>
    <row r="950" spans="1:12" x14ac:dyDescent="0.25">
      <c r="A950">
        <v>2925931</v>
      </c>
      <c r="B950" t="str">
        <f t="shared" si="14"/>
        <v>QUIXABEIRA, BA, Brasil</v>
      </c>
      <c r="C950" s="4" t="str">
        <f>_xlfn.XLOOKUP(A950,[1]!DadosGHD[CD_GEOCMU],[1]!DadosGHD[Região])</f>
        <v>NE</v>
      </c>
      <c r="D950" s="4" t="str">
        <f>_xlfn.XLOOKUP(A950,[1]!DadosGHD[CD_GEOCMU],[1]!DadosGHD[uf])</f>
        <v>BA</v>
      </c>
      <c r="E950" s="5" t="str">
        <f>_xlfn.XLOOKUP(A950,[1]!DadosGHD[CD_GEOCMU],[1]!DadosGHD[MUNICIPIO])</f>
        <v>QUIXABEIRA</v>
      </c>
      <c r="F950" s="6">
        <v>33.700778961181598</v>
      </c>
      <c r="G950" s="6">
        <v>38.691184997558601</v>
      </c>
      <c r="H950" s="6">
        <v>38.756748199462898</v>
      </c>
      <c r="I950" s="6">
        <v>38.743568420410199</v>
      </c>
      <c r="J950" s="6">
        <v>33.880413055419901</v>
      </c>
      <c r="K950" s="6">
        <v>38.827152252197301</v>
      </c>
      <c r="L950" s="6">
        <v>39.564655303955099</v>
      </c>
    </row>
    <row r="951" spans="1:12" x14ac:dyDescent="0.25">
      <c r="A951">
        <v>2933174</v>
      </c>
      <c r="B951" t="str">
        <f t="shared" si="14"/>
        <v>VARZEDO, BA, Brasil</v>
      </c>
      <c r="C951" s="4" t="str">
        <f>_xlfn.XLOOKUP(A951,[1]!DadosGHD[CD_GEOCMU],[1]!DadosGHD[Região])</f>
        <v>NE</v>
      </c>
      <c r="D951" s="4" t="str">
        <f>_xlfn.XLOOKUP(A951,[1]!DadosGHD[CD_GEOCMU],[1]!DadosGHD[uf])</f>
        <v>BA</v>
      </c>
      <c r="E951" s="5" t="str">
        <f>_xlfn.XLOOKUP(A951,[1]!DadosGHD[CD_GEOCMU],[1]!DadosGHD[MUNICIPIO])</f>
        <v>VARZEDO</v>
      </c>
      <c r="F951" s="6">
        <v>33.700839996337898</v>
      </c>
      <c r="G951" s="6">
        <v>28.939245223998999</v>
      </c>
      <c r="H951" s="6">
        <v>33.823982238769503</v>
      </c>
      <c r="I951" s="6">
        <v>33.807567596435597</v>
      </c>
      <c r="J951" s="6">
        <v>33.834796905517599</v>
      </c>
      <c r="K951" s="6">
        <v>33.890659332275398</v>
      </c>
      <c r="L951" s="6">
        <v>30.7106628417969</v>
      </c>
    </row>
    <row r="952" spans="1:12" x14ac:dyDescent="0.25">
      <c r="A952">
        <v>2902203</v>
      </c>
      <c r="B952" t="str">
        <f t="shared" si="14"/>
        <v>ARAMARI, BA, Brasil</v>
      </c>
      <c r="C952" s="4" t="str">
        <f>_xlfn.XLOOKUP(A952,[1]!DadosGHD[CD_GEOCMU],[1]!DadosGHD[Região])</f>
        <v>NE</v>
      </c>
      <c r="D952" s="4" t="str">
        <f>_xlfn.XLOOKUP(A952,[1]!DadosGHD[CD_GEOCMU],[1]!DadosGHD[uf])</f>
        <v>BA</v>
      </c>
      <c r="E952" s="5" t="str">
        <f>_xlfn.XLOOKUP(A952,[1]!DadosGHD[CD_GEOCMU],[1]!DadosGHD[MUNICIPIO])</f>
        <v>ARAMARI</v>
      </c>
      <c r="F952" s="6">
        <v>33.700889587402301</v>
      </c>
      <c r="G952" s="6">
        <v>28.937578201293899</v>
      </c>
      <c r="H952" s="6">
        <v>28.969747543335</v>
      </c>
      <c r="I952" s="6">
        <v>28.9472332000732</v>
      </c>
      <c r="J952" s="6">
        <v>28.9656467437744</v>
      </c>
      <c r="K952" s="6">
        <v>28.9686679840088</v>
      </c>
      <c r="L952" s="6">
        <v>26.2798957824707</v>
      </c>
    </row>
    <row r="953" spans="1:12" x14ac:dyDescent="0.25">
      <c r="A953">
        <v>2505709</v>
      </c>
      <c r="B953" t="str">
        <f t="shared" si="14"/>
        <v>DONA INES, PB, Brasil</v>
      </c>
      <c r="C953" s="4" t="str">
        <f>_xlfn.XLOOKUP(A953,[1]!DadosGHD[CD_GEOCMU],[1]!DadosGHD[Região])</f>
        <v>NE</v>
      </c>
      <c r="D953" s="4" t="str">
        <f>_xlfn.XLOOKUP(A953,[1]!DadosGHD[CD_GEOCMU],[1]!DadosGHD[uf])</f>
        <v>PB</v>
      </c>
      <c r="E953" s="5" t="str">
        <f>_xlfn.XLOOKUP(A953,[1]!DadosGHD[CD_GEOCMU],[1]!DadosGHD[MUNICIPIO])</f>
        <v>DONA INES</v>
      </c>
      <c r="F953" s="6">
        <v>33.700897216796903</v>
      </c>
      <c r="G953" s="6">
        <v>28.936729431152301</v>
      </c>
      <c r="H953" s="6">
        <v>28.967161178588899</v>
      </c>
      <c r="I953" s="6">
        <v>28.9500026702881</v>
      </c>
      <c r="J953" s="6">
        <v>28.963993072509801</v>
      </c>
      <c r="K953" s="6">
        <v>28.9912719726563</v>
      </c>
      <c r="L953" s="6">
        <v>26.283327102661101</v>
      </c>
    </row>
    <row r="954" spans="1:12" x14ac:dyDescent="0.25">
      <c r="A954">
        <v>3160959</v>
      </c>
      <c r="B954" t="str">
        <f t="shared" si="14"/>
        <v>SAO DOMINGOS DAS DORES, MG, Brasil</v>
      </c>
      <c r="C954" s="4" t="str">
        <f>_xlfn.XLOOKUP(A954,[1]!DadosGHD[CD_GEOCMU],[1]!DadosGHD[Região])</f>
        <v>SD</v>
      </c>
      <c r="D954" s="4" t="str">
        <f>_xlfn.XLOOKUP(A954,[1]!DadosGHD[CD_GEOCMU],[1]!DadosGHD[uf])</f>
        <v>MG</v>
      </c>
      <c r="E954" s="5" t="str">
        <f>_xlfn.XLOOKUP(A954,[1]!DadosGHD[CD_GEOCMU],[1]!DadosGHD[MUNICIPIO])</f>
        <v>SAO DOMINGOS DAS DORES</v>
      </c>
      <c r="F954" s="6">
        <v>33.700950622558601</v>
      </c>
      <c r="G954" s="6">
        <v>33.828125</v>
      </c>
      <c r="H954" s="6">
        <v>33.864044189453097</v>
      </c>
      <c r="I954" s="6">
        <v>33.8480415344238</v>
      </c>
      <c r="J954" s="6">
        <v>33.892978668212898</v>
      </c>
      <c r="K954" s="6">
        <v>38.787322998046903</v>
      </c>
      <c r="L954" s="6">
        <v>30.719314575195298</v>
      </c>
    </row>
    <row r="955" spans="1:12" x14ac:dyDescent="0.25">
      <c r="A955">
        <v>2203453</v>
      </c>
      <c r="B955" t="str">
        <f t="shared" si="14"/>
        <v>DOM INOCENCIO, PI, Brasil</v>
      </c>
      <c r="C955" s="4" t="str">
        <f>_xlfn.XLOOKUP(A955,[1]!DadosGHD[CD_GEOCMU],[1]!DadosGHD[Região])</f>
        <v>NE</v>
      </c>
      <c r="D955" s="4" t="str">
        <f>_xlfn.XLOOKUP(A955,[1]!DadosGHD[CD_GEOCMU],[1]!DadosGHD[uf])</f>
        <v>PI</v>
      </c>
      <c r="E955" s="5" t="str">
        <f>_xlfn.XLOOKUP(A955,[1]!DadosGHD[CD_GEOCMU],[1]!DadosGHD[MUNICIPIO])</f>
        <v>DOM INOCENCIO</v>
      </c>
      <c r="F955" s="6">
        <v>33.700992584228501</v>
      </c>
      <c r="G955" s="6">
        <v>33.765209197998097</v>
      </c>
      <c r="H955" s="6">
        <v>33.864372253417997</v>
      </c>
      <c r="I955" s="6">
        <v>38.7203979492188</v>
      </c>
      <c r="J955" s="6">
        <v>28.9663906097412</v>
      </c>
      <c r="K955" s="6">
        <v>33.854328155517599</v>
      </c>
      <c r="L955" s="6">
        <v>26.281366348266602</v>
      </c>
    </row>
    <row r="956" spans="1:12" x14ac:dyDescent="0.25">
      <c r="A956">
        <v>2206605</v>
      </c>
      <c r="B956" t="str">
        <f t="shared" si="14"/>
        <v>MONTE ALEGRE DO PIAUI, PI, Brasil</v>
      </c>
      <c r="C956" s="4" t="str">
        <f>_xlfn.XLOOKUP(A956,[1]!DadosGHD[CD_GEOCMU],[1]!DadosGHD[Região])</f>
        <v>NE</v>
      </c>
      <c r="D956" s="4" t="str">
        <f>_xlfn.XLOOKUP(A956,[1]!DadosGHD[CD_GEOCMU],[1]!DadosGHD[uf])</f>
        <v>PI</v>
      </c>
      <c r="E956" s="5" t="str">
        <f>_xlfn.XLOOKUP(A956,[1]!DadosGHD[CD_GEOCMU],[1]!DadosGHD[MUNICIPIO])</f>
        <v>MONTE ALEGRE DO PIAUI</v>
      </c>
      <c r="F956" s="6">
        <v>33.701038360595703</v>
      </c>
      <c r="G956" s="6">
        <v>28.938274383544901</v>
      </c>
      <c r="H956" s="6">
        <v>28.967597961425799</v>
      </c>
      <c r="I956" s="6">
        <v>28.947923660278299</v>
      </c>
      <c r="J956" s="6">
        <v>28.959667205810501</v>
      </c>
      <c r="K956" s="6">
        <v>28.988508224487301</v>
      </c>
      <c r="L956" s="6">
        <v>26.2798957824707</v>
      </c>
    </row>
    <row r="957" spans="1:12" x14ac:dyDescent="0.25">
      <c r="A957">
        <v>2600906</v>
      </c>
      <c r="B957" t="str">
        <f t="shared" si="14"/>
        <v>AMARAJI, PE, Brasil</v>
      </c>
      <c r="C957" s="4" t="str">
        <f>_xlfn.XLOOKUP(A957,[1]!DadosGHD[CD_GEOCMU],[1]!DadosGHD[Região])</f>
        <v>NE</v>
      </c>
      <c r="D957" s="4" t="str">
        <f>_xlfn.XLOOKUP(A957,[1]!DadosGHD[CD_GEOCMU],[1]!DadosGHD[uf])</f>
        <v>PE</v>
      </c>
      <c r="E957" s="5" t="str">
        <f>_xlfn.XLOOKUP(A957,[1]!DadosGHD[CD_GEOCMU],[1]!DadosGHD[MUNICIPIO])</f>
        <v>AMARAJI</v>
      </c>
      <c r="F957" s="6">
        <v>33.701045989990199</v>
      </c>
      <c r="G957" s="6">
        <v>33.782154083252003</v>
      </c>
      <c r="H957" s="6">
        <v>33.833034515380902</v>
      </c>
      <c r="I957" s="6">
        <v>33.810245513916001</v>
      </c>
      <c r="J957" s="6">
        <v>33.822540283203097</v>
      </c>
      <c r="K957" s="6">
        <v>33.880565643310597</v>
      </c>
      <c r="L957" s="6">
        <v>39.574306488037102</v>
      </c>
    </row>
    <row r="958" spans="1:12" x14ac:dyDescent="0.25">
      <c r="A958">
        <v>2705606</v>
      </c>
      <c r="B958" t="str">
        <f t="shared" si="14"/>
        <v>NOVO LINO, AL, Brasil</v>
      </c>
      <c r="C958" s="4" t="str">
        <f>_xlfn.XLOOKUP(A958,[1]!DadosGHD[CD_GEOCMU],[1]!DadosGHD[Região])</f>
        <v>NE</v>
      </c>
      <c r="D958" s="4" t="str">
        <f>_xlfn.XLOOKUP(A958,[1]!DadosGHD[CD_GEOCMU],[1]!DadosGHD[uf])</f>
        <v>AL</v>
      </c>
      <c r="E958" s="5" t="str">
        <f>_xlfn.XLOOKUP(A958,[1]!DadosGHD[CD_GEOCMU],[1]!DadosGHD[MUNICIPIO])</f>
        <v>NOVO LINO</v>
      </c>
      <c r="F958" s="6">
        <v>33.701045989990199</v>
      </c>
      <c r="G958" s="6">
        <v>33.770538330078097</v>
      </c>
      <c r="H958" s="6">
        <v>33.813999176025398</v>
      </c>
      <c r="I958" s="6">
        <v>33.8052368164063</v>
      </c>
      <c r="J958" s="6">
        <v>28.963525772094702</v>
      </c>
      <c r="K958" s="6">
        <v>28.9969081878662</v>
      </c>
      <c r="L958" s="6">
        <v>30.696416854858398</v>
      </c>
    </row>
    <row r="959" spans="1:12" x14ac:dyDescent="0.25">
      <c r="A959">
        <v>4300646</v>
      </c>
      <c r="B959" t="str">
        <f t="shared" si="14"/>
        <v>AMETISTA DO SUL, RS, Brasil</v>
      </c>
      <c r="C959" s="4" t="str">
        <f>_xlfn.XLOOKUP(A959,[1]!DadosGHD[CD_GEOCMU],[1]!DadosGHD[Região])</f>
        <v>SL</v>
      </c>
      <c r="D959" s="4" t="str">
        <f>_xlfn.XLOOKUP(A959,[1]!DadosGHD[CD_GEOCMU],[1]!DadosGHD[uf])</f>
        <v>RS</v>
      </c>
      <c r="E959" s="5" t="str">
        <f>_xlfn.XLOOKUP(A959,[1]!DadosGHD[CD_GEOCMU],[1]!DadosGHD[MUNICIPIO])</f>
        <v>AMETISTA DO SUL</v>
      </c>
      <c r="F959" s="6">
        <v>33.7010498046875</v>
      </c>
      <c r="G959" s="6">
        <v>38.695301055908203</v>
      </c>
      <c r="H959" s="6">
        <v>38.8160400390625</v>
      </c>
      <c r="I959" s="6">
        <v>43.722461700439503</v>
      </c>
      <c r="J959" s="6">
        <v>43.781913757324197</v>
      </c>
      <c r="K959" s="6">
        <v>48.765495300292997</v>
      </c>
      <c r="L959" s="6">
        <v>53.034202575683601</v>
      </c>
    </row>
    <row r="960" spans="1:12" x14ac:dyDescent="0.25">
      <c r="A960">
        <v>3134004</v>
      </c>
      <c r="B960" t="str">
        <f t="shared" si="14"/>
        <v>ITINGA, MG, Brasil</v>
      </c>
      <c r="C960" s="4" t="str">
        <f>_xlfn.XLOOKUP(A960,[1]!DadosGHD[CD_GEOCMU],[1]!DadosGHD[Região])</f>
        <v>SD</v>
      </c>
      <c r="D960" s="4" t="str">
        <f>_xlfn.XLOOKUP(A960,[1]!DadosGHD[CD_GEOCMU],[1]!DadosGHD[uf])</f>
        <v>MG</v>
      </c>
      <c r="E960" s="5" t="str">
        <f>_xlfn.XLOOKUP(A960,[1]!DadosGHD[CD_GEOCMU],[1]!DadosGHD[MUNICIPIO])</f>
        <v>ITINGA</v>
      </c>
      <c r="F960" s="6">
        <v>33.701156616210902</v>
      </c>
      <c r="G960" s="6">
        <v>28.926498413085898</v>
      </c>
      <c r="H960" s="6">
        <v>28.962547302246101</v>
      </c>
      <c r="I960" s="6">
        <v>33.803062438964801</v>
      </c>
      <c r="J960" s="6">
        <v>33.838779449462898</v>
      </c>
      <c r="K960" s="6">
        <v>33.868282318115199</v>
      </c>
      <c r="L960" s="6">
        <v>35.1380424499512</v>
      </c>
    </row>
    <row r="961" spans="1:12" x14ac:dyDescent="0.25">
      <c r="A961">
        <v>2909604</v>
      </c>
      <c r="B961" t="str">
        <f t="shared" si="14"/>
        <v>CRISOPOLIS, BA, Brasil</v>
      </c>
      <c r="C961" s="4" t="str">
        <f>_xlfn.XLOOKUP(A961,[1]!DadosGHD[CD_GEOCMU],[1]!DadosGHD[Região])</f>
        <v>NE</v>
      </c>
      <c r="D961" s="4" t="str">
        <f>_xlfn.XLOOKUP(A961,[1]!DadosGHD[CD_GEOCMU],[1]!DadosGHD[uf])</f>
        <v>BA</v>
      </c>
      <c r="E961" s="5" t="str">
        <f>_xlfn.XLOOKUP(A961,[1]!DadosGHD[CD_GEOCMU],[1]!DadosGHD[MUNICIPIO])</f>
        <v>CRISOPOLIS</v>
      </c>
      <c r="F961" s="6">
        <v>33.701244354248097</v>
      </c>
      <c r="G961" s="6">
        <v>33.765411376953097</v>
      </c>
      <c r="H961" s="6">
        <v>28.966575622558601</v>
      </c>
      <c r="I961" s="6">
        <v>28.950620651245099</v>
      </c>
      <c r="J961" s="6">
        <v>28.9681072235107</v>
      </c>
      <c r="K961" s="6">
        <v>28.9918727874756</v>
      </c>
      <c r="L961" s="6">
        <v>26.280195236206101</v>
      </c>
    </row>
    <row r="962" spans="1:12" x14ac:dyDescent="0.25">
      <c r="A962">
        <v>2507200</v>
      </c>
      <c r="B962" t="str">
        <f t="shared" si="14"/>
        <v>ITATUBA, PB, Brasil</v>
      </c>
      <c r="C962" s="4" t="str">
        <f>_xlfn.XLOOKUP(A962,[1]!DadosGHD[CD_GEOCMU],[1]!DadosGHD[Região])</f>
        <v>NE</v>
      </c>
      <c r="D962" s="4" t="str">
        <f>_xlfn.XLOOKUP(A962,[1]!DadosGHD[CD_GEOCMU],[1]!DadosGHD[uf])</f>
        <v>PB</v>
      </c>
      <c r="E962" s="5" t="str">
        <f>_xlfn.XLOOKUP(A962,[1]!DadosGHD[CD_GEOCMU],[1]!DadosGHD[MUNICIPIO])</f>
        <v>ITATUBA</v>
      </c>
      <c r="F962" s="6">
        <v>33.701259613037102</v>
      </c>
      <c r="G962" s="6">
        <v>33.768829345703097</v>
      </c>
      <c r="H962" s="6">
        <v>33.818801879882798</v>
      </c>
      <c r="I962" s="6">
        <v>28.955472946166999</v>
      </c>
      <c r="J962" s="6">
        <v>28.965091705322301</v>
      </c>
      <c r="K962" s="6">
        <v>28.9974555969238</v>
      </c>
      <c r="L962" s="6">
        <v>30.7037162780762</v>
      </c>
    </row>
    <row r="963" spans="1:12" x14ac:dyDescent="0.25">
      <c r="A963">
        <v>2924801</v>
      </c>
      <c r="B963" t="str">
        <f t="shared" si="14"/>
        <v>PIRITIBA, BA, Brasil</v>
      </c>
      <c r="C963" s="4" t="str">
        <f>_xlfn.XLOOKUP(A963,[1]!DadosGHD[CD_GEOCMU],[1]!DadosGHD[Região])</f>
        <v>NE</v>
      </c>
      <c r="D963" s="4" t="str">
        <f>_xlfn.XLOOKUP(A963,[1]!DadosGHD[CD_GEOCMU],[1]!DadosGHD[uf])</f>
        <v>BA</v>
      </c>
      <c r="E963" s="5" t="str">
        <f>_xlfn.XLOOKUP(A963,[1]!DadosGHD[CD_GEOCMU],[1]!DadosGHD[MUNICIPIO])</f>
        <v>PIRITIBA</v>
      </c>
      <c r="F963" s="6">
        <v>33.701301574707003</v>
      </c>
      <c r="G963" s="6">
        <v>33.789443969726598</v>
      </c>
      <c r="H963" s="6">
        <v>33.835903167724602</v>
      </c>
      <c r="I963" s="6">
        <v>33.816215515136697</v>
      </c>
      <c r="J963" s="6">
        <v>33.835433959960902</v>
      </c>
      <c r="K963" s="6">
        <v>33.880779266357401</v>
      </c>
      <c r="L963" s="6">
        <v>35.143241882324197</v>
      </c>
    </row>
    <row r="964" spans="1:12" x14ac:dyDescent="0.25">
      <c r="A964">
        <v>2912202</v>
      </c>
      <c r="B964" t="str">
        <f t="shared" ref="B964:B1027" si="15">_xlfn.CONCAT(E964, ", ", D964, ", Brasil")</f>
        <v>IBICOARA, BA, Brasil</v>
      </c>
      <c r="C964" s="4" t="str">
        <f>_xlfn.XLOOKUP(A964,[1]!DadosGHD[CD_GEOCMU],[1]!DadosGHD[Região])</f>
        <v>NE</v>
      </c>
      <c r="D964" s="4" t="str">
        <f>_xlfn.XLOOKUP(A964,[1]!DadosGHD[CD_GEOCMU],[1]!DadosGHD[uf])</f>
        <v>BA</v>
      </c>
      <c r="E964" s="5" t="str">
        <f>_xlfn.XLOOKUP(A964,[1]!DadosGHD[CD_GEOCMU],[1]!DadosGHD[MUNICIPIO])</f>
        <v>IBICOARA</v>
      </c>
      <c r="F964" s="6">
        <v>33.701316833496101</v>
      </c>
      <c r="G964" s="6">
        <v>28.937168121337901</v>
      </c>
      <c r="H964" s="6">
        <v>33.821407318115199</v>
      </c>
      <c r="I964" s="6">
        <v>33.854259490966797</v>
      </c>
      <c r="J964" s="6">
        <v>33.856658935546903</v>
      </c>
      <c r="K964" s="6">
        <v>33.894214630127003</v>
      </c>
      <c r="L964" s="6">
        <v>26.296817779541001</v>
      </c>
    </row>
    <row r="965" spans="1:12" x14ac:dyDescent="0.25">
      <c r="A965">
        <v>2313609</v>
      </c>
      <c r="B965" t="str">
        <f t="shared" si="15"/>
        <v>UBAJARA, CE, Brasil</v>
      </c>
      <c r="C965" s="4" t="str">
        <f>_xlfn.XLOOKUP(A965,[1]!DadosGHD[CD_GEOCMU],[1]!DadosGHD[Região])</f>
        <v>NE</v>
      </c>
      <c r="D965" s="4" t="str">
        <f>_xlfn.XLOOKUP(A965,[1]!DadosGHD[CD_GEOCMU],[1]!DadosGHD[uf])</f>
        <v>CE</v>
      </c>
      <c r="E965" s="5" t="str">
        <f>_xlfn.XLOOKUP(A965,[1]!DadosGHD[CD_GEOCMU],[1]!DadosGHD[MUNICIPIO])</f>
        <v>UBAJARA</v>
      </c>
      <c r="F965" s="6">
        <v>33.701324462890597</v>
      </c>
      <c r="G965" s="6">
        <v>33.768428802490199</v>
      </c>
      <c r="H965" s="6">
        <v>33.833858489990199</v>
      </c>
      <c r="I965" s="6">
        <v>38.716060638427699</v>
      </c>
      <c r="J965" s="6">
        <v>38.786865234375</v>
      </c>
      <c r="K965" s="6">
        <v>38.831680297851598</v>
      </c>
      <c r="L965" s="6">
        <v>39.569717407226598</v>
      </c>
    </row>
    <row r="966" spans="1:12" x14ac:dyDescent="0.25">
      <c r="A966">
        <v>2311009</v>
      </c>
      <c r="B966" t="str">
        <f t="shared" si="15"/>
        <v>PORANGA, CE, Brasil</v>
      </c>
      <c r="C966" s="4" t="str">
        <f>_xlfn.XLOOKUP(A966,[1]!DadosGHD[CD_GEOCMU],[1]!DadosGHD[Região])</f>
        <v>NE</v>
      </c>
      <c r="D966" s="4" t="str">
        <f>_xlfn.XLOOKUP(A966,[1]!DadosGHD[CD_GEOCMU],[1]!DadosGHD[uf])</f>
        <v>CE</v>
      </c>
      <c r="E966" s="5" t="str">
        <f>_xlfn.XLOOKUP(A966,[1]!DadosGHD[CD_GEOCMU],[1]!DadosGHD[MUNICIPIO])</f>
        <v>PORANGA</v>
      </c>
      <c r="F966" s="6">
        <v>33.701370239257798</v>
      </c>
      <c r="G966" s="6">
        <v>33.771121978759801</v>
      </c>
      <c r="H966" s="6">
        <v>33.837860107421903</v>
      </c>
      <c r="I966" s="6">
        <v>43.682830810546903</v>
      </c>
      <c r="J966" s="6">
        <v>43.713222503662102</v>
      </c>
      <c r="K966" s="6">
        <v>33.912677764892599</v>
      </c>
      <c r="L966" s="6">
        <v>35.150768280029297</v>
      </c>
    </row>
    <row r="967" spans="1:12" x14ac:dyDescent="0.25">
      <c r="A967">
        <v>1504422</v>
      </c>
      <c r="B967" t="str">
        <f t="shared" si="15"/>
        <v>MARITUBA, PA, Brasil</v>
      </c>
      <c r="C967" s="4" t="str">
        <f>_xlfn.XLOOKUP(A967,[1]!DadosGHD[CD_GEOCMU],[1]!DadosGHD[Região])</f>
        <v>NO</v>
      </c>
      <c r="D967" s="4" t="str">
        <f>_xlfn.XLOOKUP(A967,[1]!DadosGHD[CD_GEOCMU],[1]!DadosGHD[uf])</f>
        <v>PA</v>
      </c>
      <c r="E967" s="5" t="str">
        <f>_xlfn.XLOOKUP(A967,[1]!DadosGHD[CD_GEOCMU],[1]!DadosGHD[MUNICIPIO])</f>
        <v>MARITUBA</v>
      </c>
      <c r="F967" s="6">
        <v>33.701583862304702</v>
      </c>
      <c r="G967" s="6">
        <v>33.774898529052699</v>
      </c>
      <c r="H967" s="6">
        <v>33.819042205810597</v>
      </c>
      <c r="I967" s="6">
        <v>33.793128967285199</v>
      </c>
      <c r="J967" s="6">
        <v>33.812995910644503</v>
      </c>
      <c r="K967" s="6">
        <v>29.0032138824463</v>
      </c>
      <c r="L967" s="6">
        <v>26.280988693237301</v>
      </c>
    </row>
    <row r="968" spans="1:12" x14ac:dyDescent="0.25">
      <c r="A968">
        <v>2614204</v>
      </c>
      <c r="B968" t="str">
        <f t="shared" si="15"/>
        <v>SIRINHAEM, PE, Brasil</v>
      </c>
      <c r="C968" s="4" t="str">
        <f>_xlfn.XLOOKUP(A968,[1]!DadosGHD[CD_GEOCMU],[1]!DadosGHD[Região])</f>
        <v>NE</v>
      </c>
      <c r="D968" s="4" t="str">
        <f>_xlfn.XLOOKUP(A968,[1]!DadosGHD[CD_GEOCMU],[1]!DadosGHD[uf])</f>
        <v>PE</v>
      </c>
      <c r="E968" s="5" t="str">
        <f>_xlfn.XLOOKUP(A968,[1]!DadosGHD[CD_GEOCMU],[1]!DadosGHD[MUNICIPIO])</f>
        <v>SIRINHAEM</v>
      </c>
      <c r="F968" s="6">
        <v>33.701774597167997</v>
      </c>
      <c r="G968" s="6">
        <v>28.930040359497099</v>
      </c>
      <c r="H968" s="6">
        <v>28.9598598480225</v>
      </c>
      <c r="I968" s="6">
        <v>28.945531845092798</v>
      </c>
      <c r="J968" s="6">
        <v>28.954320907592798</v>
      </c>
      <c r="K968" s="6">
        <v>28.9745178222656</v>
      </c>
      <c r="L968" s="6">
        <v>26.294815063476602</v>
      </c>
    </row>
    <row r="969" spans="1:12" x14ac:dyDescent="0.25">
      <c r="A969">
        <v>2703304</v>
      </c>
      <c r="B969" t="str">
        <f t="shared" si="15"/>
        <v>INHAPI, AL, Brasil</v>
      </c>
      <c r="C969" s="4" t="str">
        <f>_xlfn.XLOOKUP(A969,[1]!DadosGHD[CD_GEOCMU],[1]!DadosGHD[Região])</f>
        <v>NE</v>
      </c>
      <c r="D969" s="4" t="str">
        <f>_xlfn.XLOOKUP(A969,[1]!DadosGHD[CD_GEOCMU],[1]!DadosGHD[uf])</f>
        <v>AL</v>
      </c>
      <c r="E969" s="5" t="str">
        <f>_xlfn.XLOOKUP(A969,[1]!DadosGHD[CD_GEOCMU],[1]!DadosGHD[MUNICIPIO])</f>
        <v>INHAPI</v>
      </c>
      <c r="F969" s="6">
        <v>33.701915740966797</v>
      </c>
      <c r="G969" s="6">
        <v>28.939001083373999</v>
      </c>
      <c r="H969" s="6">
        <v>28.961441040039102</v>
      </c>
      <c r="I969" s="6">
        <v>28.942440032958999</v>
      </c>
      <c r="J969" s="6">
        <v>28.963279724121101</v>
      </c>
      <c r="K969" s="6">
        <v>29.001134872436499</v>
      </c>
      <c r="L969" s="6">
        <v>30.6943550109863</v>
      </c>
    </row>
    <row r="970" spans="1:12" x14ac:dyDescent="0.25">
      <c r="A970">
        <v>2700409</v>
      </c>
      <c r="B970" t="str">
        <f t="shared" si="15"/>
        <v>ATALAIA, AL, Brasil</v>
      </c>
      <c r="C970" s="4" t="str">
        <f>_xlfn.XLOOKUP(A970,[1]!DadosGHD[CD_GEOCMU],[1]!DadosGHD[Região])</f>
        <v>NE</v>
      </c>
      <c r="D970" s="4" t="str">
        <f>_xlfn.XLOOKUP(A970,[1]!DadosGHD[CD_GEOCMU],[1]!DadosGHD[uf])</f>
        <v>AL</v>
      </c>
      <c r="E970" s="5" t="str">
        <f>_xlfn.XLOOKUP(A970,[1]!DadosGHD[CD_GEOCMU],[1]!DadosGHD[MUNICIPIO])</f>
        <v>ATALAIA</v>
      </c>
      <c r="F970" s="6">
        <v>33.7019653320313</v>
      </c>
      <c r="G970" s="6">
        <v>33.774333953857401</v>
      </c>
      <c r="H970" s="6">
        <v>33.813972473144503</v>
      </c>
      <c r="I970" s="6">
        <v>28.9600124359131</v>
      </c>
      <c r="J970" s="6">
        <v>28.9681606292725</v>
      </c>
      <c r="K970" s="6">
        <v>28.995723724365199</v>
      </c>
      <c r="L970" s="6">
        <v>26.298112869262699</v>
      </c>
    </row>
    <row r="971" spans="1:12" x14ac:dyDescent="0.25">
      <c r="A971">
        <v>2605301</v>
      </c>
      <c r="B971" t="str">
        <f t="shared" si="15"/>
        <v>EXU, PE, Brasil</v>
      </c>
      <c r="C971" s="4" t="str">
        <f>_xlfn.XLOOKUP(A971,[1]!DadosGHD[CD_GEOCMU],[1]!DadosGHD[Região])</f>
        <v>NE</v>
      </c>
      <c r="D971" s="4" t="str">
        <f>_xlfn.XLOOKUP(A971,[1]!DadosGHD[CD_GEOCMU],[1]!DadosGHD[uf])</f>
        <v>PE</v>
      </c>
      <c r="E971" s="5" t="str">
        <f>_xlfn.XLOOKUP(A971,[1]!DadosGHD[CD_GEOCMU],[1]!DadosGHD[MUNICIPIO])</f>
        <v>EXU</v>
      </c>
      <c r="F971" s="6">
        <v>33.702030181884801</v>
      </c>
      <c r="G971" s="6">
        <v>33.773445129394503</v>
      </c>
      <c r="H971" s="6">
        <v>33.821846008300803</v>
      </c>
      <c r="I971" s="6">
        <v>33.797943115234403</v>
      </c>
      <c r="J971" s="6">
        <v>33.838977813720703</v>
      </c>
      <c r="K971" s="6">
        <v>33.902099609375</v>
      </c>
      <c r="L971" s="6">
        <v>30.686832427978501</v>
      </c>
    </row>
    <row r="972" spans="1:12" x14ac:dyDescent="0.25">
      <c r="A972">
        <v>3171154</v>
      </c>
      <c r="B972" t="str">
        <f t="shared" si="15"/>
        <v>VERMELHO NOVO, MG, Brasil</v>
      </c>
      <c r="C972" s="4" t="str">
        <f>_xlfn.XLOOKUP(A972,[1]!DadosGHD[CD_GEOCMU],[1]!DadosGHD[Região])</f>
        <v>SD</v>
      </c>
      <c r="D972" s="4" t="str">
        <f>_xlfn.XLOOKUP(A972,[1]!DadosGHD[CD_GEOCMU],[1]!DadosGHD[uf])</f>
        <v>MG</v>
      </c>
      <c r="E972" s="5" t="str">
        <f>_xlfn.XLOOKUP(A972,[1]!DadosGHD[CD_GEOCMU],[1]!DadosGHD[MUNICIPIO])</f>
        <v>VERMELHO NOVO</v>
      </c>
      <c r="F972" s="6">
        <v>33.702056884765597</v>
      </c>
      <c r="G972" s="6">
        <v>38.737159729003899</v>
      </c>
      <c r="H972" s="6">
        <v>38.781848907470703</v>
      </c>
      <c r="I972" s="6">
        <v>38.764968872070298</v>
      </c>
      <c r="J972" s="6">
        <v>38.798065185546903</v>
      </c>
      <c r="K972" s="6">
        <v>38.825504302978501</v>
      </c>
      <c r="L972" s="6">
        <v>30.693849563598601</v>
      </c>
    </row>
    <row r="973" spans="1:12" x14ac:dyDescent="0.25">
      <c r="A973">
        <v>2307106</v>
      </c>
      <c r="B973" t="str">
        <f t="shared" si="15"/>
        <v>JARDIM, CE, Brasil</v>
      </c>
      <c r="C973" s="4" t="str">
        <f>_xlfn.XLOOKUP(A973,[1]!DadosGHD[CD_GEOCMU],[1]!DadosGHD[Região])</f>
        <v>NE</v>
      </c>
      <c r="D973" s="4" t="str">
        <f>_xlfn.XLOOKUP(A973,[1]!DadosGHD[CD_GEOCMU],[1]!DadosGHD[uf])</f>
        <v>CE</v>
      </c>
      <c r="E973" s="5" t="str">
        <f>_xlfn.XLOOKUP(A973,[1]!DadosGHD[CD_GEOCMU],[1]!DadosGHD[MUNICIPIO])</f>
        <v>JARDIM</v>
      </c>
      <c r="F973" s="6">
        <v>33.7022094726563</v>
      </c>
      <c r="G973" s="6">
        <v>33.7996826171875</v>
      </c>
      <c r="H973" s="6">
        <v>33.8488960266113</v>
      </c>
      <c r="I973" s="6">
        <v>33.8233032226563</v>
      </c>
      <c r="J973" s="6">
        <v>33.840179443359403</v>
      </c>
      <c r="K973" s="6">
        <v>33.916900634765597</v>
      </c>
      <c r="L973" s="6">
        <v>35.112789154052699</v>
      </c>
    </row>
    <row r="974" spans="1:12" x14ac:dyDescent="0.25">
      <c r="A974">
        <v>2702108</v>
      </c>
      <c r="B974" t="str">
        <f t="shared" si="15"/>
        <v>COLONIA LEOPOLDINA, AL, Brasil</v>
      </c>
      <c r="C974" s="4" t="str">
        <f>_xlfn.XLOOKUP(A974,[1]!DadosGHD[CD_GEOCMU],[1]!DadosGHD[Região])</f>
        <v>NE</v>
      </c>
      <c r="D974" s="4" t="str">
        <f>_xlfn.XLOOKUP(A974,[1]!DadosGHD[CD_GEOCMU],[1]!DadosGHD[uf])</f>
        <v>AL</v>
      </c>
      <c r="E974" s="5" t="str">
        <f>_xlfn.XLOOKUP(A974,[1]!DadosGHD[CD_GEOCMU],[1]!DadosGHD[MUNICIPIO])</f>
        <v>COLONIA LEOPOLDINA</v>
      </c>
      <c r="F974" s="6">
        <v>33.702224731445298</v>
      </c>
      <c r="G974" s="6">
        <v>33.766525268554702</v>
      </c>
      <c r="H974" s="6">
        <v>28.979953765869102</v>
      </c>
      <c r="I974" s="6">
        <v>33.826969146728501</v>
      </c>
      <c r="J974" s="6">
        <v>33.840747833252003</v>
      </c>
      <c r="K974" s="6">
        <v>33.865806579589801</v>
      </c>
      <c r="L974" s="6">
        <v>35.1258354187012</v>
      </c>
    </row>
    <row r="975" spans="1:12" x14ac:dyDescent="0.25">
      <c r="A975">
        <v>2927606</v>
      </c>
      <c r="B975" t="str">
        <f t="shared" si="15"/>
        <v>SANTA BRIGIDA, BA, Brasil</v>
      </c>
      <c r="C975" s="4" t="str">
        <f>_xlfn.XLOOKUP(A975,[1]!DadosGHD[CD_GEOCMU],[1]!DadosGHD[Região])</f>
        <v>NE</v>
      </c>
      <c r="D975" s="4" t="str">
        <f>_xlfn.XLOOKUP(A975,[1]!DadosGHD[CD_GEOCMU],[1]!DadosGHD[uf])</f>
        <v>BA</v>
      </c>
      <c r="E975" s="5" t="str">
        <f>_xlfn.XLOOKUP(A975,[1]!DadosGHD[CD_GEOCMU],[1]!DadosGHD[MUNICIPIO])</f>
        <v>SANTA BRIGIDA</v>
      </c>
      <c r="F975" s="6">
        <v>33.702243804931598</v>
      </c>
      <c r="G975" s="6">
        <v>28.934810638427699</v>
      </c>
      <c r="H975" s="6">
        <v>28.974225997924801</v>
      </c>
      <c r="I975" s="6">
        <v>33.845832824707003</v>
      </c>
      <c r="J975" s="6">
        <v>33.888271331787102</v>
      </c>
      <c r="K975" s="6">
        <v>33.928054809570298</v>
      </c>
      <c r="L975" s="6">
        <v>35.130165100097699</v>
      </c>
    </row>
    <row r="976" spans="1:12" x14ac:dyDescent="0.25">
      <c r="A976">
        <v>2308104</v>
      </c>
      <c r="B976" t="str">
        <f t="shared" si="15"/>
        <v>MAURITI, CE, Brasil</v>
      </c>
      <c r="C976" s="4" t="str">
        <f>_xlfn.XLOOKUP(A976,[1]!DadosGHD[CD_GEOCMU],[1]!DadosGHD[Região])</f>
        <v>NE</v>
      </c>
      <c r="D976" s="4" t="str">
        <f>_xlfn.XLOOKUP(A976,[1]!DadosGHD[CD_GEOCMU],[1]!DadosGHD[uf])</f>
        <v>CE</v>
      </c>
      <c r="E976" s="5" t="str">
        <f>_xlfn.XLOOKUP(A976,[1]!DadosGHD[CD_GEOCMU],[1]!DadosGHD[MUNICIPIO])</f>
        <v>MAURITI</v>
      </c>
      <c r="F976" s="6">
        <v>33.702377319335902</v>
      </c>
      <c r="G976" s="6">
        <v>33.785938262939503</v>
      </c>
      <c r="H976" s="6">
        <v>33.8223686218262</v>
      </c>
      <c r="I976" s="6">
        <v>33.796333312988303</v>
      </c>
      <c r="J976" s="6">
        <v>33.835506439208999</v>
      </c>
      <c r="K976" s="6">
        <v>33.9052925109863</v>
      </c>
      <c r="L976" s="6">
        <v>35.138664245605497</v>
      </c>
    </row>
    <row r="977" spans="1:12" x14ac:dyDescent="0.25">
      <c r="A977">
        <v>1600279</v>
      </c>
      <c r="B977" t="str">
        <f t="shared" si="15"/>
        <v>LARANJAL DO JARI, AP, Brasil</v>
      </c>
      <c r="C977" s="4" t="str">
        <f>_xlfn.XLOOKUP(A977,[1]!DadosGHD[CD_GEOCMU],[1]!DadosGHD[Região])</f>
        <v>NO</v>
      </c>
      <c r="D977" s="4" t="str">
        <f>_xlfn.XLOOKUP(A977,[1]!DadosGHD[CD_GEOCMU],[1]!DadosGHD[uf])</f>
        <v>AP</v>
      </c>
      <c r="E977" s="5" t="str">
        <f>_xlfn.XLOOKUP(A977,[1]!DadosGHD[CD_GEOCMU],[1]!DadosGHD[MUNICIPIO])</f>
        <v>LARANJAL DO JARI</v>
      </c>
      <c r="F977" s="6">
        <v>33.702579498291001</v>
      </c>
      <c r="G977" s="6">
        <v>33.768497467041001</v>
      </c>
      <c r="H977" s="6">
        <v>28.978120803833001</v>
      </c>
      <c r="I977" s="6">
        <v>33.792739868164098</v>
      </c>
      <c r="J977" s="6">
        <v>33.881526947021499</v>
      </c>
      <c r="K977" s="6">
        <v>38.780025482177699</v>
      </c>
      <c r="L977" s="6">
        <v>44.031623840332003</v>
      </c>
    </row>
    <row r="978" spans="1:12" x14ac:dyDescent="0.25">
      <c r="A978">
        <v>1506500</v>
      </c>
      <c r="B978" t="str">
        <f t="shared" si="15"/>
        <v>SANTA IZABEL DO PARA, PA, Brasil</v>
      </c>
      <c r="C978" s="4" t="str">
        <f>_xlfn.XLOOKUP(A978,[1]!DadosGHD[CD_GEOCMU],[1]!DadosGHD[Região])</f>
        <v>NO</v>
      </c>
      <c r="D978" s="4" t="str">
        <f>_xlfn.XLOOKUP(A978,[1]!DadosGHD[CD_GEOCMU],[1]!DadosGHD[uf])</f>
        <v>PA</v>
      </c>
      <c r="E978" s="5" t="str">
        <f>_xlfn.XLOOKUP(A978,[1]!DadosGHD[CD_GEOCMU],[1]!DadosGHD[MUNICIPIO])</f>
        <v>SANTA IZABEL DO PARA</v>
      </c>
      <c r="F978" s="6">
        <v>33.702732086181598</v>
      </c>
      <c r="G978" s="6">
        <v>33.7900390625</v>
      </c>
      <c r="H978" s="6">
        <v>33.842617034912102</v>
      </c>
      <c r="I978" s="6">
        <v>33.827190399169901</v>
      </c>
      <c r="J978" s="6">
        <v>33.857822418212898</v>
      </c>
      <c r="K978" s="6">
        <v>33.918216705322301</v>
      </c>
      <c r="L978" s="6">
        <v>35.130844116210902</v>
      </c>
    </row>
    <row r="979" spans="1:12" x14ac:dyDescent="0.25">
      <c r="A979">
        <v>2605905</v>
      </c>
      <c r="B979" t="str">
        <f t="shared" si="15"/>
        <v>GAMELEIRA, PE, Brasil</v>
      </c>
      <c r="C979" s="4" t="str">
        <f>_xlfn.XLOOKUP(A979,[1]!DadosGHD[CD_GEOCMU],[1]!DadosGHD[Região])</f>
        <v>NE</v>
      </c>
      <c r="D979" s="4" t="str">
        <f>_xlfn.XLOOKUP(A979,[1]!DadosGHD[CD_GEOCMU],[1]!DadosGHD[uf])</f>
        <v>PE</v>
      </c>
      <c r="E979" s="5" t="str">
        <f>_xlfn.XLOOKUP(A979,[1]!DadosGHD[CD_GEOCMU],[1]!DadosGHD[MUNICIPIO])</f>
        <v>GAMELEIRA</v>
      </c>
      <c r="F979" s="6">
        <v>33.702766418457003</v>
      </c>
      <c r="G979" s="6">
        <v>28.9381408691406</v>
      </c>
      <c r="H979" s="6">
        <v>28.9774379730225</v>
      </c>
      <c r="I979" s="6">
        <v>33.792537689208999</v>
      </c>
      <c r="J979" s="6">
        <v>33.808761596679702</v>
      </c>
      <c r="K979" s="6">
        <v>33.842311859130902</v>
      </c>
      <c r="L979" s="6">
        <v>35.135211944580099</v>
      </c>
    </row>
    <row r="980" spans="1:12" x14ac:dyDescent="0.25">
      <c r="A980">
        <v>2101509</v>
      </c>
      <c r="B980" t="str">
        <f t="shared" si="15"/>
        <v>BARAO DE GRAJAU, MA, Brasil</v>
      </c>
      <c r="C980" s="4" t="str">
        <f>_xlfn.XLOOKUP(A980,[1]!DadosGHD[CD_GEOCMU],[1]!DadosGHD[Região])</f>
        <v>NE</v>
      </c>
      <c r="D980" s="4" t="str">
        <f>_xlfn.XLOOKUP(A980,[1]!DadosGHD[CD_GEOCMU],[1]!DadosGHD[uf])</f>
        <v>MA</v>
      </c>
      <c r="E980" s="5" t="str">
        <f>_xlfn.XLOOKUP(A980,[1]!DadosGHD[CD_GEOCMU],[1]!DadosGHD[MUNICIPIO])</f>
        <v>BARAO DE GRAJAU</v>
      </c>
      <c r="F980" s="6">
        <v>33.702770233154297</v>
      </c>
      <c r="G980" s="6">
        <v>28.9391269683838</v>
      </c>
      <c r="H980" s="6">
        <v>28.972072601318398</v>
      </c>
      <c r="I980" s="6">
        <v>28.9526062011719</v>
      </c>
      <c r="J980" s="6">
        <v>33.827377319335902</v>
      </c>
      <c r="K980" s="6">
        <v>38.799026489257798</v>
      </c>
      <c r="L980" s="6">
        <v>39.564365386962898</v>
      </c>
    </row>
    <row r="981" spans="1:12" x14ac:dyDescent="0.25">
      <c r="A981">
        <v>2904001</v>
      </c>
      <c r="B981" t="str">
        <f t="shared" si="15"/>
        <v>BONINAL, BA, Brasil</v>
      </c>
      <c r="C981" s="4" t="str">
        <f>_xlfn.XLOOKUP(A981,[1]!DadosGHD[CD_GEOCMU],[1]!DadosGHD[Região])</f>
        <v>NE</v>
      </c>
      <c r="D981" s="4" t="str">
        <f>_xlfn.XLOOKUP(A981,[1]!DadosGHD[CD_GEOCMU],[1]!DadosGHD[uf])</f>
        <v>BA</v>
      </c>
      <c r="E981" s="5" t="str">
        <f>_xlfn.XLOOKUP(A981,[1]!DadosGHD[CD_GEOCMU],[1]!DadosGHD[MUNICIPIO])</f>
        <v>BONINAL</v>
      </c>
      <c r="F981" s="6">
        <v>33.702842712402301</v>
      </c>
      <c r="G981" s="6">
        <v>33.785602569580099</v>
      </c>
      <c r="H981" s="6">
        <v>33.827018737792997</v>
      </c>
      <c r="I981" s="6">
        <v>33.803028106689503</v>
      </c>
      <c r="J981" s="6">
        <v>33.819808959960902</v>
      </c>
      <c r="K981" s="6">
        <v>33.851039886474602</v>
      </c>
      <c r="L981" s="6">
        <v>26.2868537902832</v>
      </c>
    </row>
    <row r="982" spans="1:12" x14ac:dyDescent="0.25">
      <c r="A982">
        <v>2313351</v>
      </c>
      <c r="B982" t="str">
        <f t="shared" si="15"/>
        <v>TEJUCUOCA, CE, Brasil</v>
      </c>
      <c r="C982" s="4" t="str">
        <f>_xlfn.XLOOKUP(A982,[1]!DadosGHD[CD_GEOCMU],[1]!DadosGHD[Região])</f>
        <v>NE</v>
      </c>
      <c r="D982" s="4" t="str">
        <f>_xlfn.XLOOKUP(A982,[1]!DadosGHD[CD_GEOCMU],[1]!DadosGHD[uf])</f>
        <v>CE</v>
      </c>
      <c r="E982" s="5" t="str">
        <f>_xlfn.XLOOKUP(A982,[1]!DadosGHD[CD_GEOCMU],[1]!DadosGHD[MUNICIPIO])</f>
        <v>TEJUCUOCA</v>
      </c>
      <c r="F982" s="6">
        <v>33.702846527099602</v>
      </c>
      <c r="G982" s="6">
        <v>33.7645874023438</v>
      </c>
      <c r="H982" s="6">
        <v>28.978836059570298</v>
      </c>
      <c r="I982" s="6">
        <v>28.953454971313501</v>
      </c>
      <c r="J982" s="6">
        <v>28.9738464355469</v>
      </c>
      <c r="K982" s="6">
        <v>29.006496429443398</v>
      </c>
      <c r="L982" s="6">
        <v>30.689628601074201</v>
      </c>
    </row>
    <row r="983" spans="1:12" x14ac:dyDescent="0.25">
      <c r="A983">
        <v>2604205</v>
      </c>
      <c r="B983" t="str">
        <f t="shared" si="15"/>
        <v>CATENDE, PE, Brasil</v>
      </c>
      <c r="C983" s="4" t="str">
        <f>_xlfn.XLOOKUP(A983,[1]!DadosGHD[CD_GEOCMU],[1]!DadosGHD[Região])</f>
        <v>NE</v>
      </c>
      <c r="D983" s="4" t="str">
        <f>_xlfn.XLOOKUP(A983,[1]!DadosGHD[CD_GEOCMU],[1]!DadosGHD[uf])</f>
        <v>PE</v>
      </c>
      <c r="E983" s="5" t="str">
        <f>_xlfn.XLOOKUP(A983,[1]!DadosGHD[CD_GEOCMU],[1]!DadosGHD[MUNICIPIO])</f>
        <v>CATENDE</v>
      </c>
      <c r="F983" s="6">
        <v>33.702857971191399</v>
      </c>
      <c r="G983" s="6">
        <v>33.766738891601598</v>
      </c>
      <c r="H983" s="6">
        <v>33.819492340087898</v>
      </c>
      <c r="I983" s="6">
        <v>33.791080474853501</v>
      </c>
      <c r="J983" s="6">
        <v>28.976072311401399</v>
      </c>
      <c r="K983" s="6">
        <v>28.995649337768601</v>
      </c>
      <c r="L983" s="6">
        <v>26.282493591308601</v>
      </c>
    </row>
    <row r="984" spans="1:12" x14ac:dyDescent="0.25">
      <c r="A984">
        <v>3155009</v>
      </c>
      <c r="B984" t="str">
        <f t="shared" si="15"/>
        <v>RIO DOCE, MG, Brasil</v>
      </c>
      <c r="C984" s="4" t="str">
        <f>_xlfn.XLOOKUP(A984,[1]!DadosGHD[CD_GEOCMU],[1]!DadosGHD[Região])</f>
        <v>SD</v>
      </c>
      <c r="D984" s="4" t="str">
        <f>_xlfn.XLOOKUP(A984,[1]!DadosGHD[CD_GEOCMU],[1]!DadosGHD[uf])</f>
        <v>MG</v>
      </c>
      <c r="E984" s="5" t="str">
        <f>_xlfn.XLOOKUP(A984,[1]!DadosGHD[CD_GEOCMU],[1]!DadosGHD[MUNICIPIO])</f>
        <v>RIO DOCE</v>
      </c>
      <c r="F984" s="6">
        <v>33.702869415283203</v>
      </c>
      <c r="G984" s="6">
        <v>33.789924621582003</v>
      </c>
      <c r="H984" s="6">
        <v>28.978013992309599</v>
      </c>
      <c r="I984" s="6">
        <v>28.961301803588899</v>
      </c>
      <c r="J984" s="6">
        <v>28.9565544128418</v>
      </c>
      <c r="K984" s="6">
        <v>43.831005096435597</v>
      </c>
      <c r="L984" s="6">
        <v>57.578567504882798</v>
      </c>
    </row>
    <row r="985" spans="1:12" x14ac:dyDescent="0.25">
      <c r="A985">
        <v>2410405</v>
      </c>
      <c r="B985" t="str">
        <f t="shared" si="15"/>
        <v>PUREZA, RN, Brasil</v>
      </c>
      <c r="C985" s="4" t="str">
        <f>_xlfn.XLOOKUP(A985,[1]!DadosGHD[CD_GEOCMU],[1]!DadosGHD[Região])</f>
        <v>NE</v>
      </c>
      <c r="D985" s="4" t="str">
        <f>_xlfn.XLOOKUP(A985,[1]!DadosGHD[CD_GEOCMU],[1]!DadosGHD[uf])</f>
        <v>RN</v>
      </c>
      <c r="E985" s="5" t="str">
        <f>_xlfn.XLOOKUP(A985,[1]!DadosGHD[CD_GEOCMU],[1]!DadosGHD[MUNICIPIO])</f>
        <v>PUREZA</v>
      </c>
      <c r="F985" s="6">
        <v>33.702960968017599</v>
      </c>
      <c r="G985" s="6">
        <v>28.939195632934599</v>
      </c>
      <c r="H985" s="6">
        <v>28.980279922485401</v>
      </c>
      <c r="I985" s="6">
        <v>33.791336059570298</v>
      </c>
      <c r="J985" s="6">
        <v>28.9747619628906</v>
      </c>
      <c r="K985" s="6">
        <v>29.0067348480225</v>
      </c>
      <c r="L985" s="6">
        <v>26.2798957824707</v>
      </c>
    </row>
    <row r="986" spans="1:12" x14ac:dyDescent="0.25">
      <c r="A986">
        <v>1703842</v>
      </c>
      <c r="B986" t="str">
        <f t="shared" si="15"/>
        <v>CAMPOS LINDOS, TO, Brasil</v>
      </c>
      <c r="C986" s="4" t="str">
        <f>_xlfn.XLOOKUP(A986,[1]!DadosGHD[CD_GEOCMU],[1]!DadosGHD[Região])</f>
        <v>NO</v>
      </c>
      <c r="D986" s="4" t="str">
        <f>_xlfn.XLOOKUP(A986,[1]!DadosGHD[CD_GEOCMU],[1]!DadosGHD[uf])</f>
        <v>TO</v>
      </c>
      <c r="E986" s="5" t="str">
        <f>_xlfn.XLOOKUP(A986,[1]!DadosGHD[CD_GEOCMU],[1]!DadosGHD[MUNICIPIO])</f>
        <v>CAMPOS LINDOS</v>
      </c>
      <c r="F986" s="6">
        <v>33.702972412109403</v>
      </c>
      <c r="G986" s="6">
        <v>28.937322616577202</v>
      </c>
      <c r="H986" s="6">
        <v>28.968778610229499</v>
      </c>
      <c r="I986" s="6">
        <v>28.947778701782202</v>
      </c>
      <c r="J986" s="6">
        <v>28.9614658355713</v>
      </c>
      <c r="K986" s="6">
        <v>28.987909317016602</v>
      </c>
      <c r="L986" s="6">
        <v>26.282100677490199</v>
      </c>
    </row>
    <row r="987" spans="1:12" x14ac:dyDescent="0.25">
      <c r="A987">
        <v>2910503</v>
      </c>
      <c r="B987" t="str">
        <f t="shared" si="15"/>
        <v>ENTRE RIOS, BA, Brasil</v>
      </c>
      <c r="C987" s="4" t="str">
        <f>_xlfn.XLOOKUP(A987,[1]!DadosGHD[CD_GEOCMU],[1]!DadosGHD[Região])</f>
        <v>NE</v>
      </c>
      <c r="D987" s="4" t="str">
        <f>_xlfn.XLOOKUP(A987,[1]!DadosGHD[CD_GEOCMU],[1]!DadosGHD[uf])</f>
        <v>BA</v>
      </c>
      <c r="E987" s="5" t="str">
        <f>_xlfn.XLOOKUP(A987,[1]!DadosGHD[CD_GEOCMU],[1]!DadosGHD[MUNICIPIO])</f>
        <v>ENTRE RIOS</v>
      </c>
      <c r="F987" s="6">
        <v>33.703071594238303</v>
      </c>
      <c r="G987" s="6">
        <v>33.772098541259801</v>
      </c>
      <c r="H987" s="6">
        <v>33.824092864990199</v>
      </c>
      <c r="I987" s="6">
        <v>33.811672210693402</v>
      </c>
      <c r="J987" s="6">
        <v>33.870758056640597</v>
      </c>
      <c r="K987" s="6">
        <v>33.886501312255902</v>
      </c>
      <c r="L987" s="6">
        <v>30.6942539215088</v>
      </c>
    </row>
    <row r="988" spans="1:12" x14ac:dyDescent="0.25">
      <c r="A988">
        <v>2927507</v>
      </c>
      <c r="B988" t="str">
        <f t="shared" si="15"/>
        <v>SANTA BARBARA, BA, Brasil</v>
      </c>
      <c r="C988" s="4" t="str">
        <f>_xlfn.XLOOKUP(A988,[1]!DadosGHD[CD_GEOCMU],[1]!DadosGHD[Região])</f>
        <v>NE</v>
      </c>
      <c r="D988" s="4" t="str">
        <f>_xlfn.XLOOKUP(A988,[1]!DadosGHD[CD_GEOCMU],[1]!DadosGHD[uf])</f>
        <v>BA</v>
      </c>
      <c r="E988" s="5" t="str">
        <f>_xlfn.XLOOKUP(A988,[1]!DadosGHD[CD_GEOCMU],[1]!DadosGHD[MUNICIPIO])</f>
        <v>SANTA BARBARA</v>
      </c>
      <c r="F988" s="6">
        <v>33.703079223632798</v>
      </c>
      <c r="G988" s="6">
        <v>33.775459289550803</v>
      </c>
      <c r="H988" s="6">
        <v>33.831233978271499</v>
      </c>
      <c r="I988" s="6">
        <v>33.8160591125488</v>
      </c>
      <c r="J988" s="6">
        <v>33.821666717529297</v>
      </c>
      <c r="K988" s="6">
        <v>33.863803863525398</v>
      </c>
      <c r="L988" s="6">
        <v>26.283811569213899</v>
      </c>
    </row>
    <row r="989" spans="1:12" x14ac:dyDescent="0.25">
      <c r="A989">
        <v>2206407</v>
      </c>
      <c r="B989" t="str">
        <f t="shared" si="15"/>
        <v>MONSENHOR GIL, PI, Brasil</v>
      </c>
      <c r="C989" s="4" t="str">
        <f>_xlfn.XLOOKUP(A989,[1]!DadosGHD[CD_GEOCMU],[1]!DadosGHD[Região])</f>
        <v>NE</v>
      </c>
      <c r="D989" s="4" t="str">
        <f>_xlfn.XLOOKUP(A989,[1]!DadosGHD[CD_GEOCMU],[1]!DadosGHD[uf])</f>
        <v>PI</v>
      </c>
      <c r="E989" s="5" t="str">
        <f>_xlfn.XLOOKUP(A989,[1]!DadosGHD[CD_GEOCMU],[1]!DadosGHD[MUNICIPIO])</f>
        <v>MONSENHOR GIL</v>
      </c>
      <c r="F989" s="6">
        <v>33.703163146972699</v>
      </c>
      <c r="G989" s="6">
        <v>28.940483093261701</v>
      </c>
      <c r="H989" s="6">
        <v>28.977699279785199</v>
      </c>
      <c r="I989" s="6">
        <v>33.788936614990199</v>
      </c>
      <c r="J989" s="6">
        <v>28.975938796997099</v>
      </c>
      <c r="K989" s="6">
        <v>29.002019882202202</v>
      </c>
      <c r="L989" s="6">
        <v>30.688779830932599</v>
      </c>
    </row>
    <row r="990" spans="1:12" x14ac:dyDescent="0.25">
      <c r="A990">
        <v>2601102</v>
      </c>
      <c r="B990" t="str">
        <f t="shared" si="15"/>
        <v>ARARIPINA, PE, Brasil</v>
      </c>
      <c r="C990" s="4" t="str">
        <f>_xlfn.XLOOKUP(A990,[1]!DadosGHD[CD_GEOCMU],[1]!DadosGHD[Região])</f>
        <v>NE</v>
      </c>
      <c r="D990" s="4" t="str">
        <f>_xlfn.XLOOKUP(A990,[1]!DadosGHD[CD_GEOCMU],[1]!DadosGHD[uf])</f>
        <v>PE</v>
      </c>
      <c r="E990" s="5" t="str">
        <f>_xlfn.XLOOKUP(A990,[1]!DadosGHD[CD_GEOCMU],[1]!DadosGHD[MUNICIPIO])</f>
        <v>ARARIPINA</v>
      </c>
      <c r="F990" s="6">
        <v>33.7031860351563</v>
      </c>
      <c r="G990" s="6">
        <v>33.793201446533203</v>
      </c>
      <c r="H990" s="6">
        <v>33.830501556396499</v>
      </c>
      <c r="I990" s="6">
        <v>33.838249206542997</v>
      </c>
      <c r="J990" s="6">
        <v>33.858974456787102</v>
      </c>
      <c r="K990" s="6">
        <v>33.898143768310597</v>
      </c>
      <c r="L990" s="6">
        <v>39.598499298095703</v>
      </c>
    </row>
    <row r="991" spans="1:12" x14ac:dyDescent="0.25">
      <c r="A991">
        <v>2111201</v>
      </c>
      <c r="B991" t="str">
        <f t="shared" si="15"/>
        <v>SAO JOSE DE RIBAMAR, MA, Brasil</v>
      </c>
      <c r="C991" s="4" t="str">
        <f>_xlfn.XLOOKUP(A991,[1]!DadosGHD[CD_GEOCMU],[1]!DadosGHD[Região])</f>
        <v>NE</v>
      </c>
      <c r="D991" s="4" t="str">
        <f>_xlfn.XLOOKUP(A991,[1]!DadosGHD[CD_GEOCMU],[1]!DadosGHD[uf])</f>
        <v>MA</v>
      </c>
      <c r="E991" s="5" t="str">
        <f>_xlfn.XLOOKUP(A991,[1]!DadosGHD[CD_GEOCMU],[1]!DadosGHD[MUNICIPIO])</f>
        <v>SAO JOSE DE RIBAMAR</v>
      </c>
      <c r="F991" s="6">
        <v>33.703239440917997</v>
      </c>
      <c r="G991" s="6">
        <v>33.803413391113303</v>
      </c>
      <c r="H991" s="6">
        <v>33.859413146972699</v>
      </c>
      <c r="I991" s="6">
        <v>33.834438323974602</v>
      </c>
      <c r="J991" s="6">
        <v>33.858329772949197</v>
      </c>
      <c r="K991" s="6">
        <v>33.892780303955099</v>
      </c>
      <c r="L991" s="6">
        <v>30.688713073730501</v>
      </c>
    </row>
    <row r="992" spans="1:12" x14ac:dyDescent="0.25">
      <c r="A992">
        <v>2900207</v>
      </c>
      <c r="B992" t="str">
        <f t="shared" si="15"/>
        <v>ABARE, BA, Brasil</v>
      </c>
      <c r="C992" s="4" t="str">
        <f>_xlfn.XLOOKUP(A992,[1]!DadosGHD[CD_GEOCMU],[1]!DadosGHD[Região])</f>
        <v>NE</v>
      </c>
      <c r="D992" s="4" t="str">
        <f>_xlfn.XLOOKUP(A992,[1]!DadosGHD[CD_GEOCMU],[1]!DadosGHD[uf])</f>
        <v>BA</v>
      </c>
      <c r="E992" s="5" t="str">
        <f>_xlfn.XLOOKUP(A992,[1]!DadosGHD[CD_GEOCMU],[1]!DadosGHD[MUNICIPIO])</f>
        <v>ABARE</v>
      </c>
      <c r="F992" s="6">
        <v>33.703441619873097</v>
      </c>
      <c r="G992" s="6">
        <v>33.775314331054702</v>
      </c>
      <c r="H992" s="6">
        <v>28.975160598754901</v>
      </c>
      <c r="I992" s="6">
        <v>28.950759887695298</v>
      </c>
      <c r="J992" s="6">
        <v>28.968355178833001</v>
      </c>
      <c r="K992" s="6">
        <v>33.843162536621101</v>
      </c>
      <c r="L992" s="6">
        <v>35.143356323242202</v>
      </c>
    </row>
    <row r="993" spans="1:12" x14ac:dyDescent="0.25">
      <c r="A993">
        <v>2705804</v>
      </c>
      <c r="B993" t="str">
        <f t="shared" si="15"/>
        <v>OLHO D'AGUA DO CASADO, AL, Brasil</v>
      </c>
      <c r="C993" s="4" t="str">
        <f>_xlfn.XLOOKUP(A993,[1]!DadosGHD[CD_GEOCMU],[1]!DadosGHD[Região])</f>
        <v>NE</v>
      </c>
      <c r="D993" s="4" t="str">
        <f>_xlfn.XLOOKUP(A993,[1]!DadosGHD[CD_GEOCMU],[1]!DadosGHD[uf])</f>
        <v>AL</v>
      </c>
      <c r="E993" s="5" t="str">
        <f>_xlfn.XLOOKUP(A993,[1]!DadosGHD[CD_GEOCMU],[1]!DadosGHD[MUNICIPIO])</f>
        <v>OLHO D'AGUA DO CASADO</v>
      </c>
      <c r="F993" s="6">
        <v>33.7034721374512</v>
      </c>
      <c r="G993" s="6">
        <v>28.9379978179932</v>
      </c>
      <c r="H993" s="6">
        <v>28.972480773925799</v>
      </c>
      <c r="I993" s="6">
        <v>28.952880859375</v>
      </c>
      <c r="J993" s="6">
        <v>28.967283248901399</v>
      </c>
      <c r="K993" s="6">
        <v>28.994016647338899</v>
      </c>
      <c r="L993" s="6">
        <v>26.282768249511701</v>
      </c>
    </row>
    <row r="994" spans="1:12" x14ac:dyDescent="0.25">
      <c r="A994">
        <v>1304062</v>
      </c>
      <c r="B994" t="str">
        <f t="shared" si="15"/>
        <v>TABATINGA, AM, Brasil</v>
      </c>
      <c r="C994" s="4" t="str">
        <f>_xlfn.XLOOKUP(A994,[1]!DadosGHD[CD_GEOCMU],[1]!DadosGHD[Região])</f>
        <v>NO</v>
      </c>
      <c r="D994" s="4" t="str">
        <f>_xlfn.XLOOKUP(A994,[1]!DadosGHD[CD_GEOCMU],[1]!DadosGHD[uf])</f>
        <v>AM</v>
      </c>
      <c r="E994" s="5" t="str">
        <f>_xlfn.XLOOKUP(A994,[1]!DadosGHD[CD_GEOCMU],[1]!DadosGHD[MUNICIPIO])</f>
        <v>TABATINGA</v>
      </c>
      <c r="F994" s="6">
        <v>33.703495025634801</v>
      </c>
      <c r="G994" s="6">
        <v>28.936603546142599</v>
      </c>
      <c r="H994" s="6">
        <v>28.967958450317401</v>
      </c>
      <c r="I994" s="6">
        <v>28.950302124023398</v>
      </c>
      <c r="J994" s="6">
        <v>28.9587497711182</v>
      </c>
      <c r="K994" s="6">
        <v>28.980928421020501</v>
      </c>
      <c r="L994" s="6">
        <v>57.589881896972699</v>
      </c>
    </row>
    <row r="995" spans="1:12" x14ac:dyDescent="0.25">
      <c r="A995">
        <v>2702553</v>
      </c>
      <c r="B995" t="str">
        <f t="shared" si="15"/>
        <v>ESTRELA DE ALAGOAS, AL, Brasil</v>
      </c>
      <c r="C995" s="4" t="str">
        <f>_xlfn.XLOOKUP(A995,[1]!DadosGHD[CD_GEOCMU],[1]!DadosGHD[Região])</f>
        <v>NE</v>
      </c>
      <c r="D995" s="4" t="str">
        <f>_xlfn.XLOOKUP(A995,[1]!DadosGHD[CD_GEOCMU],[1]!DadosGHD[uf])</f>
        <v>AL</v>
      </c>
      <c r="E995" s="5" t="str">
        <f>_xlfn.XLOOKUP(A995,[1]!DadosGHD[CD_GEOCMU],[1]!DadosGHD[MUNICIPIO])</f>
        <v>ESTRELA DE ALAGOAS</v>
      </c>
      <c r="F995" s="6">
        <v>33.703529357910199</v>
      </c>
      <c r="G995" s="6">
        <v>28.939844131469702</v>
      </c>
      <c r="H995" s="6">
        <v>28.974241256713899</v>
      </c>
      <c r="I995" s="6">
        <v>28.954942703247099</v>
      </c>
      <c r="J995" s="6">
        <v>28.969646453857401</v>
      </c>
      <c r="K995" s="6">
        <v>28.972978591918899</v>
      </c>
      <c r="L995" s="6">
        <v>26.2798957824707</v>
      </c>
    </row>
    <row r="996" spans="1:12" x14ac:dyDescent="0.25">
      <c r="A996">
        <v>1507151</v>
      </c>
      <c r="B996" t="str">
        <f t="shared" si="15"/>
        <v>SAO DOMINGOS DO ARAGUAIA, PA, Brasil</v>
      </c>
      <c r="C996" s="4" t="str">
        <f>_xlfn.XLOOKUP(A996,[1]!DadosGHD[CD_GEOCMU],[1]!DadosGHD[Região])</f>
        <v>NO</v>
      </c>
      <c r="D996" s="4" t="str">
        <f>_xlfn.XLOOKUP(A996,[1]!DadosGHD[CD_GEOCMU],[1]!DadosGHD[uf])</f>
        <v>PA</v>
      </c>
      <c r="E996" s="5" t="str">
        <f>_xlfn.XLOOKUP(A996,[1]!DadosGHD[CD_GEOCMU],[1]!DadosGHD[MUNICIPIO])</f>
        <v>SAO DOMINGOS DO ARAGUAIA</v>
      </c>
      <c r="F996" s="6">
        <v>33.7035522460938</v>
      </c>
      <c r="G996" s="6">
        <v>33.7684135437012</v>
      </c>
      <c r="H996" s="6">
        <v>33.812374114990199</v>
      </c>
      <c r="I996" s="6">
        <v>33.798599243164098</v>
      </c>
      <c r="J996" s="6">
        <v>33.815525054931598</v>
      </c>
      <c r="K996" s="6">
        <v>33.869464874267599</v>
      </c>
      <c r="L996" s="6">
        <v>30.691452026367202</v>
      </c>
    </row>
    <row r="997" spans="1:12" x14ac:dyDescent="0.25">
      <c r="A997">
        <v>2508000</v>
      </c>
      <c r="B997" t="str">
        <f t="shared" si="15"/>
        <v>JURU, PB, Brasil</v>
      </c>
      <c r="C997" s="4" t="str">
        <f>_xlfn.XLOOKUP(A997,[1]!DadosGHD[CD_GEOCMU],[1]!DadosGHD[Região])</f>
        <v>NE</v>
      </c>
      <c r="D997" s="4" t="str">
        <f>_xlfn.XLOOKUP(A997,[1]!DadosGHD[CD_GEOCMU],[1]!DadosGHD[uf])</f>
        <v>PB</v>
      </c>
      <c r="E997" s="5" t="str">
        <f>_xlfn.XLOOKUP(A997,[1]!DadosGHD[CD_GEOCMU],[1]!DadosGHD[MUNICIPIO])</f>
        <v>JURU</v>
      </c>
      <c r="F997" s="6">
        <v>33.703647613525398</v>
      </c>
      <c r="G997" s="6">
        <v>33.771804809570298</v>
      </c>
      <c r="H997" s="6">
        <v>33.844505310058601</v>
      </c>
      <c r="I997" s="6">
        <v>33.8489379882813</v>
      </c>
      <c r="J997" s="6">
        <v>33.871349334716797</v>
      </c>
      <c r="K997" s="6">
        <v>33.880661010742202</v>
      </c>
      <c r="L997" s="6">
        <v>30.718460083007798</v>
      </c>
    </row>
    <row r="998" spans="1:12" x14ac:dyDescent="0.25">
      <c r="A998">
        <v>2607000</v>
      </c>
      <c r="B998" t="str">
        <f t="shared" si="15"/>
        <v>INAJA, PE, Brasil</v>
      </c>
      <c r="C998" s="4" t="str">
        <f>_xlfn.XLOOKUP(A998,[1]!DadosGHD[CD_GEOCMU],[1]!DadosGHD[Região])</f>
        <v>NE</v>
      </c>
      <c r="D998" s="4" t="str">
        <f>_xlfn.XLOOKUP(A998,[1]!DadosGHD[CD_GEOCMU],[1]!DadosGHD[uf])</f>
        <v>PE</v>
      </c>
      <c r="E998" s="5" t="str">
        <f>_xlfn.XLOOKUP(A998,[1]!DadosGHD[CD_GEOCMU],[1]!DadosGHD[MUNICIPIO])</f>
        <v>INAJA</v>
      </c>
      <c r="F998" s="6">
        <v>33.703681945800803</v>
      </c>
      <c r="G998" s="6">
        <v>33.771156311035199</v>
      </c>
      <c r="H998" s="6">
        <v>28.9639682769775</v>
      </c>
      <c r="I998" s="6">
        <v>28.943183898925799</v>
      </c>
      <c r="J998" s="6">
        <v>28.957525253295898</v>
      </c>
      <c r="K998" s="6">
        <v>28.985691070556602</v>
      </c>
      <c r="L998" s="6">
        <v>26.295902252197301</v>
      </c>
    </row>
    <row r="999" spans="1:12" x14ac:dyDescent="0.25">
      <c r="A999">
        <v>2200707</v>
      </c>
      <c r="B999" t="str">
        <f t="shared" si="15"/>
        <v>ANISIO DE ABREU, PI, Brasil</v>
      </c>
      <c r="C999" s="4" t="str">
        <f>_xlfn.XLOOKUP(A999,[1]!DadosGHD[CD_GEOCMU],[1]!DadosGHD[Região])</f>
        <v>NE</v>
      </c>
      <c r="D999" s="4" t="str">
        <f>_xlfn.XLOOKUP(A999,[1]!DadosGHD[CD_GEOCMU],[1]!DadosGHD[uf])</f>
        <v>PI</v>
      </c>
      <c r="E999" s="5" t="str">
        <f>_xlfn.XLOOKUP(A999,[1]!DadosGHD[CD_GEOCMU],[1]!DadosGHD[MUNICIPIO])</f>
        <v>ANISIO DE ABREU</v>
      </c>
      <c r="F999" s="6">
        <v>33.7037544250488</v>
      </c>
      <c r="G999" s="6">
        <v>28.9383430480957</v>
      </c>
      <c r="H999" s="6">
        <v>28.968776702880898</v>
      </c>
      <c r="I999" s="6">
        <v>28.9592170715332</v>
      </c>
      <c r="J999" s="6">
        <v>28.964359283447301</v>
      </c>
      <c r="K999" s="6">
        <v>28.9906826019287</v>
      </c>
      <c r="L999" s="6">
        <v>26.2798957824707</v>
      </c>
    </row>
    <row r="1000" spans="1:12" x14ac:dyDescent="0.25">
      <c r="A1000">
        <v>1504406</v>
      </c>
      <c r="B1000" t="str">
        <f t="shared" si="15"/>
        <v>MARAPANIM, PA, Brasil</v>
      </c>
      <c r="C1000" s="4" t="str">
        <f>_xlfn.XLOOKUP(A1000,[1]!DadosGHD[CD_GEOCMU],[1]!DadosGHD[Região])</f>
        <v>NO</v>
      </c>
      <c r="D1000" s="4" t="str">
        <f>_xlfn.XLOOKUP(A1000,[1]!DadosGHD[CD_GEOCMU],[1]!DadosGHD[uf])</f>
        <v>PA</v>
      </c>
      <c r="E1000" s="5" t="str">
        <f>_xlfn.XLOOKUP(A1000,[1]!DadosGHD[CD_GEOCMU],[1]!DadosGHD[MUNICIPIO])</f>
        <v>MARAPANIM</v>
      </c>
      <c r="F1000" s="6">
        <v>33.7037963867188</v>
      </c>
      <c r="G1000" s="6">
        <v>33.782432556152301</v>
      </c>
      <c r="H1000" s="6">
        <v>33.833606719970703</v>
      </c>
      <c r="I1000" s="6">
        <v>33.816116333007798</v>
      </c>
      <c r="J1000" s="6">
        <v>33.844959259033203</v>
      </c>
      <c r="K1000" s="6">
        <v>33.891204833984403</v>
      </c>
      <c r="L1000" s="6">
        <v>30.684963226318398</v>
      </c>
    </row>
    <row r="1001" spans="1:12" x14ac:dyDescent="0.25">
      <c r="A1001">
        <v>2202091</v>
      </c>
      <c r="B1001" t="str">
        <f t="shared" si="15"/>
        <v>CALDEIRAO GRANDE DO PIAUI, PI, Brasil</v>
      </c>
      <c r="C1001" s="4" t="str">
        <f>_xlfn.XLOOKUP(A1001,[1]!DadosGHD[CD_GEOCMU],[1]!DadosGHD[Região])</f>
        <v>NE</v>
      </c>
      <c r="D1001" s="4" t="str">
        <f>_xlfn.XLOOKUP(A1001,[1]!DadosGHD[CD_GEOCMU],[1]!DadosGHD[uf])</f>
        <v>PI</v>
      </c>
      <c r="E1001" s="5" t="str">
        <f>_xlfn.XLOOKUP(A1001,[1]!DadosGHD[CD_GEOCMU],[1]!DadosGHD[MUNICIPIO])</f>
        <v>CALDEIRAO GRANDE DO PIAUI</v>
      </c>
      <c r="F1001" s="6">
        <v>33.703887939453097</v>
      </c>
      <c r="G1001" s="6">
        <v>28.907878875732401</v>
      </c>
      <c r="H1001" s="6">
        <v>28.942651748657202</v>
      </c>
      <c r="I1001" s="6">
        <v>28.925045013427699</v>
      </c>
      <c r="J1001" s="6">
        <v>28.9409065246582</v>
      </c>
      <c r="K1001" s="6">
        <v>28.9686679840088</v>
      </c>
      <c r="L1001" s="6">
        <v>26.2798957824707</v>
      </c>
    </row>
    <row r="1002" spans="1:12" x14ac:dyDescent="0.25">
      <c r="A1002">
        <v>2111904</v>
      </c>
      <c r="B1002" t="str">
        <f t="shared" si="15"/>
        <v>SUCUPIRA DO NORTE, MA, Brasil</v>
      </c>
      <c r="C1002" s="4" t="str">
        <f>_xlfn.XLOOKUP(A1002,[1]!DadosGHD[CD_GEOCMU],[1]!DadosGHD[Região])</f>
        <v>NE</v>
      </c>
      <c r="D1002" s="4" t="str">
        <f>_xlfn.XLOOKUP(A1002,[1]!DadosGHD[CD_GEOCMU],[1]!DadosGHD[uf])</f>
        <v>MA</v>
      </c>
      <c r="E1002" s="5" t="str">
        <f>_xlfn.XLOOKUP(A1002,[1]!DadosGHD[CD_GEOCMU],[1]!DadosGHD[MUNICIPIO])</f>
        <v>SUCUPIRA DO NORTE</v>
      </c>
      <c r="F1002" s="6">
        <v>33.703952789306598</v>
      </c>
      <c r="G1002" s="6">
        <v>33.7677001953125</v>
      </c>
      <c r="H1002" s="6">
        <v>28.975915908813501</v>
      </c>
      <c r="I1002" s="6">
        <v>28.957820892333999</v>
      </c>
      <c r="J1002" s="6">
        <v>28.974100112915</v>
      </c>
      <c r="K1002" s="6">
        <v>28.9904079437256</v>
      </c>
      <c r="L1002" s="6">
        <v>26.2864475250244</v>
      </c>
    </row>
    <row r="1003" spans="1:12" x14ac:dyDescent="0.25">
      <c r="A1003">
        <v>2607653</v>
      </c>
      <c r="B1003" t="str">
        <f t="shared" si="15"/>
        <v>ITAMBE, PE, Brasil</v>
      </c>
      <c r="C1003" s="4" t="str">
        <f>_xlfn.XLOOKUP(A1003,[1]!DadosGHD[CD_GEOCMU],[1]!DadosGHD[Região])</f>
        <v>NE</v>
      </c>
      <c r="D1003" s="4" t="str">
        <f>_xlfn.XLOOKUP(A1003,[1]!DadosGHD[CD_GEOCMU],[1]!DadosGHD[uf])</f>
        <v>PE</v>
      </c>
      <c r="E1003" s="5" t="str">
        <f>_xlfn.XLOOKUP(A1003,[1]!DadosGHD[CD_GEOCMU],[1]!DadosGHD[MUNICIPIO])</f>
        <v>ITAMBE</v>
      </c>
      <c r="F1003" s="6">
        <v>33.703952789306598</v>
      </c>
      <c r="G1003" s="6">
        <v>28.940212249755898</v>
      </c>
      <c r="H1003" s="6">
        <v>28.976385116577202</v>
      </c>
      <c r="I1003" s="6">
        <v>33.789817810058601</v>
      </c>
      <c r="J1003" s="6">
        <v>33.829307556152301</v>
      </c>
      <c r="K1003" s="6">
        <v>33.851921081542997</v>
      </c>
      <c r="L1003" s="6">
        <v>26.2808132171631</v>
      </c>
    </row>
    <row r="1004" spans="1:12" x14ac:dyDescent="0.25">
      <c r="A1004">
        <v>3134608</v>
      </c>
      <c r="B1004" t="str">
        <f t="shared" si="15"/>
        <v>JABOTICATUBAS, MG, Brasil</v>
      </c>
      <c r="C1004" s="4" t="str">
        <f>_xlfn.XLOOKUP(A1004,[1]!DadosGHD[CD_GEOCMU],[1]!DadosGHD[Região])</f>
        <v>SD</v>
      </c>
      <c r="D1004" s="4" t="str">
        <f>_xlfn.XLOOKUP(A1004,[1]!DadosGHD[CD_GEOCMU],[1]!DadosGHD[uf])</f>
        <v>MG</v>
      </c>
      <c r="E1004" s="5" t="str">
        <f>_xlfn.XLOOKUP(A1004,[1]!DadosGHD[CD_GEOCMU],[1]!DadosGHD[MUNICIPIO])</f>
        <v>JABOTICATUBAS</v>
      </c>
      <c r="F1004" s="6">
        <v>33.703956604003899</v>
      </c>
      <c r="G1004" s="6">
        <v>33.802234649658203</v>
      </c>
      <c r="H1004" s="6">
        <v>33.870254516601598</v>
      </c>
      <c r="I1004" s="6">
        <v>38.718185424804702</v>
      </c>
      <c r="J1004" s="6">
        <v>38.740558624267599</v>
      </c>
      <c r="K1004" s="6">
        <v>33.912109375</v>
      </c>
      <c r="L1004" s="6">
        <v>44.063381195068402</v>
      </c>
    </row>
    <row r="1005" spans="1:12" x14ac:dyDescent="0.25">
      <c r="A1005">
        <v>2108405</v>
      </c>
      <c r="B1005" t="str">
        <f t="shared" si="15"/>
        <v>PERI MIRIM, MA, Brasil</v>
      </c>
      <c r="C1005" s="4" t="str">
        <f>_xlfn.XLOOKUP(A1005,[1]!DadosGHD[CD_GEOCMU],[1]!DadosGHD[Região])</f>
        <v>NE</v>
      </c>
      <c r="D1005" s="4" t="str">
        <f>_xlfn.XLOOKUP(A1005,[1]!DadosGHD[CD_GEOCMU],[1]!DadosGHD[uf])</f>
        <v>MA</v>
      </c>
      <c r="E1005" s="5" t="str">
        <f>_xlfn.XLOOKUP(A1005,[1]!DadosGHD[CD_GEOCMU],[1]!DadosGHD[MUNICIPIO])</f>
        <v>PERI MIRIM</v>
      </c>
      <c r="F1005" s="6">
        <v>33.7039794921875</v>
      </c>
      <c r="G1005" s="6">
        <v>28.931339263916001</v>
      </c>
      <c r="H1005" s="6">
        <v>28.963157653808601</v>
      </c>
      <c r="I1005" s="6">
        <v>28.944047927856399</v>
      </c>
      <c r="J1005" s="6">
        <v>28.943731307983398</v>
      </c>
      <c r="K1005" s="6">
        <v>28.9708576202393</v>
      </c>
      <c r="L1005" s="6">
        <v>26.2798957824707</v>
      </c>
    </row>
    <row r="1006" spans="1:12" x14ac:dyDescent="0.25">
      <c r="A1006">
        <v>1304005</v>
      </c>
      <c r="B1006" t="str">
        <f t="shared" si="15"/>
        <v>SILVES, AM, Brasil</v>
      </c>
      <c r="C1006" s="4" t="str">
        <f>_xlfn.XLOOKUP(A1006,[1]!DadosGHD[CD_GEOCMU],[1]!DadosGHD[Região])</f>
        <v>NO</v>
      </c>
      <c r="D1006" s="4" t="str">
        <f>_xlfn.XLOOKUP(A1006,[1]!DadosGHD[CD_GEOCMU],[1]!DadosGHD[uf])</f>
        <v>AM</v>
      </c>
      <c r="E1006" s="5" t="str">
        <f>_xlfn.XLOOKUP(A1006,[1]!DadosGHD[CD_GEOCMU],[1]!DadosGHD[MUNICIPIO])</f>
        <v>SILVES</v>
      </c>
      <c r="F1006" s="6">
        <v>33.704021453857401</v>
      </c>
      <c r="G1006" s="6">
        <v>28.939891815185501</v>
      </c>
      <c r="H1006" s="6">
        <v>28.9739780426025</v>
      </c>
      <c r="I1006" s="6">
        <v>28.954410552978501</v>
      </c>
      <c r="J1006" s="6">
        <v>28.968854904174801</v>
      </c>
      <c r="K1006" s="6">
        <v>33.855907440185597</v>
      </c>
      <c r="L1006" s="6">
        <v>30.688909530639702</v>
      </c>
    </row>
    <row r="1007" spans="1:12" x14ac:dyDescent="0.25">
      <c r="A1007">
        <v>2803401</v>
      </c>
      <c r="B1007" t="str">
        <f t="shared" si="15"/>
        <v>JAPOATA, SE, Brasil</v>
      </c>
      <c r="C1007" s="4" t="str">
        <f>_xlfn.XLOOKUP(A1007,[1]!DadosGHD[CD_GEOCMU],[1]!DadosGHD[Região])</f>
        <v>NE</v>
      </c>
      <c r="D1007" s="4" t="str">
        <f>_xlfn.XLOOKUP(A1007,[1]!DadosGHD[CD_GEOCMU],[1]!DadosGHD[uf])</f>
        <v>SE</v>
      </c>
      <c r="E1007" s="5" t="str">
        <f>_xlfn.XLOOKUP(A1007,[1]!DadosGHD[CD_GEOCMU],[1]!DadosGHD[MUNICIPIO])</f>
        <v>JAPOATA</v>
      </c>
      <c r="F1007" s="6">
        <v>33.7040405273438</v>
      </c>
      <c r="G1007" s="6">
        <v>33.8170356750488</v>
      </c>
      <c r="H1007" s="6">
        <v>33.858436584472699</v>
      </c>
      <c r="I1007" s="6">
        <v>33.8381958007813</v>
      </c>
      <c r="J1007" s="6">
        <v>33.888233184814503</v>
      </c>
      <c r="K1007" s="6">
        <v>33.926929473877003</v>
      </c>
      <c r="L1007" s="6">
        <v>30.718421936035199</v>
      </c>
    </row>
    <row r="1008" spans="1:12" x14ac:dyDescent="0.25">
      <c r="A1008">
        <v>2922854</v>
      </c>
      <c r="B1008" t="str">
        <f t="shared" si="15"/>
        <v>NOVA REDENCAO, BA, Brasil</v>
      </c>
      <c r="C1008" s="4" t="str">
        <f>_xlfn.XLOOKUP(A1008,[1]!DadosGHD[CD_GEOCMU],[1]!DadosGHD[Região])</f>
        <v>NE</v>
      </c>
      <c r="D1008" s="4" t="str">
        <f>_xlfn.XLOOKUP(A1008,[1]!DadosGHD[CD_GEOCMU],[1]!DadosGHD[uf])</f>
        <v>BA</v>
      </c>
      <c r="E1008" s="5" t="str">
        <f>_xlfn.XLOOKUP(A1008,[1]!DadosGHD[CD_GEOCMU],[1]!DadosGHD[MUNICIPIO])</f>
        <v>NOVA REDENCAO</v>
      </c>
      <c r="F1008" s="6">
        <v>33.704139709472699</v>
      </c>
      <c r="G1008" s="6">
        <v>28.9398097991943</v>
      </c>
      <c r="H1008" s="6">
        <v>28.974199295043899</v>
      </c>
      <c r="I1008" s="6">
        <v>28.9548225402832</v>
      </c>
      <c r="J1008" s="6">
        <v>28.969680786132798</v>
      </c>
      <c r="K1008" s="6">
        <v>29.0022583007813</v>
      </c>
      <c r="L1008" s="6">
        <v>26.287685394287099</v>
      </c>
    </row>
    <row r="1009" spans="1:12" x14ac:dyDescent="0.25">
      <c r="A1009">
        <v>2917359</v>
      </c>
      <c r="B1009" t="str">
        <f t="shared" si="15"/>
        <v>JABORANDI, BA, Brasil</v>
      </c>
      <c r="C1009" s="4" t="str">
        <f>_xlfn.XLOOKUP(A1009,[1]!DadosGHD[CD_GEOCMU],[1]!DadosGHD[Região])</f>
        <v>NE</v>
      </c>
      <c r="D1009" s="4" t="str">
        <f>_xlfn.XLOOKUP(A1009,[1]!DadosGHD[CD_GEOCMU],[1]!DadosGHD[uf])</f>
        <v>BA</v>
      </c>
      <c r="E1009" s="5" t="str">
        <f>_xlfn.XLOOKUP(A1009,[1]!DadosGHD[CD_GEOCMU],[1]!DadosGHD[MUNICIPIO])</f>
        <v>JABORANDI</v>
      </c>
      <c r="F1009" s="6">
        <v>33.704307556152301</v>
      </c>
      <c r="G1009" s="6">
        <v>33.764652252197301</v>
      </c>
      <c r="H1009" s="6">
        <v>28.979185104370099</v>
      </c>
      <c r="I1009" s="6">
        <v>28.961061477661101</v>
      </c>
      <c r="J1009" s="6">
        <v>28.9769611358643</v>
      </c>
      <c r="K1009" s="6">
        <v>29.005144119262699</v>
      </c>
      <c r="L1009" s="6">
        <v>26.2876377105713</v>
      </c>
    </row>
    <row r="1010" spans="1:12" x14ac:dyDescent="0.25">
      <c r="A1010">
        <v>2904100</v>
      </c>
      <c r="B1010" t="str">
        <f t="shared" si="15"/>
        <v>BOQUIRA, BA, Brasil</v>
      </c>
      <c r="C1010" s="4" t="str">
        <f>_xlfn.XLOOKUP(A1010,[1]!DadosGHD[CD_GEOCMU],[1]!DadosGHD[Região])</f>
        <v>NE</v>
      </c>
      <c r="D1010" s="4" t="str">
        <f>_xlfn.XLOOKUP(A1010,[1]!DadosGHD[CD_GEOCMU],[1]!DadosGHD[uf])</f>
        <v>BA</v>
      </c>
      <c r="E1010" s="5" t="str">
        <f>_xlfn.XLOOKUP(A1010,[1]!DadosGHD[CD_GEOCMU],[1]!DadosGHD[MUNICIPIO])</f>
        <v>BOQUIRA</v>
      </c>
      <c r="F1010" s="6">
        <v>33.704341888427699</v>
      </c>
      <c r="G1010" s="6">
        <v>33.773983001708999</v>
      </c>
      <c r="H1010" s="6">
        <v>33.818931579589801</v>
      </c>
      <c r="I1010" s="6">
        <v>33.801952362060597</v>
      </c>
      <c r="J1010" s="6">
        <v>33.814422607421903</v>
      </c>
      <c r="K1010" s="6">
        <v>33.841941833496101</v>
      </c>
      <c r="L1010" s="6">
        <v>26.2949542999268</v>
      </c>
    </row>
    <row r="1011" spans="1:12" x14ac:dyDescent="0.25">
      <c r="A1011">
        <v>2933406</v>
      </c>
      <c r="B1011" t="str">
        <f t="shared" si="15"/>
        <v>WAGNER, BA, Brasil</v>
      </c>
      <c r="C1011" s="4" t="str">
        <f>_xlfn.XLOOKUP(A1011,[1]!DadosGHD[CD_GEOCMU],[1]!DadosGHD[Região])</f>
        <v>NE</v>
      </c>
      <c r="D1011" s="4" t="str">
        <f>_xlfn.XLOOKUP(A1011,[1]!DadosGHD[CD_GEOCMU],[1]!DadosGHD[uf])</f>
        <v>BA</v>
      </c>
      <c r="E1011" s="5" t="str">
        <f>_xlfn.XLOOKUP(A1011,[1]!DadosGHD[CD_GEOCMU],[1]!DadosGHD[MUNICIPIO])</f>
        <v>WAGNER</v>
      </c>
      <c r="F1011" s="6">
        <v>33.704647064208999</v>
      </c>
      <c r="G1011" s="6">
        <v>33.799263000488303</v>
      </c>
      <c r="H1011" s="6">
        <v>33.850425720214801</v>
      </c>
      <c r="I1011" s="6">
        <v>33.839298248291001</v>
      </c>
      <c r="J1011" s="6">
        <v>33.872432708740199</v>
      </c>
      <c r="K1011" s="6">
        <v>38.837448120117202</v>
      </c>
      <c r="L1011" s="6">
        <v>44.077911376953097</v>
      </c>
    </row>
    <row r="1012" spans="1:12" x14ac:dyDescent="0.25">
      <c r="A1012">
        <v>2509800</v>
      </c>
      <c r="B1012" t="str">
        <f t="shared" si="15"/>
        <v>MULUNGU, PB, Brasil</v>
      </c>
      <c r="C1012" s="4" t="str">
        <f>_xlfn.XLOOKUP(A1012,[1]!DadosGHD[CD_GEOCMU],[1]!DadosGHD[Região])</f>
        <v>NE</v>
      </c>
      <c r="D1012" s="4" t="str">
        <f>_xlfn.XLOOKUP(A1012,[1]!DadosGHD[CD_GEOCMU],[1]!DadosGHD[uf])</f>
        <v>PB</v>
      </c>
      <c r="E1012" s="5" t="str">
        <f>_xlfn.XLOOKUP(A1012,[1]!DadosGHD[CD_GEOCMU],[1]!DadosGHD[MUNICIPIO])</f>
        <v>MULUNGU</v>
      </c>
      <c r="F1012" s="6">
        <v>33.704761505127003</v>
      </c>
      <c r="G1012" s="6">
        <v>33.764198303222699</v>
      </c>
      <c r="H1012" s="6">
        <v>33.814136505127003</v>
      </c>
      <c r="I1012" s="6">
        <v>33.799049377441399</v>
      </c>
      <c r="J1012" s="6">
        <v>28.9638786315918</v>
      </c>
      <c r="K1012" s="6">
        <v>28.997011184692401</v>
      </c>
      <c r="L1012" s="6">
        <v>26.284221649169901</v>
      </c>
    </row>
    <row r="1013" spans="1:12" x14ac:dyDescent="0.25">
      <c r="A1013">
        <v>2918100</v>
      </c>
      <c r="B1013" t="str">
        <f t="shared" si="15"/>
        <v>JEREMOABO, BA, Brasil</v>
      </c>
      <c r="C1013" s="4" t="str">
        <f>_xlfn.XLOOKUP(A1013,[1]!DadosGHD[CD_GEOCMU],[1]!DadosGHD[Região])</f>
        <v>NE</v>
      </c>
      <c r="D1013" s="4" t="str">
        <f>_xlfn.XLOOKUP(A1013,[1]!DadosGHD[CD_GEOCMU],[1]!DadosGHD[uf])</f>
        <v>BA</v>
      </c>
      <c r="E1013" s="5" t="str">
        <f>_xlfn.XLOOKUP(A1013,[1]!DadosGHD[CD_GEOCMU],[1]!DadosGHD[MUNICIPIO])</f>
        <v>JEREMOABO</v>
      </c>
      <c r="F1013" s="6">
        <v>33.704849243164098</v>
      </c>
      <c r="G1013" s="6">
        <v>33.776981353759801</v>
      </c>
      <c r="H1013" s="6">
        <v>33.834865570068402</v>
      </c>
      <c r="I1013" s="6">
        <v>33.849658966064503</v>
      </c>
      <c r="J1013" s="6">
        <v>33.872695922851598</v>
      </c>
      <c r="K1013" s="6">
        <v>33.8950805664063</v>
      </c>
      <c r="L1013" s="6">
        <v>30.716747283935501</v>
      </c>
    </row>
    <row r="1014" spans="1:12" x14ac:dyDescent="0.25">
      <c r="A1014">
        <v>2308005</v>
      </c>
      <c r="B1014" t="str">
        <f t="shared" si="15"/>
        <v>MASSAPE, CE, Brasil</v>
      </c>
      <c r="C1014" s="4" t="str">
        <f>_xlfn.XLOOKUP(A1014,[1]!DadosGHD[CD_GEOCMU],[1]!DadosGHD[Região])</f>
        <v>NE</v>
      </c>
      <c r="D1014" s="4" t="str">
        <f>_xlfn.XLOOKUP(A1014,[1]!DadosGHD[CD_GEOCMU],[1]!DadosGHD[uf])</f>
        <v>CE</v>
      </c>
      <c r="E1014" s="5" t="str">
        <f>_xlfn.XLOOKUP(A1014,[1]!DadosGHD[CD_GEOCMU],[1]!DadosGHD[MUNICIPIO])</f>
        <v>MASSAPE</v>
      </c>
      <c r="F1014" s="6">
        <v>33.704914093017599</v>
      </c>
      <c r="G1014" s="6">
        <v>28.940233230590799</v>
      </c>
      <c r="H1014" s="6">
        <v>28.975004196166999</v>
      </c>
      <c r="I1014" s="6">
        <v>28.9513130187988</v>
      </c>
      <c r="J1014" s="6">
        <v>28.965349197387699</v>
      </c>
      <c r="K1014" s="6">
        <v>28.992568969726602</v>
      </c>
      <c r="L1014" s="6">
        <v>26.293397903442401</v>
      </c>
    </row>
    <row r="1015" spans="1:12" x14ac:dyDescent="0.25">
      <c r="A1015">
        <v>2304301</v>
      </c>
      <c r="B1015" t="str">
        <f t="shared" si="15"/>
        <v>FARIAS BRITO, CE, Brasil</v>
      </c>
      <c r="C1015" s="4" t="str">
        <f>_xlfn.XLOOKUP(A1015,[1]!DadosGHD[CD_GEOCMU],[1]!DadosGHD[Região])</f>
        <v>NE</v>
      </c>
      <c r="D1015" s="4" t="str">
        <f>_xlfn.XLOOKUP(A1015,[1]!DadosGHD[CD_GEOCMU],[1]!DadosGHD[uf])</f>
        <v>CE</v>
      </c>
      <c r="E1015" s="5" t="str">
        <f>_xlfn.XLOOKUP(A1015,[1]!DadosGHD[CD_GEOCMU],[1]!DadosGHD[MUNICIPIO])</f>
        <v>FARIAS BRITO</v>
      </c>
      <c r="F1015" s="6">
        <v>33.705013275146499</v>
      </c>
      <c r="G1015" s="6">
        <v>33.826942443847699</v>
      </c>
      <c r="H1015" s="6">
        <v>33.892814636230497</v>
      </c>
      <c r="I1015" s="6">
        <v>33.8736763000488</v>
      </c>
      <c r="J1015" s="6">
        <v>33.8753852844238</v>
      </c>
      <c r="K1015" s="6">
        <v>38.794353485107401</v>
      </c>
      <c r="L1015" s="6">
        <v>39.579502105712898</v>
      </c>
    </row>
    <row r="1016" spans="1:12" x14ac:dyDescent="0.25">
      <c r="A1016">
        <v>2701803</v>
      </c>
      <c r="B1016" t="str">
        <f t="shared" si="15"/>
        <v>CARNEIROS, AL, Brasil</v>
      </c>
      <c r="C1016" s="4" t="str">
        <f>_xlfn.XLOOKUP(A1016,[1]!DadosGHD[CD_GEOCMU],[1]!DadosGHD[Região])</f>
        <v>NE</v>
      </c>
      <c r="D1016" s="4" t="str">
        <f>_xlfn.XLOOKUP(A1016,[1]!DadosGHD[CD_GEOCMU],[1]!DadosGHD[uf])</f>
        <v>AL</v>
      </c>
      <c r="E1016" s="5" t="str">
        <f>_xlfn.XLOOKUP(A1016,[1]!DadosGHD[CD_GEOCMU],[1]!DadosGHD[MUNICIPIO])</f>
        <v>CARNEIROS</v>
      </c>
      <c r="F1016" s="6">
        <v>33.705055236816399</v>
      </c>
      <c r="G1016" s="6">
        <v>28.907878875732401</v>
      </c>
      <c r="H1016" s="6">
        <v>28.942651748657202</v>
      </c>
      <c r="I1016" s="6">
        <v>28.925045013427699</v>
      </c>
      <c r="J1016" s="6">
        <v>28.9409065246582</v>
      </c>
      <c r="K1016" s="6">
        <v>28.9686679840088</v>
      </c>
      <c r="L1016" s="6">
        <v>26.2798957824707</v>
      </c>
    </row>
    <row r="1017" spans="1:12" x14ac:dyDescent="0.25">
      <c r="A1017">
        <v>2605608</v>
      </c>
      <c r="B1017" t="str">
        <f t="shared" si="15"/>
        <v>FLORES, PE, Brasil</v>
      </c>
      <c r="C1017" s="4" t="str">
        <f>_xlfn.XLOOKUP(A1017,[1]!DadosGHD[CD_GEOCMU],[1]!DadosGHD[Região])</f>
        <v>NE</v>
      </c>
      <c r="D1017" s="4" t="str">
        <f>_xlfn.XLOOKUP(A1017,[1]!DadosGHD[CD_GEOCMU],[1]!DadosGHD[uf])</f>
        <v>PE</v>
      </c>
      <c r="E1017" s="5" t="str">
        <f>_xlfn.XLOOKUP(A1017,[1]!DadosGHD[CD_GEOCMU],[1]!DadosGHD[MUNICIPIO])</f>
        <v>FLORES</v>
      </c>
      <c r="F1017" s="6">
        <v>33.705089569091797</v>
      </c>
      <c r="G1017" s="6">
        <v>33.770927429199197</v>
      </c>
      <c r="H1017" s="6">
        <v>33.831756591796903</v>
      </c>
      <c r="I1017" s="6">
        <v>33.808990478515597</v>
      </c>
      <c r="J1017" s="6">
        <v>33.825519561767599</v>
      </c>
      <c r="K1017" s="6">
        <v>33.856407165527301</v>
      </c>
      <c r="L1017" s="6">
        <v>26.290880203247099</v>
      </c>
    </row>
    <row r="1018" spans="1:12" x14ac:dyDescent="0.25">
      <c r="A1018">
        <v>3507456</v>
      </c>
      <c r="B1018" t="str">
        <f t="shared" si="15"/>
        <v>BOREBI, SP, Brasil</v>
      </c>
      <c r="C1018" s="4" t="str">
        <f>_xlfn.XLOOKUP(A1018,[1]!DadosGHD[CD_GEOCMU],[1]!DadosGHD[Região])</f>
        <v>SD</v>
      </c>
      <c r="D1018" s="4" t="str">
        <f>_xlfn.XLOOKUP(A1018,[1]!DadosGHD[CD_GEOCMU],[1]!DadosGHD[uf])</f>
        <v>SP</v>
      </c>
      <c r="E1018" s="5" t="str">
        <f>_xlfn.XLOOKUP(A1018,[1]!DadosGHD[CD_GEOCMU],[1]!DadosGHD[MUNICIPIO])</f>
        <v>BOREBI</v>
      </c>
      <c r="F1018" s="6">
        <v>33.705131530761697</v>
      </c>
      <c r="G1018" s="6">
        <v>33.807609558105497</v>
      </c>
      <c r="H1018" s="6">
        <v>33.894737243652301</v>
      </c>
      <c r="I1018" s="6">
        <v>33.842437744140597</v>
      </c>
      <c r="J1018" s="6">
        <v>48.833847045898402</v>
      </c>
      <c r="K1018" s="6">
        <v>48.868396759033203</v>
      </c>
      <c r="L1018" s="6">
        <v>53.031581878662102</v>
      </c>
    </row>
    <row r="1019" spans="1:12" x14ac:dyDescent="0.25">
      <c r="A1019">
        <v>2313401</v>
      </c>
      <c r="B1019" t="str">
        <f t="shared" si="15"/>
        <v>TIANGUA, CE, Brasil</v>
      </c>
      <c r="C1019" s="4" t="str">
        <f>_xlfn.XLOOKUP(A1019,[1]!DadosGHD[CD_GEOCMU],[1]!DadosGHD[Região])</f>
        <v>NE</v>
      </c>
      <c r="D1019" s="4" t="str">
        <f>_xlfn.XLOOKUP(A1019,[1]!DadosGHD[CD_GEOCMU],[1]!DadosGHD[uf])</f>
        <v>CE</v>
      </c>
      <c r="E1019" s="5" t="str">
        <f>_xlfn.XLOOKUP(A1019,[1]!DadosGHD[CD_GEOCMU],[1]!DadosGHD[MUNICIPIO])</f>
        <v>TIANGUA</v>
      </c>
      <c r="F1019" s="6">
        <v>33.705184936523402</v>
      </c>
      <c r="G1019" s="6">
        <v>33.813114166259801</v>
      </c>
      <c r="H1019" s="6">
        <v>33.896797180175803</v>
      </c>
      <c r="I1019" s="6">
        <v>38.755275726318402</v>
      </c>
      <c r="J1019" s="6">
        <v>38.795768737792997</v>
      </c>
      <c r="K1019" s="6">
        <v>38.845767974853501</v>
      </c>
      <c r="L1019" s="6">
        <v>39.556919097900398</v>
      </c>
    </row>
    <row r="1020" spans="1:12" x14ac:dyDescent="0.25">
      <c r="A1020">
        <v>2210508</v>
      </c>
      <c r="B1020" t="str">
        <f t="shared" si="15"/>
        <v>SAO PEDRO DO PIAUI, PI, Brasil</v>
      </c>
      <c r="C1020" s="4" t="str">
        <f>_xlfn.XLOOKUP(A1020,[1]!DadosGHD[CD_GEOCMU],[1]!DadosGHD[Região])</f>
        <v>NE</v>
      </c>
      <c r="D1020" s="4" t="str">
        <f>_xlfn.XLOOKUP(A1020,[1]!DadosGHD[CD_GEOCMU],[1]!DadosGHD[uf])</f>
        <v>PI</v>
      </c>
      <c r="E1020" s="5" t="str">
        <f>_xlfn.XLOOKUP(A1020,[1]!DadosGHD[CD_GEOCMU],[1]!DadosGHD[MUNICIPIO])</f>
        <v>SAO PEDRO DO PIAUI</v>
      </c>
      <c r="F1020" s="6">
        <v>33.705257415771499</v>
      </c>
      <c r="G1020" s="6">
        <v>33.783412933349602</v>
      </c>
      <c r="H1020" s="6">
        <v>28.969898223876999</v>
      </c>
      <c r="I1020" s="6">
        <v>33.815811157226598</v>
      </c>
      <c r="J1020" s="6">
        <v>33.845386505127003</v>
      </c>
      <c r="K1020" s="6">
        <v>33.9285888671875</v>
      </c>
      <c r="L1020" s="6">
        <v>35.1285591125488</v>
      </c>
    </row>
    <row r="1021" spans="1:12" x14ac:dyDescent="0.25">
      <c r="A1021">
        <v>2111953</v>
      </c>
      <c r="B1021" t="str">
        <f t="shared" si="15"/>
        <v>SUCUPIRA DO RIACHAO, MA, Brasil</v>
      </c>
      <c r="C1021" s="4" t="str">
        <f>_xlfn.XLOOKUP(A1021,[1]!DadosGHD[CD_GEOCMU],[1]!DadosGHD[Região])</f>
        <v>NE</v>
      </c>
      <c r="D1021" s="4" t="str">
        <f>_xlfn.XLOOKUP(A1021,[1]!DadosGHD[CD_GEOCMU],[1]!DadosGHD[uf])</f>
        <v>MA</v>
      </c>
      <c r="E1021" s="5" t="str">
        <f>_xlfn.XLOOKUP(A1021,[1]!DadosGHD[CD_GEOCMU],[1]!DadosGHD[MUNICIPIO])</f>
        <v>SUCUPIRA DO RIACHAO</v>
      </c>
      <c r="F1021" s="6">
        <v>33.7052612304688</v>
      </c>
      <c r="G1021" s="6">
        <v>28.907878875732401</v>
      </c>
      <c r="H1021" s="6">
        <v>28.942651748657202</v>
      </c>
      <c r="I1021" s="6">
        <v>28.925045013427699</v>
      </c>
      <c r="J1021" s="6">
        <v>28.9409065246582</v>
      </c>
      <c r="K1021" s="6">
        <v>28.9686679840088</v>
      </c>
      <c r="L1021" s="6">
        <v>26.296808242797901</v>
      </c>
    </row>
    <row r="1022" spans="1:12" x14ac:dyDescent="0.25">
      <c r="A1022">
        <v>5106109</v>
      </c>
      <c r="B1022" t="str">
        <f t="shared" si="15"/>
        <v>NOSSA SENHORA DO LIVRAMENTO, MT, Brasil</v>
      </c>
      <c r="C1022" s="4" t="str">
        <f>_xlfn.XLOOKUP(A1022,[1]!DadosGHD[CD_GEOCMU],[1]!DadosGHD[Região])</f>
        <v>CO</v>
      </c>
      <c r="D1022" s="4" t="str">
        <f>_xlfn.XLOOKUP(A1022,[1]!DadosGHD[CD_GEOCMU],[1]!DadosGHD[uf])</f>
        <v>MT</v>
      </c>
      <c r="E1022" s="5" t="str">
        <f>_xlfn.XLOOKUP(A1022,[1]!DadosGHD[CD_GEOCMU],[1]!DadosGHD[MUNICIPIO])</f>
        <v>NOSSA SENHORA DO LIVRAMENTO</v>
      </c>
      <c r="F1022" s="6">
        <v>33.7052612304688</v>
      </c>
      <c r="G1022" s="6">
        <v>33.770023345947301</v>
      </c>
      <c r="H1022" s="6">
        <v>33.882652282714801</v>
      </c>
      <c r="I1022" s="6">
        <v>33.807777404785199</v>
      </c>
      <c r="J1022" s="6">
        <v>33.8375244140625</v>
      </c>
      <c r="K1022" s="6">
        <v>33.881031036377003</v>
      </c>
      <c r="L1022" s="6">
        <v>35.148445129394503</v>
      </c>
    </row>
    <row r="1023" spans="1:12" x14ac:dyDescent="0.25">
      <c r="A1023">
        <v>2930006</v>
      </c>
      <c r="B1023" t="str">
        <f t="shared" si="15"/>
        <v>SEBASTIAO LARANJEIRAS, BA, Brasil</v>
      </c>
      <c r="C1023" s="4" t="str">
        <f>_xlfn.XLOOKUP(A1023,[1]!DadosGHD[CD_GEOCMU],[1]!DadosGHD[Região])</f>
        <v>NE</v>
      </c>
      <c r="D1023" s="4" t="str">
        <f>_xlfn.XLOOKUP(A1023,[1]!DadosGHD[CD_GEOCMU],[1]!DadosGHD[uf])</f>
        <v>BA</v>
      </c>
      <c r="E1023" s="5" t="str">
        <f>_xlfn.XLOOKUP(A1023,[1]!DadosGHD[CD_GEOCMU],[1]!DadosGHD[MUNICIPIO])</f>
        <v>SEBASTIAO LARANJEIRAS</v>
      </c>
      <c r="F1023" s="6">
        <v>33.705276489257798</v>
      </c>
      <c r="G1023" s="6">
        <v>33.812107086181598</v>
      </c>
      <c r="H1023" s="6">
        <v>33.853790283203097</v>
      </c>
      <c r="I1023" s="6">
        <v>33.8300971984863</v>
      </c>
      <c r="J1023" s="6">
        <v>33.846508026123097</v>
      </c>
      <c r="K1023" s="6">
        <v>29.0004482269287</v>
      </c>
      <c r="L1023" s="6">
        <v>26.280755996704102</v>
      </c>
    </row>
    <row r="1024" spans="1:12" x14ac:dyDescent="0.25">
      <c r="A1024">
        <v>2902104</v>
      </c>
      <c r="B1024" t="str">
        <f t="shared" si="15"/>
        <v>ARACI, BA, Brasil</v>
      </c>
      <c r="C1024" s="4" t="str">
        <f>_xlfn.XLOOKUP(A1024,[1]!DadosGHD[CD_GEOCMU],[1]!DadosGHD[Região])</f>
        <v>NE</v>
      </c>
      <c r="D1024" s="4" t="str">
        <f>_xlfn.XLOOKUP(A1024,[1]!DadosGHD[CD_GEOCMU],[1]!DadosGHD[uf])</f>
        <v>BA</v>
      </c>
      <c r="E1024" s="5" t="str">
        <f>_xlfn.XLOOKUP(A1024,[1]!DadosGHD[CD_GEOCMU],[1]!DadosGHD[MUNICIPIO])</f>
        <v>ARACI</v>
      </c>
      <c r="F1024" s="6">
        <v>33.705295562744098</v>
      </c>
      <c r="G1024" s="6">
        <v>33.771091461181598</v>
      </c>
      <c r="H1024" s="6">
        <v>33.814502716064503</v>
      </c>
      <c r="I1024" s="6">
        <v>33.8235473632813</v>
      </c>
      <c r="J1024" s="6">
        <v>33.863651275634801</v>
      </c>
      <c r="K1024" s="6">
        <v>33.878787994384801</v>
      </c>
      <c r="L1024" s="6">
        <v>30.702953338623001</v>
      </c>
    </row>
    <row r="1025" spans="1:12" x14ac:dyDescent="0.25">
      <c r="A1025">
        <v>1302009</v>
      </c>
      <c r="B1025" t="str">
        <f t="shared" si="15"/>
        <v>ITAPIRANGA, AM, Brasil</v>
      </c>
      <c r="C1025" s="4" t="str">
        <f>_xlfn.XLOOKUP(A1025,[1]!DadosGHD[CD_GEOCMU],[1]!DadosGHD[Região])</f>
        <v>NO</v>
      </c>
      <c r="D1025" s="4" t="str">
        <f>_xlfn.XLOOKUP(A1025,[1]!DadosGHD[CD_GEOCMU],[1]!DadosGHD[uf])</f>
        <v>AM</v>
      </c>
      <c r="E1025" s="5" t="str">
        <f>_xlfn.XLOOKUP(A1025,[1]!DadosGHD[CD_GEOCMU],[1]!DadosGHD[MUNICIPIO])</f>
        <v>ITAPIRANGA</v>
      </c>
      <c r="F1025" s="6">
        <v>33.705371856689503</v>
      </c>
      <c r="G1025" s="6">
        <v>33.780754089355497</v>
      </c>
      <c r="H1025" s="6">
        <v>33.825424194335902</v>
      </c>
      <c r="I1025" s="6">
        <v>33.800872802734403</v>
      </c>
      <c r="J1025" s="6">
        <v>28.9785270690918</v>
      </c>
      <c r="K1025" s="6">
        <v>29.0056858062744</v>
      </c>
      <c r="L1025" s="6">
        <v>39.556427001953097</v>
      </c>
    </row>
    <row r="1026" spans="1:12" x14ac:dyDescent="0.25">
      <c r="A1026">
        <v>2614600</v>
      </c>
      <c r="B1026" t="str">
        <f t="shared" si="15"/>
        <v>TABIRA, PE, Brasil</v>
      </c>
      <c r="C1026" s="4" t="str">
        <f>_xlfn.XLOOKUP(A1026,[1]!DadosGHD[CD_GEOCMU],[1]!DadosGHD[Região])</f>
        <v>NE</v>
      </c>
      <c r="D1026" s="4" t="str">
        <f>_xlfn.XLOOKUP(A1026,[1]!DadosGHD[CD_GEOCMU],[1]!DadosGHD[uf])</f>
        <v>PE</v>
      </c>
      <c r="E1026" s="5" t="str">
        <f>_xlfn.XLOOKUP(A1026,[1]!DadosGHD[CD_GEOCMU],[1]!DadosGHD[MUNICIPIO])</f>
        <v>TABIRA</v>
      </c>
      <c r="F1026" s="6">
        <v>33.705642700195298</v>
      </c>
      <c r="G1026" s="6">
        <v>33.804664611816399</v>
      </c>
      <c r="H1026" s="6">
        <v>33.848739624023402</v>
      </c>
      <c r="I1026" s="6">
        <v>33.828884124755902</v>
      </c>
      <c r="J1026" s="6">
        <v>33.8876762390137</v>
      </c>
      <c r="K1026" s="6">
        <v>38.891941070556598</v>
      </c>
      <c r="L1026" s="6">
        <v>44.041355133056598</v>
      </c>
    </row>
    <row r="1027" spans="1:12" x14ac:dyDescent="0.25">
      <c r="A1027">
        <v>2512408</v>
      </c>
      <c r="B1027" t="str">
        <f t="shared" si="15"/>
        <v>PUXINANA, PB, Brasil</v>
      </c>
      <c r="C1027" s="4" t="str">
        <f>_xlfn.XLOOKUP(A1027,[1]!DadosGHD[CD_GEOCMU],[1]!DadosGHD[Região])</f>
        <v>NE</v>
      </c>
      <c r="D1027" s="4" t="str">
        <f>_xlfn.XLOOKUP(A1027,[1]!DadosGHD[CD_GEOCMU],[1]!DadosGHD[uf])</f>
        <v>PB</v>
      </c>
      <c r="E1027" s="5" t="str">
        <f>_xlfn.XLOOKUP(A1027,[1]!DadosGHD[CD_GEOCMU],[1]!DadosGHD[MUNICIPIO])</f>
        <v>PUXINANA</v>
      </c>
      <c r="F1027" s="6">
        <v>33.705650329589801</v>
      </c>
      <c r="G1027" s="6">
        <v>33.773273468017599</v>
      </c>
      <c r="H1027" s="6">
        <v>33.830760955810597</v>
      </c>
      <c r="I1027" s="6">
        <v>33.808441162109403</v>
      </c>
      <c r="J1027" s="6">
        <v>33.813236236572301</v>
      </c>
      <c r="K1027" s="6">
        <v>33.854236602783203</v>
      </c>
      <c r="L1027" s="6">
        <v>30.698255538940401</v>
      </c>
    </row>
    <row r="1028" spans="1:12" x14ac:dyDescent="0.25">
      <c r="A1028">
        <v>1507003</v>
      </c>
      <c r="B1028" t="str">
        <f t="shared" ref="B1028:B1091" si="16">_xlfn.CONCAT(E1028, ", ", D1028, ", Brasil")</f>
        <v>SANTO ANTONIO DO TAUA, PA, Brasil</v>
      </c>
      <c r="C1028" s="4" t="str">
        <f>_xlfn.XLOOKUP(A1028,[1]!DadosGHD[CD_GEOCMU],[1]!DadosGHD[Região])</f>
        <v>NO</v>
      </c>
      <c r="D1028" s="4" t="str">
        <f>_xlfn.XLOOKUP(A1028,[1]!DadosGHD[CD_GEOCMU],[1]!DadosGHD[uf])</f>
        <v>PA</v>
      </c>
      <c r="E1028" s="5" t="str">
        <f>_xlfn.XLOOKUP(A1028,[1]!DadosGHD[CD_GEOCMU],[1]!DadosGHD[MUNICIPIO])</f>
        <v>SANTO ANTONIO DO TAUA</v>
      </c>
      <c r="F1028" s="6">
        <v>33.705787658691399</v>
      </c>
      <c r="G1028" s="6">
        <v>33.791267395019503</v>
      </c>
      <c r="H1028" s="6">
        <v>33.8375053405762</v>
      </c>
      <c r="I1028" s="6">
        <v>33.8080863952637</v>
      </c>
      <c r="J1028" s="6">
        <v>33.828174591064503</v>
      </c>
      <c r="K1028" s="6">
        <v>33.8470268249512</v>
      </c>
      <c r="L1028" s="6">
        <v>30.697952270507798</v>
      </c>
    </row>
    <row r="1029" spans="1:12" x14ac:dyDescent="0.25">
      <c r="A1029">
        <v>2306306</v>
      </c>
      <c r="B1029" t="str">
        <f t="shared" si="16"/>
        <v>ITAPAJE, CE, Brasil</v>
      </c>
      <c r="C1029" s="4" t="str">
        <f>_xlfn.XLOOKUP(A1029,[1]!DadosGHD[CD_GEOCMU],[1]!DadosGHD[Região])</f>
        <v>NE</v>
      </c>
      <c r="D1029" s="4" t="str">
        <f>_xlfn.XLOOKUP(A1029,[1]!DadosGHD[CD_GEOCMU],[1]!DadosGHD[uf])</f>
        <v>CE</v>
      </c>
      <c r="E1029" s="5" t="str">
        <f>_xlfn.XLOOKUP(A1029,[1]!DadosGHD[CD_GEOCMU],[1]!DadosGHD[MUNICIPIO])</f>
        <v>ITAPAJE</v>
      </c>
      <c r="F1029" s="6">
        <v>33.705944061279297</v>
      </c>
      <c r="G1029" s="6">
        <v>33.785396575927699</v>
      </c>
      <c r="H1029" s="6">
        <v>33.840091705322301</v>
      </c>
      <c r="I1029" s="6">
        <v>33.844150543212898</v>
      </c>
      <c r="J1029" s="6">
        <v>33.872936248779297</v>
      </c>
      <c r="K1029" s="6">
        <v>33.908863067627003</v>
      </c>
      <c r="L1029" s="6">
        <v>35.137134552002003</v>
      </c>
    </row>
    <row r="1030" spans="1:12" x14ac:dyDescent="0.25">
      <c r="A1030">
        <v>1506351</v>
      </c>
      <c r="B1030" t="str">
        <f t="shared" si="16"/>
        <v>SANTA BARBARA DO PARA, PA, Brasil</v>
      </c>
      <c r="C1030" s="4" t="str">
        <f>_xlfn.XLOOKUP(A1030,[1]!DadosGHD[CD_GEOCMU],[1]!DadosGHD[Região])</f>
        <v>NO</v>
      </c>
      <c r="D1030" s="4" t="str">
        <f>_xlfn.XLOOKUP(A1030,[1]!DadosGHD[CD_GEOCMU],[1]!DadosGHD[uf])</f>
        <v>PA</v>
      </c>
      <c r="E1030" s="5" t="str">
        <f>_xlfn.XLOOKUP(A1030,[1]!DadosGHD[CD_GEOCMU],[1]!DadosGHD[MUNICIPIO])</f>
        <v>SANTA BARBARA DO PARA</v>
      </c>
      <c r="F1030" s="6">
        <v>33.705955505371101</v>
      </c>
      <c r="G1030" s="6">
        <v>33.797821044921903</v>
      </c>
      <c r="H1030" s="6">
        <v>33.869052886962898</v>
      </c>
      <c r="I1030" s="6">
        <v>33.848258972167997</v>
      </c>
      <c r="J1030" s="6">
        <v>33.8536376953125</v>
      </c>
      <c r="K1030" s="6">
        <v>33.890113830566399</v>
      </c>
      <c r="L1030" s="6">
        <v>30.712112426757798</v>
      </c>
    </row>
    <row r="1031" spans="1:12" x14ac:dyDescent="0.25">
      <c r="A1031">
        <v>2302008</v>
      </c>
      <c r="B1031" t="str">
        <f t="shared" si="16"/>
        <v>BARRO, CE, Brasil</v>
      </c>
      <c r="C1031" s="4" t="str">
        <f>_xlfn.XLOOKUP(A1031,[1]!DadosGHD[CD_GEOCMU],[1]!DadosGHD[Região])</f>
        <v>NE</v>
      </c>
      <c r="D1031" s="4" t="str">
        <f>_xlfn.XLOOKUP(A1031,[1]!DadosGHD[CD_GEOCMU],[1]!DadosGHD[uf])</f>
        <v>CE</v>
      </c>
      <c r="E1031" s="5" t="str">
        <f>_xlfn.XLOOKUP(A1031,[1]!DadosGHD[CD_GEOCMU],[1]!DadosGHD[MUNICIPIO])</f>
        <v>BARRO</v>
      </c>
      <c r="F1031" s="6">
        <v>33.705970764160199</v>
      </c>
      <c r="G1031" s="6">
        <v>33.768848419189503</v>
      </c>
      <c r="H1031" s="6">
        <v>33.842475891113303</v>
      </c>
      <c r="I1031" s="6">
        <v>33.790191650390597</v>
      </c>
      <c r="J1031" s="6">
        <v>33.817962646484403</v>
      </c>
      <c r="K1031" s="6">
        <v>33.873943328857401</v>
      </c>
      <c r="L1031" s="6">
        <v>30.6840629577637</v>
      </c>
    </row>
    <row r="1032" spans="1:12" x14ac:dyDescent="0.25">
      <c r="A1032">
        <v>3138658</v>
      </c>
      <c r="B1032" t="str">
        <f t="shared" si="16"/>
        <v>LONTRA, MG, Brasil</v>
      </c>
      <c r="C1032" s="4" t="str">
        <f>_xlfn.XLOOKUP(A1032,[1]!DadosGHD[CD_GEOCMU],[1]!DadosGHD[Região])</f>
        <v>SD</v>
      </c>
      <c r="D1032" s="4" t="str">
        <f>_xlfn.XLOOKUP(A1032,[1]!DadosGHD[CD_GEOCMU],[1]!DadosGHD[uf])</f>
        <v>MG</v>
      </c>
      <c r="E1032" s="5" t="str">
        <f>_xlfn.XLOOKUP(A1032,[1]!DadosGHD[CD_GEOCMU],[1]!DadosGHD[MUNICIPIO])</f>
        <v>LONTRA</v>
      </c>
      <c r="F1032" s="6">
        <v>33.705989837646499</v>
      </c>
      <c r="G1032" s="6">
        <v>33.764766693115199</v>
      </c>
      <c r="H1032" s="6">
        <v>28.9747924804688</v>
      </c>
      <c r="I1032" s="6">
        <v>28.9555988311768</v>
      </c>
      <c r="J1032" s="6">
        <v>33.8540649414063</v>
      </c>
      <c r="K1032" s="6">
        <v>33.883419036865199</v>
      </c>
      <c r="L1032" s="6">
        <v>26.2953090667725</v>
      </c>
    </row>
    <row r="1033" spans="1:12" x14ac:dyDescent="0.25">
      <c r="A1033">
        <v>2503308</v>
      </c>
      <c r="B1033" t="str">
        <f t="shared" si="16"/>
        <v>CACHOEIRA DOS INDIOS, PB, Brasil</v>
      </c>
      <c r="C1033" s="4" t="str">
        <f>_xlfn.XLOOKUP(A1033,[1]!DadosGHD[CD_GEOCMU],[1]!DadosGHD[Região])</f>
        <v>NE</v>
      </c>
      <c r="D1033" s="4" t="str">
        <f>_xlfn.XLOOKUP(A1033,[1]!DadosGHD[CD_GEOCMU],[1]!DadosGHD[uf])</f>
        <v>PB</v>
      </c>
      <c r="E1033" s="5" t="str">
        <f>_xlfn.XLOOKUP(A1033,[1]!DadosGHD[CD_GEOCMU],[1]!DadosGHD[MUNICIPIO])</f>
        <v>CACHOEIRA DOS INDIOS</v>
      </c>
      <c r="F1033" s="6">
        <v>33.706031799316399</v>
      </c>
      <c r="G1033" s="6">
        <v>33.770671844482401</v>
      </c>
      <c r="H1033" s="6">
        <v>33.813682556152301</v>
      </c>
      <c r="I1033" s="6">
        <v>33.796653747558601</v>
      </c>
      <c r="J1033" s="6">
        <v>33.826156616210902</v>
      </c>
      <c r="K1033" s="6">
        <v>33.8591117858887</v>
      </c>
      <c r="L1033" s="6">
        <v>30.690507888793899</v>
      </c>
    </row>
    <row r="1034" spans="1:12" x14ac:dyDescent="0.25">
      <c r="A1034">
        <v>2702504</v>
      </c>
      <c r="B1034" t="str">
        <f t="shared" si="16"/>
        <v>DOIS RIACHOS, AL, Brasil</v>
      </c>
      <c r="C1034" s="4" t="str">
        <f>_xlfn.XLOOKUP(A1034,[1]!DadosGHD[CD_GEOCMU],[1]!DadosGHD[Região])</f>
        <v>NE</v>
      </c>
      <c r="D1034" s="4" t="str">
        <f>_xlfn.XLOOKUP(A1034,[1]!DadosGHD[CD_GEOCMU],[1]!DadosGHD[uf])</f>
        <v>AL</v>
      </c>
      <c r="E1034" s="5" t="str">
        <f>_xlfn.XLOOKUP(A1034,[1]!DadosGHD[CD_GEOCMU],[1]!DadosGHD[MUNICIPIO])</f>
        <v>DOIS RIACHOS</v>
      </c>
      <c r="F1034" s="6">
        <v>33.706207275390597</v>
      </c>
      <c r="G1034" s="6">
        <v>33.817356109619098</v>
      </c>
      <c r="H1034" s="6">
        <v>33.859645843505902</v>
      </c>
      <c r="I1034" s="6">
        <v>33.8449516296387</v>
      </c>
      <c r="J1034" s="6">
        <v>33.858421325683601</v>
      </c>
      <c r="K1034" s="6">
        <v>33.858768463134801</v>
      </c>
      <c r="L1034" s="6">
        <v>30.685117721557599</v>
      </c>
    </row>
    <row r="1035" spans="1:12" x14ac:dyDescent="0.25">
      <c r="A1035">
        <v>2302800</v>
      </c>
      <c r="B1035" t="str">
        <f t="shared" si="16"/>
        <v>CANINDE, CE, Brasil</v>
      </c>
      <c r="C1035" s="4" t="str">
        <f>_xlfn.XLOOKUP(A1035,[1]!DadosGHD[CD_GEOCMU],[1]!DadosGHD[Região])</f>
        <v>NE</v>
      </c>
      <c r="D1035" s="4" t="str">
        <f>_xlfn.XLOOKUP(A1035,[1]!DadosGHD[CD_GEOCMU],[1]!DadosGHD[uf])</f>
        <v>CE</v>
      </c>
      <c r="E1035" s="5" t="str">
        <f>_xlfn.XLOOKUP(A1035,[1]!DadosGHD[CD_GEOCMU],[1]!DadosGHD[MUNICIPIO])</f>
        <v>CANINDE</v>
      </c>
      <c r="F1035" s="6">
        <v>33.706256866455099</v>
      </c>
      <c r="G1035" s="6">
        <v>33.7767524719238</v>
      </c>
      <c r="H1035" s="6">
        <v>33.836532592773402</v>
      </c>
      <c r="I1035" s="6">
        <v>33.8453369140625</v>
      </c>
      <c r="J1035" s="6">
        <v>33.895027160644503</v>
      </c>
      <c r="K1035" s="6">
        <v>33.889511108398402</v>
      </c>
      <c r="L1035" s="6">
        <v>30.719133377075199</v>
      </c>
    </row>
    <row r="1036" spans="1:12" x14ac:dyDescent="0.25">
      <c r="A1036">
        <v>4311775</v>
      </c>
      <c r="B1036" t="str">
        <f t="shared" si="16"/>
        <v>MAQUINE, RS, Brasil</v>
      </c>
      <c r="C1036" s="4" t="str">
        <f>_xlfn.XLOOKUP(A1036,[1]!DadosGHD[CD_GEOCMU],[1]!DadosGHD[Região])</f>
        <v>SL</v>
      </c>
      <c r="D1036" s="4" t="str">
        <f>_xlfn.XLOOKUP(A1036,[1]!DadosGHD[CD_GEOCMU],[1]!DadosGHD[uf])</f>
        <v>RS</v>
      </c>
      <c r="E1036" s="5" t="str">
        <f>_xlfn.XLOOKUP(A1036,[1]!DadosGHD[CD_GEOCMU],[1]!DadosGHD[MUNICIPIO])</f>
        <v>MAQUINE</v>
      </c>
      <c r="F1036" s="6">
        <v>33.706321716308601</v>
      </c>
      <c r="G1036" s="6">
        <v>33.804702758789098</v>
      </c>
      <c r="H1036" s="6">
        <v>38.791610717773402</v>
      </c>
      <c r="I1036" s="6">
        <v>48.7087593078613</v>
      </c>
      <c r="J1036" s="6">
        <v>48.799045562744098</v>
      </c>
      <c r="K1036" s="6">
        <v>53.870628356933601</v>
      </c>
      <c r="L1036" s="6">
        <v>53.028896331787102</v>
      </c>
    </row>
    <row r="1037" spans="1:12" x14ac:dyDescent="0.25">
      <c r="A1037">
        <v>2911402</v>
      </c>
      <c r="B1037" t="str">
        <f t="shared" si="16"/>
        <v>GLORIA, BA, Brasil</v>
      </c>
      <c r="C1037" s="4" t="str">
        <f>_xlfn.XLOOKUP(A1037,[1]!DadosGHD[CD_GEOCMU],[1]!DadosGHD[Região])</f>
        <v>NE</v>
      </c>
      <c r="D1037" s="4" t="str">
        <f>_xlfn.XLOOKUP(A1037,[1]!DadosGHD[CD_GEOCMU],[1]!DadosGHD[uf])</f>
        <v>BA</v>
      </c>
      <c r="E1037" s="5" t="str">
        <f>_xlfn.XLOOKUP(A1037,[1]!DadosGHD[CD_GEOCMU],[1]!DadosGHD[MUNICIPIO])</f>
        <v>GLORIA</v>
      </c>
      <c r="F1037" s="6">
        <v>33.706371307373097</v>
      </c>
      <c r="G1037" s="6">
        <v>28.9369411468506</v>
      </c>
      <c r="H1037" s="6">
        <v>28.971677780151399</v>
      </c>
      <c r="I1037" s="6">
        <v>28.954481124877901</v>
      </c>
      <c r="J1037" s="6">
        <v>28.957403182983398</v>
      </c>
      <c r="K1037" s="6">
        <v>28.972425460815401</v>
      </c>
      <c r="L1037" s="6">
        <v>26.284358978271499</v>
      </c>
    </row>
    <row r="1038" spans="1:12" x14ac:dyDescent="0.25">
      <c r="A1038">
        <v>2911006</v>
      </c>
      <c r="B1038" t="str">
        <f t="shared" si="16"/>
        <v>FLORESTA AZUL, BA, Brasil</v>
      </c>
      <c r="C1038" s="4" t="str">
        <f>_xlfn.XLOOKUP(A1038,[1]!DadosGHD[CD_GEOCMU],[1]!DadosGHD[Região])</f>
        <v>NE</v>
      </c>
      <c r="D1038" s="4" t="str">
        <f>_xlfn.XLOOKUP(A1038,[1]!DadosGHD[CD_GEOCMU],[1]!DadosGHD[uf])</f>
        <v>BA</v>
      </c>
      <c r="E1038" s="5" t="str">
        <f>_xlfn.XLOOKUP(A1038,[1]!DadosGHD[CD_GEOCMU],[1]!DadosGHD[MUNICIPIO])</f>
        <v>FLORESTA AZUL</v>
      </c>
      <c r="F1038" s="6">
        <v>33.706424713134801</v>
      </c>
      <c r="G1038" s="6">
        <v>33.773082733154297</v>
      </c>
      <c r="H1038" s="6">
        <v>33.816974639892599</v>
      </c>
      <c r="I1038" s="6">
        <v>33.795318603515597</v>
      </c>
      <c r="J1038" s="6">
        <v>28.978797912597699</v>
      </c>
      <c r="K1038" s="6">
        <v>33.844818115234403</v>
      </c>
      <c r="L1038" s="6">
        <v>26.299736022949201</v>
      </c>
    </row>
    <row r="1039" spans="1:12" x14ac:dyDescent="0.25">
      <c r="A1039">
        <v>2206696</v>
      </c>
      <c r="B1039" t="str">
        <f t="shared" si="16"/>
        <v>MURICI DOS PORTELAS, PI, Brasil</v>
      </c>
      <c r="C1039" s="4" t="str">
        <f>_xlfn.XLOOKUP(A1039,[1]!DadosGHD[CD_GEOCMU],[1]!DadosGHD[Região])</f>
        <v>NE</v>
      </c>
      <c r="D1039" s="4" t="str">
        <f>_xlfn.XLOOKUP(A1039,[1]!DadosGHD[CD_GEOCMU],[1]!DadosGHD[uf])</f>
        <v>PI</v>
      </c>
      <c r="E1039" s="5" t="str">
        <f>_xlfn.XLOOKUP(A1039,[1]!DadosGHD[CD_GEOCMU],[1]!DadosGHD[MUNICIPIO])</f>
        <v>MURICI DOS PORTELAS</v>
      </c>
      <c r="F1039" s="6">
        <v>33.7064819335938</v>
      </c>
      <c r="G1039" s="6">
        <v>33.765216827392599</v>
      </c>
      <c r="H1039" s="6">
        <v>28.974016189575199</v>
      </c>
      <c r="I1039" s="6">
        <v>28.954504013061499</v>
      </c>
      <c r="J1039" s="6">
        <v>28.969017028808601</v>
      </c>
      <c r="K1039" s="6">
        <v>28.995853424072301</v>
      </c>
      <c r="L1039" s="6">
        <v>26.2799777984619</v>
      </c>
    </row>
    <row r="1040" spans="1:12" x14ac:dyDescent="0.25">
      <c r="A1040">
        <v>2924900</v>
      </c>
      <c r="B1040" t="str">
        <f t="shared" si="16"/>
        <v>PLANALTINO, BA, Brasil</v>
      </c>
      <c r="C1040" s="4" t="str">
        <f>_xlfn.XLOOKUP(A1040,[1]!DadosGHD[CD_GEOCMU],[1]!DadosGHD[Região])</f>
        <v>NE</v>
      </c>
      <c r="D1040" s="4" t="str">
        <f>_xlfn.XLOOKUP(A1040,[1]!DadosGHD[CD_GEOCMU],[1]!DadosGHD[uf])</f>
        <v>BA</v>
      </c>
      <c r="E1040" s="5" t="str">
        <f>_xlfn.XLOOKUP(A1040,[1]!DadosGHD[CD_GEOCMU],[1]!DadosGHD[MUNICIPIO])</f>
        <v>PLANALTINO</v>
      </c>
      <c r="F1040" s="6">
        <v>33.706703186035199</v>
      </c>
      <c r="G1040" s="6">
        <v>33.766757965087898</v>
      </c>
      <c r="H1040" s="6">
        <v>28.977849960327202</v>
      </c>
      <c r="I1040" s="6">
        <v>28.9586791992188</v>
      </c>
      <c r="J1040" s="6">
        <v>28.972782135009801</v>
      </c>
      <c r="K1040" s="6">
        <v>29.000219345092798</v>
      </c>
      <c r="L1040" s="6">
        <v>26.284143447876001</v>
      </c>
    </row>
    <row r="1041" spans="1:12" x14ac:dyDescent="0.25">
      <c r="A1041">
        <v>2704104</v>
      </c>
      <c r="B1041" t="str">
        <f t="shared" si="16"/>
        <v>LAGOA DA CANOA, AL, Brasil</v>
      </c>
      <c r="C1041" s="4" t="str">
        <f>_xlfn.XLOOKUP(A1041,[1]!DadosGHD[CD_GEOCMU],[1]!DadosGHD[Região])</f>
        <v>NE</v>
      </c>
      <c r="D1041" s="4" t="str">
        <f>_xlfn.XLOOKUP(A1041,[1]!DadosGHD[CD_GEOCMU],[1]!DadosGHD[uf])</f>
        <v>AL</v>
      </c>
      <c r="E1041" s="5" t="str">
        <f>_xlfn.XLOOKUP(A1041,[1]!DadosGHD[CD_GEOCMU],[1]!DadosGHD[MUNICIPIO])</f>
        <v>LAGOA DA CANOA</v>
      </c>
      <c r="F1041" s="6">
        <v>33.706947326660199</v>
      </c>
      <c r="G1041" s="6">
        <v>33.767227172851598</v>
      </c>
      <c r="H1041" s="6">
        <v>28.977779388427699</v>
      </c>
      <c r="I1041" s="6">
        <v>28.959186553955099</v>
      </c>
      <c r="J1041" s="6">
        <v>33.833175659179702</v>
      </c>
      <c r="K1041" s="6">
        <v>33.882434844970703</v>
      </c>
      <c r="L1041" s="6">
        <v>30.721483230590799</v>
      </c>
    </row>
    <row r="1042" spans="1:12" x14ac:dyDescent="0.25">
      <c r="A1042">
        <v>2613701</v>
      </c>
      <c r="B1042" t="str">
        <f t="shared" si="16"/>
        <v>SAO LOURENCO DA MATA, PE, Brasil</v>
      </c>
      <c r="C1042" s="4" t="str">
        <f>_xlfn.XLOOKUP(A1042,[1]!DadosGHD[CD_GEOCMU],[1]!DadosGHD[Região])</f>
        <v>NE</v>
      </c>
      <c r="D1042" s="4" t="str">
        <f>_xlfn.XLOOKUP(A1042,[1]!DadosGHD[CD_GEOCMU],[1]!DadosGHD[uf])</f>
        <v>PE</v>
      </c>
      <c r="E1042" s="5" t="str">
        <f>_xlfn.XLOOKUP(A1042,[1]!DadosGHD[CD_GEOCMU],[1]!DadosGHD[MUNICIPIO])</f>
        <v>SAO LOURENCO DA MATA</v>
      </c>
      <c r="F1042" s="6">
        <v>33.706951141357401</v>
      </c>
      <c r="G1042" s="6">
        <v>33.779216766357401</v>
      </c>
      <c r="H1042" s="6">
        <v>33.818111419677699</v>
      </c>
      <c r="I1042" s="6">
        <v>33.788761138916001</v>
      </c>
      <c r="J1042" s="6">
        <v>28.9770698547363</v>
      </c>
      <c r="K1042" s="6">
        <v>28.9929904937744</v>
      </c>
      <c r="L1042" s="6">
        <v>26.2856750488281</v>
      </c>
    </row>
    <row r="1043" spans="1:12" x14ac:dyDescent="0.25">
      <c r="A1043">
        <v>2910404</v>
      </c>
      <c r="B1043" t="str">
        <f t="shared" si="16"/>
        <v>ENCRUZILHADA, BA, Brasil</v>
      </c>
      <c r="C1043" s="4" t="str">
        <f>_xlfn.XLOOKUP(A1043,[1]!DadosGHD[CD_GEOCMU],[1]!DadosGHD[Região])</f>
        <v>NE</v>
      </c>
      <c r="D1043" s="4" t="str">
        <f>_xlfn.XLOOKUP(A1043,[1]!DadosGHD[CD_GEOCMU],[1]!DadosGHD[uf])</f>
        <v>BA</v>
      </c>
      <c r="E1043" s="5" t="str">
        <f>_xlfn.XLOOKUP(A1043,[1]!DadosGHD[CD_GEOCMU],[1]!DadosGHD[MUNICIPIO])</f>
        <v>ENCRUZILHADA</v>
      </c>
      <c r="F1043" s="6">
        <v>33.706958770752003</v>
      </c>
      <c r="G1043" s="6">
        <v>33.770469665527301</v>
      </c>
      <c r="H1043" s="6">
        <v>33.8191108703613</v>
      </c>
      <c r="I1043" s="6">
        <v>33.804294586181598</v>
      </c>
      <c r="J1043" s="6">
        <v>33.835285186767599</v>
      </c>
      <c r="K1043" s="6">
        <v>28.985784530639702</v>
      </c>
      <c r="L1043" s="6">
        <v>26.2798957824707</v>
      </c>
    </row>
    <row r="1044" spans="1:12" x14ac:dyDescent="0.25">
      <c r="A1044">
        <v>2105427</v>
      </c>
      <c r="B1044" t="str">
        <f t="shared" si="16"/>
        <v>ITINGA DO MARANHAO, MA, Brasil</v>
      </c>
      <c r="C1044" s="4" t="str">
        <f>_xlfn.XLOOKUP(A1044,[1]!DadosGHD[CD_GEOCMU],[1]!DadosGHD[Região])</f>
        <v>NE</v>
      </c>
      <c r="D1044" s="4" t="str">
        <f>_xlfn.XLOOKUP(A1044,[1]!DadosGHD[CD_GEOCMU],[1]!DadosGHD[uf])</f>
        <v>MA</v>
      </c>
      <c r="E1044" s="5" t="str">
        <f>_xlfn.XLOOKUP(A1044,[1]!DadosGHD[CD_GEOCMU],[1]!DadosGHD[MUNICIPIO])</f>
        <v>ITINGA DO MARANHAO</v>
      </c>
      <c r="F1044" s="6">
        <v>33.707004547119098</v>
      </c>
      <c r="G1044" s="6">
        <v>33.796699523925803</v>
      </c>
      <c r="H1044" s="6">
        <v>33.815891265869098</v>
      </c>
      <c r="I1044" s="6">
        <v>28.957420349121101</v>
      </c>
      <c r="J1044" s="6">
        <v>28.973430633544901</v>
      </c>
      <c r="K1044" s="6">
        <v>28.999490737915</v>
      </c>
      <c r="L1044" s="6">
        <v>30.695062637329102</v>
      </c>
    </row>
    <row r="1045" spans="1:12" x14ac:dyDescent="0.25">
      <c r="A1045">
        <v>2931202</v>
      </c>
      <c r="B1045" t="str">
        <f t="shared" si="16"/>
        <v>TAPEROA, BA, Brasil</v>
      </c>
      <c r="C1045" s="4" t="str">
        <f>_xlfn.XLOOKUP(A1045,[1]!DadosGHD[CD_GEOCMU],[1]!DadosGHD[Região])</f>
        <v>NE</v>
      </c>
      <c r="D1045" s="4" t="str">
        <f>_xlfn.XLOOKUP(A1045,[1]!DadosGHD[CD_GEOCMU],[1]!DadosGHD[uf])</f>
        <v>BA</v>
      </c>
      <c r="E1045" s="5" t="str">
        <f>_xlfn.XLOOKUP(A1045,[1]!DadosGHD[CD_GEOCMU],[1]!DadosGHD[MUNICIPIO])</f>
        <v>TAPEROA</v>
      </c>
      <c r="F1045" s="6">
        <v>33.707027435302699</v>
      </c>
      <c r="G1045" s="6">
        <v>33.766445159912102</v>
      </c>
      <c r="H1045" s="6">
        <v>33.842689514160199</v>
      </c>
      <c r="I1045" s="6">
        <v>33.852676391601598</v>
      </c>
      <c r="J1045" s="6">
        <v>33.876335144042997</v>
      </c>
      <c r="K1045" s="6">
        <v>33.890106201171903</v>
      </c>
      <c r="L1045" s="6">
        <v>35.122184753417997</v>
      </c>
    </row>
    <row r="1046" spans="1:12" x14ac:dyDescent="0.25">
      <c r="A1046">
        <v>1502855</v>
      </c>
      <c r="B1046" t="str">
        <f t="shared" si="16"/>
        <v>CURUA, PA, Brasil</v>
      </c>
      <c r="C1046" s="4" t="str">
        <f>_xlfn.XLOOKUP(A1046,[1]!DadosGHD[CD_GEOCMU],[1]!DadosGHD[Região])</f>
        <v>NO</v>
      </c>
      <c r="D1046" s="4" t="str">
        <f>_xlfn.XLOOKUP(A1046,[1]!DadosGHD[CD_GEOCMU],[1]!DadosGHD[uf])</f>
        <v>PA</v>
      </c>
      <c r="E1046" s="5" t="str">
        <f>_xlfn.XLOOKUP(A1046,[1]!DadosGHD[CD_GEOCMU],[1]!DadosGHD[MUNICIPIO])</f>
        <v>CURUA</v>
      </c>
      <c r="F1046" s="6">
        <v>33.707065582275398</v>
      </c>
      <c r="G1046" s="6">
        <v>33.776371002197301</v>
      </c>
      <c r="H1046" s="6">
        <v>33.815658569335902</v>
      </c>
      <c r="I1046" s="6">
        <v>33.792110443115199</v>
      </c>
      <c r="J1046" s="6">
        <v>33.809295654296903</v>
      </c>
      <c r="K1046" s="6">
        <v>33.844287872314503</v>
      </c>
      <c r="L1046" s="6">
        <v>26.2837944030762</v>
      </c>
    </row>
    <row r="1047" spans="1:12" x14ac:dyDescent="0.25">
      <c r="A1047">
        <v>4322152</v>
      </c>
      <c r="B1047" t="str">
        <f t="shared" si="16"/>
        <v>TUNAS, RS, Brasil</v>
      </c>
      <c r="C1047" s="4" t="str">
        <f>_xlfn.XLOOKUP(A1047,[1]!DadosGHD[CD_GEOCMU],[1]!DadosGHD[Região])</f>
        <v>SL</v>
      </c>
      <c r="D1047" s="4" t="str">
        <f>_xlfn.XLOOKUP(A1047,[1]!DadosGHD[CD_GEOCMU],[1]!DadosGHD[uf])</f>
        <v>RS</v>
      </c>
      <c r="E1047" s="5" t="str">
        <f>_xlfn.XLOOKUP(A1047,[1]!DadosGHD[CD_GEOCMU],[1]!DadosGHD[MUNICIPIO])</f>
        <v>TUNAS</v>
      </c>
      <c r="F1047" s="6">
        <v>33.707096099853501</v>
      </c>
      <c r="G1047" s="6">
        <v>38.7511596679688</v>
      </c>
      <c r="H1047" s="6">
        <v>38.796237945556598</v>
      </c>
      <c r="I1047" s="6">
        <v>38.769493103027301</v>
      </c>
      <c r="J1047" s="6">
        <v>43.739181518554702</v>
      </c>
      <c r="K1047" s="6">
        <v>43.782665252685597</v>
      </c>
      <c r="L1047" s="6">
        <v>39.574787139892599</v>
      </c>
    </row>
    <row r="1048" spans="1:12" x14ac:dyDescent="0.25">
      <c r="A1048">
        <v>2205508</v>
      </c>
      <c r="B1048" t="str">
        <f t="shared" si="16"/>
        <v>JOSE DE FREITAS, PI, Brasil</v>
      </c>
      <c r="C1048" s="4" t="str">
        <f>_xlfn.XLOOKUP(A1048,[1]!DadosGHD[CD_GEOCMU],[1]!DadosGHD[Região])</f>
        <v>NE</v>
      </c>
      <c r="D1048" s="4" t="str">
        <f>_xlfn.XLOOKUP(A1048,[1]!DadosGHD[CD_GEOCMU],[1]!DadosGHD[uf])</f>
        <v>PI</v>
      </c>
      <c r="E1048" s="5" t="str">
        <f>_xlfn.XLOOKUP(A1048,[1]!DadosGHD[CD_GEOCMU],[1]!DadosGHD[MUNICIPIO])</f>
        <v>JOSE DE FREITAS</v>
      </c>
      <c r="F1048" s="6">
        <v>33.707107543945298</v>
      </c>
      <c r="G1048" s="6">
        <v>33.798274993896499</v>
      </c>
      <c r="H1048" s="6">
        <v>33.843849182128899</v>
      </c>
      <c r="I1048" s="6">
        <v>33.820960998535199</v>
      </c>
      <c r="J1048" s="6">
        <v>33.820774078369098</v>
      </c>
      <c r="K1048" s="6">
        <v>33.862701416015597</v>
      </c>
      <c r="L1048" s="6">
        <v>30.687606811523398</v>
      </c>
    </row>
    <row r="1049" spans="1:12" x14ac:dyDescent="0.25">
      <c r="A1049">
        <v>2923704</v>
      </c>
      <c r="B1049" t="str">
        <f t="shared" si="16"/>
        <v>PARATINGA, BA, Brasil</v>
      </c>
      <c r="C1049" s="4" t="str">
        <f>_xlfn.XLOOKUP(A1049,[1]!DadosGHD[CD_GEOCMU],[1]!DadosGHD[Região])</f>
        <v>NE</v>
      </c>
      <c r="D1049" s="4" t="str">
        <f>_xlfn.XLOOKUP(A1049,[1]!DadosGHD[CD_GEOCMU],[1]!DadosGHD[uf])</f>
        <v>BA</v>
      </c>
      <c r="E1049" s="5" t="str">
        <f>_xlfn.XLOOKUP(A1049,[1]!DadosGHD[CD_GEOCMU],[1]!DadosGHD[MUNICIPIO])</f>
        <v>PARATINGA</v>
      </c>
      <c r="F1049" s="6">
        <v>33.707241058349602</v>
      </c>
      <c r="G1049" s="6">
        <v>33.771347045898402</v>
      </c>
      <c r="H1049" s="6">
        <v>33.8134956359863</v>
      </c>
      <c r="I1049" s="6">
        <v>33.792079925537102</v>
      </c>
      <c r="J1049" s="6">
        <v>28.972782135009801</v>
      </c>
      <c r="K1049" s="6">
        <v>29.0002250671387</v>
      </c>
      <c r="L1049" s="6">
        <v>26.280164718627901</v>
      </c>
    </row>
    <row r="1050" spans="1:12" x14ac:dyDescent="0.25">
      <c r="A1050">
        <v>4109500</v>
      </c>
      <c r="B1050" t="str">
        <f t="shared" si="16"/>
        <v>GUARAQUECABA, PR, Brasil</v>
      </c>
      <c r="C1050" s="4" t="str">
        <f>_xlfn.XLOOKUP(A1050,[1]!DadosGHD[CD_GEOCMU],[1]!DadosGHD[Região])</f>
        <v>SL</v>
      </c>
      <c r="D1050" s="4" t="str">
        <f>_xlfn.XLOOKUP(A1050,[1]!DadosGHD[CD_GEOCMU],[1]!DadosGHD[uf])</f>
        <v>PR</v>
      </c>
      <c r="E1050" s="5" t="str">
        <f>_xlfn.XLOOKUP(A1050,[1]!DadosGHD[CD_GEOCMU],[1]!DadosGHD[MUNICIPIO])</f>
        <v>GUARAQUECABA</v>
      </c>
      <c r="F1050" s="6">
        <v>33.707248687744098</v>
      </c>
      <c r="G1050" s="6">
        <v>33.802928924560597</v>
      </c>
      <c r="H1050" s="6">
        <v>33.867870330810597</v>
      </c>
      <c r="I1050" s="6">
        <v>38.736278533935597</v>
      </c>
      <c r="J1050" s="6">
        <v>38.774192810058601</v>
      </c>
      <c r="K1050" s="6">
        <v>33.929943084716797</v>
      </c>
      <c r="L1050" s="6">
        <v>30.7083930969238</v>
      </c>
    </row>
    <row r="1051" spans="1:12" x14ac:dyDescent="0.25">
      <c r="A1051">
        <v>4312252</v>
      </c>
      <c r="B1051" t="str">
        <f t="shared" si="16"/>
        <v>MINAS DO LEAO, RS, Brasil</v>
      </c>
      <c r="C1051" s="4" t="str">
        <f>_xlfn.XLOOKUP(A1051,[1]!DadosGHD[CD_GEOCMU],[1]!DadosGHD[Região])</f>
        <v>SL</v>
      </c>
      <c r="D1051" s="4" t="str">
        <f>_xlfn.XLOOKUP(A1051,[1]!DadosGHD[CD_GEOCMU],[1]!DadosGHD[uf])</f>
        <v>RS</v>
      </c>
      <c r="E1051" s="5" t="str">
        <f>_xlfn.XLOOKUP(A1051,[1]!DadosGHD[CD_GEOCMU],[1]!DadosGHD[MUNICIPIO])</f>
        <v>MINAS DO LEAO</v>
      </c>
      <c r="F1051" s="6">
        <v>33.707324981689503</v>
      </c>
      <c r="G1051" s="6">
        <v>33.799831390380902</v>
      </c>
      <c r="H1051" s="6">
        <v>33.854373931884801</v>
      </c>
      <c r="I1051" s="6">
        <v>33.8497314453125</v>
      </c>
      <c r="J1051" s="6">
        <v>38.782585144042997</v>
      </c>
      <c r="K1051" s="6">
        <v>38.877906799316399</v>
      </c>
      <c r="L1051" s="6">
        <v>44.015430450439503</v>
      </c>
    </row>
    <row r="1052" spans="1:12" x14ac:dyDescent="0.25">
      <c r="A1052">
        <v>2303931</v>
      </c>
      <c r="B1052" t="str">
        <f t="shared" si="16"/>
        <v>CHORO, CE, Brasil</v>
      </c>
      <c r="C1052" s="4" t="str">
        <f>_xlfn.XLOOKUP(A1052,[1]!DadosGHD[CD_GEOCMU],[1]!DadosGHD[Região])</f>
        <v>NE</v>
      </c>
      <c r="D1052" s="4" t="str">
        <f>_xlfn.XLOOKUP(A1052,[1]!DadosGHD[CD_GEOCMU],[1]!DadosGHD[uf])</f>
        <v>CE</v>
      </c>
      <c r="E1052" s="5" t="str">
        <f>_xlfn.XLOOKUP(A1052,[1]!DadosGHD[CD_GEOCMU],[1]!DadosGHD[MUNICIPIO])</f>
        <v>CHORO</v>
      </c>
      <c r="F1052" s="6">
        <v>33.707347869873097</v>
      </c>
      <c r="G1052" s="6">
        <v>28.936813354492202</v>
      </c>
      <c r="H1052" s="6">
        <v>28.967124938964801</v>
      </c>
      <c r="I1052" s="6">
        <v>28.950437545776399</v>
      </c>
      <c r="J1052" s="6">
        <v>28.954748153686499</v>
      </c>
      <c r="K1052" s="6">
        <v>28.977563858032202</v>
      </c>
      <c r="L1052" s="6">
        <v>26.282129287719702</v>
      </c>
    </row>
    <row r="1053" spans="1:12" x14ac:dyDescent="0.25">
      <c r="A1053">
        <v>2709152</v>
      </c>
      <c r="B1053" t="str">
        <f t="shared" si="16"/>
        <v>TEOTONIO VILELA, AL, Brasil</v>
      </c>
      <c r="C1053" s="4" t="str">
        <f>_xlfn.XLOOKUP(A1053,[1]!DadosGHD[CD_GEOCMU],[1]!DadosGHD[Região])</f>
        <v>NE</v>
      </c>
      <c r="D1053" s="4" t="str">
        <f>_xlfn.XLOOKUP(A1053,[1]!DadosGHD[CD_GEOCMU],[1]!DadosGHD[uf])</f>
        <v>AL</v>
      </c>
      <c r="E1053" s="5" t="str">
        <f>_xlfn.XLOOKUP(A1053,[1]!DadosGHD[CD_GEOCMU],[1]!DadosGHD[MUNICIPIO])</f>
        <v>TEOTONIO VILELA</v>
      </c>
      <c r="F1053" s="6">
        <v>33.707389831542997</v>
      </c>
      <c r="G1053" s="6">
        <v>33.764347076416001</v>
      </c>
      <c r="H1053" s="6">
        <v>33.8112602233887</v>
      </c>
      <c r="I1053" s="6">
        <v>33.799564361572301</v>
      </c>
      <c r="J1053" s="6">
        <v>33.813014984130902</v>
      </c>
      <c r="K1053" s="6">
        <v>33.860321044921903</v>
      </c>
      <c r="L1053" s="6">
        <v>30.691764831543001</v>
      </c>
    </row>
    <row r="1054" spans="1:12" x14ac:dyDescent="0.25">
      <c r="A1054">
        <v>2613206</v>
      </c>
      <c r="B1054" t="str">
        <f t="shared" si="16"/>
        <v>SAO JOAO, PE, Brasil</v>
      </c>
      <c r="C1054" s="4" t="str">
        <f>_xlfn.XLOOKUP(A1054,[1]!DadosGHD[CD_GEOCMU],[1]!DadosGHD[Região])</f>
        <v>NE</v>
      </c>
      <c r="D1054" s="4" t="str">
        <f>_xlfn.XLOOKUP(A1054,[1]!DadosGHD[CD_GEOCMU],[1]!DadosGHD[uf])</f>
        <v>PE</v>
      </c>
      <c r="E1054" s="5" t="str">
        <f>_xlfn.XLOOKUP(A1054,[1]!DadosGHD[CD_GEOCMU],[1]!DadosGHD[MUNICIPIO])</f>
        <v>SAO JOAO</v>
      </c>
      <c r="F1054" s="6">
        <v>33.707431793212898</v>
      </c>
      <c r="G1054" s="6">
        <v>33.776744842529297</v>
      </c>
      <c r="H1054" s="6">
        <v>33.816993713378899</v>
      </c>
      <c r="I1054" s="6">
        <v>33.798976898193402</v>
      </c>
      <c r="J1054" s="6">
        <v>33.812831878662102</v>
      </c>
      <c r="K1054" s="6">
        <v>33.845363616943402</v>
      </c>
      <c r="L1054" s="6">
        <v>26.290864944458001</v>
      </c>
    </row>
    <row r="1055" spans="1:12" x14ac:dyDescent="0.25">
      <c r="A1055">
        <v>2924207</v>
      </c>
      <c r="B1055" t="str">
        <f t="shared" si="16"/>
        <v>PEDRO ALEXANDRE, BA, Brasil</v>
      </c>
      <c r="C1055" s="4" t="str">
        <f>_xlfn.XLOOKUP(A1055,[1]!DadosGHD[CD_GEOCMU],[1]!DadosGHD[Região])</f>
        <v>NE</v>
      </c>
      <c r="D1055" s="4" t="str">
        <f>_xlfn.XLOOKUP(A1055,[1]!DadosGHD[CD_GEOCMU],[1]!DadosGHD[uf])</f>
        <v>BA</v>
      </c>
      <c r="E1055" s="5" t="str">
        <f>_xlfn.XLOOKUP(A1055,[1]!DadosGHD[CD_GEOCMU],[1]!DadosGHD[MUNICIPIO])</f>
        <v>PEDRO ALEXANDRE</v>
      </c>
      <c r="F1055" s="6">
        <v>33.707485198974602</v>
      </c>
      <c r="G1055" s="6">
        <v>33.767059326171903</v>
      </c>
      <c r="H1055" s="6">
        <v>28.9797248840332</v>
      </c>
      <c r="I1055" s="6">
        <v>33.791999816894503</v>
      </c>
      <c r="J1055" s="6">
        <v>33.809013366699197</v>
      </c>
      <c r="K1055" s="6">
        <v>28.980657577514702</v>
      </c>
      <c r="L1055" s="6">
        <v>26.2798957824707</v>
      </c>
    </row>
    <row r="1056" spans="1:12" x14ac:dyDescent="0.25">
      <c r="A1056">
        <v>2313252</v>
      </c>
      <c r="B1056" t="str">
        <f t="shared" si="16"/>
        <v>TARRAFAS, CE, Brasil</v>
      </c>
      <c r="C1056" s="4" t="str">
        <f>_xlfn.XLOOKUP(A1056,[1]!DadosGHD[CD_GEOCMU],[1]!DadosGHD[Região])</f>
        <v>NE</v>
      </c>
      <c r="D1056" s="4" t="str">
        <f>_xlfn.XLOOKUP(A1056,[1]!DadosGHD[CD_GEOCMU],[1]!DadosGHD[uf])</f>
        <v>CE</v>
      </c>
      <c r="E1056" s="5" t="str">
        <f>_xlfn.XLOOKUP(A1056,[1]!DadosGHD[CD_GEOCMU],[1]!DadosGHD[MUNICIPIO])</f>
        <v>TARRAFAS</v>
      </c>
      <c r="F1056" s="6">
        <v>33.70751953125</v>
      </c>
      <c r="G1056" s="6">
        <v>33.766632080078097</v>
      </c>
      <c r="H1056" s="6">
        <v>28.975460052490199</v>
      </c>
      <c r="I1056" s="6">
        <v>28.959192276001001</v>
      </c>
      <c r="J1056" s="6">
        <v>28.9742527008057</v>
      </c>
      <c r="K1056" s="6">
        <v>33.894813537597699</v>
      </c>
      <c r="L1056" s="6">
        <v>35.129528045654297</v>
      </c>
    </row>
    <row r="1057" spans="1:12" x14ac:dyDescent="0.25">
      <c r="A1057">
        <v>1503754</v>
      </c>
      <c r="B1057" t="str">
        <f t="shared" si="16"/>
        <v>JACAREACANGA, PA, Brasil</v>
      </c>
      <c r="C1057" s="4" t="str">
        <f>_xlfn.XLOOKUP(A1057,[1]!DadosGHD[CD_GEOCMU],[1]!DadosGHD[Região])</f>
        <v>NO</v>
      </c>
      <c r="D1057" s="4" t="str">
        <f>_xlfn.XLOOKUP(A1057,[1]!DadosGHD[CD_GEOCMU],[1]!DadosGHD[uf])</f>
        <v>PA</v>
      </c>
      <c r="E1057" s="5" t="str">
        <f>_xlfn.XLOOKUP(A1057,[1]!DadosGHD[CD_GEOCMU],[1]!DadosGHD[MUNICIPIO])</f>
        <v>JACAREACANGA</v>
      </c>
      <c r="F1057" s="6">
        <v>33.7078247070313</v>
      </c>
      <c r="G1057" s="6">
        <v>33.775264739990199</v>
      </c>
      <c r="H1057" s="6">
        <v>28.975685119628899</v>
      </c>
      <c r="I1057" s="6">
        <v>33.857975006103501</v>
      </c>
      <c r="J1057" s="6">
        <v>33.888332366943402</v>
      </c>
      <c r="K1057" s="6">
        <v>38.793205261230497</v>
      </c>
      <c r="L1057" s="6">
        <v>44.020828247070298</v>
      </c>
    </row>
    <row r="1058" spans="1:12" x14ac:dyDescent="0.25">
      <c r="A1058">
        <v>1503200</v>
      </c>
      <c r="B1058" t="str">
        <f t="shared" si="16"/>
        <v>IGARAPE-ACU, PA, Brasil</v>
      </c>
      <c r="C1058" s="4" t="str">
        <f>_xlfn.XLOOKUP(A1058,[1]!DadosGHD[CD_GEOCMU],[1]!DadosGHD[Região])</f>
        <v>NO</v>
      </c>
      <c r="D1058" s="4" t="str">
        <f>_xlfn.XLOOKUP(A1058,[1]!DadosGHD[CD_GEOCMU],[1]!DadosGHD[uf])</f>
        <v>PA</v>
      </c>
      <c r="E1058" s="5" t="str">
        <f>_xlfn.XLOOKUP(A1058,[1]!DadosGHD[CD_GEOCMU],[1]!DadosGHD[MUNICIPIO])</f>
        <v>IGARAPE-ACU</v>
      </c>
      <c r="F1058" s="6">
        <v>33.707836151123097</v>
      </c>
      <c r="G1058" s="6">
        <v>33.780513763427699</v>
      </c>
      <c r="H1058" s="6">
        <v>28.96755027771</v>
      </c>
      <c r="I1058" s="6">
        <v>28.960176467895501</v>
      </c>
      <c r="J1058" s="6">
        <v>33.820041656494098</v>
      </c>
      <c r="K1058" s="6">
        <v>33.842769622802699</v>
      </c>
      <c r="L1058" s="6">
        <v>30.688301086425799</v>
      </c>
    </row>
    <row r="1059" spans="1:12" x14ac:dyDescent="0.25">
      <c r="A1059">
        <v>2919603</v>
      </c>
      <c r="B1059" t="str">
        <f t="shared" si="16"/>
        <v>MACAJUBA, BA, Brasil</v>
      </c>
      <c r="C1059" s="4" t="str">
        <f>_xlfn.XLOOKUP(A1059,[1]!DadosGHD[CD_GEOCMU],[1]!DadosGHD[Região])</f>
        <v>NE</v>
      </c>
      <c r="D1059" s="4" t="str">
        <f>_xlfn.XLOOKUP(A1059,[1]!DadosGHD[CD_GEOCMU],[1]!DadosGHD[uf])</f>
        <v>BA</v>
      </c>
      <c r="E1059" s="5" t="str">
        <f>_xlfn.XLOOKUP(A1059,[1]!DadosGHD[CD_GEOCMU],[1]!DadosGHD[MUNICIPIO])</f>
        <v>MACAJUBA</v>
      </c>
      <c r="F1059" s="6">
        <v>33.707836151123097</v>
      </c>
      <c r="G1059" s="6">
        <v>38.701839447021499</v>
      </c>
      <c r="H1059" s="6">
        <v>38.767753601074197</v>
      </c>
      <c r="I1059" s="6">
        <v>38.7445259094238</v>
      </c>
      <c r="J1059" s="6">
        <v>38.747875213623097</v>
      </c>
      <c r="K1059" s="6">
        <v>38.791141510009801</v>
      </c>
      <c r="L1059" s="6">
        <v>35.150547027587898</v>
      </c>
    </row>
    <row r="1060" spans="1:12" x14ac:dyDescent="0.25">
      <c r="A1060">
        <v>2608750</v>
      </c>
      <c r="B1060" t="str">
        <f t="shared" si="16"/>
        <v>LAGOA GRANDE, PE, Brasil</v>
      </c>
      <c r="C1060" s="4" t="str">
        <f>_xlfn.XLOOKUP(A1060,[1]!DadosGHD[CD_GEOCMU],[1]!DadosGHD[Região])</f>
        <v>NE</v>
      </c>
      <c r="D1060" s="4" t="str">
        <f>_xlfn.XLOOKUP(A1060,[1]!DadosGHD[CD_GEOCMU],[1]!DadosGHD[uf])</f>
        <v>PE</v>
      </c>
      <c r="E1060" s="5" t="str">
        <f>_xlfn.XLOOKUP(A1060,[1]!DadosGHD[CD_GEOCMU],[1]!DadosGHD[MUNICIPIO])</f>
        <v>LAGOA GRANDE</v>
      </c>
      <c r="F1060" s="6">
        <v>33.707939147949197</v>
      </c>
      <c r="G1060" s="6">
        <v>33.789649963378899</v>
      </c>
      <c r="H1060" s="6">
        <v>28.9701957702637</v>
      </c>
      <c r="I1060" s="6">
        <v>33.792392730712898</v>
      </c>
      <c r="J1060" s="6">
        <v>33.826793670654297</v>
      </c>
      <c r="K1060" s="6">
        <v>33.876209259033203</v>
      </c>
      <c r="L1060" s="6">
        <v>39.584545135498097</v>
      </c>
    </row>
    <row r="1061" spans="1:12" x14ac:dyDescent="0.25">
      <c r="A1061">
        <v>2110401</v>
      </c>
      <c r="B1061" t="str">
        <f t="shared" si="16"/>
        <v>SAO BENEDITO DO RIO PRETO, MA, Brasil</v>
      </c>
      <c r="C1061" s="4" t="str">
        <f>_xlfn.XLOOKUP(A1061,[1]!DadosGHD[CD_GEOCMU],[1]!DadosGHD[Região])</f>
        <v>NE</v>
      </c>
      <c r="D1061" s="4" t="str">
        <f>_xlfn.XLOOKUP(A1061,[1]!DadosGHD[CD_GEOCMU],[1]!DadosGHD[uf])</f>
        <v>MA</v>
      </c>
      <c r="E1061" s="5" t="str">
        <f>_xlfn.XLOOKUP(A1061,[1]!DadosGHD[CD_GEOCMU],[1]!DadosGHD[MUNICIPIO])</f>
        <v>SAO BENEDITO DO RIO PRETO</v>
      </c>
      <c r="F1061" s="6">
        <v>33.708053588867202</v>
      </c>
      <c r="G1061" s="6">
        <v>33.7662544250488</v>
      </c>
      <c r="H1061" s="6">
        <v>28.975032806396499</v>
      </c>
      <c r="I1061" s="6">
        <v>28.955896377563501</v>
      </c>
      <c r="J1061" s="6">
        <v>28.961236953735401</v>
      </c>
      <c r="K1061" s="6">
        <v>28.9686679840088</v>
      </c>
      <c r="L1061" s="6">
        <v>26.2798957824707</v>
      </c>
    </row>
    <row r="1062" spans="1:12" x14ac:dyDescent="0.25">
      <c r="A1062">
        <v>2927002</v>
      </c>
      <c r="B1062" t="str">
        <f t="shared" si="16"/>
        <v>RIO REAL, BA, Brasil</v>
      </c>
      <c r="C1062" s="4" t="str">
        <f>_xlfn.XLOOKUP(A1062,[1]!DadosGHD[CD_GEOCMU],[1]!DadosGHD[Região])</f>
        <v>NE</v>
      </c>
      <c r="D1062" s="4" t="str">
        <f>_xlfn.XLOOKUP(A1062,[1]!DadosGHD[CD_GEOCMU],[1]!DadosGHD[uf])</f>
        <v>BA</v>
      </c>
      <c r="E1062" s="5" t="str">
        <f>_xlfn.XLOOKUP(A1062,[1]!DadosGHD[CD_GEOCMU],[1]!DadosGHD[MUNICIPIO])</f>
        <v>RIO REAL</v>
      </c>
      <c r="F1062" s="6">
        <v>33.708145141601598</v>
      </c>
      <c r="G1062" s="6">
        <v>33.7752685546875</v>
      </c>
      <c r="H1062" s="6">
        <v>33.820125579833999</v>
      </c>
      <c r="I1062" s="6">
        <v>33.795791625976598</v>
      </c>
      <c r="J1062" s="6">
        <v>33.810333251953097</v>
      </c>
      <c r="K1062" s="6">
        <v>33.85107421875</v>
      </c>
      <c r="L1062" s="6">
        <v>30.711483001708999</v>
      </c>
    </row>
    <row r="1063" spans="1:12" x14ac:dyDescent="0.25">
      <c r="A1063">
        <v>2901205</v>
      </c>
      <c r="B1063" t="str">
        <f t="shared" si="16"/>
        <v>ANAGE, BA, Brasil</v>
      </c>
      <c r="C1063" s="4" t="str">
        <f>_xlfn.XLOOKUP(A1063,[1]!DadosGHD[CD_GEOCMU],[1]!DadosGHD[Região])</f>
        <v>NE</v>
      </c>
      <c r="D1063" s="4" t="str">
        <f>_xlfn.XLOOKUP(A1063,[1]!DadosGHD[CD_GEOCMU],[1]!DadosGHD[uf])</f>
        <v>BA</v>
      </c>
      <c r="E1063" s="5" t="str">
        <f>_xlfn.XLOOKUP(A1063,[1]!DadosGHD[CD_GEOCMU],[1]!DadosGHD[MUNICIPIO])</f>
        <v>ANAGE</v>
      </c>
      <c r="F1063" s="6">
        <v>33.7082328796387</v>
      </c>
      <c r="G1063" s="6">
        <v>33.771377563476598</v>
      </c>
      <c r="H1063" s="6">
        <v>33.817955017089801</v>
      </c>
      <c r="I1063" s="6">
        <v>28.953403472900401</v>
      </c>
      <c r="J1063" s="6">
        <v>28.969711303710898</v>
      </c>
      <c r="K1063" s="6">
        <v>33.844753265380902</v>
      </c>
      <c r="L1063" s="6">
        <v>26.296728134155298</v>
      </c>
    </row>
    <row r="1064" spans="1:12" x14ac:dyDescent="0.25">
      <c r="A1064">
        <v>3146750</v>
      </c>
      <c r="B1064" t="str">
        <f t="shared" si="16"/>
        <v>PALMOPOLIS, MG, Brasil</v>
      </c>
      <c r="C1064" s="4" t="str">
        <f>_xlfn.XLOOKUP(A1064,[1]!DadosGHD[CD_GEOCMU],[1]!DadosGHD[Região])</f>
        <v>SD</v>
      </c>
      <c r="D1064" s="4" t="str">
        <f>_xlfn.XLOOKUP(A1064,[1]!DadosGHD[CD_GEOCMU],[1]!DadosGHD[uf])</f>
        <v>MG</v>
      </c>
      <c r="E1064" s="5" t="str">
        <f>_xlfn.XLOOKUP(A1064,[1]!DadosGHD[CD_GEOCMU],[1]!DadosGHD[MUNICIPIO])</f>
        <v>PALMOPOLIS</v>
      </c>
      <c r="F1064" s="6">
        <v>33.708259582519503</v>
      </c>
      <c r="G1064" s="6">
        <v>33.799560546875</v>
      </c>
      <c r="H1064" s="6">
        <v>33.851219177246101</v>
      </c>
      <c r="I1064" s="6">
        <v>33.833389282226598</v>
      </c>
      <c r="J1064" s="6">
        <v>33.855491638183601</v>
      </c>
      <c r="K1064" s="6">
        <v>33.920993804931598</v>
      </c>
      <c r="L1064" s="6">
        <v>30.6969318389893</v>
      </c>
    </row>
    <row r="1065" spans="1:12" x14ac:dyDescent="0.25">
      <c r="A1065">
        <v>2932705</v>
      </c>
      <c r="B1065" t="str">
        <f t="shared" si="16"/>
        <v>URUCUCA, BA, Brasil</v>
      </c>
      <c r="C1065" s="4" t="str">
        <f>_xlfn.XLOOKUP(A1065,[1]!DadosGHD[CD_GEOCMU],[1]!DadosGHD[Região])</f>
        <v>NE</v>
      </c>
      <c r="D1065" s="4" t="str">
        <f>_xlfn.XLOOKUP(A1065,[1]!DadosGHD[CD_GEOCMU],[1]!DadosGHD[uf])</f>
        <v>BA</v>
      </c>
      <c r="E1065" s="5" t="str">
        <f>_xlfn.XLOOKUP(A1065,[1]!DadosGHD[CD_GEOCMU],[1]!DadosGHD[MUNICIPIO])</f>
        <v>URUCUCA</v>
      </c>
      <c r="F1065" s="6">
        <v>33.708286285400398</v>
      </c>
      <c r="G1065" s="6">
        <v>33.771076202392599</v>
      </c>
      <c r="H1065" s="6">
        <v>33.819400787353501</v>
      </c>
      <c r="I1065" s="6">
        <v>33.802661895752003</v>
      </c>
      <c r="J1065" s="6">
        <v>33.823028564453097</v>
      </c>
      <c r="K1065" s="6">
        <v>33.842147827148402</v>
      </c>
      <c r="L1065" s="6">
        <v>30.7017726898193</v>
      </c>
    </row>
    <row r="1066" spans="1:12" x14ac:dyDescent="0.25">
      <c r="A1066">
        <v>2911857</v>
      </c>
      <c r="B1066" t="str">
        <f t="shared" si="16"/>
        <v>HELIOPOLIS, BA, Brasil</v>
      </c>
      <c r="C1066" s="4" t="str">
        <f>_xlfn.XLOOKUP(A1066,[1]!DadosGHD[CD_GEOCMU],[1]!DadosGHD[Região])</f>
        <v>NE</v>
      </c>
      <c r="D1066" s="4" t="str">
        <f>_xlfn.XLOOKUP(A1066,[1]!DadosGHD[CD_GEOCMU],[1]!DadosGHD[uf])</f>
        <v>BA</v>
      </c>
      <c r="E1066" s="5" t="str">
        <f>_xlfn.XLOOKUP(A1066,[1]!DadosGHD[CD_GEOCMU],[1]!DadosGHD[MUNICIPIO])</f>
        <v>HELIOPOLIS</v>
      </c>
      <c r="F1066" s="6">
        <v>33.708400726318402</v>
      </c>
      <c r="G1066" s="6">
        <v>33.768669128417997</v>
      </c>
      <c r="H1066" s="6">
        <v>28.969244003295898</v>
      </c>
      <c r="I1066" s="6">
        <v>33.810295104980497</v>
      </c>
      <c r="J1066" s="6">
        <v>33.8455200195313</v>
      </c>
      <c r="K1066" s="6">
        <v>33.886867523193402</v>
      </c>
      <c r="L1066" s="6">
        <v>30.720579147338899</v>
      </c>
    </row>
    <row r="1067" spans="1:12" x14ac:dyDescent="0.25">
      <c r="A1067">
        <v>2610202</v>
      </c>
      <c r="B1067" t="str">
        <f t="shared" si="16"/>
        <v>PANELAS, PE, Brasil</v>
      </c>
      <c r="C1067" s="4" t="str">
        <f>_xlfn.XLOOKUP(A1067,[1]!DadosGHD[CD_GEOCMU],[1]!DadosGHD[Região])</f>
        <v>NE</v>
      </c>
      <c r="D1067" s="4" t="str">
        <f>_xlfn.XLOOKUP(A1067,[1]!DadosGHD[CD_GEOCMU],[1]!DadosGHD[uf])</f>
        <v>PE</v>
      </c>
      <c r="E1067" s="5" t="str">
        <f>_xlfn.XLOOKUP(A1067,[1]!DadosGHD[CD_GEOCMU],[1]!DadosGHD[MUNICIPIO])</f>
        <v>PANELAS</v>
      </c>
      <c r="F1067" s="6">
        <v>33.708526611328097</v>
      </c>
      <c r="G1067" s="6">
        <v>33.769084930419901</v>
      </c>
      <c r="H1067" s="6">
        <v>33.816177368164098</v>
      </c>
      <c r="I1067" s="6">
        <v>33.797595977783203</v>
      </c>
      <c r="J1067" s="6">
        <v>33.810478210449197</v>
      </c>
      <c r="K1067" s="6">
        <v>33.845291137695298</v>
      </c>
      <c r="L1067" s="6">
        <v>39.605438232421903</v>
      </c>
    </row>
    <row r="1068" spans="1:12" x14ac:dyDescent="0.25">
      <c r="A1068">
        <v>2306702</v>
      </c>
      <c r="B1068" t="str">
        <f t="shared" si="16"/>
        <v>JAGUARETAMA, CE, Brasil</v>
      </c>
      <c r="C1068" s="4" t="str">
        <f>_xlfn.XLOOKUP(A1068,[1]!DadosGHD[CD_GEOCMU],[1]!DadosGHD[Região])</f>
        <v>NE</v>
      </c>
      <c r="D1068" s="4" t="str">
        <f>_xlfn.XLOOKUP(A1068,[1]!DadosGHD[CD_GEOCMU],[1]!DadosGHD[uf])</f>
        <v>CE</v>
      </c>
      <c r="E1068" s="5" t="str">
        <f>_xlfn.XLOOKUP(A1068,[1]!DadosGHD[CD_GEOCMU],[1]!DadosGHD[MUNICIPIO])</f>
        <v>JAGUARETAMA</v>
      </c>
      <c r="F1068" s="6">
        <v>33.708786010742202</v>
      </c>
      <c r="G1068" s="6">
        <v>33.794475555419901</v>
      </c>
      <c r="H1068" s="6">
        <v>33.853034973144503</v>
      </c>
      <c r="I1068" s="6">
        <v>33.857704162597699</v>
      </c>
      <c r="J1068" s="6">
        <v>33.891616821289098</v>
      </c>
      <c r="K1068" s="6">
        <v>33.916934967041001</v>
      </c>
      <c r="L1068" s="6">
        <v>35.131301879882798</v>
      </c>
    </row>
    <row r="1069" spans="1:12" x14ac:dyDescent="0.25">
      <c r="A1069">
        <v>3159357</v>
      </c>
      <c r="B1069" t="str">
        <f t="shared" si="16"/>
        <v>SANTA RITA DE MINAS, MG, Brasil</v>
      </c>
      <c r="C1069" s="4" t="str">
        <f>_xlfn.XLOOKUP(A1069,[1]!DadosGHD[CD_GEOCMU],[1]!DadosGHD[Região])</f>
        <v>SD</v>
      </c>
      <c r="D1069" s="4" t="str">
        <f>_xlfn.XLOOKUP(A1069,[1]!DadosGHD[CD_GEOCMU],[1]!DadosGHD[uf])</f>
        <v>MG</v>
      </c>
      <c r="E1069" s="5" t="str">
        <f>_xlfn.XLOOKUP(A1069,[1]!DadosGHD[CD_GEOCMU],[1]!DadosGHD[MUNICIPIO])</f>
        <v>SANTA RITA DE MINAS</v>
      </c>
      <c r="F1069" s="6">
        <v>33.709079742431598</v>
      </c>
      <c r="G1069" s="6">
        <v>33.822807312011697</v>
      </c>
      <c r="H1069" s="6">
        <v>33.853450775146499</v>
      </c>
      <c r="I1069" s="6">
        <v>33.833370208740199</v>
      </c>
      <c r="J1069" s="6">
        <v>38.805210113525398</v>
      </c>
      <c r="K1069" s="6">
        <v>38.887210845947301</v>
      </c>
      <c r="L1069" s="6">
        <v>35.135719299316399</v>
      </c>
    </row>
    <row r="1070" spans="1:12" x14ac:dyDescent="0.25">
      <c r="A1070">
        <v>2928307</v>
      </c>
      <c r="B1070" t="str">
        <f t="shared" si="16"/>
        <v>SANTANOPOLIS, BA, Brasil</v>
      </c>
      <c r="C1070" s="4" t="str">
        <f>_xlfn.XLOOKUP(A1070,[1]!DadosGHD[CD_GEOCMU],[1]!DadosGHD[Região])</f>
        <v>NE</v>
      </c>
      <c r="D1070" s="4" t="str">
        <f>_xlfn.XLOOKUP(A1070,[1]!DadosGHD[CD_GEOCMU],[1]!DadosGHD[uf])</f>
        <v>BA</v>
      </c>
      <c r="E1070" s="5" t="str">
        <f>_xlfn.XLOOKUP(A1070,[1]!DadosGHD[CD_GEOCMU],[1]!DadosGHD[MUNICIPIO])</f>
        <v>SANTANOPOLIS</v>
      </c>
      <c r="F1070" s="6">
        <v>33.7090873718262</v>
      </c>
      <c r="G1070" s="6">
        <v>33.767059326171903</v>
      </c>
      <c r="H1070" s="6">
        <v>28.977207183837901</v>
      </c>
      <c r="I1070" s="6">
        <v>28.959415435791001</v>
      </c>
      <c r="J1070" s="6">
        <v>28.977643966674801</v>
      </c>
      <c r="K1070" s="6">
        <v>29.0009860992432</v>
      </c>
      <c r="L1070" s="6">
        <v>26.2931232452393</v>
      </c>
    </row>
    <row r="1071" spans="1:12" x14ac:dyDescent="0.25">
      <c r="A1071">
        <v>2926004</v>
      </c>
      <c r="B1071" t="str">
        <f t="shared" si="16"/>
        <v>REMANSO, BA, Brasil</v>
      </c>
      <c r="C1071" s="4" t="str">
        <f>_xlfn.XLOOKUP(A1071,[1]!DadosGHD[CD_GEOCMU],[1]!DadosGHD[Região])</f>
        <v>NE</v>
      </c>
      <c r="D1071" s="4" t="str">
        <f>_xlfn.XLOOKUP(A1071,[1]!DadosGHD[CD_GEOCMU],[1]!DadosGHD[uf])</f>
        <v>BA</v>
      </c>
      <c r="E1071" s="5" t="str">
        <f>_xlfn.XLOOKUP(A1071,[1]!DadosGHD[CD_GEOCMU],[1]!DadosGHD[MUNICIPIO])</f>
        <v>REMANSO</v>
      </c>
      <c r="F1071" s="6">
        <v>33.709346771240199</v>
      </c>
      <c r="G1071" s="6">
        <v>33.773834228515597</v>
      </c>
      <c r="H1071" s="6">
        <v>28.980161666870099</v>
      </c>
      <c r="I1071" s="6">
        <v>28.9599704742432</v>
      </c>
      <c r="J1071" s="6">
        <v>33.882541656494098</v>
      </c>
      <c r="K1071" s="6">
        <v>33.8978881835938</v>
      </c>
      <c r="L1071" s="6">
        <v>30.712141036987301</v>
      </c>
    </row>
    <row r="1072" spans="1:12" x14ac:dyDescent="0.25">
      <c r="A1072">
        <v>2302602</v>
      </c>
      <c r="B1072" t="str">
        <f t="shared" si="16"/>
        <v>CAMOCIM, CE, Brasil</v>
      </c>
      <c r="C1072" s="4" t="str">
        <f>_xlfn.XLOOKUP(A1072,[1]!DadosGHD[CD_GEOCMU],[1]!DadosGHD[Região])</f>
        <v>NE</v>
      </c>
      <c r="D1072" s="4" t="str">
        <f>_xlfn.XLOOKUP(A1072,[1]!DadosGHD[CD_GEOCMU],[1]!DadosGHD[uf])</f>
        <v>CE</v>
      </c>
      <c r="E1072" s="5" t="str">
        <f>_xlfn.XLOOKUP(A1072,[1]!DadosGHD[CD_GEOCMU],[1]!DadosGHD[MUNICIPIO])</f>
        <v>CAMOCIM</v>
      </c>
      <c r="F1072" s="6">
        <v>33.7094535827637</v>
      </c>
      <c r="G1072" s="6">
        <v>33.788997650146499</v>
      </c>
      <c r="H1072" s="6">
        <v>33.852752685546903</v>
      </c>
      <c r="I1072" s="6">
        <v>38.7432861328125</v>
      </c>
      <c r="J1072" s="6">
        <v>33.868919372558601</v>
      </c>
      <c r="K1072" s="6">
        <v>38.819648742675803</v>
      </c>
      <c r="L1072" s="6">
        <v>44.023712158203097</v>
      </c>
    </row>
    <row r="1073" spans="1:12" x14ac:dyDescent="0.25">
      <c r="A1073">
        <v>2701308</v>
      </c>
      <c r="B1073" t="str">
        <f t="shared" si="16"/>
        <v>CAJUEIRO, AL, Brasil</v>
      </c>
      <c r="C1073" s="4" t="str">
        <f>_xlfn.XLOOKUP(A1073,[1]!DadosGHD[CD_GEOCMU],[1]!DadosGHD[Região])</f>
        <v>NE</v>
      </c>
      <c r="D1073" s="4" t="str">
        <f>_xlfn.XLOOKUP(A1073,[1]!DadosGHD[CD_GEOCMU],[1]!DadosGHD[uf])</f>
        <v>AL</v>
      </c>
      <c r="E1073" s="5" t="str">
        <f>_xlfn.XLOOKUP(A1073,[1]!DadosGHD[CD_GEOCMU],[1]!DadosGHD[MUNICIPIO])</f>
        <v>CAJUEIRO</v>
      </c>
      <c r="F1073" s="6">
        <v>33.70947265625</v>
      </c>
      <c r="G1073" s="6">
        <v>33.776744842529297</v>
      </c>
      <c r="H1073" s="6">
        <v>33.8183403015137</v>
      </c>
      <c r="I1073" s="6">
        <v>33.8101997375488</v>
      </c>
      <c r="J1073" s="6">
        <v>33.8183403015137</v>
      </c>
      <c r="K1073" s="6">
        <v>28.987260818481399</v>
      </c>
      <c r="L1073" s="6">
        <v>26.283519744873001</v>
      </c>
    </row>
    <row r="1074" spans="1:12" x14ac:dyDescent="0.25">
      <c r="A1074">
        <v>2103109</v>
      </c>
      <c r="B1074" t="str">
        <f t="shared" si="16"/>
        <v>CEDRAL, MA, Brasil</v>
      </c>
      <c r="C1074" s="4" t="str">
        <f>_xlfn.XLOOKUP(A1074,[1]!DadosGHD[CD_GEOCMU],[1]!DadosGHD[Região])</f>
        <v>NE</v>
      </c>
      <c r="D1074" s="4" t="str">
        <f>_xlfn.XLOOKUP(A1074,[1]!DadosGHD[CD_GEOCMU],[1]!DadosGHD[uf])</f>
        <v>MA</v>
      </c>
      <c r="E1074" s="5" t="str">
        <f>_xlfn.XLOOKUP(A1074,[1]!DadosGHD[CD_GEOCMU],[1]!DadosGHD[MUNICIPIO])</f>
        <v>CEDRAL</v>
      </c>
      <c r="F1074" s="6">
        <v>33.709499359130902</v>
      </c>
      <c r="G1074" s="6">
        <v>33.801788330078097</v>
      </c>
      <c r="H1074" s="6">
        <v>33.864505767822301</v>
      </c>
      <c r="I1074" s="6">
        <v>33.817764282226598</v>
      </c>
      <c r="J1074" s="6">
        <v>43.8070259094238</v>
      </c>
      <c r="K1074" s="6">
        <v>28.986328125</v>
      </c>
      <c r="L1074" s="6">
        <v>26.2798957824707</v>
      </c>
    </row>
    <row r="1075" spans="1:12" x14ac:dyDescent="0.25">
      <c r="A1075">
        <v>2705200</v>
      </c>
      <c r="B1075" t="str">
        <f t="shared" si="16"/>
        <v>MESSIAS, AL, Brasil</v>
      </c>
      <c r="C1075" s="4" t="str">
        <f>_xlfn.XLOOKUP(A1075,[1]!DadosGHD[CD_GEOCMU],[1]!DadosGHD[Região])</f>
        <v>NE</v>
      </c>
      <c r="D1075" s="4" t="str">
        <f>_xlfn.XLOOKUP(A1075,[1]!DadosGHD[CD_GEOCMU],[1]!DadosGHD[uf])</f>
        <v>AL</v>
      </c>
      <c r="E1075" s="5" t="str">
        <f>_xlfn.XLOOKUP(A1075,[1]!DadosGHD[CD_GEOCMU],[1]!DadosGHD[MUNICIPIO])</f>
        <v>MESSIAS</v>
      </c>
      <c r="F1075" s="6">
        <v>33.709583282470703</v>
      </c>
      <c r="G1075" s="6">
        <v>33.778228759765597</v>
      </c>
      <c r="H1075" s="6">
        <v>33.813106536865199</v>
      </c>
      <c r="I1075" s="6">
        <v>33.792160034179702</v>
      </c>
      <c r="J1075" s="6">
        <v>33.820152282714801</v>
      </c>
      <c r="K1075" s="6">
        <v>28.996402740478501</v>
      </c>
      <c r="L1075" s="6">
        <v>30.687604904174801</v>
      </c>
    </row>
    <row r="1076" spans="1:12" x14ac:dyDescent="0.25">
      <c r="A1076">
        <v>2308906</v>
      </c>
      <c r="B1076" t="str">
        <f t="shared" si="16"/>
        <v>MORRINHOS, CE, Brasil</v>
      </c>
      <c r="C1076" s="4" t="str">
        <f>_xlfn.XLOOKUP(A1076,[1]!DadosGHD[CD_GEOCMU],[1]!DadosGHD[Região])</f>
        <v>NE</v>
      </c>
      <c r="D1076" s="4" t="str">
        <f>_xlfn.XLOOKUP(A1076,[1]!DadosGHD[CD_GEOCMU],[1]!DadosGHD[uf])</f>
        <v>CE</v>
      </c>
      <c r="E1076" s="5" t="str">
        <f>_xlfn.XLOOKUP(A1076,[1]!DadosGHD[CD_GEOCMU],[1]!DadosGHD[MUNICIPIO])</f>
        <v>MORRINHOS</v>
      </c>
      <c r="F1076" s="6">
        <v>33.709804534912102</v>
      </c>
      <c r="G1076" s="6">
        <v>33.836254119873097</v>
      </c>
      <c r="H1076" s="6">
        <v>38.745597839355497</v>
      </c>
      <c r="I1076" s="6">
        <v>38.731945037841797</v>
      </c>
      <c r="J1076" s="6">
        <v>38.771133422851598</v>
      </c>
      <c r="K1076" s="6">
        <v>38.822399139404297</v>
      </c>
      <c r="L1076" s="6">
        <v>39.585231781005902</v>
      </c>
    </row>
    <row r="1077" spans="1:12" x14ac:dyDescent="0.25">
      <c r="A1077">
        <v>1200351</v>
      </c>
      <c r="B1077" t="str">
        <f t="shared" si="16"/>
        <v>MARECHAL THAUMATURGO, AC, Brasil</v>
      </c>
      <c r="C1077" s="4" t="str">
        <f>_xlfn.XLOOKUP(A1077,[1]!DadosGHD[CD_GEOCMU],[1]!DadosGHD[Região])</f>
        <v>NO</v>
      </c>
      <c r="D1077" s="4" t="str">
        <f>_xlfn.XLOOKUP(A1077,[1]!DadosGHD[CD_GEOCMU],[1]!DadosGHD[uf])</f>
        <v>AC</v>
      </c>
      <c r="E1077" s="5" t="str">
        <f>_xlfn.XLOOKUP(A1077,[1]!DadosGHD[CD_GEOCMU],[1]!DadosGHD[MUNICIPIO])</f>
        <v>MARECHAL THAUMATURGO</v>
      </c>
      <c r="F1077" s="6">
        <v>33.709880828857401</v>
      </c>
      <c r="G1077" s="6">
        <v>33.7656860351563</v>
      </c>
      <c r="H1077" s="6">
        <v>28.9731559753418</v>
      </c>
      <c r="I1077" s="6">
        <v>28.952434539794901</v>
      </c>
      <c r="J1077" s="6">
        <v>28.965795516967798</v>
      </c>
      <c r="K1077" s="6">
        <v>28.9915466308594</v>
      </c>
      <c r="L1077" s="6">
        <v>26.282621383666999</v>
      </c>
    </row>
    <row r="1078" spans="1:12" x14ac:dyDescent="0.25">
      <c r="A1078">
        <v>2929305</v>
      </c>
      <c r="B1078" t="str">
        <f t="shared" si="16"/>
        <v>SAO GONCALO DOS CAMPOS, BA, Brasil</v>
      </c>
      <c r="C1078" s="4" t="str">
        <f>_xlfn.XLOOKUP(A1078,[1]!DadosGHD[CD_GEOCMU],[1]!DadosGHD[Região])</f>
        <v>NE</v>
      </c>
      <c r="D1078" s="4" t="str">
        <f>_xlfn.XLOOKUP(A1078,[1]!DadosGHD[CD_GEOCMU],[1]!DadosGHD[uf])</f>
        <v>BA</v>
      </c>
      <c r="E1078" s="5" t="str">
        <f>_xlfn.XLOOKUP(A1078,[1]!DadosGHD[CD_GEOCMU],[1]!DadosGHD[MUNICIPIO])</f>
        <v>SAO GONCALO DOS CAMPOS</v>
      </c>
      <c r="F1078" s="6">
        <v>33.709896087646499</v>
      </c>
      <c r="G1078" s="6">
        <v>33.777046203613303</v>
      </c>
      <c r="H1078" s="6">
        <v>33.8171577453613</v>
      </c>
      <c r="I1078" s="6">
        <v>33.795509338378899</v>
      </c>
      <c r="J1078" s="6">
        <v>28.974592208862301</v>
      </c>
      <c r="K1078" s="6">
        <v>28.9911708831787</v>
      </c>
      <c r="L1078" s="6">
        <v>26.2798957824707</v>
      </c>
    </row>
    <row r="1079" spans="1:12" x14ac:dyDescent="0.25">
      <c r="A1079">
        <v>2925709</v>
      </c>
      <c r="B1079" t="str">
        <f t="shared" si="16"/>
        <v>PRESIDENTE JANIO QUADROS, BA, Brasil</v>
      </c>
      <c r="C1079" s="4" t="str">
        <f>_xlfn.XLOOKUP(A1079,[1]!DadosGHD[CD_GEOCMU],[1]!DadosGHD[Região])</f>
        <v>NE</v>
      </c>
      <c r="D1079" s="4" t="str">
        <f>_xlfn.XLOOKUP(A1079,[1]!DadosGHD[CD_GEOCMU],[1]!DadosGHD[uf])</f>
        <v>BA</v>
      </c>
      <c r="E1079" s="5" t="str">
        <f>_xlfn.XLOOKUP(A1079,[1]!DadosGHD[CD_GEOCMU],[1]!DadosGHD[MUNICIPIO])</f>
        <v>PRESIDENTE JANIO QUADROS</v>
      </c>
      <c r="F1079" s="6">
        <v>33.709915161132798</v>
      </c>
      <c r="G1079" s="6">
        <v>33.767715454101598</v>
      </c>
      <c r="H1079" s="6">
        <v>33.830879211425803</v>
      </c>
      <c r="I1079" s="6">
        <v>33.821971893310597</v>
      </c>
      <c r="J1079" s="6">
        <v>33.8445854187012</v>
      </c>
      <c r="K1079" s="6">
        <v>33.872188568115199</v>
      </c>
      <c r="L1079" s="6">
        <v>39.607547760009801</v>
      </c>
    </row>
    <row r="1080" spans="1:12" x14ac:dyDescent="0.25">
      <c r="A1080">
        <v>2933505</v>
      </c>
      <c r="B1080" t="str">
        <f t="shared" si="16"/>
        <v>WENCESLAU GUIMARAES, BA, Brasil</v>
      </c>
      <c r="C1080" s="4" t="str">
        <f>_xlfn.XLOOKUP(A1080,[1]!DadosGHD[CD_GEOCMU],[1]!DadosGHD[Região])</f>
        <v>NE</v>
      </c>
      <c r="D1080" s="4" t="str">
        <f>_xlfn.XLOOKUP(A1080,[1]!DadosGHD[CD_GEOCMU],[1]!DadosGHD[uf])</f>
        <v>BA</v>
      </c>
      <c r="E1080" s="5" t="str">
        <f>_xlfn.XLOOKUP(A1080,[1]!DadosGHD[CD_GEOCMU],[1]!DadosGHD[MUNICIPIO])</f>
        <v>WENCESLAU GUIMARAES</v>
      </c>
      <c r="F1080" s="6">
        <v>33.710044860839801</v>
      </c>
      <c r="G1080" s="6">
        <v>33.774372100830099</v>
      </c>
      <c r="H1080" s="6">
        <v>33.834632873535199</v>
      </c>
      <c r="I1080" s="6">
        <v>33.806533813476598</v>
      </c>
      <c r="J1080" s="6">
        <v>33.814357757568402</v>
      </c>
      <c r="K1080" s="6">
        <v>33.8461723327637</v>
      </c>
      <c r="L1080" s="6">
        <v>26.296236038208001</v>
      </c>
    </row>
    <row r="1081" spans="1:12" x14ac:dyDescent="0.25">
      <c r="A1081">
        <v>2307700</v>
      </c>
      <c r="B1081" t="str">
        <f t="shared" si="16"/>
        <v>MARANGUAPE, CE, Brasil</v>
      </c>
      <c r="C1081" s="4" t="str">
        <f>_xlfn.XLOOKUP(A1081,[1]!DadosGHD[CD_GEOCMU],[1]!DadosGHD[Região])</f>
        <v>NE</v>
      </c>
      <c r="D1081" s="4" t="str">
        <f>_xlfn.XLOOKUP(A1081,[1]!DadosGHD[CD_GEOCMU],[1]!DadosGHD[uf])</f>
        <v>CE</v>
      </c>
      <c r="E1081" s="5" t="str">
        <f>_xlfn.XLOOKUP(A1081,[1]!DadosGHD[CD_GEOCMU],[1]!DadosGHD[MUNICIPIO])</f>
        <v>MARANGUAPE</v>
      </c>
      <c r="F1081" s="6">
        <v>33.710105895996101</v>
      </c>
      <c r="G1081" s="6">
        <v>33.810764312744098</v>
      </c>
      <c r="H1081" s="6">
        <v>33.853969573974602</v>
      </c>
      <c r="I1081" s="6">
        <v>33.840999603271499</v>
      </c>
      <c r="J1081" s="6">
        <v>33.856010437011697</v>
      </c>
      <c r="K1081" s="6">
        <v>33.912693023681598</v>
      </c>
      <c r="L1081" s="6">
        <v>35.159988403320298</v>
      </c>
    </row>
    <row r="1082" spans="1:12" x14ac:dyDescent="0.25">
      <c r="A1082">
        <v>2616209</v>
      </c>
      <c r="B1082" t="str">
        <f t="shared" si="16"/>
        <v>VERTENTES, PE, Brasil</v>
      </c>
      <c r="C1082" s="4" t="str">
        <f>_xlfn.XLOOKUP(A1082,[1]!DadosGHD[CD_GEOCMU],[1]!DadosGHD[Região])</f>
        <v>NE</v>
      </c>
      <c r="D1082" s="4" t="str">
        <f>_xlfn.XLOOKUP(A1082,[1]!DadosGHD[CD_GEOCMU],[1]!DadosGHD[uf])</f>
        <v>PE</v>
      </c>
      <c r="E1082" s="5" t="str">
        <f>_xlfn.XLOOKUP(A1082,[1]!DadosGHD[CD_GEOCMU],[1]!DadosGHD[MUNICIPIO])</f>
        <v>VERTENTES</v>
      </c>
      <c r="F1082" s="6">
        <v>33.710262298583999</v>
      </c>
      <c r="G1082" s="6">
        <v>28.9329528808594</v>
      </c>
      <c r="H1082" s="6">
        <v>28.9552612304688</v>
      </c>
      <c r="I1082" s="6">
        <v>28.925045013427699</v>
      </c>
      <c r="J1082" s="6">
        <v>28.9409065246582</v>
      </c>
      <c r="K1082" s="6">
        <v>28.972814559936499</v>
      </c>
      <c r="L1082" s="6">
        <v>30.683595657348601</v>
      </c>
    </row>
    <row r="1083" spans="1:12" x14ac:dyDescent="0.25">
      <c r="A1083">
        <v>2507309</v>
      </c>
      <c r="B1083" t="str">
        <f t="shared" si="16"/>
        <v>JACARAU, PB, Brasil</v>
      </c>
      <c r="C1083" s="4" t="str">
        <f>_xlfn.XLOOKUP(A1083,[1]!DadosGHD[CD_GEOCMU],[1]!DadosGHD[Região])</f>
        <v>NE</v>
      </c>
      <c r="D1083" s="4" t="str">
        <f>_xlfn.XLOOKUP(A1083,[1]!DadosGHD[CD_GEOCMU],[1]!DadosGHD[uf])</f>
        <v>PB</v>
      </c>
      <c r="E1083" s="5" t="str">
        <f>_xlfn.XLOOKUP(A1083,[1]!DadosGHD[CD_GEOCMU],[1]!DadosGHD[MUNICIPIO])</f>
        <v>JACARAU</v>
      </c>
      <c r="F1083" s="6">
        <v>33.710269927978501</v>
      </c>
      <c r="G1083" s="6">
        <v>33.798816680908203</v>
      </c>
      <c r="H1083" s="6">
        <v>33.8390502929688</v>
      </c>
      <c r="I1083" s="6">
        <v>33.810100555419901</v>
      </c>
      <c r="J1083" s="6">
        <v>33.821590423583999</v>
      </c>
      <c r="K1083" s="6">
        <v>33.851406097412102</v>
      </c>
      <c r="L1083" s="6">
        <v>35.112224578857401</v>
      </c>
    </row>
    <row r="1084" spans="1:12" x14ac:dyDescent="0.25">
      <c r="A1084">
        <v>2930154</v>
      </c>
      <c r="B1084" t="str">
        <f t="shared" si="16"/>
        <v>SERRA DO RAMALHO, BA, Brasil</v>
      </c>
      <c r="C1084" s="4" t="str">
        <f>_xlfn.XLOOKUP(A1084,[1]!DadosGHD[CD_GEOCMU],[1]!DadosGHD[Região])</f>
        <v>NE</v>
      </c>
      <c r="D1084" s="4" t="str">
        <f>_xlfn.XLOOKUP(A1084,[1]!DadosGHD[CD_GEOCMU],[1]!DadosGHD[uf])</f>
        <v>BA</v>
      </c>
      <c r="E1084" s="5" t="str">
        <f>_xlfn.XLOOKUP(A1084,[1]!DadosGHD[CD_GEOCMU],[1]!DadosGHD[MUNICIPIO])</f>
        <v>SERRA DO RAMALHO</v>
      </c>
      <c r="F1084" s="6">
        <v>33.710357666015597</v>
      </c>
      <c r="G1084" s="6">
        <v>33.782569885253899</v>
      </c>
      <c r="H1084" s="6">
        <v>33.838390350341797</v>
      </c>
      <c r="I1084" s="6">
        <v>33.809196472167997</v>
      </c>
      <c r="J1084" s="6">
        <v>33.8163871765137</v>
      </c>
      <c r="K1084" s="6">
        <v>33.860149383544901</v>
      </c>
      <c r="L1084" s="6">
        <v>30.6948146820068</v>
      </c>
    </row>
    <row r="1085" spans="1:12" x14ac:dyDescent="0.25">
      <c r="A1085">
        <v>1508159</v>
      </c>
      <c r="B1085" t="str">
        <f t="shared" si="16"/>
        <v>URUARA, PA, Brasil</v>
      </c>
      <c r="C1085" s="4" t="str">
        <f>_xlfn.XLOOKUP(A1085,[1]!DadosGHD[CD_GEOCMU],[1]!DadosGHD[Região])</f>
        <v>NO</v>
      </c>
      <c r="D1085" s="4" t="str">
        <f>_xlfn.XLOOKUP(A1085,[1]!DadosGHD[CD_GEOCMU],[1]!DadosGHD[uf])</f>
        <v>PA</v>
      </c>
      <c r="E1085" s="5" t="str">
        <f>_xlfn.XLOOKUP(A1085,[1]!DadosGHD[CD_GEOCMU],[1]!DadosGHD[MUNICIPIO])</f>
        <v>URUARA</v>
      </c>
      <c r="F1085" s="6">
        <v>33.710365295410199</v>
      </c>
      <c r="G1085" s="6">
        <v>33.786064147949197</v>
      </c>
      <c r="H1085" s="6">
        <v>33.8233833312988</v>
      </c>
      <c r="I1085" s="6">
        <v>33.7976264953613</v>
      </c>
      <c r="J1085" s="6">
        <v>33.8192138671875</v>
      </c>
      <c r="K1085" s="6">
        <v>33.856788635253899</v>
      </c>
      <c r="L1085" s="6">
        <v>26.2942810058594</v>
      </c>
    </row>
    <row r="1086" spans="1:12" x14ac:dyDescent="0.25">
      <c r="A1086">
        <v>3135357</v>
      </c>
      <c r="B1086" t="str">
        <f t="shared" si="16"/>
        <v>JAPONVAR, MG, Brasil</v>
      </c>
      <c r="C1086" s="4" t="str">
        <f>_xlfn.XLOOKUP(A1086,[1]!DadosGHD[CD_GEOCMU],[1]!DadosGHD[Região])</f>
        <v>SD</v>
      </c>
      <c r="D1086" s="4" t="str">
        <f>_xlfn.XLOOKUP(A1086,[1]!DadosGHD[CD_GEOCMU],[1]!DadosGHD[uf])</f>
        <v>MG</v>
      </c>
      <c r="E1086" s="5" t="str">
        <f>_xlfn.XLOOKUP(A1086,[1]!DadosGHD[CD_GEOCMU],[1]!DadosGHD[MUNICIPIO])</f>
        <v>JAPONVAR</v>
      </c>
      <c r="F1086" s="6">
        <v>33.7103881835938</v>
      </c>
      <c r="G1086" s="6">
        <v>33.768341064453097</v>
      </c>
      <c r="H1086" s="6">
        <v>28.978641510009801</v>
      </c>
      <c r="I1086" s="6">
        <v>33.7954292297363</v>
      </c>
      <c r="J1086" s="6">
        <v>33.8157768249512</v>
      </c>
      <c r="K1086" s="6">
        <v>33.848190307617202</v>
      </c>
      <c r="L1086" s="6">
        <v>26.2889804840088</v>
      </c>
    </row>
    <row r="1087" spans="1:12" x14ac:dyDescent="0.25">
      <c r="A1087">
        <v>2402204</v>
      </c>
      <c r="B1087" t="str">
        <f t="shared" si="16"/>
        <v>CANGUARETAMA, RN, Brasil</v>
      </c>
      <c r="C1087" s="4" t="str">
        <f>_xlfn.XLOOKUP(A1087,[1]!DadosGHD[CD_GEOCMU],[1]!DadosGHD[Região])</f>
        <v>NE</v>
      </c>
      <c r="D1087" s="4" t="str">
        <f>_xlfn.XLOOKUP(A1087,[1]!DadosGHD[CD_GEOCMU],[1]!DadosGHD[uf])</f>
        <v>RN</v>
      </c>
      <c r="E1087" s="5" t="str">
        <f>_xlfn.XLOOKUP(A1087,[1]!DadosGHD[CD_GEOCMU],[1]!DadosGHD[MUNICIPIO])</f>
        <v>CANGUARETAMA</v>
      </c>
      <c r="F1087" s="6">
        <v>33.710391998291001</v>
      </c>
      <c r="G1087" s="6">
        <v>33.793121337890597</v>
      </c>
      <c r="H1087" s="6">
        <v>33.834739685058601</v>
      </c>
      <c r="I1087" s="6">
        <v>33.819652557373097</v>
      </c>
      <c r="J1087" s="6">
        <v>38.747165679931598</v>
      </c>
      <c r="K1087" s="6">
        <v>38.7874565124512</v>
      </c>
      <c r="L1087" s="6">
        <v>44.026966094970703</v>
      </c>
    </row>
    <row r="1088" spans="1:12" x14ac:dyDescent="0.25">
      <c r="A1088">
        <v>1501600</v>
      </c>
      <c r="B1088" t="str">
        <f t="shared" si="16"/>
        <v>BONITO, PA, Brasil</v>
      </c>
      <c r="C1088" s="4" t="str">
        <f>_xlfn.XLOOKUP(A1088,[1]!DadosGHD[CD_GEOCMU],[1]!DadosGHD[Região])</f>
        <v>NO</v>
      </c>
      <c r="D1088" s="4" t="str">
        <f>_xlfn.XLOOKUP(A1088,[1]!DadosGHD[CD_GEOCMU],[1]!DadosGHD[uf])</f>
        <v>PA</v>
      </c>
      <c r="E1088" s="5" t="str">
        <f>_xlfn.XLOOKUP(A1088,[1]!DadosGHD[CD_GEOCMU],[1]!DadosGHD[MUNICIPIO])</f>
        <v>BONITO</v>
      </c>
      <c r="F1088" s="6">
        <v>33.710399627685597</v>
      </c>
      <c r="G1088" s="6">
        <v>33.782463073730497</v>
      </c>
      <c r="H1088" s="6">
        <v>28.974887847900401</v>
      </c>
      <c r="I1088" s="6">
        <v>28.954484939575199</v>
      </c>
      <c r="J1088" s="6">
        <v>28.973192214965799</v>
      </c>
      <c r="K1088" s="6">
        <v>29.0010681152344</v>
      </c>
      <c r="L1088" s="6">
        <v>26.2983512878418</v>
      </c>
    </row>
    <row r="1089" spans="1:12" x14ac:dyDescent="0.25">
      <c r="A1089">
        <v>2500403</v>
      </c>
      <c r="B1089" t="str">
        <f t="shared" si="16"/>
        <v>ALAGOA NOVA, PB, Brasil</v>
      </c>
      <c r="C1089" s="4" t="str">
        <f>_xlfn.XLOOKUP(A1089,[1]!DadosGHD[CD_GEOCMU],[1]!DadosGHD[Região])</f>
        <v>NE</v>
      </c>
      <c r="D1089" s="4" t="str">
        <f>_xlfn.XLOOKUP(A1089,[1]!DadosGHD[CD_GEOCMU],[1]!DadosGHD[uf])</f>
        <v>PB</v>
      </c>
      <c r="E1089" s="5" t="str">
        <f>_xlfn.XLOOKUP(A1089,[1]!DadosGHD[CD_GEOCMU],[1]!DadosGHD[MUNICIPIO])</f>
        <v>ALAGOA NOVA</v>
      </c>
      <c r="F1089" s="6">
        <v>33.7105102539063</v>
      </c>
      <c r="G1089" s="6">
        <v>33.784725189208999</v>
      </c>
      <c r="H1089" s="6">
        <v>33.836788177490199</v>
      </c>
      <c r="I1089" s="6">
        <v>33.856029510498097</v>
      </c>
      <c r="J1089" s="6">
        <v>38.762229919433601</v>
      </c>
      <c r="K1089" s="6">
        <v>38.782718658447301</v>
      </c>
      <c r="L1089" s="6">
        <v>35.115531921386697</v>
      </c>
    </row>
    <row r="1090" spans="1:12" x14ac:dyDescent="0.25">
      <c r="A1090">
        <v>2924603</v>
      </c>
      <c r="B1090" t="str">
        <f t="shared" si="16"/>
        <v>PINDOBACU, BA, Brasil</v>
      </c>
      <c r="C1090" s="4" t="str">
        <f>_xlfn.XLOOKUP(A1090,[1]!DadosGHD[CD_GEOCMU],[1]!DadosGHD[Região])</f>
        <v>NE</v>
      </c>
      <c r="D1090" s="4" t="str">
        <f>_xlfn.XLOOKUP(A1090,[1]!DadosGHD[CD_GEOCMU],[1]!DadosGHD[uf])</f>
        <v>BA</v>
      </c>
      <c r="E1090" s="5" t="str">
        <f>_xlfn.XLOOKUP(A1090,[1]!DadosGHD[CD_GEOCMU],[1]!DadosGHD[MUNICIPIO])</f>
        <v>PINDOBACU</v>
      </c>
      <c r="F1090" s="6">
        <v>33.710575103759801</v>
      </c>
      <c r="G1090" s="6">
        <v>33.773502349853501</v>
      </c>
      <c r="H1090" s="6">
        <v>33.814723968505902</v>
      </c>
      <c r="I1090" s="6">
        <v>33.804851531982401</v>
      </c>
      <c r="J1090" s="6">
        <v>33.833194732666001</v>
      </c>
      <c r="K1090" s="6">
        <v>33.850399017333999</v>
      </c>
      <c r="L1090" s="6">
        <v>26.291566848754901</v>
      </c>
    </row>
    <row r="1091" spans="1:12" x14ac:dyDescent="0.25">
      <c r="A1091">
        <v>2308377</v>
      </c>
      <c r="B1091" t="str">
        <f t="shared" si="16"/>
        <v>MIRAIMA, CE, Brasil</v>
      </c>
      <c r="C1091" s="4" t="str">
        <f>_xlfn.XLOOKUP(A1091,[1]!DadosGHD[CD_GEOCMU],[1]!DadosGHD[Região])</f>
        <v>NE</v>
      </c>
      <c r="D1091" s="4" t="str">
        <f>_xlfn.XLOOKUP(A1091,[1]!DadosGHD[CD_GEOCMU],[1]!DadosGHD[uf])</f>
        <v>CE</v>
      </c>
      <c r="E1091" s="5" t="str">
        <f>_xlfn.XLOOKUP(A1091,[1]!DadosGHD[CD_GEOCMU],[1]!DadosGHD[MUNICIPIO])</f>
        <v>MIRAIMA</v>
      </c>
      <c r="F1091" s="6">
        <v>33.710582733154297</v>
      </c>
      <c r="G1091" s="6">
        <v>28.937078475952202</v>
      </c>
      <c r="H1091" s="6">
        <v>28.975019454956101</v>
      </c>
      <c r="I1091" s="6">
        <v>28.956199645996101</v>
      </c>
      <c r="J1091" s="6">
        <v>28.974689483642599</v>
      </c>
      <c r="K1091" s="6">
        <v>33.877471923828097</v>
      </c>
      <c r="L1091" s="6">
        <v>30.716129302978501</v>
      </c>
    </row>
    <row r="1092" spans="1:12" x14ac:dyDescent="0.25">
      <c r="A1092">
        <v>3162401</v>
      </c>
      <c r="B1092" t="str">
        <f t="shared" ref="B1092:B1155" si="17">_xlfn.CONCAT(E1092, ", ", D1092, ", Brasil")</f>
        <v>SAO JOAO DA PONTE, MG, Brasil</v>
      </c>
      <c r="C1092" s="4" t="str">
        <f>_xlfn.XLOOKUP(A1092,[1]!DadosGHD[CD_GEOCMU],[1]!DadosGHD[Região])</f>
        <v>SD</v>
      </c>
      <c r="D1092" s="4" t="str">
        <f>_xlfn.XLOOKUP(A1092,[1]!DadosGHD[CD_GEOCMU],[1]!DadosGHD[uf])</f>
        <v>MG</v>
      </c>
      <c r="E1092" s="5" t="str">
        <f>_xlfn.XLOOKUP(A1092,[1]!DadosGHD[CD_GEOCMU],[1]!DadosGHD[MUNICIPIO])</f>
        <v>SAO JOAO DA PONTE</v>
      </c>
      <c r="F1092" s="6">
        <v>33.710651397705099</v>
      </c>
      <c r="G1092" s="6">
        <v>33.779777526855497</v>
      </c>
      <c r="H1092" s="6">
        <v>33.823863983154297</v>
      </c>
      <c r="I1092" s="6">
        <v>33.800006866455099</v>
      </c>
      <c r="J1092" s="6">
        <v>33.813957214355497</v>
      </c>
      <c r="K1092" s="6">
        <v>33.861320495605497</v>
      </c>
      <c r="L1092" s="6">
        <v>26.2873134613037</v>
      </c>
    </row>
    <row r="1093" spans="1:12" x14ac:dyDescent="0.25">
      <c r="A1093">
        <v>2108504</v>
      </c>
      <c r="B1093" t="str">
        <f t="shared" si="17"/>
        <v>PINDARE-MIRIM, MA, Brasil</v>
      </c>
      <c r="C1093" s="4" t="str">
        <f>_xlfn.XLOOKUP(A1093,[1]!DadosGHD[CD_GEOCMU],[1]!DadosGHD[Região])</f>
        <v>NE</v>
      </c>
      <c r="D1093" s="4" t="str">
        <f>_xlfn.XLOOKUP(A1093,[1]!DadosGHD[CD_GEOCMU],[1]!DadosGHD[uf])</f>
        <v>MA</v>
      </c>
      <c r="E1093" s="5" t="str">
        <f>_xlfn.XLOOKUP(A1093,[1]!DadosGHD[CD_GEOCMU],[1]!DadosGHD[MUNICIPIO])</f>
        <v>PINDARE-MIRIM</v>
      </c>
      <c r="F1093" s="6">
        <v>33.710723876953097</v>
      </c>
      <c r="G1093" s="6">
        <v>33.779266357421903</v>
      </c>
      <c r="H1093" s="6">
        <v>33.828025817871101</v>
      </c>
      <c r="I1093" s="6">
        <v>33.797374725341797</v>
      </c>
      <c r="J1093" s="6">
        <v>28.9750785827637</v>
      </c>
      <c r="K1093" s="6">
        <v>29.0039978027344</v>
      </c>
      <c r="L1093" s="6">
        <v>35.130260467529297</v>
      </c>
    </row>
    <row r="1094" spans="1:12" x14ac:dyDescent="0.25">
      <c r="A1094">
        <v>2107001</v>
      </c>
      <c r="B1094" t="str">
        <f t="shared" si="17"/>
        <v>MONTES ALTOS, MA, Brasil</v>
      </c>
      <c r="C1094" s="4" t="str">
        <f>_xlfn.XLOOKUP(A1094,[1]!DadosGHD[CD_GEOCMU],[1]!DadosGHD[Região])</f>
        <v>NE</v>
      </c>
      <c r="D1094" s="4" t="str">
        <f>_xlfn.XLOOKUP(A1094,[1]!DadosGHD[CD_GEOCMU],[1]!DadosGHD[uf])</f>
        <v>MA</v>
      </c>
      <c r="E1094" s="5" t="str">
        <f>_xlfn.XLOOKUP(A1094,[1]!DadosGHD[CD_GEOCMU],[1]!DadosGHD[MUNICIPIO])</f>
        <v>MONTES ALTOS</v>
      </c>
      <c r="F1094" s="6">
        <v>33.710739135742202</v>
      </c>
      <c r="G1094" s="6">
        <v>33.771724700927699</v>
      </c>
      <c r="H1094" s="6">
        <v>28.973962783813501</v>
      </c>
      <c r="I1094" s="6">
        <v>28.954494476318398</v>
      </c>
      <c r="J1094" s="6">
        <v>28.97119140625</v>
      </c>
      <c r="K1094" s="6">
        <v>29.0030612945557</v>
      </c>
      <c r="L1094" s="6">
        <v>26.284664154052699</v>
      </c>
    </row>
    <row r="1095" spans="1:12" x14ac:dyDescent="0.25">
      <c r="A1095">
        <v>2305001</v>
      </c>
      <c r="B1095" t="str">
        <f t="shared" si="17"/>
        <v>GUARACIABA DO NORTE, CE, Brasil</v>
      </c>
      <c r="C1095" s="4" t="str">
        <f>_xlfn.XLOOKUP(A1095,[1]!DadosGHD[CD_GEOCMU],[1]!DadosGHD[Região])</f>
        <v>NE</v>
      </c>
      <c r="D1095" s="4" t="str">
        <f>_xlfn.XLOOKUP(A1095,[1]!DadosGHD[CD_GEOCMU],[1]!DadosGHD[uf])</f>
        <v>CE</v>
      </c>
      <c r="E1095" s="5" t="str">
        <f>_xlfn.XLOOKUP(A1095,[1]!DadosGHD[CD_GEOCMU],[1]!DadosGHD[MUNICIPIO])</f>
        <v>GUARACIABA DO NORTE</v>
      </c>
      <c r="F1095" s="6">
        <v>33.7107963562012</v>
      </c>
      <c r="G1095" s="6">
        <v>28.927577972412099</v>
      </c>
      <c r="H1095" s="6">
        <v>33.891220092773402</v>
      </c>
      <c r="I1095" s="6">
        <v>33.835472106933601</v>
      </c>
      <c r="J1095" s="6">
        <v>33.867603302002003</v>
      </c>
      <c r="K1095" s="6">
        <v>33.888057708740199</v>
      </c>
      <c r="L1095" s="6">
        <v>39.585109710693402</v>
      </c>
    </row>
    <row r="1096" spans="1:12" x14ac:dyDescent="0.25">
      <c r="A1096">
        <v>2303600</v>
      </c>
      <c r="B1096" t="str">
        <f t="shared" si="17"/>
        <v>CATARINA, CE, Brasil</v>
      </c>
      <c r="C1096" s="4" t="str">
        <f>_xlfn.XLOOKUP(A1096,[1]!DadosGHD[CD_GEOCMU],[1]!DadosGHD[Região])</f>
        <v>NE</v>
      </c>
      <c r="D1096" s="4" t="str">
        <f>_xlfn.XLOOKUP(A1096,[1]!DadosGHD[CD_GEOCMU],[1]!DadosGHD[uf])</f>
        <v>CE</v>
      </c>
      <c r="E1096" s="5" t="str">
        <f>_xlfn.XLOOKUP(A1096,[1]!DadosGHD[CD_GEOCMU],[1]!DadosGHD[MUNICIPIO])</f>
        <v>CATARINA</v>
      </c>
      <c r="F1096" s="6">
        <v>33.710826873779297</v>
      </c>
      <c r="G1096" s="6">
        <v>33.775177001953097</v>
      </c>
      <c r="H1096" s="6">
        <v>33.825958251953097</v>
      </c>
      <c r="I1096" s="6">
        <v>33.812965393066399</v>
      </c>
      <c r="J1096" s="6">
        <v>33.836990356445298</v>
      </c>
      <c r="K1096" s="6">
        <v>33.867950439453097</v>
      </c>
      <c r="L1096" s="6">
        <v>39.5947456359863</v>
      </c>
    </row>
    <row r="1097" spans="1:12" x14ac:dyDescent="0.25">
      <c r="A1097">
        <v>2303709</v>
      </c>
      <c r="B1097" t="str">
        <f t="shared" si="17"/>
        <v>CAUCAIA, CE, Brasil</v>
      </c>
      <c r="C1097" s="4" t="str">
        <f>_xlfn.XLOOKUP(A1097,[1]!DadosGHD[CD_GEOCMU],[1]!DadosGHD[Região])</f>
        <v>NE</v>
      </c>
      <c r="D1097" s="4" t="str">
        <f>_xlfn.XLOOKUP(A1097,[1]!DadosGHD[CD_GEOCMU],[1]!DadosGHD[uf])</f>
        <v>CE</v>
      </c>
      <c r="E1097" s="5" t="str">
        <f>_xlfn.XLOOKUP(A1097,[1]!DadosGHD[CD_GEOCMU],[1]!DadosGHD[MUNICIPIO])</f>
        <v>CAUCAIA</v>
      </c>
      <c r="F1097" s="6">
        <v>33.710922241210902</v>
      </c>
      <c r="G1097" s="6">
        <v>33.816886901855497</v>
      </c>
      <c r="H1097" s="6">
        <v>33.8902778625488</v>
      </c>
      <c r="I1097" s="6">
        <v>38.747634887695298</v>
      </c>
      <c r="J1097" s="6">
        <v>38.744239807128899</v>
      </c>
      <c r="K1097" s="6">
        <v>38.782463073730497</v>
      </c>
      <c r="L1097" s="6">
        <v>35.157924652099602</v>
      </c>
    </row>
    <row r="1098" spans="1:12" x14ac:dyDescent="0.25">
      <c r="A1098">
        <v>2411809</v>
      </c>
      <c r="B1098" t="str">
        <f t="shared" si="17"/>
        <v>SAO FERNANDO, RN, Brasil</v>
      </c>
      <c r="C1098" s="4" t="str">
        <f>_xlfn.XLOOKUP(A1098,[1]!DadosGHD[CD_GEOCMU],[1]!DadosGHD[Região])</f>
        <v>NE</v>
      </c>
      <c r="D1098" s="4" t="str">
        <f>_xlfn.XLOOKUP(A1098,[1]!DadosGHD[CD_GEOCMU],[1]!DadosGHD[uf])</f>
        <v>RN</v>
      </c>
      <c r="E1098" s="5" t="str">
        <f>_xlfn.XLOOKUP(A1098,[1]!DadosGHD[CD_GEOCMU],[1]!DadosGHD[MUNICIPIO])</f>
        <v>SAO FERNANDO</v>
      </c>
      <c r="F1098" s="6">
        <v>33.710964202880902</v>
      </c>
      <c r="G1098" s="6">
        <v>33.828636169433601</v>
      </c>
      <c r="H1098" s="6">
        <v>33.855907440185597</v>
      </c>
      <c r="I1098" s="6">
        <v>33.8460693359375</v>
      </c>
      <c r="J1098" s="6">
        <v>33.850780487060597</v>
      </c>
      <c r="K1098" s="6">
        <v>38.797149658203097</v>
      </c>
      <c r="L1098" s="6">
        <v>44.078968048095703</v>
      </c>
    </row>
    <row r="1099" spans="1:12" x14ac:dyDescent="0.25">
      <c r="A1099">
        <v>2901809</v>
      </c>
      <c r="B1099" t="str">
        <f t="shared" si="17"/>
        <v>ANTONIO GONCALVES, BA, Brasil</v>
      </c>
      <c r="C1099" s="4" t="str">
        <f>_xlfn.XLOOKUP(A1099,[1]!DadosGHD[CD_GEOCMU],[1]!DadosGHD[Região])</f>
        <v>NE</v>
      </c>
      <c r="D1099" s="4" t="str">
        <f>_xlfn.XLOOKUP(A1099,[1]!DadosGHD[CD_GEOCMU],[1]!DadosGHD[uf])</f>
        <v>BA</v>
      </c>
      <c r="E1099" s="5" t="str">
        <f>_xlfn.XLOOKUP(A1099,[1]!DadosGHD[CD_GEOCMU],[1]!DadosGHD[MUNICIPIO])</f>
        <v>ANTONIO GONCALVES</v>
      </c>
      <c r="F1099" s="6">
        <v>33.710990905761697</v>
      </c>
      <c r="G1099" s="6">
        <v>33.769168853759801</v>
      </c>
      <c r="H1099" s="6">
        <v>28.9771213531494</v>
      </c>
      <c r="I1099" s="6">
        <v>28.956687927246101</v>
      </c>
      <c r="J1099" s="6">
        <v>28.9671516418457</v>
      </c>
      <c r="K1099" s="6">
        <v>28.996545791626001</v>
      </c>
      <c r="L1099" s="6">
        <v>26.285345077514702</v>
      </c>
    </row>
    <row r="1100" spans="1:12" x14ac:dyDescent="0.25">
      <c r="A1100">
        <v>1300706</v>
      </c>
      <c r="B1100" t="str">
        <f t="shared" si="17"/>
        <v>BOCA DO ACRE, AM, Brasil</v>
      </c>
      <c r="C1100" s="4" t="str">
        <f>_xlfn.XLOOKUP(A1100,[1]!DadosGHD[CD_GEOCMU],[1]!DadosGHD[Região])</f>
        <v>NO</v>
      </c>
      <c r="D1100" s="4" t="str">
        <f>_xlfn.XLOOKUP(A1100,[1]!DadosGHD[CD_GEOCMU],[1]!DadosGHD[uf])</f>
        <v>AM</v>
      </c>
      <c r="E1100" s="5" t="str">
        <f>_xlfn.XLOOKUP(A1100,[1]!DadosGHD[CD_GEOCMU],[1]!DadosGHD[MUNICIPIO])</f>
        <v>BOCA DO ACRE</v>
      </c>
      <c r="F1100" s="6">
        <v>33.711017608642599</v>
      </c>
      <c r="G1100" s="6">
        <v>33.774929046630902</v>
      </c>
      <c r="H1100" s="6">
        <v>33.813323974609403</v>
      </c>
      <c r="I1100" s="6">
        <v>33.848503112792997</v>
      </c>
      <c r="J1100" s="6">
        <v>38.756179809570298</v>
      </c>
      <c r="K1100" s="6">
        <v>33.866550445556598</v>
      </c>
      <c r="L1100" s="6">
        <v>26.287847518920898</v>
      </c>
    </row>
    <row r="1101" spans="1:12" x14ac:dyDescent="0.25">
      <c r="A1101">
        <v>2106003</v>
      </c>
      <c r="B1101" t="str">
        <f t="shared" si="17"/>
        <v>LIMA CAMPOS, MA, Brasil</v>
      </c>
      <c r="C1101" s="4" t="str">
        <f>_xlfn.XLOOKUP(A1101,[1]!DadosGHD[CD_GEOCMU],[1]!DadosGHD[Região])</f>
        <v>NE</v>
      </c>
      <c r="D1101" s="4" t="str">
        <f>_xlfn.XLOOKUP(A1101,[1]!DadosGHD[CD_GEOCMU],[1]!DadosGHD[uf])</f>
        <v>MA</v>
      </c>
      <c r="E1101" s="5" t="str">
        <f>_xlfn.XLOOKUP(A1101,[1]!DadosGHD[CD_GEOCMU],[1]!DadosGHD[MUNICIPIO])</f>
        <v>LIMA CAMPOS</v>
      </c>
      <c r="F1101" s="6">
        <v>33.711021423339801</v>
      </c>
      <c r="G1101" s="6">
        <v>28.924524307251001</v>
      </c>
      <c r="H1101" s="6">
        <v>28.957220077514702</v>
      </c>
      <c r="I1101" s="6">
        <v>28.943393707275401</v>
      </c>
      <c r="J1101" s="6">
        <v>33.838066101074197</v>
      </c>
      <c r="K1101" s="6">
        <v>33.870899200439503</v>
      </c>
      <c r="L1101" s="6">
        <v>26.291328430175799</v>
      </c>
    </row>
    <row r="1102" spans="1:12" x14ac:dyDescent="0.25">
      <c r="A1102">
        <v>2304236</v>
      </c>
      <c r="B1102" t="str">
        <f t="shared" si="17"/>
        <v>CROATA, CE, Brasil</v>
      </c>
      <c r="C1102" s="4" t="str">
        <f>_xlfn.XLOOKUP(A1102,[1]!DadosGHD[CD_GEOCMU],[1]!DadosGHD[Região])</f>
        <v>NE</v>
      </c>
      <c r="D1102" s="4" t="str">
        <f>_xlfn.XLOOKUP(A1102,[1]!DadosGHD[CD_GEOCMU],[1]!DadosGHD[uf])</f>
        <v>CE</v>
      </c>
      <c r="E1102" s="5" t="str">
        <f>_xlfn.XLOOKUP(A1102,[1]!DadosGHD[CD_GEOCMU],[1]!DadosGHD[MUNICIPIO])</f>
        <v>CROATA</v>
      </c>
      <c r="F1102" s="6">
        <v>33.711135864257798</v>
      </c>
      <c r="G1102" s="6">
        <v>33.771499633789098</v>
      </c>
      <c r="H1102" s="6">
        <v>33.8206787109375</v>
      </c>
      <c r="I1102" s="6">
        <v>33.806812286377003</v>
      </c>
      <c r="J1102" s="6">
        <v>33.830513000488303</v>
      </c>
      <c r="K1102" s="6">
        <v>33.8538627624512</v>
      </c>
      <c r="L1102" s="6">
        <v>26.281929016113299</v>
      </c>
    </row>
    <row r="1103" spans="1:12" x14ac:dyDescent="0.25">
      <c r="A1103">
        <v>5207907</v>
      </c>
      <c r="B1103" t="str">
        <f t="shared" si="17"/>
        <v>FLORES DE GOIAS, GO, Brasil</v>
      </c>
      <c r="C1103" s="4" t="str">
        <f>_xlfn.XLOOKUP(A1103,[1]!DadosGHD[CD_GEOCMU],[1]!DadosGHD[Região])</f>
        <v>CO</v>
      </c>
      <c r="D1103" s="4" t="str">
        <f>_xlfn.XLOOKUP(A1103,[1]!DadosGHD[CD_GEOCMU],[1]!DadosGHD[uf])</f>
        <v>GO</v>
      </c>
      <c r="E1103" s="5" t="str">
        <f>_xlfn.XLOOKUP(A1103,[1]!DadosGHD[CD_GEOCMU],[1]!DadosGHD[MUNICIPIO])</f>
        <v>FLORES DE GOIAS</v>
      </c>
      <c r="F1103" s="6">
        <v>33.711231231689503</v>
      </c>
      <c r="G1103" s="6">
        <v>28.931890487670898</v>
      </c>
      <c r="H1103" s="6">
        <v>28.9588432312012</v>
      </c>
      <c r="I1103" s="6">
        <v>28.951410293579102</v>
      </c>
      <c r="J1103" s="6">
        <v>28.9548664093018</v>
      </c>
      <c r="K1103" s="6">
        <v>28.9984226226807</v>
      </c>
      <c r="L1103" s="6">
        <v>35.139698028564503</v>
      </c>
    </row>
    <row r="1104" spans="1:12" x14ac:dyDescent="0.25">
      <c r="A1104">
        <v>1507607</v>
      </c>
      <c r="B1104" t="str">
        <f t="shared" si="17"/>
        <v>SAO MIGUEL DO GUAMA, PA, Brasil</v>
      </c>
      <c r="C1104" s="4" t="str">
        <f>_xlfn.XLOOKUP(A1104,[1]!DadosGHD[CD_GEOCMU],[1]!DadosGHD[Região])</f>
        <v>NO</v>
      </c>
      <c r="D1104" s="4" t="str">
        <f>_xlfn.XLOOKUP(A1104,[1]!DadosGHD[CD_GEOCMU],[1]!DadosGHD[uf])</f>
        <v>PA</v>
      </c>
      <c r="E1104" s="5" t="str">
        <f>_xlfn.XLOOKUP(A1104,[1]!DadosGHD[CD_GEOCMU],[1]!DadosGHD[MUNICIPIO])</f>
        <v>SAO MIGUEL DO GUAMA</v>
      </c>
      <c r="F1104" s="6">
        <v>33.711387634277301</v>
      </c>
      <c r="G1104" s="6">
        <v>33.781940460205099</v>
      </c>
      <c r="H1104" s="6">
        <v>28.977197647094702</v>
      </c>
      <c r="I1104" s="6">
        <v>33.788909912109403</v>
      </c>
      <c r="J1104" s="6">
        <v>33.812793731689503</v>
      </c>
      <c r="K1104" s="6">
        <v>33.864200592041001</v>
      </c>
      <c r="L1104" s="6">
        <v>30.692604064941399</v>
      </c>
    </row>
    <row r="1105" spans="1:12" x14ac:dyDescent="0.25">
      <c r="A1105">
        <v>2512804</v>
      </c>
      <c r="B1105" t="str">
        <f t="shared" si="17"/>
        <v>RIACHO DOS CAVALOS, PB, Brasil</v>
      </c>
      <c r="C1105" s="4" t="str">
        <f>_xlfn.XLOOKUP(A1105,[1]!DadosGHD[CD_GEOCMU],[1]!DadosGHD[Região])</f>
        <v>NE</v>
      </c>
      <c r="D1105" s="4" t="str">
        <f>_xlfn.XLOOKUP(A1105,[1]!DadosGHD[CD_GEOCMU],[1]!DadosGHD[uf])</f>
        <v>PB</v>
      </c>
      <c r="E1105" s="5" t="str">
        <f>_xlfn.XLOOKUP(A1105,[1]!DadosGHD[CD_GEOCMU],[1]!DadosGHD[MUNICIPIO])</f>
        <v>RIACHO DOS CAVALOS</v>
      </c>
      <c r="F1105" s="6">
        <v>33.711463928222699</v>
      </c>
      <c r="G1105" s="6">
        <v>33.769107818603501</v>
      </c>
      <c r="H1105" s="6">
        <v>28.978364944458001</v>
      </c>
      <c r="I1105" s="6">
        <v>33.8043022155762</v>
      </c>
      <c r="J1105" s="6">
        <v>33.821212768554702</v>
      </c>
      <c r="K1105" s="6">
        <v>33.8748588562012</v>
      </c>
      <c r="L1105" s="6">
        <v>30.706178665161101</v>
      </c>
    </row>
    <row r="1106" spans="1:12" x14ac:dyDescent="0.25">
      <c r="A1106">
        <v>2903805</v>
      </c>
      <c r="B1106" t="str">
        <f t="shared" si="17"/>
        <v>BOA VISTA DO TUPIM, BA, Brasil</v>
      </c>
      <c r="C1106" s="4" t="str">
        <f>_xlfn.XLOOKUP(A1106,[1]!DadosGHD[CD_GEOCMU],[1]!DadosGHD[Região])</f>
        <v>NE</v>
      </c>
      <c r="D1106" s="4" t="str">
        <f>_xlfn.XLOOKUP(A1106,[1]!DadosGHD[CD_GEOCMU],[1]!DadosGHD[uf])</f>
        <v>BA</v>
      </c>
      <c r="E1106" s="5" t="str">
        <f>_xlfn.XLOOKUP(A1106,[1]!DadosGHD[CD_GEOCMU],[1]!DadosGHD[MUNICIPIO])</f>
        <v>BOA VISTA DO TUPIM</v>
      </c>
      <c r="F1106" s="6">
        <v>33.711578369140597</v>
      </c>
      <c r="G1106" s="6">
        <v>33.797855377197301</v>
      </c>
      <c r="H1106" s="6">
        <v>38.755439758300803</v>
      </c>
      <c r="I1106" s="6">
        <v>38.733211517333999</v>
      </c>
      <c r="J1106" s="6">
        <v>33.844856262207003</v>
      </c>
      <c r="K1106" s="6">
        <v>33.876316070556598</v>
      </c>
      <c r="L1106" s="6">
        <v>26.291013717651399</v>
      </c>
    </row>
    <row r="1107" spans="1:12" x14ac:dyDescent="0.25">
      <c r="A1107">
        <v>2503506</v>
      </c>
      <c r="B1107" t="str">
        <f t="shared" si="17"/>
        <v>CACIMBA DE DENTRO, PB, Brasil</v>
      </c>
      <c r="C1107" s="4" t="str">
        <f>_xlfn.XLOOKUP(A1107,[1]!DadosGHD[CD_GEOCMU],[1]!DadosGHD[Região])</f>
        <v>NE</v>
      </c>
      <c r="D1107" s="4" t="str">
        <f>_xlfn.XLOOKUP(A1107,[1]!DadosGHD[CD_GEOCMU],[1]!DadosGHD[uf])</f>
        <v>PB</v>
      </c>
      <c r="E1107" s="5" t="str">
        <f>_xlfn.XLOOKUP(A1107,[1]!DadosGHD[CD_GEOCMU],[1]!DadosGHD[MUNICIPIO])</f>
        <v>CACIMBA DE DENTRO</v>
      </c>
      <c r="F1107" s="6">
        <v>33.711616516113303</v>
      </c>
      <c r="G1107" s="6">
        <v>33.769435882568402</v>
      </c>
      <c r="H1107" s="6">
        <v>33.8408393859863</v>
      </c>
      <c r="I1107" s="6">
        <v>33.8704643249512</v>
      </c>
      <c r="J1107" s="6">
        <v>33.848789215087898</v>
      </c>
      <c r="K1107" s="6">
        <v>33.849754333496101</v>
      </c>
      <c r="L1107" s="6">
        <v>26.283935546875</v>
      </c>
    </row>
    <row r="1108" spans="1:12" x14ac:dyDescent="0.25">
      <c r="A1108">
        <v>2201200</v>
      </c>
      <c r="B1108" t="str">
        <f t="shared" si="17"/>
        <v>BARRAS, PI, Brasil</v>
      </c>
      <c r="C1108" s="4" t="str">
        <f>_xlfn.XLOOKUP(A1108,[1]!DadosGHD[CD_GEOCMU],[1]!DadosGHD[Região])</f>
        <v>NE</v>
      </c>
      <c r="D1108" s="4" t="str">
        <f>_xlfn.XLOOKUP(A1108,[1]!DadosGHD[CD_GEOCMU],[1]!DadosGHD[uf])</f>
        <v>PI</v>
      </c>
      <c r="E1108" s="5" t="str">
        <f>_xlfn.XLOOKUP(A1108,[1]!DadosGHD[CD_GEOCMU],[1]!DadosGHD[MUNICIPIO])</f>
        <v>BARRAS</v>
      </c>
      <c r="F1108" s="6">
        <v>33.711620330810597</v>
      </c>
      <c r="G1108" s="6">
        <v>33.788909912109403</v>
      </c>
      <c r="H1108" s="6">
        <v>33.828739166259801</v>
      </c>
      <c r="I1108" s="6">
        <v>33.806224822998097</v>
      </c>
      <c r="J1108" s="6">
        <v>33.818920135498097</v>
      </c>
      <c r="K1108" s="6">
        <v>33.862876892089801</v>
      </c>
      <c r="L1108" s="6">
        <v>30.708066940307599</v>
      </c>
    </row>
    <row r="1109" spans="1:12" x14ac:dyDescent="0.25">
      <c r="A1109">
        <v>1301704</v>
      </c>
      <c r="B1109" t="str">
        <f t="shared" si="17"/>
        <v>HUMAITA, AM, Brasil</v>
      </c>
      <c r="C1109" s="4" t="str">
        <f>_xlfn.XLOOKUP(A1109,[1]!DadosGHD[CD_GEOCMU],[1]!DadosGHD[Região])</f>
        <v>NO</v>
      </c>
      <c r="D1109" s="4" t="str">
        <f>_xlfn.XLOOKUP(A1109,[1]!DadosGHD[CD_GEOCMU],[1]!DadosGHD[uf])</f>
        <v>AM</v>
      </c>
      <c r="E1109" s="5" t="str">
        <f>_xlfn.XLOOKUP(A1109,[1]!DadosGHD[CD_GEOCMU],[1]!DadosGHD[MUNICIPIO])</f>
        <v>HUMAITA</v>
      </c>
      <c r="F1109" s="6">
        <v>33.711624145507798</v>
      </c>
      <c r="G1109" s="6">
        <v>33.772747039794901</v>
      </c>
      <c r="H1109" s="6">
        <v>33.8112182617188</v>
      </c>
      <c r="I1109" s="6">
        <v>33.796596527099602</v>
      </c>
      <c r="J1109" s="6">
        <v>33.810066223144503</v>
      </c>
      <c r="K1109" s="6">
        <v>29.006593704223601</v>
      </c>
      <c r="L1109" s="6">
        <v>57.589881896972699</v>
      </c>
    </row>
    <row r="1110" spans="1:12" x14ac:dyDescent="0.25">
      <c r="A1110">
        <v>2504355</v>
      </c>
      <c r="B1110" t="str">
        <f t="shared" si="17"/>
        <v>CATURITE, PB, Brasil</v>
      </c>
      <c r="C1110" s="4" t="str">
        <f>_xlfn.XLOOKUP(A1110,[1]!DadosGHD[CD_GEOCMU],[1]!DadosGHD[Região])</f>
        <v>NE</v>
      </c>
      <c r="D1110" s="4" t="str">
        <f>_xlfn.XLOOKUP(A1110,[1]!DadosGHD[CD_GEOCMU],[1]!DadosGHD[uf])</f>
        <v>PB</v>
      </c>
      <c r="E1110" s="5" t="str">
        <f>_xlfn.XLOOKUP(A1110,[1]!DadosGHD[CD_GEOCMU],[1]!DadosGHD[MUNICIPIO])</f>
        <v>CATURITE</v>
      </c>
      <c r="F1110" s="6">
        <v>33.7117309570313</v>
      </c>
      <c r="G1110" s="6">
        <v>33.796798706054702</v>
      </c>
      <c r="H1110" s="6">
        <v>33.840175628662102</v>
      </c>
      <c r="I1110" s="6">
        <v>33.806568145752003</v>
      </c>
      <c r="J1110" s="6">
        <v>33.8216552734375</v>
      </c>
      <c r="K1110" s="6">
        <v>33.851917266845703</v>
      </c>
      <c r="L1110" s="6">
        <v>26.2838535308838</v>
      </c>
    </row>
    <row r="1111" spans="1:12" x14ac:dyDescent="0.25">
      <c r="A1111">
        <v>2922409</v>
      </c>
      <c r="B1111" t="str">
        <f t="shared" si="17"/>
        <v>MUTUIPE, BA, Brasil</v>
      </c>
      <c r="C1111" s="4" t="str">
        <f>_xlfn.XLOOKUP(A1111,[1]!DadosGHD[CD_GEOCMU],[1]!DadosGHD[Região])</f>
        <v>NE</v>
      </c>
      <c r="D1111" s="4" t="str">
        <f>_xlfn.XLOOKUP(A1111,[1]!DadosGHD[CD_GEOCMU],[1]!DadosGHD[uf])</f>
        <v>BA</v>
      </c>
      <c r="E1111" s="5" t="str">
        <f>_xlfn.XLOOKUP(A1111,[1]!DadosGHD[CD_GEOCMU],[1]!DadosGHD[MUNICIPIO])</f>
        <v>MUTUIPE</v>
      </c>
      <c r="F1111" s="6">
        <v>33.7118110656738</v>
      </c>
      <c r="G1111" s="6">
        <v>33.792007446289098</v>
      </c>
      <c r="H1111" s="6">
        <v>33.8810424804688</v>
      </c>
      <c r="I1111" s="6">
        <v>33.870338439941399</v>
      </c>
      <c r="J1111" s="6">
        <v>38.7889404296875</v>
      </c>
      <c r="K1111" s="6">
        <v>43.807773590087898</v>
      </c>
      <c r="L1111" s="6">
        <v>39.576370239257798</v>
      </c>
    </row>
    <row r="1112" spans="1:12" x14ac:dyDescent="0.25">
      <c r="A1112">
        <v>2102903</v>
      </c>
      <c r="B1112" t="str">
        <f t="shared" si="17"/>
        <v>CARUTAPERA, MA, Brasil</v>
      </c>
      <c r="C1112" s="4" t="str">
        <f>_xlfn.XLOOKUP(A1112,[1]!DadosGHD[CD_GEOCMU],[1]!DadosGHD[Região])</f>
        <v>NE</v>
      </c>
      <c r="D1112" s="4" t="str">
        <f>_xlfn.XLOOKUP(A1112,[1]!DadosGHD[CD_GEOCMU],[1]!DadosGHD[uf])</f>
        <v>MA</v>
      </c>
      <c r="E1112" s="5" t="str">
        <f>_xlfn.XLOOKUP(A1112,[1]!DadosGHD[CD_GEOCMU],[1]!DadosGHD[MUNICIPIO])</f>
        <v>CARUTAPERA</v>
      </c>
      <c r="F1112" s="6">
        <v>33.711990356445298</v>
      </c>
      <c r="G1112" s="6">
        <v>33.779457092285199</v>
      </c>
      <c r="H1112" s="6">
        <v>33.820545196533203</v>
      </c>
      <c r="I1112" s="6">
        <v>33.804782867431598</v>
      </c>
      <c r="J1112" s="6">
        <v>33.835227966308601</v>
      </c>
      <c r="K1112" s="6">
        <v>33.862434387207003</v>
      </c>
      <c r="L1112" s="6">
        <v>26.2808227539063</v>
      </c>
    </row>
    <row r="1113" spans="1:12" x14ac:dyDescent="0.25">
      <c r="A1113">
        <v>2103125</v>
      </c>
      <c r="B1113" t="str">
        <f t="shared" si="17"/>
        <v>CENTRAL DO MARANHAO, MA, Brasil</v>
      </c>
      <c r="C1113" s="4" t="str">
        <f>_xlfn.XLOOKUP(A1113,[1]!DadosGHD[CD_GEOCMU],[1]!DadosGHD[Região])</f>
        <v>NE</v>
      </c>
      <c r="D1113" s="4" t="str">
        <f>_xlfn.XLOOKUP(A1113,[1]!DadosGHD[CD_GEOCMU],[1]!DadosGHD[uf])</f>
        <v>MA</v>
      </c>
      <c r="E1113" s="5" t="str">
        <f>_xlfn.XLOOKUP(A1113,[1]!DadosGHD[CD_GEOCMU],[1]!DadosGHD[MUNICIPIO])</f>
        <v>CENTRAL DO MARANHAO</v>
      </c>
      <c r="F1113" s="6">
        <v>33.7122192382813</v>
      </c>
      <c r="G1113" s="6">
        <v>33.76904296875</v>
      </c>
      <c r="H1113" s="6">
        <v>28.978216171264702</v>
      </c>
      <c r="I1113" s="6">
        <v>28.9584846496582</v>
      </c>
      <c r="J1113" s="6">
        <v>28.972803115844702</v>
      </c>
      <c r="K1113" s="6">
        <v>28.999458312988299</v>
      </c>
      <c r="L1113" s="6">
        <v>26.2860317230225</v>
      </c>
    </row>
    <row r="1114" spans="1:12" x14ac:dyDescent="0.25">
      <c r="A1114">
        <v>2802700</v>
      </c>
      <c r="B1114" t="str">
        <f t="shared" si="17"/>
        <v>ILHA DAS FLORES, SE, Brasil</v>
      </c>
      <c r="C1114" s="4" t="str">
        <f>_xlfn.XLOOKUP(A1114,[1]!DadosGHD[CD_GEOCMU],[1]!DadosGHD[Região])</f>
        <v>NE</v>
      </c>
      <c r="D1114" s="4" t="str">
        <f>_xlfn.XLOOKUP(A1114,[1]!DadosGHD[CD_GEOCMU],[1]!DadosGHD[uf])</f>
        <v>SE</v>
      </c>
      <c r="E1114" s="5" t="str">
        <f>_xlfn.XLOOKUP(A1114,[1]!DadosGHD[CD_GEOCMU],[1]!DadosGHD[MUNICIPIO])</f>
        <v>ILHA DAS FLORES</v>
      </c>
      <c r="F1114" s="6">
        <v>33.712265014648402</v>
      </c>
      <c r="G1114" s="6">
        <v>33.769088745117202</v>
      </c>
      <c r="H1114" s="6">
        <v>28.978975296020501</v>
      </c>
      <c r="I1114" s="6">
        <v>28.9598293304443</v>
      </c>
      <c r="J1114" s="6">
        <v>28.974714279174801</v>
      </c>
      <c r="K1114" s="6">
        <v>29.001916885376001</v>
      </c>
      <c r="L1114" s="6">
        <v>26.282892227172901</v>
      </c>
    </row>
    <row r="1115" spans="1:12" x14ac:dyDescent="0.25">
      <c r="A1115">
        <v>2201606</v>
      </c>
      <c r="B1115" t="str">
        <f t="shared" si="17"/>
        <v>BENEDITINOS, PI, Brasil</v>
      </c>
      <c r="C1115" s="4" t="str">
        <f>_xlfn.XLOOKUP(A1115,[1]!DadosGHD[CD_GEOCMU],[1]!DadosGHD[Região])</f>
        <v>NE</v>
      </c>
      <c r="D1115" s="4" t="str">
        <f>_xlfn.XLOOKUP(A1115,[1]!DadosGHD[CD_GEOCMU],[1]!DadosGHD[uf])</f>
        <v>PI</v>
      </c>
      <c r="E1115" s="5" t="str">
        <f>_xlfn.XLOOKUP(A1115,[1]!DadosGHD[CD_GEOCMU],[1]!DadosGHD[MUNICIPIO])</f>
        <v>BENEDITINOS</v>
      </c>
      <c r="F1115" s="6">
        <v>33.712291717529297</v>
      </c>
      <c r="G1115" s="6">
        <v>33.766937255859403</v>
      </c>
      <c r="H1115" s="6">
        <v>28.972021102905298</v>
      </c>
      <c r="I1115" s="6">
        <v>28.9529838562012</v>
      </c>
      <c r="J1115" s="6">
        <v>28.967563629150401</v>
      </c>
      <c r="K1115" s="6">
        <v>29.000543594360401</v>
      </c>
      <c r="L1115" s="6">
        <v>26.288782119751001</v>
      </c>
    </row>
    <row r="1116" spans="1:12" x14ac:dyDescent="0.25">
      <c r="A1116">
        <v>2509107</v>
      </c>
      <c r="B1116" t="str">
        <f t="shared" si="17"/>
        <v>MARI, PB, Brasil</v>
      </c>
      <c r="C1116" s="4" t="str">
        <f>_xlfn.XLOOKUP(A1116,[1]!DadosGHD[CD_GEOCMU],[1]!DadosGHD[Região])</f>
        <v>NE</v>
      </c>
      <c r="D1116" s="4" t="str">
        <f>_xlfn.XLOOKUP(A1116,[1]!DadosGHD[CD_GEOCMU],[1]!DadosGHD[uf])</f>
        <v>PB</v>
      </c>
      <c r="E1116" s="5" t="str">
        <f>_xlfn.XLOOKUP(A1116,[1]!DadosGHD[CD_GEOCMU],[1]!DadosGHD[MUNICIPIO])</f>
        <v>MARI</v>
      </c>
      <c r="F1116" s="6">
        <v>33.712303161621101</v>
      </c>
      <c r="G1116" s="6">
        <v>33.779136657714801</v>
      </c>
      <c r="H1116" s="6">
        <v>38.748405456542997</v>
      </c>
      <c r="I1116" s="6">
        <v>38.7302436828613</v>
      </c>
      <c r="J1116" s="6">
        <v>33.856502532958999</v>
      </c>
      <c r="K1116" s="6">
        <v>33.889572143554702</v>
      </c>
      <c r="L1116" s="6">
        <v>30.7086391448975</v>
      </c>
    </row>
    <row r="1117" spans="1:12" x14ac:dyDescent="0.25">
      <c r="A1117">
        <v>2600054</v>
      </c>
      <c r="B1117" t="str">
        <f t="shared" si="17"/>
        <v>ABREU E LIMA, PE, Brasil</v>
      </c>
      <c r="C1117" s="4" t="str">
        <f>_xlfn.XLOOKUP(A1117,[1]!DadosGHD[CD_GEOCMU],[1]!DadosGHD[Região])</f>
        <v>NE</v>
      </c>
      <c r="D1117" s="4" t="str">
        <f>_xlfn.XLOOKUP(A1117,[1]!DadosGHD[CD_GEOCMU],[1]!DadosGHD[uf])</f>
        <v>PE</v>
      </c>
      <c r="E1117" s="5" t="str">
        <f>_xlfn.XLOOKUP(A1117,[1]!DadosGHD[CD_GEOCMU],[1]!DadosGHD[MUNICIPIO])</f>
        <v>ABREU E LIMA</v>
      </c>
      <c r="F1117" s="6">
        <v>33.712337493896499</v>
      </c>
      <c r="G1117" s="6">
        <v>33.772907257080099</v>
      </c>
      <c r="H1117" s="6">
        <v>28.974723815918001</v>
      </c>
      <c r="I1117" s="6">
        <v>28.9608058929443</v>
      </c>
      <c r="J1117" s="6">
        <v>33.813564300537102</v>
      </c>
      <c r="K1117" s="6">
        <v>33.871227264404297</v>
      </c>
      <c r="L1117" s="6">
        <v>30.688758850097699</v>
      </c>
    </row>
    <row r="1118" spans="1:12" x14ac:dyDescent="0.25">
      <c r="A1118">
        <v>2507903</v>
      </c>
      <c r="B1118" t="str">
        <f t="shared" si="17"/>
        <v>JURIPIRANGA, PB, Brasil</v>
      </c>
      <c r="C1118" s="4" t="str">
        <f>_xlfn.XLOOKUP(A1118,[1]!DadosGHD[CD_GEOCMU],[1]!DadosGHD[Região])</f>
        <v>NE</v>
      </c>
      <c r="D1118" s="4" t="str">
        <f>_xlfn.XLOOKUP(A1118,[1]!DadosGHD[CD_GEOCMU],[1]!DadosGHD[uf])</f>
        <v>PB</v>
      </c>
      <c r="E1118" s="5" t="str">
        <f>_xlfn.XLOOKUP(A1118,[1]!DadosGHD[CD_GEOCMU],[1]!DadosGHD[MUNICIPIO])</f>
        <v>JURIPIRANGA</v>
      </c>
      <c r="F1118" s="6">
        <v>33.712425231933601</v>
      </c>
      <c r="G1118" s="6">
        <v>33.778266906738303</v>
      </c>
      <c r="H1118" s="6">
        <v>33.874687194824197</v>
      </c>
      <c r="I1118" s="6">
        <v>33.840492248535199</v>
      </c>
      <c r="J1118" s="6">
        <v>33.812961578369098</v>
      </c>
      <c r="K1118" s="6">
        <v>28.988836288452202</v>
      </c>
      <c r="L1118" s="6">
        <v>26.2845058441162</v>
      </c>
    </row>
    <row r="1119" spans="1:12" x14ac:dyDescent="0.25">
      <c r="A1119">
        <v>2512309</v>
      </c>
      <c r="B1119" t="str">
        <f t="shared" si="17"/>
        <v>PRINCESA ISABEL, PB, Brasil</v>
      </c>
      <c r="C1119" s="4" t="str">
        <f>_xlfn.XLOOKUP(A1119,[1]!DadosGHD[CD_GEOCMU],[1]!DadosGHD[Região])</f>
        <v>NE</v>
      </c>
      <c r="D1119" s="4" t="str">
        <f>_xlfn.XLOOKUP(A1119,[1]!DadosGHD[CD_GEOCMU],[1]!DadosGHD[uf])</f>
        <v>PB</v>
      </c>
      <c r="E1119" s="5" t="str">
        <f>_xlfn.XLOOKUP(A1119,[1]!DadosGHD[CD_GEOCMU],[1]!DadosGHD[MUNICIPIO])</f>
        <v>PRINCESA ISABEL</v>
      </c>
      <c r="F1119" s="6">
        <v>33.712654113769503</v>
      </c>
      <c r="G1119" s="6">
        <v>33.8042602539063</v>
      </c>
      <c r="H1119" s="6">
        <v>33.859378814697301</v>
      </c>
      <c r="I1119" s="6">
        <v>33.835685729980497</v>
      </c>
      <c r="J1119" s="6">
        <v>33.870151519775398</v>
      </c>
      <c r="K1119" s="6">
        <v>38.811183929443402</v>
      </c>
      <c r="L1119" s="6">
        <v>39.598133087158203</v>
      </c>
    </row>
    <row r="1120" spans="1:12" x14ac:dyDescent="0.25">
      <c r="A1120">
        <v>2603900</v>
      </c>
      <c r="B1120" t="str">
        <f t="shared" si="17"/>
        <v>CARNAIBA, PE, Brasil</v>
      </c>
      <c r="C1120" s="4" t="str">
        <f>_xlfn.XLOOKUP(A1120,[1]!DadosGHD[CD_GEOCMU],[1]!DadosGHD[Região])</f>
        <v>NE</v>
      </c>
      <c r="D1120" s="4" t="str">
        <f>_xlfn.XLOOKUP(A1120,[1]!DadosGHD[CD_GEOCMU],[1]!DadosGHD[uf])</f>
        <v>PE</v>
      </c>
      <c r="E1120" s="5" t="str">
        <f>_xlfn.XLOOKUP(A1120,[1]!DadosGHD[CD_GEOCMU],[1]!DadosGHD[MUNICIPIO])</f>
        <v>CARNAIBA</v>
      </c>
      <c r="F1120" s="6">
        <v>33.712680816650398</v>
      </c>
      <c r="G1120" s="6">
        <v>33.818920135498097</v>
      </c>
      <c r="H1120" s="6">
        <v>33.861331939697301</v>
      </c>
      <c r="I1120" s="6">
        <v>33.841941833496101</v>
      </c>
      <c r="J1120" s="6">
        <v>33.853321075439503</v>
      </c>
      <c r="K1120" s="6">
        <v>33.889785766601598</v>
      </c>
      <c r="L1120" s="6">
        <v>30.708400726318398</v>
      </c>
    </row>
    <row r="1121" spans="1:12" x14ac:dyDescent="0.25">
      <c r="A1121">
        <v>2931301</v>
      </c>
      <c r="B1121" t="str">
        <f t="shared" si="17"/>
        <v>TAPIRAMUTA, BA, Brasil</v>
      </c>
      <c r="C1121" s="4" t="str">
        <f>_xlfn.XLOOKUP(A1121,[1]!DadosGHD[CD_GEOCMU],[1]!DadosGHD[Região])</f>
        <v>NE</v>
      </c>
      <c r="D1121" s="4" t="str">
        <f>_xlfn.XLOOKUP(A1121,[1]!DadosGHD[CD_GEOCMU],[1]!DadosGHD[uf])</f>
        <v>BA</v>
      </c>
      <c r="E1121" s="5" t="str">
        <f>_xlfn.XLOOKUP(A1121,[1]!DadosGHD[CD_GEOCMU],[1]!DadosGHD[MUNICIPIO])</f>
        <v>TAPIRAMUTA</v>
      </c>
      <c r="F1121" s="6">
        <v>33.712688446044901</v>
      </c>
      <c r="G1121" s="6">
        <v>33.770210266113303</v>
      </c>
      <c r="H1121" s="6">
        <v>28.968889236450199</v>
      </c>
      <c r="I1121" s="6">
        <v>33.802360534667997</v>
      </c>
      <c r="J1121" s="6">
        <v>33.819248199462898</v>
      </c>
      <c r="K1121" s="6">
        <v>28.978796005248999</v>
      </c>
      <c r="L1121" s="6">
        <v>30.690832138061499</v>
      </c>
    </row>
    <row r="1122" spans="1:12" x14ac:dyDescent="0.25">
      <c r="A1122">
        <v>2407302</v>
      </c>
      <c r="B1122" t="str">
        <f t="shared" si="17"/>
        <v>MARCELINO VIEIRA, RN, Brasil</v>
      </c>
      <c r="C1122" s="4" t="str">
        <f>_xlfn.XLOOKUP(A1122,[1]!DadosGHD[CD_GEOCMU],[1]!DadosGHD[Região])</f>
        <v>NE</v>
      </c>
      <c r="D1122" s="4" t="str">
        <f>_xlfn.XLOOKUP(A1122,[1]!DadosGHD[CD_GEOCMU],[1]!DadosGHD[uf])</f>
        <v>RN</v>
      </c>
      <c r="E1122" s="5" t="str">
        <f>_xlfn.XLOOKUP(A1122,[1]!DadosGHD[CD_GEOCMU],[1]!DadosGHD[MUNICIPIO])</f>
        <v>MARCELINO VIEIRA</v>
      </c>
      <c r="F1122" s="6">
        <v>33.712783813476598</v>
      </c>
      <c r="G1122" s="6">
        <v>33.813194274902301</v>
      </c>
      <c r="H1122" s="6">
        <v>33.891441345214801</v>
      </c>
      <c r="I1122" s="6">
        <v>33.843879699707003</v>
      </c>
      <c r="J1122" s="6">
        <v>28.977645874023398</v>
      </c>
      <c r="K1122" s="6">
        <v>33.842617034912102</v>
      </c>
      <c r="L1122" s="6">
        <v>30.685548782348601</v>
      </c>
    </row>
    <row r="1123" spans="1:12" x14ac:dyDescent="0.25">
      <c r="A1123">
        <v>2908606</v>
      </c>
      <c r="B1123" t="str">
        <f t="shared" si="17"/>
        <v>CONDE, BA, Brasil</v>
      </c>
      <c r="C1123" s="4" t="str">
        <f>_xlfn.XLOOKUP(A1123,[1]!DadosGHD[CD_GEOCMU],[1]!DadosGHD[Região])</f>
        <v>NE</v>
      </c>
      <c r="D1123" s="4" t="str">
        <f>_xlfn.XLOOKUP(A1123,[1]!DadosGHD[CD_GEOCMU],[1]!DadosGHD[uf])</f>
        <v>BA</v>
      </c>
      <c r="E1123" s="5" t="str">
        <f>_xlfn.XLOOKUP(A1123,[1]!DadosGHD[CD_GEOCMU],[1]!DadosGHD[MUNICIPIO])</f>
        <v>CONDE</v>
      </c>
      <c r="F1123" s="6">
        <v>33.712814331054702</v>
      </c>
      <c r="G1123" s="6">
        <v>33.769401550292997</v>
      </c>
      <c r="H1123" s="6">
        <v>33.817131042480497</v>
      </c>
      <c r="I1123" s="6">
        <v>28.958854675293001</v>
      </c>
      <c r="J1123" s="6">
        <v>28.974086761474599</v>
      </c>
      <c r="K1123" s="6">
        <v>28.996568679809599</v>
      </c>
      <c r="L1123" s="6">
        <v>26.287561416626001</v>
      </c>
    </row>
    <row r="1124" spans="1:12" x14ac:dyDescent="0.25">
      <c r="A1124">
        <v>2921609</v>
      </c>
      <c r="B1124" t="str">
        <f t="shared" si="17"/>
        <v>MORPARA, BA, Brasil</v>
      </c>
      <c r="C1124" s="4" t="str">
        <f>_xlfn.XLOOKUP(A1124,[1]!DadosGHD[CD_GEOCMU],[1]!DadosGHD[Região])</f>
        <v>NE</v>
      </c>
      <c r="D1124" s="4" t="str">
        <f>_xlfn.XLOOKUP(A1124,[1]!DadosGHD[CD_GEOCMU],[1]!DadosGHD[uf])</f>
        <v>BA</v>
      </c>
      <c r="E1124" s="5" t="str">
        <f>_xlfn.XLOOKUP(A1124,[1]!DadosGHD[CD_GEOCMU],[1]!DadosGHD[MUNICIPIO])</f>
        <v>MORPARA</v>
      </c>
      <c r="F1124" s="6">
        <v>33.712825775146499</v>
      </c>
      <c r="G1124" s="6">
        <v>33.771205902099602</v>
      </c>
      <c r="H1124" s="6">
        <v>28.980060577392599</v>
      </c>
      <c r="I1124" s="6">
        <v>28.959840774536101</v>
      </c>
      <c r="J1124" s="6">
        <v>33.812107086181598</v>
      </c>
      <c r="K1124" s="6">
        <v>33.845771789550803</v>
      </c>
      <c r="L1124" s="6">
        <v>26.2905788421631</v>
      </c>
    </row>
    <row r="1125" spans="1:12" x14ac:dyDescent="0.25">
      <c r="A1125">
        <v>2408201</v>
      </c>
      <c r="B1125" t="str">
        <f t="shared" si="17"/>
        <v>NISIA FLORESTA, RN, Brasil</v>
      </c>
      <c r="C1125" s="4" t="str">
        <f>_xlfn.XLOOKUP(A1125,[1]!DadosGHD[CD_GEOCMU],[1]!DadosGHD[Região])</f>
        <v>NE</v>
      </c>
      <c r="D1125" s="4" t="str">
        <f>_xlfn.XLOOKUP(A1125,[1]!DadosGHD[CD_GEOCMU],[1]!DadosGHD[uf])</f>
        <v>RN</v>
      </c>
      <c r="E1125" s="5" t="str">
        <f>_xlfn.XLOOKUP(A1125,[1]!DadosGHD[CD_GEOCMU],[1]!DadosGHD[MUNICIPIO])</f>
        <v>NISIA FLORESTA</v>
      </c>
      <c r="F1125" s="6">
        <v>33.713027954101598</v>
      </c>
      <c r="G1125" s="6">
        <v>33.776031494140597</v>
      </c>
      <c r="H1125" s="6">
        <v>33.827468872070298</v>
      </c>
      <c r="I1125" s="6">
        <v>33.802734375</v>
      </c>
      <c r="J1125" s="6">
        <v>33.848354339599602</v>
      </c>
      <c r="K1125" s="6">
        <v>33.927845001220703</v>
      </c>
      <c r="L1125" s="6">
        <v>39.6099853515625</v>
      </c>
    </row>
    <row r="1126" spans="1:12" x14ac:dyDescent="0.25">
      <c r="A1126">
        <v>2920304</v>
      </c>
      <c r="B1126" t="str">
        <f t="shared" si="17"/>
        <v>MALHADA DE PEDRAS, BA, Brasil</v>
      </c>
      <c r="C1126" s="4" t="str">
        <f>_xlfn.XLOOKUP(A1126,[1]!DadosGHD[CD_GEOCMU],[1]!DadosGHD[Região])</f>
        <v>NE</v>
      </c>
      <c r="D1126" s="4" t="str">
        <f>_xlfn.XLOOKUP(A1126,[1]!DadosGHD[CD_GEOCMU],[1]!DadosGHD[uf])</f>
        <v>BA</v>
      </c>
      <c r="E1126" s="5" t="str">
        <f>_xlfn.XLOOKUP(A1126,[1]!DadosGHD[CD_GEOCMU],[1]!DadosGHD[MUNICIPIO])</f>
        <v>MALHADA DE PEDRAS</v>
      </c>
      <c r="F1126" s="6">
        <v>33.713054656982401</v>
      </c>
      <c r="G1126" s="6">
        <v>33.7724800109863</v>
      </c>
      <c r="H1126" s="6">
        <v>33.8163452148438</v>
      </c>
      <c r="I1126" s="6">
        <v>33.794837951660199</v>
      </c>
      <c r="J1126" s="6">
        <v>33.812068939208999</v>
      </c>
      <c r="K1126" s="6">
        <v>33.844970703125</v>
      </c>
      <c r="L1126" s="6">
        <v>26.282640457153299</v>
      </c>
    </row>
    <row r="1127" spans="1:12" x14ac:dyDescent="0.25">
      <c r="A1127">
        <v>2924306</v>
      </c>
      <c r="B1127" t="str">
        <f t="shared" si="17"/>
        <v>PIATA, BA, Brasil</v>
      </c>
      <c r="C1127" s="4" t="str">
        <f>_xlfn.XLOOKUP(A1127,[1]!DadosGHD[CD_GEOCMU],[1]!DadosGHD[Região])</f>
        <v>NE</v>
      </c>
      <c r="D1127" s="4" t="str">
        <f>_xlfn.XLOOKUP(A1127,[1]!DadosGHD[CD_GEOCMU],[1]!DadosGHD[uf])</f>
        <v>BA</v>
      </c>
      <c r="E1127" s="5" t="str">
        <f>_xlfn.XLOOKUP(A1127,[1]!DadosGHD[CD_GEOCMU],[1]!DadosGHD[MUNICIPIO])</f>
        <v>PIATA</v>
      </c>
      <c r="F1127" s="6">
        <v>33.713199615478501</v>
      </c>
      <c r="G1127" s="6">
        <v>33.770050048828097</v>
      </c>
      <c r="H1127" s="6">
        <v>33.812938690185597</v>
      </c>
      <c r="I1127" s="6">
        <v>33.7900581359863</v>
      </c>
      <c r="J1127" s="6">
        <v>28.9649658203125</v>
      </c>
      <c r="K1127" s="6">
        <v>28.9686679840088</v>
      </c>
      <c r="L1127" s="6">
        <v>26.2798957824707</v>
      </c>
    </row>
    <row r="1128" spans="1:12" x14ac:dyDescent="0.25">
      <c r="A1128">
        <v>1709005</v>
      </c>
      <c r="B1128" t="str">
        <f t="shared" si="17"/>
        <v>GOIATINS, TO, Brasil</v>
      </c>
      <c r="C1128" s="4" t="str">
        <f>_xlfn.XLOOKUP(A1128,[1]!DadosGHD[CD_GEOCMU],[1]!DadosGHD[Região])</f>
        <v>NO</v>
      </c>
      <c r="D1128" s="4" t="str">
        <f>_xlfn.XLOOKUP(A1128,[1]!DadosGHD[CD_GEOCMU],[1]!DadosGHD[uf])</f>
        <v>TO</v>
      </c>
      <c r="E1128" s="5" t="str">
        <f>_xlfn.XLOOKUP(A1128,[1]!DadosGHD[CD_GEOCMU],[1]!DadosGHD[MUNICIPIO])</f>
        <v>GOIATINS</v>
      </c>
      <c r="F1128" s="6">
        <v>33.713253021240199</v>
      </c>
      <c r="G1128" s="6">
        <v>33.779720306396499</v>
      </c>
      <c r="H1128" s="6">
        <v>33.823299407958999</v>
      </c>
      <c r="I1128" s="6">
        <v>33.804489135742202</v>
      </c>
      <c r="J1128" s="6">
        <v>33.811347961425803</v>
      </c>
      <c r="K1128" s="6">
        <v>33.849819183349602</v>
      </c>
      <c r="L1128" s="6">
        <v>26.2881889343262</v>
      </c>
    </row>
    <row r="1129" spans="1:12" x14ac:dyDescent="0.25">
      <c r="A1129">
        <v>2304251</v>
      </c>
      <c r="B1129" t="str">
        <f t="shared" si="17"/>
        <v>CRUZ, CE, Brasil</v>
      </c>
      <c r="C1129" s="4" t="str">
        <f>_xlfn.XLOOKUP(A1129,[1]!DadosGHD[CD_GEOCMU],[1]!DadosGHD[Região])</f>
        <v>NE</v>
      </c>
      <c r="D1129" s="4" t="str">
        <f>_xlfn.XLOOKUP(A1129,[1]!DadosGHD[CD_GEOCMU],[1]!DadosGHD[uf])</f>
        <v>CE</v>
      </c>
      <c r="E1129" s="5" t="str">
        <f>_xlfn.XLOOKUP(A1129,[1]!DadosGHD[CD_GEOCMU],[1]!DadosGHD[MUNICIPIO])</f>
        <v>CRUZ</v>
      </c>
      <c r="F1129" s="6">
        <v>33.713455200195298</v>
      </c>
      <c r="G1129" s="6">
        <v>38.730140686035199</v>
      </c>
      <c r="H1129" s="6">
        <v>38.809974670410199</v>
      </c>
      <c r="I1129" s="6">
        <v>38.802780151367202</v>
      </c>
      <c r="J1129" s="6">
        <v>33.886787414550803</v>
      </c>
      <c r="K1129" s="6">
        <v>38.820533752441399</v>
      </c>
      <c r="L1129" s="6">
        <v>39.5671997070313</v>
      </c>
    </row>
    <row r="1130" spans="1:12" x14ac:dyDescent="0.25">
      <c r="A1130">
        <v>2903409</v>
      </c>
      <c r="B1130" t="str">
        <f t="shared" si="17"/>
        <v>BELMONTE, BA, Brasil</v>
      </c>
      <c r="C1130" s="4" t="str">
        <f>_xlfn.XLOOKUP(A1130,[1]!DadosGHD[CD_GEOCMU],[1]!DadosGHD[Região])</f>
        <v>NE</v>
      </c>
      <c r="D1130" s="4" t="str">
        <f>_xlfn.XLOOKUP(A1130,[1]!DadosGHD[CD_GEOCMU],[1]!DadosGHD[uf])</f>
        <v>BA</v>
      </c>
      <c r="E1130" s="5" t="str">
        <f>_xlfn.XLOOKUP(A1130,[1]!DadosGHD[CD_GEOCMU],[1]!DadosGHD[MUNICIPIO])</f>
        <v>BELMONTE</v>
      </c>
      <c r="F1130" s="6">
        <v>33.713645935058601</v>
      </c>
      <c r="G1130" s="6">
        <v>33.783805847167997</v>
      </c>
      <c r="H1130" s="6">
        <v>33.835884094238303</v>
      </c>
      <c r="I1130" s="6">
        <v>33.823684692382798</v>
      </c>
      <c r="J1130" s="6">
        <v>33.829784393310597</v>
      </c>
      <c r="K1130" s="6">
        <v>33.880935668945298</v>
      </c>
      <c r="L1130" s="6">
        <v>26.298866271972699</v>
      </c>
    </row>
    <row r="1131" spans="1:12" x14ac:dyDescent="0.25">
      <c r="A1131">
        <v>2516409</v>
      </c>
      <c r="B1131" t="str">
        <f t="shared" si="17"/>
        <v>TACIMA, PB, Brasil</v>
      </c>
      <c r="C1131" s="4" t="str">
        <f>_xlfn.XLOOKUP(A1131,[1]!DadosGHD[CD_GEOCMU],[1]!DadosGHD[Região])</f>
        <v>NE</v>
      </c>
      <c r="D1131" s="4" t="str">
        <f>_xlfn.XLOOKUP(A1131,[1]!DadosGHD[CD_GEOCMU],[1]!DadosGHD[uf])</f>
        <v>PB</v>
      </c>
      <c r="E1131" s="5" t="str">
        <f>_xlfn.XLOOKUP(A1131,[1]!DadosGHD[CD_GEOCMU],[1]!DadosGHD[MUNICIPIO])</f>
        <v>TACIMA</v>
      </c>
      <c r="F1131" s="6">
        <v>33.713825225830099</v>
      </c>
      <c r="G1131" s="6">
        <v>33.766128540039098</v>
      </c>
      <c r="H1131" s="6">
        <v>33.818817138671903</v>
      </c>
      <c r="I1131" s="6">
        <v>33.7967529296875</v>
      </c>
      <c r="J1131" s="6">
        <v>33.838336944580099</v>
      </c>
      <c r="K1131" s="6">
        <v>33.872760772705099</v>
      </c>
      <c r="L1131" s="6">
        <v>30.6961860656738</v>
      </c>
    </row>
    <row r="1132" spans="1:12" x14ac:dyDescent="0.25">
      <c r="A1132">
        <v>2905305</v>
      </c>
      <c r="B1132" t="str">
        <f t="shared" si="17"/>
        <v>CAFARNAUM, BA, Brasil</v>
      </c>
      <c r="C1132" s="4" t="str">
        <f>_xlfn.XLOOKUP(A1132,[1]!DadosGHD[CD_GEOCMU],[1]!DadosGHD[Região])</f>
        <v>NE</v>
      </c>
      <c r="D1132" s="4" t="str">
        <f>_xlfn.XLOOKUP(A1132,[1]!DadosGHD[CD_GEOCMU],[1]!DadosGHD[uf])</f>
        <v>BA</v>
      </c>
      <c r="E1132" s="5" t="str">
        <f>_xlfn.XLOOKUP(A1132,[1]!DadosGHD[CD_GEOCMU],[1]!DadosGHD[MUNICIPIO])</f>
        <v>CAFARNAUM</v>
      </c>
      <c r="F1132" s="6">
        <v>33.7143363952637</v>
      </c>
      <c r="G1132" s="6">
        <v>33.7721557617188</v>
      </c>
      <c r="H1132" s="6">
        <v>33.821151733398402</v>
      </c>
      <c r="I1132" s="6">
        <v>33.801303863525398</v>
      </c>
      <c r="J1132" s="6">
        <v>33.833503723144503</v>
      </c>
      <c r="K1132" s="6">
        <v>33.898036956787102</v>
      </c>
      <c r="L1132" s="6">
        <v>26.295183181762699</v>
      </c>
    </row>
    <row r="1133" spans="1:12" x14ac:dyDescent="0.25">
      <c r="A1133">
        <v>2922805</v>
      </c>
      <c r="B1133" t="str">
        <f t="shared" si="17"/>
        <v>NOVA ITARANA, BA, Brasil</v>
      </c>
      <c r="C1133" s="4" t="str">
        <f>_xlfn.XLOOKUP(A1133,[1]!DadosGHD[CD_GEOCMU],[1]!DadosGHD[Região])</f>
        <v>NE</v>
      </c>
      <c r="D1133" s="4" t="str">
        <f>_xlfn.XLOOKUP(A1133,[1]!DadosGHD[CD_GEOCMU],[1]!DadosGHD[uf])</f>
        <v>BA</v>
      </c>
      <c r="E1133" s="5" t="str">
        <f>_xlfn.XLOOKUP(A1133,[1]!DadosGHD[CD_GEOCMU],[1]!DadosGHD[MUNICIPIO])</f>
        <v>NOVA ITARANA</v>
      </c>
      <c r="F1133" s="6">
        <v>33.714588165283203</v>
      </c>
      <c r="G1133" s="6">
        <v>33.771045684814503</v>
      </c>
      <c r="H1133" s="6">
        <v>33.8126220703125</v>
      </c>
      <c r="I1133" s="6">
        <v>33.7896537780762</v>
      </c>
      <c r="J1133" s="6">
        <v>28.976943969726602</v>
      </c>
      <c r="K1133" s="6">
        <v>29.0036926269531</v>
      </c>
      <c r="L1133" s="6">
        <v>26.284002304077202</v>
      </c>
    </row>
    <row r="1134" spans="1:12" x14ac:dyDescent="0.25">
      <c r="A1134">
        <v>2802809</v>
      </c>
      <c r="B1134" t="str">
        <f t="shared" si="17"/>
        <v>INDIAROBA, SE, Brasil</v>
      </c>
      <c r="C1134" s="4" t="str">
        <f>_xlfn.XLOOKUP(A1134,[1]!DadosGHD[CD_GEOCMU],[1]!DadosGHD[Região])</f>
        <v>NE</v>
      </c>
      <c r="D1134" s="4" t="str">
        <f>_xlfn.XLOOKUP(A1134,[1]!DadosGHD[CD_GEOCMU],[1]!DadosGHD[uf])</f>
        <v>SE</v>
      </c>
      <c r="E1134" s="5" t="str">
        <f>_xlfn.XLOOKUP(A1134,[1]!DadosGHD[CD_GEOCMU],[1]!DadosGHD[MUNICIPIO])</f>
        <v>INDIAROBA</v>
      </c>
      <c r="F1134" s="6">
        <v>33.714748382568402</v>
      </c>
      <c r="G1134" s="6">
        <v>33.785999298095703</v>
      </c>
      <c r="H1134" s="6">
        <v>33.828041076660199</v>
      </c>
      <c r="I1134" s="6">
        <v>33.807014465332003</v>
      </c>
      <c r="J1134" s="6">
        <v>33.830032348632798</v>
      </c>
      <c r="K1134" s="6">
        <v>33.853256225585902</v>
      </c>
      <c r="L1134" s="6">
        <v>30.706871032714801</v>
      </c>
    </row>
    <row r="1135" spans="1:12" x14ac:dyDescent="0.25">
      <c r="A1135">
        <v>2933059</v>
      </c>
      <c r="B1135" t="str">
        <f t="shared" si="17"/>
        <v>VARZEA DA ROCA, BA, Brasil</v>
      </c>
      <c r="C1135" s="4" t="str">
        <f>_xlfn.XLOOKUP(A1135,[1]!DadosGHD[CD_GEOCMU],[1]!DadosGHD[Região])</f>
        <v>NE</v>
      </c>
      <c r="D1135" s="4" t="str">
        <f>_xlfn.XLOOKUP(A1135,[1]!DadosGHD[CD_GEOCMU],[1]!DadosGHD[uf])</f>
        <v>BA</v>
      </c>
      <c r="E1135" s="5" t="str">
        <f>_xlfn.XLOOKUP(A1135,[1]!DadosGHD[CD_GEOCMU],[1]!DadosGHD[MUNICIPIO])</f>
        <v>VARZEA DA ROCA</v>
      </c>
      <c r="F1135" s="6">
        <v>33.714752197265597</v>
      </c>
      <c r="G1135" s="6">
        <v>38.736743927002003</v>
      </c>
      <c r="H1135" s="6">
        <v>38.844131469726598</v>
      </c>
      <c r="I1135" s="6">
        <v>38.795154571533203</v>
      </c>
      <c r="J1135" s="6">
        <v>33.825237274169901</v>
      </c>
      <c r="K1135" s="6">
        <v>33.862762451171903</v>
      </c>
      <c r="L1135" s="6">
        <v>30.692964553833001</v>
      </c>
    </row>
    <row r="1136" spans="1:12" x14ac:dyDescent="0.25">
      <c r="A1136">
        <v>5205455</v>
      </c>
      <c r="B1136" t="str">
        <f t="shared" si="17"/>
        <v>CEZARINA, GO, Brasil</v>
      </c>
      <c r="C1136" s="4" t="str">
        <f>_xlfn.XLOOKUP(A1136,[1]!DadosGHD[CD_GEOCMU],[1]!DadosGHD[Região])</f>
        <v>CO</v>
      </c>
      <c r="D1136" s="4" t="str">
        <f>_xlfn.XLOOKUP(A1136,[1]!DadosGHD[CD_GEOCMU],[1]!DadosGHD[uf])</f>
        <v>GO</v>
      </c>
      <c r="E1136" s="5" t="str">
        <f>_xlfn.XLOOKUP(A1136,[1]!DadosGHD[CD_GEOCMU],[1]!DadosGHD[MUNICIPIO])</f>
        <v>CEZARINA</v>
      </c>
      <c r="F1136" s="6">
        <v>33.714794158935597</v>
      </c>
      <c r="G1136" s="6">
        <v>33.788154602050803</v>
      </c>
      <c r="H1136" s="6">
        <v>33.833122253417997</v>
      </c>
      <c r="I1136" s="6">
        <v>33.803623199462898</v>
      </c>
      <c r="J1136" s="6">
        <v>33.816486358642599</v>
      </c>
      <c r="K1136" s="6">
        <v>33.851253509521499</v>
      </c>
      <c r="L1136" s="6">
        <v>35.132781982421903</v>
      </c>
    </row>
    <row r="1137" spans="1:12" x14ac:dyDescent="0.25">
      <c r="A1137">
        <v>2929750</v>
      </c>
      <c r="B1137" t="str">
        <f t="shared" si="17"/>
        <v>SAUBARA, BA, Brasil</v>
      </c>
      <c r="C1137" s="4" t="str">
        <f>_xlfn.XLOOKUP(A1137,[1]!DadosGHD[CD_GEOCMU],[1]!DadosGHD[Região])</f>
        <v>NE</v>
      </c>
      <c r="D1137" s="4" t="str">
        <f>_xlfn.XLOOKUP(A1137,[1]!DadosGHD[CD_GEOCMU],[1]!DadosGHD[uf])</f>
        <v>BA</v>
      </c>
      <c r="E1137" s="5" t="str">
        <f>_xlfn.XLOOKUP(A1137,[1]!DadosGHD[CD_GEOCMU],[1]!DadosGHD[MUNICIPIO])</f>
        <v>SAUBARA</v>
      </c>
      <c r="F1137" s="6">
        <v>33.714797973632798</v>
      </c>
      <c r="G1137" s="6">
        <v>33.7706909179688</v>
      </c>
      <c r="H1137" s="6">
        <v>33.8291625976563</v>
      </c>
      <c r="I1137" s="6">
        <v>33.842689514160199</v>
      </c>
      <c r="J1137" s="6">
        <v>38.762172698974602</v>
      </c>
      <c r="K1137" s="6">
        <v>38.831184387207003</v>
      </c>
      <c r="L1137" s="6">
        <v>44.042709350585902</v>
      </c>
    </row>
    <row r="1138" spans="1:12" x14ac:dyDescent="0.25">
      <c r="A1138">
        <v>2104073</v>
      </c>
      <c r="B1138" t="str">
        <f t="shared" si="17"/>
        <v>FEIRA NOVA DO MARANHAO, MA, Brasil</v>
      </c>
      <c r="C1138" s="4" t="str">
        <f>_xlfn.XLOOKUP(A1138,[1]!DadosGHD[CD_GEOCMU],[1]!DadosGHD[Região])</f>
        <v>NE</v>
      </c>
      <c r="D1138" s="4" t="str">
        <f>_xlfn.XLOOKUP(A1138,[1]!DadosGHD[CD_GEOCMU],[1]!DadosGHD[uf])</f>
        <v>MA</v>
      </c>
      <c r="E1138" s="5" t="str">
        <f>_xlfn.XLOOKUP(A1138,[1]!DadosGHD[CD_GEOCMU],[1]!DadosGHD[MUNICIPIO])</f>
        <v>FEIRA NOVA DO MARANHAO</v>
      </c>
      <c r="F1138" s="6">
        <v>33.714962005615199</v>
      </c>
      <c r="G1138" s="6">
        <v>33.771659851074197</v>
      </c>
      <c r="H1138" s="6">
        <v>28.9793186187744</v>
      </c>
      <c r="I1138" s="6">
        <v>28.959974288940401</v>
      </c>
      <c r="J1138" s="6">
        <v>28.9750461578369</v>
      </c>
      <c r="K1138" s="6">
        <v>29.002058029174801</v>
      </c>
      <c r="L1138" s="6">
        <v>30.6846103668213</v>
      </c>
    </row>
    <row r="1139" spans="1:12" x14ac:dyDescent="0.25">
      <c r="A1139">
        <v>2311801</v>
      </c>
      <c r="B1139" t="str">
        <f t="shared" si="17"/>
        <v>RUSSAS, CE, Brasil</v>
      </c>
      <c r="C1139" s="4" t="str">
        <f>_xlfn.XLOOKUP(A1139,[1]!DadosGHD[CD_GEOCMU],[1]!DadosGHD[Região])</f>
        <v>NE</v>
      </c>
      <c r="D1139" s="4" t="str">
        <f>_xlfn.XLOOKUP(A1139,[1]!DadosGHD[CD_GEOCMU],[1]!DadosGHD[uf])</f>
        <v>CE</v>
      </c>
      <c r="E1139" s="5" t="str">
        <f>_xlfn.XLOOKUP(A1139,[1]!DadosGHD[CD_GEOCMU],[1]!DadosGHD[MUNICIPIO])</f>
        <v>RUSSAS</v>
      </c>
      <c r="F1139" s="6">
        <v>33.715091705322301</v>
      </c>
      <c r="G1139" s="6">
        <v>38.690620422363303</v>
      </c>
      <c r="H1139" s="6">
        <v>38.778228759765597</v>
      </c>
      <c r="I1139" s="6">
        <v>38.795417785644503</v>
      </c>
      <c r="J1139" s="6">
        <v>38.832984924316399</v>
      </c>
      <c r="K1139" s="6">
        <v>43.762199401855497</v>
      </c>
      <c r="L1139" s="6">
        <v>44.047733306884801</v>
      </c>
    </row>
    <row r="1140" spans="1:12" x14ac:dyDescent="0.25">
      <c r="A1140">
        <v>2204907</v>
      </c>
      <c r="B1140" t="str">
        <f t="shared" si="17"/>
        <v>ISAIAS COELHO, PI, Brasil</v>
      </c>
      <c r="C1140" s="4" t="str">
        <f>_xlfn.XLOOKUP(A1140,[1]!DadosGHD[CD_GEOCMU],[1]!DadosGHD[Região])</f>
        <v>NE</v>
      </c>
      <c r="D1140" s="4" t="str">
        <f>_xlfn.XLOOKUP(A1140,[1]!DadosGHD[CD_GEOCMU],[1]!DadosGHD[uf])</f>
        <v>PI</v>
      </c>
      <c r="E1140" s="5" t="str">
        <f>_xlfn.XLOOKUP(A1140,[1]!DadosGHD[CD_GEOCMU],[1]!DadosGHD[MUNICIPIO])</f>
        <v>ISAIAS COELHO</v>
      </c>
      <c r="F1140" s="6">
        <v>33.715202331542997</v>
      </c>
      <c r="G1140" s="6">
        <v>33.771743774414098</v>
      </c>
      <c r="H1140" s="6">
        <v>28.978687286376999</v>
      </c>
      <c r="I1140" s="6">
        <v>28.959571838378899</v>
      </c>
      <c r="J1140" s="6">
        <v>28.9743137359619</v>
      </c>
      <c r="K1140" s="6">
        <v>28.9686679840088</v>
      </c>
      <c r="L1140" s="6">
        <v>26.2856121063232</v>
      </c>
    </row>
    <row r="1141" spans="1:12" x14ac:dyDescent="0.25">
      <c r="A1141">
        <v>2206720</v>
      </c>
      <c r="B1141" t="str">
        <f t="shared" si="17"/>
        <v>NAZARIA, PI, Brasil</v>
      </c>
      <c r="C1141" s="4" t="str">
        <f>_xlfn.XLOOKUP(A1141,[1]!DadosGHD[CD_GEOCMU],[1]!DadosGHD[Região])</f>
        <v>NE</v>
      </c>
      <c r="D1141" s="4" t="str">
        <f>_xlfn.XLOOKUP(A1141,[1]!DadosGHD[CD_GEOCMU],[1]!DadosGHD[uf])</f>
        <v>PI</v>
      </c>
      <c r="E1141" s="5" t="str">
        <f>_xlfn.XLOOKUP(A1141,[1]!DadosGHD[CD_GEOCMU],[1]!DadosGHD[MUNICIPIO])</f>
        <v>NAZARIA</v>
      </c>
      <c r="F1141" s="6">
        <v>33.715236663818402</v>
      </c>
      <c r="G1141" s="6">
        <v>33.771938323974602</v>
      </c>
      <c r="H1141" s="6">
        <v>33.818241119384801</v>
      </c>
      <c r="I1141" s="6">
        <v>33.800811767578097</v>
      </c>
      <c r="J1141" s="6">
        <v>33.811092376708999</v>
      </c>
      <c r="K1141" s="6">
        <v>33.852596282958999</v>
      </c>
      <c r="L1141" s="6">
        <v>26.285408020019499</v>
      </c>
    </row>
    <row r="1142" spans="1:12" x14ac:dyDescent="0.25">
      <c r="A1142">
        <v>2205805</v>
      </c>
      <c r="B1142" t="str">
        <f t="shared" si="17"/>
        <v>LUZILANDIA, PI, Brasil</v>
      </c>
      <c r="C1142" s="4" t="str">
        <f>_xlfn.XLOOKUP(A1142,[1]!DadosGHD[CD_GEOCMU],[1]!DadosGHD[Região])</f>
        <v>NE</v>
      </c>
      <c r="D1142" s="4" t="str">
        <f>_xlfn.XLOOKUP(A1142,[1]!DadosGHD[CD_GEOCMU],[1]!DadosGHD[uf])</f>
        <v>PI</v>
      </c>
      <c r="E1142" s="5" t="str">
        <f>_xlfn.XLOOKUP(A1142,[1]!DadosGHD[CD_GEOCMU],[1]!DadosGHD[MUNICIPIO])</f>
        <v>LUZILANDIA</v>
      </c>
      <c r="F1142" s="6">
        <v>33.715255737304702</v>
      </c>
      <c r="G1142" s="6">
        <v>33.781551361083999</v>
      </c>
      <c r="H1142" s="6">
        <v>33.8235473632813</v>
      </c>
      <c r="I1142" s="6">
        <v>33.812320709228501</v>
      </c>
      <c r="J1142" s="6">
        <v>33.823822021484403</v>
      </c>
      <c r="K1142" s="6">
        <v>33.9256401062012</v>
      </c>
      <c r="L1142" s="6">
        <v>35.116054534912102</v>
      </c>
    </row>
    <row r="1143" spans="1:12" x14ac:dyDescent="0.25">
      <c r="A1143">
        <v>2108454</v>
      </c>
      <c r="B1143" t="str">
        <f t="shared" si="17"/>
        <v>PERITORO, MA, Brasil</v>
      </c>
      <c r="C1143" s="4" t="str">
        <f>_xlfn.XLOOKUP(A1143,[1]!DadosGHD[CD_GEOCMU],[1]!DadosGHD[Região])</f>
        <v>NE</v>
      </c>
      <c r="D1143" s="4" t="str">
        <f>_xlfn.XLOOKUP(A1143,[1]!DadosGHD[CD_GEOCMU],[1]!DadosGHD[uf])</f>
        <v>MA</v>
      </c>
      <c r="E1143" s="5" t="str">
        <f>_xlfn.XLOOKUP(A1143,[1]!DadosGHD[CD_GEOCMU],[1]!DadosGHD[MUNICIPIO])</f>
        <v>PERITORO</v>
      </c>
      <c r="F1143" s="6">
        <v>33.715450286865199</v>
      </c>
      <c r="G1143" s="6">
        <v>33.769908905029297</v>
      </c>
      <c r="H1143" s="6">
        <v>28.968439102172901</v>
      </c>
      <c r="I1143" s="6">
        <v>28.948911666870099</v>
      </c>
      <c r="J1143" s="6">
        <v>28.9633483886719</v>
      </c>
      <c r="K1143" s="6">
        <v>28.9901027679443</v>
      </c>
      <c r="L1143" s="6">
        <v>26.2798957824707</v>
      </c>
    </row>
    <row r="1144" spans="1:12" x14ac:dyDescent="0.25">
      <c r="A1144">
        <v>2106672</v>
      </c>
      <c r="B1144" t="str">
        <f t="shared" si="17"/>
        <v>MILAGRES DO MARANHAO, MA, Brasil</v>
      </c>
      <c r="C1144" s="4" t="str">
        <f>_xlfn.XLOOKUP(A1144,[1]!DadosGHD[CD_GEOCMU],[1]!DadosGHD[Região])</f>
        <v>NE</v>
      </c>
      <c r="D1144" s="4" t="str">
        <f>_xlfn.XLOOKUP(A1144,[1]!DadosGHD[CD_GEOCMU],[1]!DadosGHD[uf])</f>
        <v>MA</v>
      </c>
      <c r="E1144" s="5" t="str">
        <f>_xlfn.XLOOKUP(A1144,[1]!DadosGHD[CD_GEOCMU],[1]!DadosGHD[MUNICIPIO])</f>
        <v>MILAGRES DO MARANHAO</v>
      </c>
      <c r="F1144" s="6">
        <v>33.715579986572301</v>
      </c>
      <c r="G1144" s="6">
        <v>33.772174835205099</v>
      </c>
      <c r="H1144" s="6">
        <v>28.979650497436499</v>
      </c>
      <c r="I1144" s="6">
        <v>28.9603366851807</v>
      </c>
      <c r="J1144" s="6">
        <v>28.9767951965332</v>
      </c>
      <c r="K1144" s="6">
        <v>29.0020961761475</v>
      </c>
      <c r="L1144" s="6">
        <v>26.281795501708999</v>
      </c>
    </row>
    <row r="1145" spans="1:12" x14ac:dyDescent="0.25">
      <c r="A1145">
        <v>2919058</v>
      </c>
      <c r="B1145" t="str">
        <f t="shared" si="17"/>
        <v>LAJEDO DO TABOCAL, BA, Brasil</v>
      </c>
      <c r="C1145" s="4" t="str">
        <f>_xlfn.XLOOKUP(A1145,[1]!DadosGHD[CD_GEOCMU],[1]!DadosGHD[Região])</f>
        <v>NE</v>
      </c>
      <c r="D1145" s="4" t="str">
        <f>_xlfn.XLOOKUP(A1145,[1]!DadosGHD[CD_GEOCMU],[1]!DadosGHD[uf])</f>
        <v>BA</v>
      </c>
      <c r="E1145" s="5" t="str">
        <f>_xlfn.XLOOKUP(A1145,[1]!DadosGHD[CD_GEOCMU],[1]!DadosGHD[MUNICIPIO])</f>
        <v>LAJEDO DO TABOCAL</v>
      </c>
      <c r="F1145" s="6">
        <v>33.715671539306598</v>
      </c>
      <c r="G1145" s="6">
        <v>33.770469665527301</v>
      </c>
      <c r="H1145" s="6">
        <v>28.9805698394775</v>
      </c>
      <c r="I1145" s="6">
        <v>28.960462570190401</v>
      </c>
      <c r="J1145" s="6">
        <v>28.975999832153299</v>
      </c>
      <c r="K1145" s="6">
        <v>28.9686679840088</v>
      </c>
      <c r="L1145" s="6">
        <v>26.2798957824707</v>
      </c>
    </row>
    <row r="1146" spans="1:12" x14ac:dyDescent="0.25">
      <c r="A1146">
        <v>3113008</v>
      </c>
      <c r="B1146" t="str">
        <f t="shared" si="17"/>
        <v>CARAI, MG, Brasil</v>
      </c>
      <c r="C1146" s="4" t="str">
        <f>_xlfn.XLOOKUP(A1146,[1]!DadosGHD[CD_GEOCMU],[1]!DadosGHD[Região])</f>
        <v>SD</v>
      </c>
      <c r="D1146" s="4" t="str">
        <f>_xlfn.XLOOKUP(A1146,[1]!DadosGHD[CD_GEOCMU],[1]!DadosGHD[uf])</f>
        <v>MG</v>
      </c>
      <c r="E1146" s="5" t="str">
        <f>_xlfn.XLOOKUP(A1146,[1]!DadosGHD[CD_GEOCMU],[1]!DadosGHD[MUNICIPIO])</f>
        <v>CARAI</v>
      </c>
      <c r="F1146" s="6">
        <v>33.7156791687012</v>
      </c>
      <c r="G1146" s="6">
        <v>33.7874145507813</v>
      </c>
      <c r="H1146" s="6">
        <v>33.8265991210938</v>
      </c>
      <c r="I1146" s="6">
        <v>33.794761657714801</v>
      </c>
      <c r="J1146" s="6">
        <v>33.813465118408203</v>
      </c>
      <c r="K1146" s="6">
        <v>33.844432830810597</v>
      </c>
      <c r="L1146" s="6">
        <v>26.288284301757798</v>
      </c>
    </row>
    <row r="1147" spans="1:12" x14ac:dyDescent="0.25">
      <c r="A1147">
        <v>1504109</v>
      </c>
      <c r="B1147" t="str">
        <f t="shared" si="17"/>
        <v>MAGALHAES BARATA, PA, Brasil</v>
      </c>
      <c r="C1147" s="4" t="str">
        <f>_xlfn.XLOOKUP(A1147,[1]!DadosGHD[CD_GEOCMU],[1]!DadosGHD[Região])</f>
        <v>NO</v>
      </c>
      <c r="D1147" s="4" t="str">
        <f>_xlfn.XLOOKUP(A1147,[1]!DadosGHD[CD_GEOCMU],[1]!DadosGHD[uf])</f>
        <v>PA</v>
      </c>
      <c r="E1147" s="5" t="str">
        <f>_xlfn.XLOOKUP(A1147,[1]!DadosGHD[CD_GEOCMU],[1]!DadosGHD[MUNICIPIO])</f>
        <v>MAGALHAES BARATA</v>
      </c>
      <c r="F1147" s="6">
        <v>33.715702056884801</v>
      </c>
      <c r="G1147" s="6">
        <v>33.772289276123097</v>
      </c>
      <c r="H1147" s="6">
        <v>28.978939056396499</v>
      </c>
      <c r="I1147" s="6">
        <v>28.959581375122099</v>
      </c>
      <c r="J1147" s="6">
        <v>33.832740783691399</v>
      </c>
      <c r="K1147" s="6">
        <v>33.911399841308601</v>
      </c>
      <c r="L1147" s="6">
        <v>30.709020614623999</v>
      </c>
    </row>
    <row r="1148" spans="1:12" x14ac:dyDescent="0.25">
      <c r="A1148">
        <v>2300200</v>
      </c>
      <c r="B1148" t="str">
        <f t="shared" si="17"/>
        <v>ACARAU, CE, Brasil</v>
      </c>
      <c r="C1148" s="4" t="str">
        <f>_xlfn.XLOOKUP(A1148,[1]!DadosGHD[CD_GEOCMU],[1]!DadosGHD[Região])</f>
        <v>NE</v>
      </c>
      <c r="D1148" s="4" t="str">
        <f>_xlfn.XLOOKUP(A1148,[1]!DadosGHD[CD_GEOCMU],[1]!DadosGHD[uf])</f>
        <v>CE</v>
      </c>
      <c r="E1148" s="5" t="str">
        <f>_xlfn.XLOOKUP(A1148,[1]!DadosGHD[CD_GEOCMU],[1]!DadosGHD[MUNICIPIO])</f>
        <v>ACARAU</v>
      </c>
      <c r="F1148" s="6">
        <v>33.715812683105497</v>
      </c>
      <c r="G1148" s="6">
        <v>33.814113616943402</v>
      </c>
      <c r="H1148" s="6">
        <v>33.859893798828097</v>
      </c>
      <c r="I1148" s="6">
        <v>33.853809356689503</v>
      </c>
      <c r="J1148" s="6">
        <v>38.7471733093262</v>
      </c>
      <c r="K1148" s="6">
        <v>33.896415710449197</v>
      </c>
      <c r="L1148" s="6">
        <v>30.712934494018601</v>
      </c>
    </row>
    <row r="1149" spans="1:12" x14ac:dyDescent="0.25">
      <c r="A1149">
        <v>2107407</v>
      </c>
      <c r="B1149" t="str">
        <f t="shared" si="17"/>
        <v>OLHO D'AGUA DAS CUNHAS, MA, Brasil</v>
      </c>
      <c r="C1149" s="4" t="str">
        <f>_xlfn.XLOOKUP(A1149,[1]!DadosGHD[CD_GEOCMU],[1]!DadosGHD[Região])</f>
        <v>NE</v>
      </c>
      <c r="D1149" s="4" t="str">
        <f>_xlfn.XLOOKUP(A1149,[1]!DadosGHD[CD_GEOCMU],[1]!DadosGHD[uf])</f>
        <v>MA</v>
      </c>
      <c r="E1149" s="5" t="str">
        <f>_xlfn.XLOOKUP(A1149,[1]!DadosGHD[CD_GEOCMU],[1]!DadosGHD[MUNICIPIO])</f>
        <v>OLHO D'AGUA DAS CUNHAS</v>
      </c>
      <c r="F1149" s="6">
        <v>33.715812683105497</v>
      </c>
      <c r="G1149" s="6">
        <v>33.7962646484375</v>
      </c>
      <c r="H1149" s="6">
        <v>33.8265380859375</v>
      </c>
      <c r="I1149" s="6">
        <v>33.795650482177699</v>
      </c>
      <c r="J1149" s="6">
        <v>28.969863891601602</v>
      </c>
      <c r="K1149" s="6">
        <v>28.991916656494102</v>
      </c>
      <c r="L1149" s="6">
        <v>26.281494140625</v>
      </c>
    </row>
    <row r="1150" spans="1:12" x14ac:dyDescent="0.25">
      <c r="A1150">
        <v>2706802</v>
      </c>
      <c r="B1150" t="str">
        <f t="shared" si="17"/>
        <v>PIACABUCU, AL, Brasil</v>
      </c>
      <c r="C1150" s="4" t="str">
        <f>_xlfn.XLOOKUP(A1150,[1]!DadosGHD[CD_GEOCMU],[1]!DadosGHD[Região])</f>
        <v>NE</v>
      </c>
      <c r="D1150" s="4" t="str">
        <f>_xlfn.XLOOKUP(A1150,[1]!DadosGHD[CD_GEOCMU],[1]!DadosGHD[uf])</f>
        <v>AL</v>
      </c>
      <c r="E1150" s="5" t="str">
        <f>_xlfn.XLOOKUP(A1150,[1]!DadosGHD[CD_GEOCMU],[1]!DadosGHD[MUNICIPIO])</f>
        <v>PIACABUCU</v>
      </c>
      <c r="F1150" s="6">
        <v>33.715847015380902</v>
      </c>
      <c r="G1150" s="6">
        <v>33.7648315429688</v>
      </c>
      <c r="H1150" s="6">
        <v>28.975654602050799</v>
      </c>
      <c r="I1150" s="6">
        <v>28.956459045410199</v>
      </c>
      <c r="J1150" s="6">
        <v>28.971271514892599</v>
      </c>
      <c r="K1150" s="6">
        <v>28.9984016418457</v>
      </c>
      <c r="L1150" s="6">
        <v>26.2837619781494</v>
      </c>
    </row>
    <row r="1151" spans="1:12" x14ac:dyDescent="0.25">
      <c r="A1151">
        <v>3135076</v>
      </c>
      <c r="B1151" t="str">
        <f t="shared" si="17"/>
        <v>JAMPRUCA, MG, Brasil</v>
      </c>
      <c r="C1151" s="4" t="str">
        <f>_xlfn.XLOOKUP(A1151,[1]!DadosGHD[CD_GEOCMU],[1]!DadosGHD[Região])</f>
        <v>SD</v>
      </c>
      <c r="D1151" s="4" t="str">
        <f>_xlfn.XLOOKUP(A1151,[1]!DadosGHD[CD_GEOCMU],[1]!DadosGHD[uf])</f>
        <v>MG</v>
      </c>
      <c r="E1151" s="5" t="str">
        <f>_xlfn.XLOOKUP(A1151,[1]!DadosGHD[CD_GEOCMU],[1]!DadosGHD[MUNICIPIO])</f>
        <v>JAMPRUCA</v>
      </c>
      <c r="F1151" s="6">
        <v>33.716037750244098</v>
      </c>
      <c r="G1151" s="6">
        <v>38.683380126953097</v>
      </c>
      <c r="H1151" s="6">
        <v>33.884185791015597</v>
      </c>
      <c r="I1151" s="6">
        <v>33.860481262207003</v>
      </c>
      <c r="J1151" s="6">
        <v>33.876724243164098</v>
      </c>
      <c r="K1151" s="6">
        <v>33.906593322753899</v>
      </c>
      <c r="L1151" s="6">
        <v>30.705884933471701</v>
      </c>
    </row>
    <row r="1152" spans="1:12" x14ac:dyDescent="0.25">
      <c r="A1152">
        <v>3128501</v>
      </c>
      <c r="B1152" t="str">
        <f t="shared" si="17"/>
        <v>GUARARA, MG, Brasil</v>
      </c>
      <c r="C1152" s="4" t="str">
        <f>_xlfn.XLOOKUP(A1152,[1]!DadosGHD[CD_GEOCMU],[1]!DadosGHD[Região])</f>
        <v>SD</v>
      </c>
      <c r="D1152" s="4" t="str">
        <f>_xlfn.XLOOKUP(A1152,[1]!DadosGHD[CD_GEOCMU],[1]!DadosGHD[uf])</f>
        <v>MG</v>
      </c>
      <c r="E1152" s="5" t="str">
        <f>_xlfn.XLOOKUP(A1152,[1]!DadosGHD[CD_GEOCMU],[1]!DadosGHD[MUNICIPIO])</f>
        <v>GUARARA</v>
      </c>
      <c r="F1152" s="6">
        <v>33.716243743896499</v>
      </c>
      <c r="G1152" s="6">
        <v>33.797340393066399</v>
      </c>
      <c r="H1152" s="6">
        <v>33.842300415039098</v>
      </c>
      <c r="I1152" s="6">
        <v>38.771293640136697</v>
      </c>
      <c r="J1152" s="6">
        <v>38.767852783203097</v>
      </c>
      <c r="K1152" s="6">
        <v>38.837581634521499</v>
      </c>
      <c r="L1152" s="6">
        <v>52.999435424804702</v>
      </c>
    </row>
    <row r="1153" spans="1:12" x14ac:dyDescent="0.25">
      <c r="A1153">
        <v>2605152</v>
      </c>
      <c r="B1153" t="str">
        <f t="shared" si="17"/>
        <v>DORMENTES, PE, Brasil</v>
      </c>
      <c r="C1153" s="4" t="str">
        <f>_xlfn.XLOOKUP(A1153,[1]!DadosGHD[CD_GEOCMU],[1]!DadosGHD[Região])</f>
        <v>NE</v>
      </c>
      <c r="D1153" s="4" t="str">
        <f>_xlfn.XLOOKUP(A1153,[1]!DadosGHD[CD_GEOCMU],[1]!DadosGHD[uf])</f>
        <v>PE</v>
      </c>
      <c r="E1153" s="5" t="str">
        <f>_xlfn.XLOOKUP(A1153,[1]!DadosGHD[CD_GEOCMU],[1]!DadosGHD[MUNICIPIO])</f>
        <v>DORMENTES</v>
      </c>
      <c r="F1153" s="6">
        <v>33.716251373291001</v>
      </c>
      <c r="G1153" s="6">
        <v>33.7781982421875</v>
      </c>
      <c r="H1153" s="6">
        <v>28.9762477874756</v>
      </c>
      <c r="I1153" s="6">
        <v>28.956884384155298</v>
      </c>
      <c r="J1153" s="6">
        <v>33.835159301757798</v>
      </c>
      <c r="K1153" s="6">
        <v>33.8724975585938</v>
      </c>
      <c r="L1153" s="6">
        <v>35.155773162841797</v>
      </c>
    </row>
    <row r="1154" spans="1:12" x14ac:dyDescent="0.25">
      <c r="A1154">
        <v>2305803</v>
      </c>
      <c r="B1154" t="str">
        <f t="shared" si="17"/>
        <v>IPU, CE, Brasil</v>
      </c>
      <c r="C1154" s="4" t="str">
        <f>_xlfn.XLOOKUP(A1154,[1]!DadosGHD[CD_GEOCMU],[1]!DadosGHD[Região])</f>
        <v>NE</v>
      </c>
      <c r="D1154" s="4" t="str">
        <f>_xlfn.XLOOKUP(A1154,[1]!DadosGHD[CD_GEOCMU],[1]!DadosGHD[uf])</f>
        <v>CE</v>
      </c>
      <c r="E1154" s="5" t="str">
        <f>_xlfn.XLOOKUP(A1154,[1]!DadosGHD[CD_GEOCMU],[1]!DadosGHD[MUNICIPIO])</f>
        <v>IPU</v>
      </c>
      <c r="F1154" s="6">
        <v>33.716392517089801</v>
      </c>
      <c r="G1154" s="6">
        <v>33.787567138671903</v>
      </c>
      <c r="H1154" s="6">
        <v>33.826362609863303</v>
      </c>
      <c r="I1154" s="6">
        <v>33.847831726074197</v>
      </c>
      <c r="J1154" s="6">
        <v>38.739204406738303</v>
      </c>
      <c r="K1154" s="6">
        <v>38.794506072998097</v>
      </c>
      <c r="L1154" s="6">
        <v>35.128196716308601</v>
      </c>
    </row>
    <row r="1155" spans="1:12" x14ac:dyDescent="0.25">
      <c r="A1155">
        <v>2102705</v>
      </c>
      <c r="B1155" t="str">
        <f t="shared" si="17"/>
        <v>CANTANHEDE, MA, Brasil</v>
      </c>
      <c r="C1155" s="4" t="str">
        <f>_xlfn.XLOOKUP(A1155,[1]!DadosGHD[CD_GEOCMU],[1]!DadosGHD[Região])</f>
        <v>NE</v>
      </c>
      <c r="D1155" s="4" t="str">
        <f>_xlfn.XLOOKUP(A1155,[1]!DadosGHD[CD_GEOCMU],[1]!DadosGHD[uf])</f>
        <v>MA</v>
      </c>
      <c r="E1155" s="5" t="str">
        <f>_xlfn.XLOOKUP(A1155,[1]!DadosGHD[CD_GEOCMU],[1]!DadosGHD[MUNICIPIO])</f>
        <v>CANTANHEDE</v>
      </c>
      <c r="F1155" s="6">
        <v>33.716403961181598</v>
      </c>
      <c r="G1155" s="6">
        <v>33.777980804443402</v>
      </c>
      <c r="H1155" s="6">
        <v>33.818225860595703</v>
      </c>
      <c r="I1155" s="6">
        <v>33.795352935791001</v>
      </c>
      <c r="J1155" s="6">
        <v>28.971122741699201</v>
      </c>
      <c r="K1155" s="6">
        <v>29.000900268554702</v>
      </c>
      <c r="L1155" s="6">
        <v>26.2825717926025</v>
      </c>
    </row>
    <row r="1156" spans="1:12" x14ac:dyDescent="0.25">
      <c r="A1156">
        <v>2513109</v>
      </c>
      <c r="B1156" t="str">
        <f t="shared" ref="B1156:B1219" si="18">_xlfn.CONCAT(E1156, ", ", D1156, ", Brasil")</f>
        <v>SALGADO DE SAO FELIX, PB, Brasil</v>
      </c>
      <c r="C1156" s="4" t="str">
        <f>_xlfn.XLOOKUP(A1156,[1]!DadosGHD[CD_GEOCMU],[1]!DadosGHD[Região])</f>
        <v>NE</v>
      </c>
      <c r="D1156" s="4" t="str">
        <f>_xlfn.XLOOKUP(A1156,[1]!DadosGHD[CD_GEOCMU],[1]!DadosGHD[uf])</f>
        <v>PB</v>
      </c>
      <c r="E1156" s="5" t="str">
        <f>_xlfn.XLOOKUP(A1156,[1]!DadosGHD[CD_GEOCMU],[1]!DadosGHD[MUNICIPIO])</f>
        <v>SALGADO DE SAO FELIX</v>
      </c>
      <c r="F1156" s="6">
        <v>33.716403961181598</v>
      </c>
      <c r="G1156" s="6">
        <v>33.816097259521499</v>
      </c>
      <c r="H1156" s="6">
        <v>33.889369964599602</v>
      </c>
      <c r="I1156" s="6">
        <v>33.862785339355497</v>
      </c>
      <c r="J1156" s="6">
        <v>33.882484436035199</v>
      </c>
      <c r="K1156" s="6">
        <v>33.860755920410199</v>
      </c>
      <c r="L1156" s="6">
        <v>30.692096710205099</v>
      </c>
    </row>
    <row r="1157" spans="1:12" x14ac:dyDescent="0.25">
      <c r="A1157">
        <v>2927903</v>
      </c>
      <c r="B1157" t="str">
        <f t="shared" si="18"/>
        <v>SANTA INES, BA, Brasil</v>
      </c>
      <c r="C1157" s="4" t="str">
        <f>_xlfn.XLOOKUP(A1157,[1]!DadosGHD[CD_GEOCMU],[1]!DadosGHD[Região])</f>
        <v>NE</v>
      </c>
      <c r="D1157" s="4" t="str">
        <f>_xlfn.XLOOKUP(A1157,[1]!DadosGHD[CD_GEOCMU],[1]!DadosGHD[uf])</f>
        <v>BA</v>
      </c>
      <c r="E1157" s="5" t="str">
        <f>_xlfn.XLOOKUP(A1157,[1]!DadosGHD[CD_GEOCMU],[1]!DadosGHD[MUNICIPIO])</f>
        <v>SANTA INES</v>
      </c>
      <c r="F1157" s="6">
        <v>33.7164306640625</v>
      </c>
      <c r="G1157" s="6">
        <v>33.777950286865199</v>
      </c>
      <c r="H1157" s="6">
        <v>33.8137016296387</v>
      </c>
      <c r="I1157" s="6">
        <v>33.796146392822301</v>
      </c>
      <c r="J1157" s="6">
        <v>28.9777736663818</v>
      </c>
      <c r="K1157" s="6">
        <v>33.880672454833999</v>
      </c>
      <c r="L1157" s="6">
        <v>30.7150783538818</v>
      </c>
    </row>
    <row r="1158" spans="1:12" x14ac:dyDescent="0.25">
      <c r="A1158">
        <v>2109205</v>
      </c>
      <c r="B1158" t="str">
        <f t="shared" si="18"/>
        <v>PRESIDENTE JUSCELINO, MA, Brasil</v>
      </c>
      <c r="C1158" s="4" t="str">
        <f>_xlfn.XLOOKUP(A1158,[1]!DadosGHD[CD_GEOCMU],[1]!DadosGHD[Região])</f>
        <v>NE</v>
      </c>
      <c r="D1158" s="4" t="str">
        <f>_xlfn.XLOOKUP(A1158,[1]!DadosGHD[CD_GEOCMU],[1]!DadosGHD[uf])</f>
        <v>MA</v>
      </c>
      <c r="E1158" s="5" t="str">
        <f>_xlfn.XLOOKUP(A1158,[1]!DadosGHD[CD_GEOCMU],[1]!DadosGHD[MUNICIPIO])</f>
        <v>PRESIDENTE JUSCELINO</v>
      </c>
      <c r="F1158" s="6">
        <v>33.716518402099602</v>
      </c>
      <c r="G1158" s="6">
        <v>28.938867568969702</v>
      </c>
      <c r="H1158" s="6">
        <v>28.973016738891602</v>
      </c>
      <c r="I1158" s="6">
        <v>28.952125549316399</v>
      </c>
      <c r="J1158" s="6">
        <v>28.970420837402301</v>
      </c>
      <c r="K1158" s="6">
        <v>28.9926242828369</v>
      </c>
      <c r="L1158" s="6">
        <v>26.282499313354499</v>
      </c>
    </row>
    <row r="1159" spans="1:12" x14ac:dyDescent="0.25">
      <c r="A1159">
        <v>4111258</v>
      </c>
      <c r="B1159" t="str">
        <f t="shared" si="18"/>
        <v>ITAPERUCU, PR, Brasil</v>
      </c>
      <c r="C1159" s="4" t="str">
        <f>_xlfn.XLOOKUP(A1159,[1]!DadosGHD[CD_GEOCMU],[1]!DadosGHD[Região])</f>
        <v>SL</v>
      </c>
      <c r="D1159" s="4" t="str">
        <f>_xlfn.XLOOKUP(A1159,[1]!DadosGHD[CD_GEOCMU],[1]!DadosGHD[uf])</f>
        <v>PR</v>
      </c>
      <c r="E1159" s="5" t="str">
        <f>_xlfn.XLOOKUP(A1159,[1]!DadosGHD[CD_GEOCMU],[1]!DadosGHD[MUNICIPIO])</f>
        <v>ITAPERUCU</v>
      </c>
      <c r="F1159" s="6">
        <v>33.716529846191399</v>
      </c>
      <c r="G1159" s="6">
        <v>33.809337615966797</v>
      </c>
      <c r="H1159" s="6">
        <v>33.8466796875</v>
      </c>
      <c r="I1159" s="6">
        <v>33.819789886474602</v>
      </c>
      <c r="J1159" s="6">
        <v>33.818840026855497</v>
      </c>
      <c r="K1159" s="6">
        <v>38.791797637939503</v>
      </c>
      <c r="L1159" s="6">
        <v>39.596817016601598</v>
      </c>
    </row>
    <row r="1160" spans="1:12" x14ac:dyDescent="0.25">
      <c r="A1160">
        <v>2913705</v>
      </c>
      <c r="B1160" t="str">
        <f t="shared" si="18"/>
        <v>INHAMBUPE, BA, Brasil</v>
      </c>
      <c r="C1160" s="4" t="str">
        <f>_xlfn.XLOOKUP(A1160,[1]!DadosGHD[CD_GEOCMU],[1]!DadosGHD[Região])</f>
        <v>NE</v>
      </c>
      <c r="D1160" s="4" t="str">
        <f>_xlfn.XLOOKUP(A1160,[1]!DadosGHD[CD_GEOCMU],[1]!DadosGHD[uf])</f>
        <v>BA</v>
      </c>
      <c r="E1160" s="5" t="str">
        <f>_xlfn.XLOOKUP(A1160,[1]!DadosGHD[CD_GEOCMU],[1]!DadosGHD[MUNICIPIO])</f>
        <v>INHAMBUPE</v>
      </c>
      <c r="F1160" s="6">
        <v>33.716552734375</v>
      </c>
      <c r="G1160" s="6">
        <v>33.789966583252003</v>
      </c>
      <c r="H1160" s="6">
        <v>33.864818572998097</v>
      </c>
      <c r="I1160" s="6">
        <v>33.862228393554702</v>
      </c>
      <c r="J1160" s="6">
        <v>33.872367858886697</v>
      </c>
      <c r="K1160" s="6">
        <v>33.895381927490199</v>
      </c>
      <c r="L1160" s="6">
        <v>30.694566726684599</v>
      </c>
    </row>
    <row r="1161" spans="1:12" x14ac:dyDescent="0.25">
      <c r="A1161">
        <v>2908309</v>
      </c>
      <c r="B1161" t="str">
        <f t="shared" si="18"/>
        <v>CONCEICAO DO ALMEIDA, BA, Brasil</v>
      </c>
      <c r="C1161" s="4" t="str">
        <f>_xlfn.XLOOKUP(A1161,[1]!DadosGHD[CD_GEOCMU],[1]!DadosGHD[Região])</f>
        <v>NE</v>
      </c>
      <c r="D1161" s="4" t="str">
        <f>_xlfn.XLOOKUP(A1161,[1]!DadosGHD[CD_GEOCMU],[1]!DadosGHD[uf])</f>
        <v>BA</v>
      </c>
      <c r="E1161" s="5" t="str">
        <f>_xlfn.XLOOKUP(A1161,[1]!DadosGHD[CD_GEOCMU],[1]!DadosGHD[MUNICIPIO])</f>
        <v>CONCEICAO DO ALMEIDA</v>
      </c>
      <c r="F1161" s="6">
        <v>33.716602325439503</v>
      </c>
      <c r="G1161" s="6">
        <v>33.7774848937988</v>
      </c>
      <c r="H1161" s="6">
        <v>33.823986053466797</v>
      </c>
      <c r="I1161" s="6">
        <v>33.805641174316399</v>
      </c>
      <c r="J1161" s="6">
        <v>33.826141357421903</v>
      </c>
      <c r="K1161" s="6">
        <v>33.874298095703097</v>
      </c>
      <c r="L1161" s="6">
        <v>30.703975677490199</v>
      </c>
    </row>
    <row r="1162" spans="1:12" x14ac:dyDescent="0.25">
      <c r="A1162">
        <v>2910305</v>
      </c>
      <c r="B1162" t="str">
        <f t="shared" si="18"/>
        <v>ELISIO MEDRADO, BA, Brasil</v>
      </c>
      <c r="C1162" s="4" t="str">
        <f>_xlfn.XLOOKUP(A1162,[1]!DadosGHD[CD_GEOCMU],[1]!DadosGHD[Região])</f>
        <v>NE</v>
      </c>
      <c r="D1162" s="4" t="str">
        <f>_xlfn.XLOOKUP(A1162,[1]!DadosGHD[CD_GEOCMU],[1]!DadosGHD[uf])</f>
        <v>BA</v>
      </c>
      <c r="E1162" s="5" t="str">
        <f>_xlfn.XLOOKUP(A1162,[1]!DadosGHD[CD_GEOCMU],[1]!DadosGHD[MUNICIPIO])</f>
        <v>ELISIO MEDRADO</v>
      </c>
      <c r="F1162" s="6">
        <v>33.716621398925803</v>
      </c>
      <c r="G1162" s="6">
        <v>33.798122406005902</v>
      </c>
      <c r="H1162" s="6">
        <v>33.874172210693402</v>
      </c>
      <c r="I1162" s="6">
        <v>33.856487274169901</v>
      </c>
      <c r="J1162" s="6">
        <v>33.872928619384801</v>
      </c>
      <c r="K1162" s="6">
        <v>33.902915954589801</v>
      </c>
      <c r="L1162" s="6">
        <v>35.119510650634801</v>
      </c>
    </row>
    <row r="1163" spans="1:12" x14ac:dyDescent="0.25">
      <c r="A1163">
        <v>2100204</v>
      </c>
      <c r="B1163" t="str">
        <f t="shared" si="18"/>
        <v>ALCANTARA, MA, Brasil</v>
      </c>
      <c r="C1163" s="4" t="str">
        <f>_xlfn.XLOOKUP(A1163,[1]!DadosGHD[CD_GEOCMU],[1]!DadosGHD[Região])</f>
        <v>NE</v>
      </c>
      <c r="D1163" s="4" t="str">
        <f>_xlfn.XLOOKUP(A1163,[1]!DadosGHD[CD_GEOCMU],[1]!DadosGHD[uf])</f>
        <v>MA</v>
      </c>
      <c r="E1163" s="5" t="str">
        <f>_xlfn.XLOOKUP(A1163,[1]!DadosGHD[CD_GEOCMU],[1]!DadosGHD[MUNICIPIO])</f>
        <v>ALCANTARA</v>
      </c>
      <c r="F1163" s="6">
        <v>33.716625213623097</v>
      </c>
      <c r="G1163" s="6">
        <v>33.7654838562012</v>
      </c>
      <c r="H1163" s="6">
        <v>28.973432540893601</v>
      </c>
      <c r="I1163" s="6">
        <v>28.954593658447301</v>
      </c>
      <c r="J1163" s="6">
        <v>28.965145111083999</v>
      </c>
      <c r="K1163" s="6">
        <v>28.9929008483887</v>
      </c>
      <c r="L1163" s="6">
        <v>26.281288146972699</v>
      </c>
    </row>
    <row r="1164" spans="1:12" x14ac:dyDescent="0.25">
      <c r="A1164">
        <v>2917003</v>
      </c>
      <c r="B1164" t="str">
        <f t="shared" si="18"/>
        <v>ITIUBA, BA, Brasil</v>
      </c>
      <c r="C1164" s="4" t="str">
        <f>_xlfn.XLOOKUP(A1164,[1]!DadosGHD[CD_GEOCMU],[1]!DadosGHD[Região])</f>
        <v>NE</v>
      </c>
      <c r="D1164" s="4" t="str">
        <f>_xlfn.XLOOKUP(A1164,[1]!DadosGHD[CD_GEOCMU],[1]!DadosGHD[uf])</f>
        <v>BA</v>
      </c>
      <c r="E1164" s="5" t="str">
        <f>_xlfn.XLOOKUP(A1164,[1]!DadosGHD[CD_GEOCMU],[1]!DadosGHD[MUNICIPIO])</f>
        <v>ITIUBA</v>
      </c>
      <c r="F1164" s="6">
        <v>33.716651916503899</v>
      </c>
      <c r="G1164" s="6">
        <v>33.789268493652301</v>
      </c>
      <c r="H1164" s="6">
        <v>33.835498809814503</v>
      </c>
      <c r="I1164" s="6">
        <v>33.812801361083999</v>
      </c>
      <c r="J1164" s="6">
        <v>33.8233642578125</v>
      </c>
      <c r="K1164" s="6">
        <v>33.893463134765597</v>
      </c>
      <c r="L1164" s="6">
        <v>35.145809173583999</v>
      </c>
    </row>
    <row r="1165" spans="1:12" x14ac:dyDescent="0.25">
      <c r="A1165">
        <v>2804102</v>
      </c>
      <c r="B1165" t="str">
        <f t="shared" si="18"/>
        <v>MOITA BONITA, SE, Brasil</v>
      </c>
      <c r="C1165" s="4" t="str">
        <f>_xlfn.XLOOKUP(A1165,[1]!DadosGHD[CD_GEOCMU],[1]!DadosGHD[Região])</f>
        <v>NE</v>
      </c>
      <c r="D1165" s="4" t="str">
        <f>_xlfn.XLOOKUP(A1165,[1]!DadosGHD[CD_GEOCMU],[1]!DadosGHD[uf])</f>
        <v>SE</v>
      </c>
      <c r="E1165" s="5" t="str">
        <f>_xlfn.XLOOKUP(A1165,[1]!DadosGHD[CD_GEOCMU],[1]!DadosGHD[MUNICIPIO])</f>
        <v>MOITA BONITA</v>
      </c>
      <c r="F1165" s="6">
        <v>33.716678619384801</v>
      </c>
      <c r="G1165" s="6">
        <v>28.926559448242202</v>
      </c>
      <c r="H1165" s="6">
        <v>28.963932037353501</v>
      </c>
      <c r="I1165" s="6">
        <v>28.950313568115199</v>
      </c>
      <c r="J1165" s="6">
        <v>28.959815979003899</v>
      </c>
      <c r="K1165" s="6">
        <v>33.852748870849602</v>
      </c>
      <c r="L1165" s="6">
        <v>26.2798957824707</v>
      </c>
    </row>
    <row r="1166" spans="1:12" x14ac:dyDescent="0.25">
      <c r="A1166">
        <v>2616100</v>
      </c>
      <c r="B1166" t="str">
        <f t="shared" si="18"/>
        <v>VERDEJANTE, PE, Brasil</v>
      </c>
      <c r="C1166" s="4" t="str">
        <f>_xlfn.XLOOKUP(A1166,[1]!DadosGHD[CD_GEOCMU],[1]!DadosGHD[Região])</f>
        <v>NE</v>
      </c>
      <c r="D1166" s="4" t="str">
        <f>_xlfn.XLOOKUP(A1166,[1]!DadosGHD[CD_GEOCMU],[1]!DadosGHD[uf])</f>
        <v>PE</v>
      </c>
      <c r="E1166" s="5" t="str">
        <f>_xlfn.XLOOKUP(A1166,[1]!DadosGHD[CD_GEOCMU],[1]!DadosGHD[MUNICIPIO])</f>
        <v>VERDEJANTE</v>
      </c>
      <c r="F1166" s="6">
        <v>33.716793060302699</v>
      </c>
      <c r="G1166" s="6">
        <v>33.791233062744098</v>
      </c>
      <c r="H1166" s="6">
        <v>33.811439514160199</v>
      </c>
      <c r="I1166" s="6">
        <v>33.807201385498097</v>
      </c>
      <c r="J1166" s="6">
        <v>33.827259063720703</v>
      </c>
      <c r="K1166" s="6">
        <v>33.872154235839801</v>
      </c>
      <c r="L1166" s="6">
        <v>35.143600463867202</v>
      </c>
    </row>
    <row r="1167" spans="1:12" x14ac:dyDescent="0.25">
      <c r="A1167">
        <v>1503804</v>
      </c>
      <c r="B1167" t="str">
        <f t="shared" si="18"/>
        <v>JACUNDA, PA, Brasil</v>
      </c>
      <c r="C1167" s="4" t="str">
        <f>_xlfn.XLOOKUP(A1167,[1]!DadosGHD[CD_GEOCMU],[1]!DadosGHD[Região])</f>
        <v>NO</v>
      </c>
      <c r="D1167" s="4" t="str">
        <f>_xlfn.XLOOKUP(A1167,[1]!DadosGHD[CD_GEOCMU],[1]!DadosGHD[uf])</f>
        <v>PA</v>
      </c>
      <c r="E1167" s="5" t="str">
        <f>_xlfn.XLOOKUP(A1167,[1]!DadosGHD[CD_GEOCMU],[1]!DadosGHD[MUNICIPIO])</f>
        <v>JACUNDA</v>
      </c>
      <c r="F1167" s="6">
        <v>33.716876983642599</v>
      </c>
      <c r="G1167" s="6">
        <v>33.782600402832003</v>
      </c>
      <c r="H1167" s="6">
        <v>33.820037841796903</v>
      </c>
      <c r="I1167" s="6">
        <v>33.801097869873097</v>
      </c>
      <c r="J1167" s="6">
        <v>33.832008361816399</v>
      </c>
      <c r="K1167" s="6">
        <v>33.867855072021499</v>
      </c>
      <c r="L1167" s="6">
        <v>30.7101039886475</v>
      </c>
    </row>
    <row r="1168" spans="1:12" x14ac:dyDescent="0.25">
      <c r="A1168">
        <v>2310209</v>
      </c>
      <c r="B1168" t="str">
        <f t="shared" si="18"/>
        <v>PARACURU, CE, Brasil</v>
      </c>
      <c r="C1168" s="4" t="str">
        <f>_xlfn.XLOOKUP(A1168,[1]!DadosGHD[CD_GEOCMU],[1]!DadosGHD[Região])</f>
        <v>NE</v>
      </c>
      <c r="D1168" s="4" t="str">
        <f>_xlfn.XLOOKUP(A1168,[1]!DadosGHD[CD_GEOCMU],[1]!DadosGHD[uf])</f>
        <v>CE</v>
      </c>
      <c r="E1168" s="5" t="str">
        <f>_xlfn.XLOOKUP(A1168,[1]!DadosGHD[CD_GEOCMU],[1]!DadosGHD[MUNICIPIO])</f>
        <v>PARACURU</v>
      </c>
      <c r="F1168" s="6">
        <v>33.7169189453125</v>
      </c>
      <c r="G1168" s="6">
        <v>33.803028106689503</v>
      </c>
      <c r="H1168" s="6">
        <v>33.854133605957003</v>
      </c>
      <c r="I1168" s="6">
        <v>33.817058563232401</v>
      </c>
      <c r="J1168" s="6">
        <v>33.8584175109863</v>
      </c>
      <c r="K1168" s="6">
        <v>38.801414489746101</v>
      </c>
      <c r="L1168" s="6">
        <v>39.607334136962898</v>
      </c>
    </row>
    <row r="1169" spans="1:12" x14ac:dyDescent="0.25">
      <c r="A1169">
        <v>2206803</v>
      </c>
      <c r="B1169" t="str">
        <f t="shared" si="18"/>
        <v>NOSSA SENHORA DOS REMEDIOS, PI, Brasil</v>
      </c>
      <c r="C1169" s="4" t="str">
        <f>_xlfn.XLOOKUP(A1169,[1]!DadosGHD[CD_GEOCMU],[1]!DadosGHD[Região])</f>
        <v>NE</v>
      </c>
      <c r="D1169" s="4" t="str">
        <f>_xlfn.XLOOKUP(A1169,[1]!DadosGHD[CD_GEOCMU],[1]!DadosGHD[uf])</f>
        <v>PI</v>
      </c>
      <c r="E1169" s="5" t="str">
        <f>_xlfn.XLOOKUP(A1169,[1]!DadosGHD[CD_GEOCMU],[1]!DadosGHD[MUNICIPIO])</f>
        <v>NOSSA SENHORA DOS REMEDIOS</v>
      </c>
      <c r="F1169" s="6">
        <v>33.717124938964801</v>
      </c>
      <c r="G1169" s="6">
        <v>33.773689270019503</v>
      </c>
      <c r="H1169" s="6">
        <v>33.810947418212898</v>
      </c>
      <c r="I1169" s="6">
        <v>28.960100173950199</v>
      </c>
      <c r="J1169" s="6">
        <v>33.809772491455099</v>
      </c>
      <c r="K1169" s="6">
        <v>33.8462104797363</v>
      </c>
      <c r="L1169" s="6">
        <v>26.2830410003662</v>
      </c>
    </row>
    <row r="1170" spans="1:12" x14ac:dyDescent="0.25">
      <c r="A1170">
        <v>2910750</v>
      </c>
      <c r="B1170" t="str">
        <f t="shared" si="18"/>
        <v>FATIMA, BA, Brasil</v>
      </c>
      <c r="C1170" s="4" t="str">
        <f>_xlfn.XLOOKUP(A1170,[1]!DadosGHD[CD_GEOCMU],[1]!DadosGHD[Região])</f>
        <v>NE</v>
      </c>
      <c r="D1170" s="4" t="str">
        <f>_xlfn.XLOOKUP(A1170,[1]!DadosGHD[CD_GEOCMU],[1]!DadosGHD[uf])</f>
        <v>BA</v>
      </c>
      <c r="E1170" s="5" t="str">
        <f>_xlfn.XLOOKUP(A1170,[1]!DadosGHD[CD_GEOCMU],[1]!DadosGHD[MUNICIPIO])</f>
        <v>FATIMA</v>
      </c>
      <c r="F1170" s="6">
        <v>33.717212677002003</v>
      </c>
      <c r="G1170" s="6">
        <v>33.794235229492202</v>
      </c>
      <c r="H1170" s="6">
        <v>33.860385894775398</v>
      </c>
      <c r="I1170" s="6">
        <v>33.847541809082003</v>
      </c>
      <c r="J1170" s="6">
        <v>33.8698539733887</v>
      </c>
      <c r="K1170" s="6">
        <v>33.908935546875</v>
      </c>
      <c r="L1170" s="6">
        <v>35.126213073730497</v>
      </c>
    </row>
    <row r="1171" spans="1:12" x14ac:dyDescent="0.25">
      <c r="A1171">
        <v>2408607</v>
      </c>
      <c r="B1171" t="str">
        <f t="shared" si="18"/>
        <v>PARANA, RN, Brasil</v>
      </c>
      <c r="C1171" s="4" t="str">
        <f>_xlfn.XLOOKUP(A1171,[1]!DadosGHD[CD_GEOCMU],[1]!DadosGHD[Região])</f>
        <v>NE</v>
      </c>
      <c r="D1171" s="4" t="str">
        <f>_xlfn.XLOOKUP(A1171,[1]!DadosGHD[CD_GEOCMU],[1]!DadosGHD[uf])</f>
        <v>RN</v>
      </c>
      <c r="E1171" s="5" t="str">
        <f>_xlfn.XLOOKUP(A1171,[1]!DadosGHD[CD_GEOCMU],[1]!DadosGHD[MUNICIPIO])</f>
        <v>PARANA</v>
      </c>
      <c r="F1171" s="6">
        <v>33.717380523681598</v>
      </c>
      <c r="G1171" s="6">
        <v>28.929803848266602</v>
      </c>
      <c r="H1171" s="6">
        <v>28.960599899291999</v>
      </c>
      <c r="I1171" s="6">
        <v>28.945381164550799</v>
      </c>
      <c r="J1171" s="6">
        <v>33.814540863037102</v>
      </c>
      <c r="K1171" s="6">
        <v>33.846343994140597</v>
      </c>
      <c r="L1171" s="6">
        <v>30.718910217285199</v>
      </c>
    </row>
    <row r="1172" spans="1:12" x14ac:dyDescent="0.25">
      <c r="A1172">
        <v>3158953</v>
      </c>
      <c r="B1172" t="str">
        <f t="shared" si="18"/>
        <v>SANTANA DO PARAISO, MG, Brasil</v>
      </c>
      <c r="C1172" s="4" t="str">
        <f>_xlfn.XLOOKUP(A1172,[1]!DadosGHD[CD_GEOCMU],[1]!DadosGHD[Região])</f>
        <v>SD</v>
      </c>
      <c r="D1172" s="4" t="str">
        <f>_xlfn.XLOOKUP(A1172,[1]!DadosGHD[CD_GEOCMU],[1]!DadosGHD[uf])</f>
        <v>MG</v>
      </c>
      <c r="E1172" s="5" t="str">
        <f>_xlfn.XLOOKUP(A1172,[1]!DadosGHD[CD_GEOCMU],[1]!DadosGHD[MUNICIPIO])</f>
        <v>SANTANA DO PARAISO</v>
      </c>
      <c r="F1172" s="6">
        <v>33.717449188232401</v>
      </c>
      <c r="G1172" s="6">
        <v>33.818466186523402</v>
      </c>
      <c r="H1172" s="6">
        <v>33.852046966552699</v>
      </c>
      <c r="I1172" s="6">
        <v>33.816745758056598</v>
      </c>
      <c r="J1172" s="6">
        <v>38.740154266357401</v>
      </c>
      <c r="K1172" s="6">
        <v>43.754058837890597</v>
      </c>
      <c r="L1172" s="6">
        <v>48.5217895507813</v>
      </c>
    </row>
    <row r="1173" spans="1:12" x14ac:dyDescent="0.25">
      <c r="A1173">
        <v>2915700</v>
      </c>
      <c r="B1173" t="str">
        <f t="shared" si="18"/>
        <v>ITAMARI, BA, Brasil</v>
      </c>
      <c r="C1173" s="4" t="str">
        <f>_xlfn.XLOOKUP(A1173,[1]!DadosGHD[CD_GEOCMU],[1]!DadosGHD[Região])</f>
        <v>NE</v>
      </c>
      <c r="D1173" s="4" t="str">
        <f>_xlfn.XLOOKUP(A1173,[1]!DadosGHD[CD_GEOCMU],[1]!DadosGHD[uf])</f>
        <v>BA</v>
      </c>
      <c r="E1173" s="5" t="str">
        <f>_xlfn.XLOOKUP(A1173,[1]!DadosGHD[CD_GEOCMU],[1]!DadosGHD[MUNICIPIO])</f>
        <v>ITAMARI</v>
      </c>
      <c r="F1173" s="6">
        <v>33.717460632324197</v>
      </c>
      <c r="G1173" s="6">
        <v>33.774684906005902</v>
      </c>
      <c r="H1173" s="6">
        <v>33.813816070556598</v>
      </c>
      <c r="I1173" s="6">
        <v>33.791847229003899</v>
      </c>
      <c r="J1173" s="6">
        <v>33.8095893859863</v>
      </c>
      <c r="K1173" s="6">
        <v>38.810554504394503</v>
      </c>
      <c r="L1173" s="6">
        <v>39.562503814697301</v>
      </c>
    </row>
    <row r="1174" spans="1:12" x14ac:dyDescent="0.25">
      <c r="A1174">
        <v>5201603</v>
      </c>
      <c r="B1174" t="str">
        <f t="shared" si="18"/>
        <v>ARACU, GO, Brasil</v>
      </c>
      <c r="C1174" s="4" t="str">
        <f>_xlfn.XLOOKUP(A1174,[1]!DadosGHD[CD_GEOCMU],[1]!DadosGHD[Região])</f>
        <v>CO</v>
      </c>
      <c r="D1174" s="4" t="str">
        <f>_xlfn.XLOOKUP(A1174,[1]!DadosGHD[CD_GEOCMU],[1]!DadosGHD[uf])</f>
        <v>GO</v>
      </c>
      <c r="E1174" s="5" t="str">
        <f>_xlfn.XLOOKUP(A1174,[1]!DadosGHD[CD_GEOCMU],[1]!DadosGHD[MUNICIPIO])</f>
        <v>ARACU</v>
      </c>
      <c r="F1174" s="6">
        <v>33.717643737792997</v>
      </c>
      <c r="G1174" s="6">
        <v>33.791355133056598</v>
      </c>
      <c r="H1174" s="6">
        <v>33.836227416992202</v>
      </c>
      <c r="I1174" s="6">
        <v>33.8238716125488</v>
      </c>
      <c r="J1174" s="6">
        <v>33.839664459228501</v>
      </c>
      <c r="K1174" s="6">
        <v>38.825920104980497</v>
      </c>
      <c r="L1174" s="6">
        <v>48.489418029785199</v>
      </c>
    </row>
    <row r="1175" spans="1:12" x14ac:dyDescent="0.25">
      <c r="A1175">
        <v>3169505</v>
      </c>
      <c r="B1175" t="str">
        <f t="shared" si="18"/>
        <v>TUMIRITINGA, MG, Brasil</v>
      </c>
      <c r="C1175" s="4" t="str">
        <f>_xlfn.XLOOKUP(A1175,[1]!DadosGHD[CD_GEOCMU],[1]!DadosGHD[Região])</f>
        <v>SD</v>
      </c>
      <c r="D1175" s="4" t="str">
        <f>_xlfn.XLOOKUP(A1175,[1]!DadosGHD[CD_GEOCMU],[1]!DadosGHD[uf])</f>
        <v>MG</v>
      </c>
      <c r="E1175" s="5" t="str">
        <f>_xlfn.XLOOKUP(A1175,[1]!DadosGHD[CD_GEOCMU],[1]!DadosGHD[MUNICIPIO])</f>
        <v>TUMIRITINGA</v>
      </c>
      <c r="F1175" s="6">
        <v>33.717826843261697</v>
      </c>
      <c r="G1175" s="6">
        <v>33.813060760498097</v>
      </c>
      <c r="H1175" s="6">
        <v>33.857696533203097</v>
      </c>
      <c r="I1175" s="6">
        <v>33.836219787597699</v>
      </c>
      <c r="J1175" s="6">
        <v>33.849777221679702</v>
      </c>
      <c r="K1175" s="6">
        <v>33.879074096679702</v>
      </c>
      <c r="L1175" s="6">
        <v>35.112178802490199</v>
      </c>
    </row>
    <row r="1176" spans="1:12" x14ac:dyDescent="0.25">
      <c r="A1176">
        <v>1301951</v>
      </c>
      <c r="B1176" t="str">
        <f t="shared" si="18"/>
        <v>ITAMARATI, AM, Brasil</v>
      </c>
      <c r="C1176" s="4" t="str">
        <f>_xlfn.XLOOKUP(A1176,[1]!DadosGHD[CD_GEOCMU],[1]!DadosGHD[Região])</f>
        <v>NO</v>
      </c>
      <c r="D1176" s="4" t="str">
        <f>_xlfn.XLOOKUP(A1176,[1]!DadosGHD[CD_GEOCMU],[1]!DadosGHD[uf])</f>
        <v>AM</v>
      </c>
      <c r="E1176" s="5" t="str">
        <f>_xlfn.XLOOKUP(A1176,[1]!DadosGHD[CD_GEOCMU],[1]!DadosGHD[MUNICIPIO])</f>
        <v>ITAMARATI</v>
      </c>
      <c r="F1176" s="6">
        <v>33.717937469482401</v>
      </c>
      <c r="G1176" s="6">
        <v>33.774448394775398</v>
      </c>
      <c r="H1176" s="6">
        <v>33.815994262695298</v>
      </c>
      <c r="I1176" s="6">
        <v>33.794059753417997</v>
      </c>
      <c r="J1176" s="6">
        <v>33.811882019042997</v>
      </c>
      <c r="K1176" s="6">
        <v>33.844089508056598</v>
      </c>
      <c r="L1176" s="6">
        <v>35.114387512207003</v>
      </c>
    </row>
    <row r="1177" spans="1:12" x14ac:dyDescent="0.25">
      <c r="A1177">
        <v>2405009</v>
      </c>
      <c r="B1177" t="str">
        <f t="shared" si="18"/>
        <v>JACANA, RN, Brasil</v>
      </c>
      <c r="C1177" s="4" t="str">
        <f>_xlfn.XLOOKUP(A1177,[1]!DadosGHD[CD_GEOCMU],[1]!DadosGHD[Região])</f>
        <v>NE</v>
      </c>
      <c r="D1177" s="4" t="str">
        <f>_xlfn.XLOOKUP(A1177,[1]!DadosGHD[CD_GEOCMU],[1]!DadosGHD[uf])</f>
        <v>RN</v>
      </c>
      <c r="E1177" s="5" t="str">
        <f>_xlfn.XLOOKUP(A1177,[1]!DadosGHD[CD_GEOCMU],[1]!DadosGHD[MUNICIPIO])</f>
        <v>JACANA</v>
      </c>
      <c r="F1177" s="6">
        <v>33.717952728271499</v>
      </c>
      <c r="G1177" s="6">
        <v>33.775413513183601</v>
      </c>
      <c r="H1177" s="6">
        <v>33.832096099853501</v>
      </c>
      <c r="I1177" s="6">
        <v>33.818614959716797</v>
      </c>
      <c r="J1177" s="6">
        <v>33.855541229248097</v>
      </c>
      <c r="K1177" s="6">
        <v>33.903030395507798</v>
      </c>
      <c r="L1177" s="6">
        <v>35.1148490905762</v>
      </c>
    </row>
    <row r="1178" spans="1:12" x14ac:dyDescent="0.25">
      <c r="A1178">
        <v>2111003</v>
      </c>
      <c r="B1178" t="str">
        <f t="shared" si="18"/>
        <v>SAO JOAO BATISTA, MA, Brasil</v>
      </c>
      <c r="C1178" s="4" t="str">
        <f>_xlfn.XLOOKUP(A1178,[1]!DadosGHD[CD_GEOCMU],[1]!DadosGHD[Região])</f>
        <v>NE</v>
      </c>
      <c r="D1178" s="4" t="str">
        <f>_xlfn.XLOOKUP(A1178,[1]!DadosGHD[CD_GEOCMU],[1]!DadosGHD[uf])</f>
        <v>MA</v>
      </c>
      <c r="E1178" s="5" t="str">
        <f>_xlfn.XLOOKUP(A1178,[1]!DadosGHD[CD_GEOCMU],[1]!DadosGHD[MUNICIPIO])</f>
        <v>SAO JOAO BATISTA</v>
      </c>
      <c r="F1178" s="6">
        <v>33.717987060546903</v>
      </c>
      <c r="G1178" s="6">
        <v>38.7386474609375</v>
      </c>
      <c r="H1178" s="6">
        <v>38.820178985595703</v>
      </c>
      <c r="I1178" s="6">
        <v>33.8449897766113</v>
      </c>
      <c r="J1178" s="6">
        <v>33.829856872558601</v>
      </c>
      <c r="K1178" s="6">
        <v>33.858963012695298</v>
      </c>
      <c r="L1178" s="6">
        <v>26.2836723327637</v>
      </c>
    </row>
    <row r="1179" spans="1:12" x14ac:dyDescent="0.25">
      <c r="A1179">
        <v>3155108</v>
      </c>
      <c r="B1179" t="str">
        <f t="shared" si="18"/>
        <v>RIO DO PRADO, MG, Brasil</v>
      </c>
      <c r="C1179" s="4" t="str">
        <f>_xlfn.XLOOKUP(A1179,[1]!DadosGHD[CD_GEOCMU],[1]!DadosGHD[Região])</f>
        <v>SD</v>
      </c>
      <c r="D1179" s="4" t="str">
        <f>_xlfn.XLOOKUP(A1179,[1]!DadosGHD[CD_GEOCMU],[1]!DadosGHD[uf])</f>
        <v>MG</v>
      </c>
      <c r="E1179" s="5" t="str">
        <f>_xlfn.XLOOKUP(A1179,[1]!DadosGHD[CD_GEOCMU],[1]!DadosGHD[MUNICIPIO])</f>
        <v>RIO DO PRADO</v>
      </c>
      <c r="F1179" s="6">
        <v>33.718162536621101</v>
      </c>
      <c r="G1179" s="6">
        <v>38.753376007080099</v>
      </c>
      <c r="H1179" s="6">
        <v>38.830516815185597</v>
      </c>
      <c r="I1179" s="6">
        <v>38.777057647705099</v>
      </c>
      <c r="J1179" s="6">
        <v>38.794116973877003</v>
      </c>
      <c r="K1179" s="6">
        <v>38.844226837158203</v>
      </c>
      <c r="L1179" s="6">
        <v>35.122184753417997</v>
      </c>
    </row>
    <row r="1180" spans="1:12" x14ac:dyDescent="0.25">
      <c r="A1180">
        <v>2306504</v>
      </c>
      <c r="B1180" t="str">
        <f t="shared" si="18"/>
        <v>ITAPIUNA, CE, Brasil</v>
      </c>
      <c r="C1180" s="4" t="str">
        <f>_xlfn.XLOOKUP(A1180,[1]!DadosGHD[CD_GEOCMU],[1]!DadosGHD[Região])</f>
        <v>NE</v>
      </c>
      <c r="D1180" s="4" t="str">
        <f>_xlfn.XLOOKUP(A1180,[1]!DadosGHD[CD_GEOCMU],[1]!DadosGHD[uf])</f>
        <v>CE</v>
      </c>
      <c r="E1180" s="5" t="str">
        <f>_xlfn.XLOOKUP(A1180,[1]!DadosGHD[CD_GEOCMU],[1]!DadosGHD[MUNICIPIO])</f>
        <v>ITAPIUNA</v>
      </c>
      <c r="F1180" s="6">
        <v>33.718421936035199</v>
      </c>
      <c r="G1180" s="6">
        <v>33.774971008300803</v>
      </c>
      <c r="H1180" s="6">
        <v>28.9783630371094</v>
      </c>
      <c r="I1180" s="6">
        <v>33.790042877197301</v>
      </c>
      <c r="J1180" s="6">
        <v>28.974729537963899</v>
      </c>
      <c r="K1180" s="6">
        <v>33.878841400146499</v>
      </c>
      <c r="L1180" s="6">
        <v>35.116920471191399</v>
      </c>
    </row>
    <row r="1181" spans="1:12" x14ac:dyDescent="0.25">
      <c r="A1181">
        <v>2927101</v>
      </c>
      <c r="B1181" t="str">
        <f t="shared" si="18"/>
        <v>RODELAS, BA, Brasil</v>
      </c>
      <c r="C1181" s="4" t="str">
        <f>_xlfn.XLOOKUP(A1181,[1]!DadosGHD[CD_GEOCMU],[1]!DadosGHD[Região])</f>
        <v>NE</v>
      </c>
      <c r="D1181" s="4" t="str">
        <f>_xlfn.XLOOKUP(A1181,[1]!DadosGHD[CD_GEOCMU],[1]!DadosGHD[uf])</f>
        <v>BA</v>
      </c>
      <c r="E1181" s="5" t="str">
        <f>_xlfn.XLOOKUP(A1181,[1]!DadosGHD[CD_GEOCMU],[1]!DadosGHD[MUNICIPIO])</f>
        <v>RODELAS</v>
      </c>
      <c r="F1181" s="6">
        <v>33.718433380127003</v>
      </c>
      <c r="G1181" s="6">
        <v>33.785480499267599</v>
      </c>
      <c r="H1181" s="6">
        <v>33.889472961425803</v>
      </c>
      <c r="I1181" s="6">
        <v>38.718894958496101</v>
      </c>
      <c r="J1181" s="6">
        <v>38.765659332275398</v>
      </c>
      <c r="K1181" s="6">
        <v>38.840263366699197</v>
      </c>
      <c r="L1181" s="6">
        <v>57.589881896972699</v>
      </c>
    </row>
    <row r="1182" spans="1:12" x14ac:dyDescent="0.25">
      <c r="A1182">
        <v>2108009</v>
      </c>
      <c r="B1182" t="str">
        <f t="shared" si="18"/>
        <v>PASTOS BONS, MA, Brasil</v>
      </c>
      <c r="C1182" s="4" t="str">
        <f>_xlfn.XLOOKUP(A1182,[1]!DadosGHD[CD_GEOCMU],[1]!DadosGHD[Região])</f>
        <v>NE</v>
      </c>
      <c r="D1182" s="4" t="str">
        <f>_xlfn.XLOOKUP(A1182,[1]!DadosGHD[CD_GEOCMU],[1]!DadosGHD[uf])</f>
        <v>MA</v>
      </c>
      <c r="E1182" s="5" t="str">
        <f>_xlfn.XLOOKUP(A1182,[1]!DadosGHD[CD_GEOCMU],[1]!DadosGHD[MUNICIPIO])</f>
        <v>PASTOS BONS</v>
      </c>
      <c r="F1182" s="6">
        <v>33.718494415283203</v>
      </c>
      <c r="G1182" s="6">
        <v>33.777545928955099</v>
      </c>
      <c r="H1182" s="6">
        <v>28.978214263916001</v>
      </c>
      <c r="I1182" s="6">
        <v>28.956068038940401</v>
      </c>
      <c r="J1182" s="6">
        <v>28.9730739593506</v>
      </c>
      <c r="K1182" s="6">
        <v>28.999303817748999</v>
      </c>
      <c r="L1182" s="6">
        <v>26.288154602050799</v>
      </c>
    </row>
    <row r="1183" spans="1:12" x14ac:dyDescent="0.25">
      <c r="A1183">
        <v>2604601</v>
      </c>
      <c r="B1183" t="str">
        <f t="shared" si="18"/>
        <v>CONDADO, PE, Brasil</v>
      </c>
      <c r="C1183" s="4" t="str">
        <f>_xlfn.XLOOKUP(A1183,[1]!DadosGHD[CD_GEOCMU],[1]!DadosGHD[Região])</f>
        <v>NE</v>
      </c>
      <c r="D1183" s="4" t="str">
        <f>_xlfn.XLOOKUP(A1183,[1]!DadosGHD[CD_GEOCMU],[1]!DadosGHD[uf])</f>
        <v>PE</v>
      </c>
      <c r="E1183" s="5" t="str">
        <f>_xlfn.XLOOKUP(A1183,[1]!DadosGHD[CD_GEOCMU],[1]!DadosGHD[MUNICIPIO])</f>
        <v>CONDADO</v>
      </c>
      <c r="F1183" s="6">
        <v>33.7185668945313</v>
      </c>
      <c r="G1183" s="6">
        <v>33.777072906494098</v>
      </c>
      <c r="H1183" s="6">
        <v>28.96755027771</v>
      </c>
      <c r="I1183" s="6">
        <v>28.947954177856399</v>
      </c>
      <c r="J1183" s="6">
        <v>28.966985702514702</v>
      </c>
      <c r="K1183" s="6">
        <v>28.987199783325199</v>
      </c>
      <c r="L1183" s="6">
        <v>26.291580200195298</v>
      </c>
    </row>
    <row r="1184" spans="1:12" x14ac:dyDescent="0.25">
      <c r="A1184">
        <v>2207900</v>
      </c>
      <c r="B1184" t="str">
        <f t="shared" si="18"/>
        <v>PEDRO II, PI, Brasil</v>
      </c>
      <c r="C1184" s="4" t="str">
        <f>_xlfn.XLOOKUP(A1184,[1]!DadosGHD[CD_GEOCMU],[1]!DadosGHD[Região])</f>
        <v>NE</v>
      </c>
      <c r="D1184" s="4" t="str">
        <f>_xlfn.XLOOKUP(A1184,[1]!DadosGHD[CD_GEOCMU],[1]!DadosGHD[uf])</f>
        <v>PI</v>
      </c>
      <c r="E1184" s="5" t="str">
        <f>_xlfn.XLOOKUP(A1184,[1]!DadosGHD[CD_GEOCMU],[1]!DadosGHD[MUNICIPIO])</f>
        <v>PEDRO II</v>
      </c>
      <c r="F1184" s="6">
        <v>33.718612670898402</v>
      </c>
      <c r="G1184" s="6">
        <v>33.790500640869098</v>
      </c>
      <c r="H1184" s="6">
        <v>33.830215454101598</v>
      </c>
      <c r="I1184" s="6">
        <v>33.806598663330099</v>
      </c>
      <c r="J1184" s="6">
        <v>33.823768615722699</v>
      </c>
      <c r="K1184" s="6">
        <v>33.854843139648402</v>
      </c>
      <c r="L1184" s="6">
        <v>30.721250534057599</v>
      </c>
    </row>
    <row r="1185" spans="1:12" x14ac:dyDescent="0.25">
      <c r="A1185">
        <v>2512705</v>
      </c>
      <c r="B1185" t="str">
        <f t="shared" si="18"/>
        <v>REMIGIO, PB, Brasil</v>
      </c>
      <c r="C1185" s="4" t="str">
        <f>_xlfn.XLOOKUP(A1185,[1]!DadosGHD[CD_GEOCMU],[1]!DadosGHD[Região])</f>
        <v>NE</v>
      </c>
      <c r="D1185" s="4" t="str">
        <f>_xlfn.XLOOKUP(A1185,[1]!DadosGHD[CD_GEOCMU],[1]!DadosGHD[uf])</f>
        <v>PB</v>
      </c>
      <c r="E1185" s="5" t="str">
        <f>_xlfn.XLOOKUP(A1185,[1]!DadosGHD[CD_GEOCMU],[1]!DadosGHD[MUNICIPIO])</f>
        <v>REMIGIO</v>
      </c>
      <c r="F1185" s="6">
        <v>33.718639373779297</v>
      </c>
      <c r="G1185" s="6">
        <v>33.785926818847699</v>
      </c>
      <c r="H1185" s="6">
        <v>33.860309600830099</v>
      </c>
      <c r="I1185" s="6">
        <v>38.714664459228501</v>
      </c>
      <c r="J1185" s="6">
        <v>33.8924751281738</v>
      </c>
      <c r="K1185" s="6">
        <v>38.794479370117202</v>
      </c>
      <c r="L1185" s="6">
        <v>39.567703247070298</v>
      </c>
    </row>
    <row r="1186" spans="1:12" x14ac:dyDescent="0.25">
      <c r="A1186">
        <v>2400307</v>
      </c>
      <c r="B1186" t="str">
        <f t="shared" si="18"/>
        <v>AFONSO BEZERRA, RN, Brasil</v>
      </c>
      <c r="C1186" s="4" t="str">
        <f>_xlfn.XLOOKUP(A1186,[1]!DadosGHD[CD_GEOCMU],[1]!DadosGHD[Região])</f>
        <v>NE</v>
      </c>
      <c r="D1186" s="4" t="str">
        <f>_xlfn.XLOOKUP(A1186,[1]!DadosGHD[CD_GEOCMU],[1]!DadosGHD[uf])</f>
        <v>RN</v>
      </c>
      <c r="E1186" s="5" t="str">
        <f>_xlfn.XLOOKUP(A1186,[1]!DadosGHD[CD_GEOCMU],[1]!DadosGHD[MUNICIPIO])</f>
        <v>AFONSO BEZERRA</v>
      </c>
      <c r="F1186" s="6">
        <v>33.718681335449197</v>
      </c>
      <c r="G1186" s="6">
        <v>33.784370422363303</v>
      </c>
      <c r="H1186" s="6">
        <v>33.817134857177699</v>
      </c>
      <c r="I1186" s="6">
        <v>33.792018890380902</v>
      </c>
      <c r="J1186" s="6">
        <v>28.977012634277301</v>
      </c>
      <c r="K1186" s="6">
        <v>33.863288879394503</v>
      </c>
      <c r="L1186" s="6">
        <v>26.296901702880898</v>
      </c>
    </row>
    <row r="1187" spans="1:12" x14ac:dyDescent="0.25">
      <c r="A1187">
        <v>1503903</v>
      </c>
      <c r="B1187" t="str">
        <f t="shared" si="18"/>
        <v>JURUTI, PA, Brasil</v>
      </c>
      <c r="C1187" s="4" t="str">
        <f>_xlfn.XLOOKUP(A1187,[1]!DadosGHD[CD_GEOCMU],[1]!DadosGHD[Região])</f>
        <v>NO</v>
      </c>
      <c r="D1187" s="4" t="str">
        <f>_xlfn.XLOOKUP(A1187,[1]!DadosGHD[CD_GEOCMU],[1]!DadosGHD[uf])</f>
        <v>PA</v>
      </c>
      <c r="E1187" s="5" t="str">
        <f>_xlfn.XLOOKUP(A1187,[1]!DadosGHD[CD_GEOCMU],[1]!DadosGHD[MUNICIPIO])</f>
        <v>JURUTI</v>
      </c>
      <c r="F1187" s="6">
        <v>33.718742370605497</v>
      </c>
      <c r="G1187" s="6">
        <v>33.771049499511697</v>
      </c>
      <c r="H1187" s="6">
        <v>28.979913711547901</v>
      </c>
      <c r="I1187" s="6">
        <v>28.959486007690401</v>
      </c>
      <c r="J1187" s="6">
        <v>28.970411300659201</v>
      </c>
      <c r="K1187" s="6">
        <v>28.993787765502901</v>
      </c>
      <c r="L1187" s="6">
        <v>26.282173156738299</v>
      </c>
    </row>
    <row r="1188" spans="1:12" x14ac:dyDescent="0.25">
      <c r="A1188">
        <v>2303303</v>
      </c>
      <c r="B1188" t="str">
        <f t="shared" si="18"/>
        <v>CARIUS, CE, Brasil</v>
      </c>
      <c r="C1188" s="4" t="str">
        <f>_xlfn.XLOOKUP(A1188,[1]!DadosGHD[CD_GEOCMU],[1]!DadosGHD[Região])</f>
        <v>NE</v>
      </c>
      <c r="D1188" s="4" t="str">
        <f>_xlfn.XLOOKUP(A1188,[1]!DadosGHD[CD_GEOCMU],[1]!DadosGHD[uf])</f>
        <v>CE</v>
      </c>
      <c r="E1188" s="5" t="str">
        <f>_xlfn.XLOOKUP(A1188,[1]!DadosGHD[CD_GEOCMU],[1]!DadosGHD[MUNICIPIO])</f>
        <v>CARIUS</v>
      </c>
      <c r="F1188" s="6">
        <v>33.718856811523402</v>
      </c>
      <c r="G1188" s="6">
        <v>33.789810180664098</v>
      </c>
      <c r="H1188" s="6">
        <v>28.976812362670898</v>
      </c>
      <c r="I1188" s="6">
        <v>33.820098876953097</v>
      </c>
      <c r="J1188" s="6">
        <v>33.8391304016113</v>
      </c>
      <c r="K1188" s="6">
        <v>33.880588531494098</v>
      </c>
      <c r="L1188" s="6">
        <v>35.140525817871101</v>
      </c>
    </row>
    <row r="1189" spans="1:12" x14ac:dyDescent="0.25">
      <c r="A1189">
        <v>2920007</v>
      </c>
      <c r="B1189" t="str">
        <f t="shared" si="18"/>
        <v>MAIQUINIQUE, BA, Brasil</v>
      </c>
      <c r="C1189" s="4" t="str">
        <f>_xlfn.XLOOKUP(A1189,[1]!DadosGHD[CD_GEOCMU],[1]!DadosGHD[Região])</f>
        <v>NE</v>
      </c>
      <c r="D1189" s="4" t="str">
        <f>_xlfn.XLOOKUP(A1189,[1]!DadosGHD[CD_GEOCMU],[1]!DadosGHD[uf])</f>
        <v>BA</v>
      </c>
      <c r="E1189" s="5" t="str">
        <f>_xlfn.XLOOKUP(A1189,[1]!DadosGHD[CD_GEOCMU],[1]!DadosGHD[MUNICIPIO])</f>
        <v>MAIQUINIQUE</v>
      </c>
      <c r="F1189" s="6">
        <v>33.718921661377003</v>
      </c>
      <c r="G1189" s="6">
        <v>33.796005249023402</v>
      </c>
      <c r="H1189" s="6">
        <v>33.826450347900398</v>
      </c>
      <c r="I1189" s="6">
        <v>33.812953948974602</v>
      </c>
      <c r="J1189" s="6">
        <v>28.966691970825199</v>
      </c>
      <c r="K1189" s="6">
        <v>29.000123977661101</v>
      </c>
      <c r="L1189" s="6">
        <v>30.711971282958999</v>
      </c>
    </row>
    <row r="1190" spans="1:12" x14ac:dyDescent="0.25">
      <c r="A1190">
        <v>2928802</v>
      </c>
      <c r="B1190" t="str">
        <f t="shared" si="18"/>
        <v>SANTO ESTEVAO, BA, Brasil</v>
      </c>
      <c r="C1190" s="4" t="str">
        <f>_xlfn.XLOOKUP(A1190,[1]!DadosGHD[CD_GEOCMU],[1]!DadosGHD[Região])</f>
        <v>NE</v>
      </c>
      <c r="D1190" s="4" t="str">
        <f>_xlfn.XLOOKUP(A1190,[1]!DadosGHD[CD_GEOCMU],[1]!DadosGHD[uf])</f>
        <v>BA</v>
      </c>
      <c r="E1190" s="5" t="str">
        <f>_xlfn.XLOOKUP(A1190,[1]!DadosGHD[CD_GEOCMU],[1]!DadosGHD[MUNICIPIO])</f>
        <v>SANTO ESTEVAO</v>
      </c>
      <c r="F1190" s="6">
        <v>33.719043731689503</v>
      </c>
      <c r="G1190" s="6">
        <v>33.7837944030762</v>
      </c>
      <c r="H1190" s="6">
        <v>33.840438842773402</v>
      </c>
      <c r="I1190" s="6">
        <v>33.829231262207003</v>
      </c>
      <c r="J1190" s="6">
        <v>33.875259399414098</v>
      </c>
      <c r="K1190" s="6">
        <v>33.918430328369098</v>
      </c>
      <c r="L1190" s="6">
        <v>30.719608306884801</v>
      </c>
    </row>
    <row r="1191" spans="1:12" x14ac:dyDescent="0.25">
      <c r="A1191">
        <v>2913002</v>
      </c>
      <c r="B1191" t="str">
        <f t="shared" si="18"/>
        <v>IBITIARA, BA, Brasil</v>
      </c>
      <c r="C1191" s="4" t="str">
        <f>_xlfn.XLOOKUP(A1191,[1]!DadosGHD[CD_GEOCMU],[1]!DadosGHD[Região])</f>
        <v>NE</v>
      </c>
      <c r="D1191" s="4" t="str">
        <f>_xlfn.XLOOKUP(A1191,[1]!DadosGHD[CD_GEOCMU],[1]!DadosGHD[uf])</f>
        <v>BA</v>
      </c>
      <c r="E1191" s="5" t="str">
        <f>_xlfn.XLOOKUP(A1191,[1]!DadosGHD[CD_GEOCMU],[1]!DadosGHD[MUNICIPIO])</f>
        <v>IBITIARA</v>
      </c>
      <c r="F1191" s="6">
        <v>33.719108581542997</v>
      </c>
      <c r="G1191" s="6">
        <v>33.776420593261697</v>
      </c>
      <c r="H1191" s="6">
        <v>33.826694488525398</v>
      </c>
      <c r="I1191" s="6">
        <v>33.830715179443402</v>
      </c>
      <c r="J1191" s="6">
        <v>33.859699249267599</v>
      </c>
      <c r="K1191" s="6">
        <v>33.924484252929702</v>
      </c>
      <c r="L1191" s="6">
        <v>30.705684661865199</v>
      </c>
    </row>
    <row r="1192" spans="1:12" x14ac:dyDescent="0.25">
      <c r="A1192">
        <v>2932101</v>
      </c>
      <c r="B1192" t="str">
        <f t="shared" si="18"/>
        <v>UBAIRA, BA, Brasil</v>
      </c>
      <c r="C1192" s="4" t="str">
        <f>_xlfn.XLOOKUP(A1192,[1]!DadosGHD[CD_GEOCMU],[1]!DadosGHD[Região])</f>
        <v>NE</v>
      </c>
      <c r="D1192" s="4" t="str">
        <f>_xlfn.XLOOKUP(A1192,[1]!DadosGHD[CD_GEOCMU],[1]!DadosGHD[uf])</f>
        <v>BA</v>
      </c>
      <c r="E1192" s="5" t="str">
        <f>_xlfn.XLOOKUP(A1192,[1]!DadosGHD[CD_GEOCMU],[1]!DadosGHD[MUNICIPIO])</f>
        <v>UBAIRA</v>
      </c>
      <c r="F1192" s="6">
        <v>33.7191772460938</v>
      </c>
      <c r="G1192" s="6">
        <v>33.780555725097699</v>
      </c>
      <c r="H1192" s="6">
        <v>33.834178924560597</v>
      </c>
      <c r="I1192" s="6">
        <v>33.817211151123097</v>
      </c>
      <c r="J1192" s="6">
        <v>33.862636566162102</v>
      </c>
      <c r="K1192" s="6">
        <v>33.896026611328097</v>
      </c>
      <c r="L1192" s="6">
        <v>30.7014865875244</v>
      </c>
    </row>
    <row r="1193" spans="1:12" x14ac:dyDescent="0.25">
      <c r="A1193">
        <v>2609709</v>
      </c>
      <c r="B1193" t="str">
        <f t="shared" si="18"/>
        <v>OROBO, PE, Brasil</v>
      </c>
      <c r="C1193" s="4" t="str">
        <f>_xlfn.XLOOKUP(A1193,[1]!DadosGHD[CD_GEOCMU],[1]!DadosGHD[Região])</f>
        <v>NE</v>
      </c>
      <c r="D1193" s="4" t="str">
        <f>_xlfn.XLOOKUP(A1193,[1]!DadosGHD[CD_GEOCMU],[1]!DadosGHD[uf])</f>
        <v>PE</v>
      </c>
      <c r="E1193" s="5" t="str">
        <f>_xlfn.XLOOKUP(A1193,[1]!DadosGHD[CD_GEOCMU],[1]!DadosGHD[MUNICIPIO])</f>
        <v>OROBO</v>
      </c>
      <c r="F1193" s="6">
        <v>33.719284057617202</v>
      </c>
      <c r="G1193" s="6">
        <v>33.786514282226598</v>
      </c>
      <c r="H1193" s="6">
        <v>33.8331489562988</v>
      </c>
      <c r="I1193" s="6">
        <v>33.827041625976598</v>
      </c>
      <c r="J1193" s="6">
        <v>33.866291046142599</v>
      </c>
      <c r="K1193" s="6">
        <v>33.8893013000488</v>
      </c>
      <c r="L1193" s="6">
        <v>35.126014709472699</v>
      </c>
    </row>
    <row r="1194" spans="1:12" x14ac:dyDescent="0.25">
      <c r="A1194">
        <v>2307007</v>
      </c>
      <c r="B1194" t="str">
        <f t="shared" si="18"/>
        <v>JAGUARUANA, CE, Brasil</v>
      </c>
      <c r="C1194" s="4" t="str">
        <f>_xlfn.XLOOKUP(A1194,[1]!DadosGHD[CD_GEOCMU],[1]!DadosGHD[Região])</f>
        <v>NE</v>
      </c>
      <c r="D1194" s="4" t="str">
        <f>_xlfn.XLOOKUP(A1194,[1]!DadosGHD[CD_GEOCMU],[1]!DadosGHD[uf])</f>
        <v>CE</v>
      </c>
      <c r="E1194" s="5" t="str">
        <f>_xlfn.XLOOKUP(A1194,[1]!DadosGHD[CD_GEOCMU],[1]!DadosGHD[MUNICIPIO])</f>
        <v>JAGUARUANA</v>
      </c>
      <c r="F1194" s="6">
        <v>33.719306945800803</v>
      </c>
      <c r="G1194" s="6">
        <v>33.777088165283203</v>
      </c>
      <c r="H1194" s="6">
        <v>33.812736511230497</v>
      </c>
      <c r="I1194" s="6">
        <v>33.806438446044901</v>
      </c>
      <c r="J1194" s="6">
        <v>33.864479064941399</v>
      </c>
      <c r="K1194" s="6">
        <v>38.7855415344238</v>
      </c>
      <c r="L1194" s="6">
        <v>39.5595703125</v>
      </c>
    </row>
    <row r="1195" spans="1:12" x14ac:dyDescent="0.25">
      <c r="A1195">
        <v>3532827</v>
      </c>
      <c r="B1195" t="str">
        <f t="shared" si="18"/>
        <v>NOVA CAMPINA, SP, Brasil</v>
      </c>
      <c r="C1195" s="4" t="str">
        <f>_xlfn.XLOOKUP(A1195,[1]!DadosGHD[CD_GEOCMU],[1]!DadosGHD[Região])</f>
        <v>SD</v>
      </c>
      <c r="D1195" s="4" t="str">
        <f>_xlfn.XLOOKUP(A1195,[1]!DadosGHD[CD_GEOCMU],[1]!DadosGHD[uf])</f>
        <v>SP</v>
      </c>
      <c r="E1195" s="5" t="str">
        <f>_xlfn.XLOOKUP(A1195,[1]!DadosGHD[CD_GEOCMU],[1]!DadosGHD[MUNICIPIO])</f>
        <v>NOVA CAMPINA</v>
      </c>
      <c r="F1195" s="6">
        <v>33.719314575195298</v>
      </c>
      <c r="G1195" s="6">
        <v>33.784774780273402</v>
      </c>
      <c r="H1195" s="6">
        <v>33.826148986816399</v>
      </c>
      <c r="I1195" s="6">
        <v>33.7987060546875</v>
      </c>
      <c r="J1195" s="6">
        <v>33.813934326171903</v>
      </c>
      <c r="K1195" s="6">
        <v>29.0053405761719</v>
      </c>
      <c r="L1195" s="6">
        <v>26.288026809692401</v>
      </c>
    </row>
    <row r="1196" spans="1:12" x14ac:dyDescent="0.25">
      <c r="A1196">
        <v>2702801</v>
      </c>
      <c r="B1196" t="str">
        <f t="shared" si="18"/>
        <v>FLEXEIRAS, AL, Brasil</v>
      </c>
      <c r="C1196" s="4" t="str">
        <f>_xlfn.XLOOKUP(A1196,[1]!DadosGHD[CD_GEOCMU],[1]!DadosGHD[Região])</f>
        <v>NE</v>
      </c>
      <c r="D1196" s="4" t="str">
        <f>_xlfn.XLOOKUP(A1196,[1]!DadosGHD[CD_GEOCMU],[1]!DadosGHD[uf])</f>
        <v>AL</v>
      </c>
      <c r="E1196" s="5" t="str">
        <f>_xlfn.XLOOKUP(A1196,[1]!DadosGHD[CD_GEOCMU],[1]!DadosGHD[MUNICIPIO])</f>
        <v>FLEXEIRAS</v>
      </c>
      <c r="F1196" s="6">
        <v>33.719314575195298</v>
      </c>
      <c r="G1196" s="6">
        <v>33.768775939941399</v>
      </c>
      <c r="H1196" s="6">
        <v>33.812179565429702</v>
      </c>
      <c r="I1196" s="6">
        <v>33.793148040771499</v>
      </c>
      <c r="J1196" s="6">
        <v>33.809696197509801</v>
      </c>
      <c r="K1196" s="6">
        <v>28.998334884643601</v>
      </c>
      <c r="L1196" s="6">
        <v>30.6982936859131</v>
      </c>
    </row>
    <row r="1197" spans="1:12" x14ac:dyDescent="0.25">
      <c r="A1197">
        <v>2101970</v>
      </c>
      <c r="B1197" t="str">
        <f t="shared" si="18"/>
        <v>BOA VISTA DO GURUPI, MA, Brasil</v>
      </c>
      <c r="C1197" s="4" t="str">
        <f>_xlfn.XLOOKUP(A1197,[1]!DadosGHD[CD_GEOCMU],[1]!DadosGHD[Região])</f>
        <v>NE</v>
      </c>
      <c r="D1197" s="4" t="str">
        <f>_xlfn.XLOOKUP(A1197,[1]!DadosGHD[CD_GEOCMU],[1]!DadosGHD[uf])</f>
        <v>MA</v>
      </c>
      <c r="E1197" s="5" t="str">
        <f>_xlfn.XLOOKUP(A1197,[1]!DadosGHD[CD_GEOCMU],[1]!DadosGHD[MUNICIPIO])</f>
        <v>BOA VISTA DO GURUPI</v>
      </c>
      <c r="F1197" s="6">
        <v>33.7193412780762</v>
      </c>
      <c r="G1197" s="6">
        <v>33.774303436279297</v>
      </c>
      <c r="H1197" s="6">
        <v>33.818031311035199</v>
      </c>
      <c r="I1197" s="6">
        <v>28.959812164306602</v>
      </c>
      <c r="J1197" s="6">
        <v>33.810718536377003</v>
      </c>
      <c r="K1197" s="6">
        <v>29.002168655395501</v>
      </c>
      <c r="L1197" s="6">
        <v>26.2845134735107</v>
      </c>
    </row>
    <row r="1198" spans="1:12" x14ac:dyDescent="0.25">
      <c r="A1198">
        <v>3116407</v>
      </c>
      <c r="B1198" t="str">
        <f t="shared" si="18"/>
        <v>CLARAVAL, MG, Brasil</v>
      </c>
      <c r="C1198" s="4" t="str">
        <f>_xlfn.XLOOKUP(A1198,[1]!DadosGHD[CD_GEOCMU],[1]!DadosGHD[Região])</f>
        <v>SD</v>
      </c>
      <c r="D1198" s="4" t="str">
        <f>_xlfn.XLOOKUP(A1198,[1]!DadosGHD[CD_GEOCMU],[1]!DadosGHD[uf])</f>
        <v>MG</v>
      </c>
      <c r="E1198" s="5" t="str">
        <f>_xlfn.XLOOKUP(A1198,[1]!DadosGHD[CD_GEOCMU],[1]!DadosGHD[MUNICIPIO])</f>
        <v>CLARAVAL</v>
      </c>
      <c r="F1198" s="6">
        <v>33.719394683837898</v>
      </c>
      <c r="G1198" s="6">
        <v>38.755119323730497</v>
      </c>
      <c r="H1198" s="6">
        <v>38.797019958496101</v>
      </c>
      <c r="I1198" s="6">
        <v>43.797943115234403</v>
      </c>
      <c r="J1198" s="6">
        <v>38.796653747558601</v>
      </c>
      <c r="K1198" s="6">
        <v>33.923328399658203</v>
      </c>
      <c r="L1198" s="6">
        <v>39.5814819335938</v>
      </c>
    </row>
    <row r="1199" spans="1:12" x14ac:dyDescent="0.25">
      <c r="A1199">
        <v>3121209</v>
      </c>
      <c r="B1199" t="str">
        <f t="shared" si="18"/>
        <v>DELFINOPOLIS, MG, Brasil</v>
      </c>
      <c r="C1199" s="4" t="str">
        <f>_xlfn.XLOOKUP(A1199,[1]!DadosGHD[CD_GEOCMU],[1]!DadosGHD[Região])</f>
        <v>SD</v>
      </c>
      <c r="D1199" s="4" t="str">
        <f>_xlfn.XLOOKUP(A1199,[1]!DadosGHD[CD_GEOCMU],[1]!DadosGHD[uf])</f>
        <v>MG</v>
      </c>
      <c r="E1199" s="5" t="str">
        <f>_xlfn.XLOOKUP(A1199,[1]!DadosGHD[CD_GEOCMU],[1]!DadosGHD[MUNICIPIO])</f>
        <v>DELFINOPOLIS</v>
      </c>
      <c r="F1199" s="6">
        <v>33.7195014953613</v>
      </c>
      <c r="G1199" s="6">
        <v>38.727859497070298</v>
      </c>
      <c r="H1199" s="6">
        <v>33.869644165039098</v>
      </c>
      <c r="I1199" s="6">
        <v>38.748512268066399</v>
      </c>
      <c r="J1199" s="6">
        <v>38.747817993164098</v>
      </c>
      <c r="K1199" s="6">
        <v>33.903743743896499</v>
      </c>
      <c r="L1199" s="6">
        <v>35.145240783691399</v>
      </c>
    </row>
    <row r="1200" spans="1:12" x14ac:dyDescent="0.25">
      <c r="A1200">
        <v>2901601</v>
      </c>
      <c r="B1200" t="str">
        <f t="shared" si="18"/>
        <v>ANTAS, BA, Brasil</v>
      </c>
      <c r="C1200" s="4" t="str">
        <f>_xlfn.XLOOKUP(A1200,[1]!DadosGHD[CD_GEOCMU],[1]!DadosGHD[Região])</f>
        <v>NE</v>
      </c>
      <c r="D1200" s="4" t="str">
        <f>_xlfn.XLOOKUP(A1200,[1]!DadosGHD[CD_GEOCMU],[1]!DadosGHD[uf])</f>
        <v>BA</v>
      </c>
      <c r="E1200" s="5" t="str">
        <f>_xlfn.XLOOKUP(A1200,[1]!DadosGHD[CD_GEOCMU],[1]!DadosGHD[MUNICIPIO])</f>
        <v>ANTAS</v>
      </c>
      <c r="F1200" s="6">
        <v>33.719535827636697</v>
      </c>
      <c r="G1200" s="6">
        <v>28.939411163330099</v>
      </c>
      <c r="H1200" s="6">
        <v>28.973009109497099</v>
      </c>
      <c r="I1200" s="6">
        <v>33.792266845703097</v>
      </c>
      <c r="J1200" s="6">
        <v>28.976911544799801</v>
      </c>
      <c r="K1200" s="6">
        <v>28.991773605346701</v>
      </c>
      <c r="L1200" s="6">
        <v>26.292238235473601</v>
      </c>
    </row>
    <row r="1201" spans="1:12" x14ac:dyDescent="0.25">
      <c r="A1201">
        <v>2925907</v>
      </c>
      <c r="B1201" t="str">
        <f t="shared" si="18"/>
        <v>QUIJINGUE, BA, Brasil</v>
      </c>
      <c r="C1201" s="4" t="str">
        <f>_xlfn.XLOOKUP(A1201,[1]!DadosGHD[CD_GEOCMU],[1]!DadosGHD[Região])</f>
        <v>NE</v>
      </c>
      <c r="D1201" s="4" t="str">
        <f>_xlfn.XLOOKUP(A1201,[1]!DadosGHD[CD_GEOCMU],[1]!DadosGHD[uf])</f>
        <v>BA</v>
      </c>
      <c r="E1201" s="5" t="str">
        <f>_xlfn.XLOOKUP(A1201,[1]!DadosGHD[CD_GEOCMU],[1]!DadosGHD[MUNICIPIO])</f>
        <v>QUIJINGUE</v>
      </c>
      <c r="F1201" s="6">
        <v>33.719566345214801</v>
      </c>
      <c r="G1201" s="6">
        <v>33.798248291015597</v>
      </c>
      <c r="H1201" s="6">
        <v>33.822910308837898</v>
      </c>
      <c r="I1201" s="6">
        <v>28.956069946289102</v>
      </c>
      <c r="J1201" s="6">
        <v>28.970708847045898</v>
      </c>
      <c r="K1201" s="6">
        <v>28.9823322296143</v>
      </c>
      <c r="L1201" s="6">
        <v>30.702766418456999</v>
      </c>
    </row>
    <row r="1202" spans="1:12" x14ac:dyDescent="0.25">
      <c r="A1202">
        <v>3505104</v>
      </c>
      <c r="B1202" t="str">
        <f t="shared" si="18"/>
        <v>BARBOSA, SP, Brasil</v>
      </c>
      <c r="C1202" s="4" t="str">
        <f>_xlfn.XLOOKUP(A1202,[1]!DadosGHD[CD_GEOCMU],[1]!DadosGHD[Região])</f>
        <v>SD</v>
      </c>
      <c r="D1202" s="4" t="str">
        <f>_xlfn.XLOOKUP(A1202,[1]!DadosGHD[CD_GEOCMU],[1]!DadosGHD[uf])</f>
        <v>SP</v>
      </c>
      <c r="E1202" s="5" t="str">
        <f>_xlfn.XLOOKUP(A1202,[1]!DadosGHD[CD_GEOCMU],[1]!DadosGHD[MUNICIPIO])</f>
        <v>BARBOSA</v>
      </c>
      <c r="F1202" s="6">
        <v>33.719734191894503</v>
      </c>
      <c r="G1202" s="6">
        <v>33.807762145996101</v>
      </c>
      <c r="H1202" s="6">
        <v>33.889305114746101</v>
      </c>
      <c r="I1202" s="6">
        <v>33.874805450439503</v>
      </c>
      <c r="J1202" s="6">
        <v>33.867580413818402</v>
      </c>
      <c r="K1202" s="6">
        <v>33.904773712158203</v>
      </c>
      <c r="L1202" s="6">
        <v>35.151817321777301</v>
      </c>
    </row>
    <row r="1203" spans="1:12" x14ac:dyDescent="0.25">
      <c r="A1203">
        <v>2205557</v>
      </c>
      <c r="B1203" t="str">
        <f t="shared" si="18"/>
        <v>LAGOA ALEGRE, PI, Brasil</v>
      </c>
      <c r="C1203" s="4" t="str">
        <f>_xlfn.XLOOKUP(A1203,[1]!DadosGHD[CD_GEOCMU],[1]!DadosGHD[Região])</f>
        <v>NE</v>
      </c>
      <c r="D1203" s="4" t="str">
        <f>_xlfn.XLOOKUP(A1203,[1]!DadosGHD[CD_GEOCMU],[1]!DadosGHD[uf])</f>
        <v>PI</v>
      </c>
      <c r="E1203" s="5" t="str">
        <f>_xlfn.XLOOKUP(A1203,[1]!DadosGHD[CD_GEOCMU],[1]!DadosGHD[MUNICIPIO])</f>
        <v>LAGOA ALEGRE</v>
      </c>
      <c r="F1203" s="6">
        <v>33.719902038574197</v>
      </c>
      <c r="G1203" s="6">
        <v>33.776634216308601</v>
      </c>
      <c r="H1203" s="6">
        <v>33.816459655761697</v>
      </c>
      <c r="I1203" s="6">
        <v>33.792152404785199</v>
      </c>
      <c r="J1203" s="6">
        <v>28.974702835083001</v>
      </c>
      <c r="K1203" s="6">
        <v>29.0011386871338</v>
      </c>
      <c r="L1203" s="6">
        <v>26.282951354980501</v>
      </c>
    </row>
    <row r="1204" spans="1:12" x14ac:dyDescent="0.25">
      <c r="A1204">
        <v>2204808</v>
      </c>
      <c r="B1204" t="str">
        <f t="shared" si="18"/>
        <v>IPIRANGA DO PIAUI, PI, Brasil</v>
      </c>
      <c r="C1204" s="4" t="str">
        <f>_xlfn.XLOOKUP(A1204,[1]!DadosGHD[CD_GEOCMU],[1]!DadosGHD[Região])</f>
        <v>NE</v>
      </c>
      <c r="D1204" s="4" t="str">
        <f>_xlfn.XLOOKUP(A1204,[1]!DadosGHD[CD_GEOCMU],[1]!DadosGHD[uf])</f>
        <v>PI</v>
      </c>
      <c r="E1204" s="5" t="str">
        <f>_xlfn.XLOOKUP(A1204,[1]!DadosGHD[CD_GEOCMU],[1]!DadosGHD[MUNICIPIO])</f>
        <v>IPIRANGA DO PIAUI</v>
      </c>
      <c r="F1204" s="6">
        <v>33.719921112060597</v>
      </c>
      <c r="G1204" s="6">
        <v>33.781173706054702</v>
      </c>
      <c r="H1204" s="6">
        <v>33.825374603271499</v>
      </c>
      <c r="I1204" s="6">
        <v>33.8049125671387</v>
      </c>
      <c r="J1204" s="6">
        <v>33.842151641845703</v>
      </c>
      <c r="K1204" s="6">
        <v>33.876491546630902</v>
      </c>
      <c r="L1204" s="6">
        <v>35.124446868896499</v>
      </c>
    </row>
    <row r="1205" spans="1:12" x14ac:dyDescent="0.25">
      <c r="A1205">
        <v>2704203</v>
      </c>
      <c r="B1205" t="str">
        <f t="shared" si="18"/>
        <v>LIMOEIRO DE ANADIA, AL, Brasil</v>
      </c>
      <c r="C1205" s="4" t="str">
        <f>_xlfn.XLOOKUP(A1205,[1]!DadosGHD[CD_GEOCMU],[1]!DadosGHD[Região])</f>
        <v>NE</v>
      </c>
      <c r="D1205" s="4" t="str">
        <f>_xlfn.XLOOKUP(A1205,[1]!DadosGHD[CD_GEOCMU],[1]!DadosGHD[uf])</f>
        <v>AL</v>
      </c>
      <c r="E1205" s="5" t="str">
        <f>_xlfn.XLOOKUP(A1205,[1]!DadosGHD[CD_GEOCMU],[1]!DadosGHD[MUNICIPIO])</f>
        <v>LIMOEIRO DE ANADIA</v>
      </c>
      <c r="F1205" s="6">
        <v>33.720035552978501</v>
      </c>
      <c r="G1205" s="6">
        <v>33.831150054931598</v>
      </c>
      <c r="H1205" s="6">
        <v>38.773532867431598</v>
      </c>
      <c r="I1205" s="6">
        <v>38.730396270752003</v>
      </c>
      <c r="J1205" s="6">
        <v>33.882369995117202</v>
      </c>
      <c r="K1205" s="6">
        <v>33.903938293457003</v>
      </c>
      <c r="L1205" s="6">
        <v>35.126167297363303</v>
      </c>
    </row>
    <row r="1206" spans="1:12" x14ac:dyDescent="0.25">
      <c r="A1206">
        <v>2702900</v>
      </c>
      <c r="B1206" t="str">
        <f t="shared" si="18"/>
        <v>GIRAU DO PONCIANO, AL, Brasil</v>
      </c>
      <c r="C1206" s="4" t="str">
        <f>_xlfn.XLOOKUP(A1206,[1]!DadosGHD[CD_GEOCMU],[1]!DadosGHD[Região])</f>
        <v>NE</v>
      </c>
      <c r="D1206" s="4" t="str">
        <f>_xlfn.XLOOKUP(A1206,[1]!DadosGHD[CD_GEOCMU],[1]!DadosGHD[uf])</f>
        <v>AL</v>
      </c>
      <c r="E1206" s="5" t="str">
        <f>_xlfn.XLOOKUP(A1206,[1]!DadosGHD[CD_GEOCMU],[1]!DadosGHD[MUNICIPIO])</f>
        <v>GIRAU DO PONCIANO</v>
      </c>
      <c r="F1206" s="6">
        <v>33.720058441162102</v>
      </c>
      <c r="G1206" s="6">
        <v>33.810951232910199</v>
      </c>
      <c r="H1206" s="6">
        <v>33.856460571289098</v>
      </c>
      <c r="I1206" s="6">
        <v>33.833610534667997</v>
      </c>
      <c r="J1206" s="6">
        <v>33.8582763671875</v>
      </c>
      <c r="K1206" s="6">
        <v>33.8969917297363</v>
      </c>
      <c r="L1206" s="6">
        <v>35.114002227783203</v>
      </c>
    </row>
    <row r="1207" spans="1:12" x14ac:dyDescent="0.25">
      <c r="A1207">
        <v>2501302</v>
      </c>
      <c r="B1207" t="str">
        <f t="shared" si="18"/>
        <v>AROEIRAS, PB, Brasil</v>
      </c>
      <c r="C1207" s="4" t="str">
        <f>_xlfn.XLOOKUP(A1207,[1]!DadosGHD[CD_GEOCMU],[1]!DadosGHD[Região])</f>
        <v>NE</v>
      </c>
      <c r="D1207" s="4" t="str">
        <f>_xlfn.XLOOKUP(A1207,[1]!DadosGHD[CD_GEOCMU],[1]!DadosGHD[uf])</f>
        <v>PB</v>
      </c>
      <c r="E1207" s="5" t="str">
        <f>_xlfn.XLOOKUP(A1207,[1]!DadosGHD[CD_GEOCMU],[1]!DadosGHD[MUNICIPIO])</f>
        <v>AROEIRAS</v>
      </c>
      <c r="F1207" s="6">
        <v>33.720119476318402</v>
      </c>
      <c r="G1207" s="6">
        <v>33.766651153564503</v>
      </c>
      <c r="H1207" s="6">
        <v>38.7572212219238</v>
      </c>
      <c r="I1207" s="6">
        <v>33.854129791259801</v>
      </c>
      <c r="J1207" s="6">
        <v>33.851100921630902</v>
      </c>
      <c r="K1207" s="6">
        <v>33.902931213378899</v>
      </c>
      <c r="L1207" s="6">
        <v>35.114128112792997</v>
      </c>
    </row>
    <row r="1208" spans="1:12" x14ac:dyDescent="0.25">
      <c r="A1208">
        <v>2919157</v>
      </c>
      <c r="B1208" t="str">
        <f t="shared" si="18"/>
        <v>LAPAO, BA, Brasil</v>
      </c>
      <c r="C1208" s="4" t="str">
        <f>_xlfn.XLOOKUP(A1208,[1]!DadosGHD[CD_GEOCMU],[1]!DadosGHD[Região])</f>
        <v>NE</v>
      </c>
      <c r="D1208" s="4" t="str">
        <f>_xlfn.XLOOKUP(A1208,[1]!DadosGHD[CD_GEOCMU],[1]!DadosGHD[uf])</f>
        <v>BA</v>
      </c>
      <c r="E1208" s="5" t="str">
        <f>_xlfn.XLOOKUP(A1208,[1]!DadosGHD[CD_GEOCMU],[1]!DadosGHD[MUNICIPIO])</f>
        <v>LAPAO</v>
      </c>
      <c r="F1208" s="6">
        <v>33.720199584960902</v>
      </c>
      <c r="G1208" s="6">
        <v>33.799602508544901</v>
      </c>
      <c r="H1208" s="6">
        <v>33.8661918640137</v>
      </c>
      <c r="I1208" s="6">
        <v>33.844242095947301</v>
      </c>
      <c r="J1208" s="6">
        <v>33.871360778808601</v>
      </c>
      <c r="K1208" s="6">
        <v>33.9056587219238</v>
      </c>
      <c r="L1208" s="6">
        <v>39.584922790527301</v>
      </c>
    </row>
    <row r="1209" spans="1:12" x14ac:dyDescent="0.25">
      <c r="A1209">
        <v>2303402</v>
      </c>
      <c r="B1209" t="str">
        <f t="shared" si="18"/>
        <v>CARNAUBAL, CE, Brasil</v>
      </c>
      <c r="C1209" s="4" t="str">
        <f>_xlfn.XLOOKUP(A1209,[1]!DadosGHD[CD_GEOCMU],[1]!DadosGHD[Região])</f>
        <v>NE</v>
      </c>
      <c r="D1209" s="4" t="str">
        <f>_xlfn.XLOOKUP(A1209,[1]!DadosGHD[CD_GEOCMU],[1]!DadosGHD[uf])</f>
        <v>CE</v>
      </c>
      <c r="E1209" s="5" t="str">
        <f>_xlfn.XLOOKUP(A1209,[1]!DadosGHD[CD_GEOCMU],[1]!DadosGHD[MUNICIPIO])</f>
        <v>CARNAUBAL</v>
      </c>
      <c r="F1209" s="6">
        <v>33.720359802246101</v>
      </c>
      <c r="G1209" s="6">
        <v>33.768692016601598</v>
      </c>
      <c r="H1209" s="6">
        <v>28.975896835327202</v>
      </c>
      <c r="I1209" s="6">
        <v>28.9605598449707</v>
      </c>
      <c r="J1209" s="6">
        <v>33.8642578125</v>
      </c>
      <c r="K1209" s="6">
        <v>38.816608428955099</v>
      </c>
      <c r="L1209" s="6">
        <v>35.153266906738303</v>
      </c>
    </row>
    <row r="1210" spans="1:12" x14ac:dyDescent="0.25">
      <c r="A1210">
        <v>3122454</v>
      </c>
      <c r="B1210" t="str">
        <f t="shared" si="18"/>
        <v>DIVISOPOLIS, MG, Brasil</v>
      </c>
      <c r="C1210" s="4" t="str">
        <f>_xlfn.XLOOKUP(A1210,[1]!DadosGHD[CD_GEOCMU],[1]!DadosGHD[Região])</f>
        <v>SD</v>
      </c>
      <c r="D1210" s="4" t="str">
        <f>_xlfn.XLOOKUP(A1210,[1]!DadosGHD[CD_GEOCMU],[1]!DadosGHD[uf])</f>
        <v>MG</v>
      </c>
      <c r="E1210" s="5" t="str">
        <f>_xlfn.XLOOKUP(A1210,[1]!DadosGHD[CD_GEOCMU],[1]!DadosGHD[MUNICIPIO])</f>
        <v>DIVISOPOLIS</v>
      </c>
      <c r="F1210" s="6">
        <v>33.720481872558601</v>
      </c>
      <c r="G1210" s="6">
        <v>33.779563903808601</v>
      </c>
      <c r="H1210" s="6">
        <v>33.812755584716797</v>
      </c>
      <c r="I1210" s="6">
        <v>28.957746505737301</v>
      </c>
      <c r="J1210" s="6">
        <v>28.9694728851318</v>
      </c>
      <c r="K1210" s="6">
        <v>29.003538131713899</v>
      </c>
      <c r="L1210" s="6">
        <v>26.2957248687744</v>
      </c>
    </row>
    <row r="1211" spans="1:12" x14ac:dyDescent="0.25">
      <c r="A1211">
        <v>2208700</v>
      </c>
      <c r="B1211" t="str">
        <f t="shared" si="18"/>
        <v>REDENCAO DO GURGUEIA, PI, Brasil</v>
      </c>
      <c r="C1211" s="4" t="str">
        <f>_xlfn.XLOOKUP(A1211,[1]!DadosGHD[CD_GEOCMU],[1]!DadosGHD[Região])</f>
        <v>NE</v>
      </c>
      <c r="D1211" s="4" t="str">
        <f>_xlfn.XLOOKUP(A1211,[1]!DadosGHD[CD_GEOCMU],[1]!DadosGHD[uf])</f>
        <v>PI</v>
      </c>
      <c r="E1211" s="5" t="str">
        <f>_xlfn.XLOOKUP(A1211,[1]!DadosGHD[CD_GEOCMU],[1]!DadosGHD[MUNICIPIO])</f>
        <v>REDENCAO DO GURGUEIA</v>
      </c>
      <c r="F1211" s="6">
        <v>33.720588684082003</v>
      </c>
      <c r="G1211" s="6">
        <v>33.778427124023402</v>
      </c>
      <c r="H1211" s="6">
        <v>28.980106353759801</v>
      </c>
      <c r="I1211" s="6">
        <v>28.957586288452202</v>
      </c>
      <c r="J1211" s="6">
        <v>28.972332000732401</v>
      </c>
      <c r="K1211" s="6">
        <v>33.888225555419901</v>
      </c>
      <c r="L1211" s="6">
        <v>30.7026481628418</v>
      </c>
    </row>
    <row r="1212" spans="1:12" x14ac:dyDescent="0.25">
      <c r="A1212">
        <v>2708808</v>
      </c>
      <c r="B1212" t="str">
        <f t="shared" si="18"/>
        <v>SAO SEBASTIAO, AL, Brasil</v>
      </c>
      <c r="C1212" s="4" t="str">
        <f>_xlfn.XLOOKUP(A1212,[1]!DadosGHD[CD_GEOCMU],[1]!DadosGHD[Região])</f>
        <v>NE</v>
      </c>
      <c r="D1212" s="4" t="str">
        <f>_xlfn.XLOOKUP(A1212,[1]!DadosGHD[CD_GEOCMU],[1]!DadosGHD[uf])</f>
        <v>AL</v>
      </c>
      <c r="E1212" s="5" t="str">
        <f>_xlfn.XLOOKUP(A1212,[1]!DadosGHD[CD_GEOCMU],[1]!DadosGHD[MUNICIPIO])</f>
        <v>SAO SEBASTIAO</v>
      </c>
      <c r="F1212" s="6">
        <v>33.720710754394503</v>
      </c>
      <c r="G1212" s="6">
        <v>33.786399841308601</v>
      </c>
      <c r="H1212" s="6">
        <v>33.8256225585938</v>
      </c>
      <c r="I1212" s="6">
        <v>33.811412811279297</v>
      </c>
      <c r="J1212" s="6">
        <v>33.839111328125</v>
      </c>
      <c r="K1212" s="6">
        <v>33.877246856689503</v>
      </c>
      <c r="L1212" s="6">
        <v>26.2973957061768</v>
      </c>
    </row>
    <row r="1213" spans="1:12" x14ac:dyDescent="0.25">
      <c r="A1213">
        <v>2300309</v>
      </c>
      <c r="B1213" t="str">
        <f t="shared" si="18"/>
        <v>ACOPIARA, CE, Brasil</v>
      </c>
      <c r="C1213" s="4" t="str">
        <f>_xlfn.XLOOKUP(A1213,[1]!DadosGHD[CD_GEOCMU],[1]!DadosGHD[Região])</f>
        <v>NE</v>
      </c>
      <c r="D1213" s="4" t="str">
        <f>_xlfn.XLOOKUP(A1213,[1]!DadosGHD[CD_GEOCMU],[1]!DadosGHD[uf])</f>
        <v>CE</v>
      </c>
      <c r="E1213" s="5" t="str">
        <f>_xlfn.XLOOKUP(A1213,[1]!DadosGHD[CD_GEOCMU],[1]!DadosGHD[MUNICIPIO])</f>
        <v>ACOPIARA</v>
      </c>
      <c r="F1213" s="6">
        <v>33.720752716064503</v>
      </c>
      <c r="G1213" s="6">
        <v>33.800567626953097</v>
      </c>
      <c r="H1213" s="6">
        <v>33.840919494628899</v>
      </c>
      <c r="I1213" s="6">
        <v>33.860557556152301</v>
      </c>
      <c r="J1213" s="6">
        <v>33.8764839172363</v>
      </c>
      <c r="K1213" s="6">
        <v>33.926765441894503</v>
      </c>
      <c r="L1213" s="6">
        <v>39.559959411621101</v>
      </c>
    </row>
    <row r="1214" spans="1:12" x14ac:dyDescent="0.25">
      <c r="A1214">
        <v>2310852</v>
      </c>
      <c r="B1214" t="str">
        <f t="shared" si="18"/>
        <v>PINDORETAMA, CE, Brasil</v>
      </c>
      <c r="C1214" s="4" t="str">
        <f>_xlfn.XLOOKUP(A1214,[1]!DadosGHD[CD_GEOCMU],[1]!DadosGHD[Região])</f>
        <v>NE</v>
      </c>
      <c r="D1214" s="4" t="str">
        <f>_xlfn.XLOOKUP(A1214,[1]!DadosGHD[CD_GEOCMU],[1]!DadosGHD[uf])</f>
        <v>CE</v>
      </c>
      <c r="E1214" s="5" t="str">
        <f>_xlfn.XLOOKUP(A1214,[1]!DadosGHD[CD_GEOCMU],[1]!DadosGHD[MUNICIPIO])</f>
        <v>PINDORETAMA</v>
      </c>
      <c r="F1214" s="6">
        <v>33.720756530761697</v>
      </c>
      <c r="G1214" s="6">
        <v>33.785743713378899</v>
      </c>
      <c r="H1214" s="6">
        <v>33.834312438964801</v>
      </c>
      <c r="I1214" s="6">
        <v>33.814857482910199</v>
      </c>
      <c r="J1214" s="6">
        <v>33.888851165771499</v>
      </c>
      <c r="K1214" s="6">
        <v>38.826087951660199</v>
      </c>
      <c r="L1214" s="6">
        <v>39.566902160644503</v>
      </c>
    </row>
    <row r="1215" spans="1:12" x14ac:dyDescent="0.25">
      <c r="A1215">
        <v>1101757</v>
      </c>
      <c r="B1215" t="str">
        <f t="shared" si="18"/>
        <v>VALE DO ANARI, RO, Brasil</v>
      </c>
      <c r="C1215" s="4" t="str">
        <f>_xlfn.XLOOKUP(A1215,[1]!DadosGHD[CD_GEOCMU],[1]!DadosGHD[Região])</f>
        <v>NO</v>
      </c>
      <c r="D1215" s="4" t="str">
        <f>_xlfn.XLOOKUP(A1215,[1]!DadosGHD[CD_GEOCMU],[1]!DadosGHD[uf])</f>
        <v>RO</v>
      </c>
      <c r="E1215" s="5" t="str">
        <f>_xlfn.XLOOKUP(A1215,[1]!DadosGHD[CD_GEOCMU],[1]!DadosGHD[MUNICIPIO])</f>
        <v>VALE DO ANARI</v>
      </c>
      <c r="F1215" s="6">
        <v>33.7207641601563</v>
      </c>
      <c r="G1215" s="6">
        <v>38.711963653564503</v>
      </c>
      <c r="H1215" s="6">
        <v>33.866569519042997</v>
      </c>
      <c r="I1215" s="6">
        <v>33.852855682373097</v>
      </c>
      <c r="J1215" s="6">
        <v>33.875423431396499</v>
      </c>
      <c r="K1215" s="6">
        <v>33.890781402587898</v>
      </c>
      <c r="L1215" s="6">
        <v>35.119667053222699</v>
      </c>
    </row>
    <row r="1216" spans="1:12" x14ac:dyDescent="0.25">
      <c r="A1216">
        <v>1502301</v>
      </c>
      <c r="B1216" t="str">
        <f t="shared" si="18"/>
        <v>CAPITAO POCO, PA, Brasil</v>
      </c>
      <c r="C1216" s="4" t="str">
        <f>_xlfn.XLOOKUP(A1216,[1]!DadosGHD[CD_GEOCMU],[1]!DadosGHD[Região])</f>
        <v>NO</v>
      </c>
      <c r="D1216" s="4" t="str">
        <f>_xlfn.XLOOKUP(A1216,[1]!DadosGHD[CD_GEOCMU],[1]!DadosGHD[uf])</f>
        <v>PA</v>
      </c>
      <c r="E1216" s="5" t="str">
        <f>_xlfn.XLOOKUP(A1216,[1]!DadosGHD[CD_GEOCMU],[1]!DadosGHD[MUNICIPIO])</f>
        <v>CAPITAO POCO</v>
      </c>
      <c r="F1216" s="6">
        <v>33.720832824707003</v>
      </c>
      <c r="G1216" s="6">
        <v>33.805812835693402</v>
      </c>
      <c r="H1216" s="6">
        <v>33.845104217529297</v>
      </c>
      <c r="I1216" s="6">
        <v>33.824378967285199</v>
      </c>
      <c r="J1216" s="6">
        <v>33.848232269287102</v>
      </c>
      <c r="K1216" s="6">
        <v>33.8800048828125</v>
      </c>
      <c r="L1216" s="6">
        <v>35.121658325195298</v>
      </c>
    </row>
    <row r="1217" spans="1:12" x14ac:dyDescent="0.25">
      <c r="A1217">
        <v>2902609</v>
      </c>
      <c r="B1217" t="str">
        <f t="shared" si="18"/>
        <v>BAIXA GRANDE, BA, Brasil</v>
      </c>
      <c r="C1217" s="4" t="str">
        <f>_xlfn.XLOOKUP(A1217,[1]!DadosGHD[CD_GEOCMU],[1]!DadosGHD[Região])</f>
        <v>NE</v>
      </c>
      <c r="D1217" s="4" t="str">
        <f>_xlfn.XLOOKUP(A1217,[1]!DadosGHD[CD_GEOCMU],[1]!DadosGHD[uf])</f>
        <v>BA</v>
      </c>
      <c r="E1217" s="5" t="str">
        <f>_xlfn.XLOOKUP(A1217,[1]!DadosGHD[CD_GEOCMU],[1]!DadosGHD[MUNICIPIO])</f>
        <v>BAIXA GRANDE</v>
      </c>
      <c r="F1217" s="6">
        <v>33.720851898193402</v>
      </c>
      <c r="G1217" s="6">
        <v>33.814430236816399</v>
      </c>
      <c r="H1217" s="6">
        <v>33.891834259033203</v>
      </c>
      <c r="I1217" s="6">
        <v>38.723655700683601</v>
      </c>
      <c r="J1217" s="6">
        <v>33.873916625976598</v>
      </c>
      <c r="K1217" s="6">
        <v>38.7866020202637</v>
      </c>
      <c r="L1217" s="6">
        <v>30.719720840454102</v>
      </c>
    </row>
    <row r="1218" spans="1:12" x14ac:dyDescent="0.25">
      <c r="A1218">
        <v>2610400</v>
      </c>
      <c r="B1218" t="str">
        <f t="shared" si="18"/>
        <v>PARNAMIRIM, PE, Brasil</v>
      </c>
      <c r="C1218" s="4" t="str">
        <f>_xlfn.XLOOKUP(A1218,[1]!DadosGHD[CD_GEOCMU],[1]!DadosGHD[Região])</f>
        <v>NE</v>
      </c>
      <c r="D1218" s="4" t="str">
        <f>_xlfn.XLOOKUP(A1218,[1]!DadosGHD[CD_GEOCMU],[1]!DadosGHD[uf])</f>
        <v>PE</v>
      </c>
      <c r="E1218" s="5" t="str">
        <f>_xlfn.XLOOKUP(A1218,[1]!DadosGHD[CD_GEOCMU],[1]!DadosGHD[MUNICIPIO])</f>
        <v>PARNAMIRIM</v>
      </c>
      <c r="F1218" s="6">
        <v>33.720855712890597</v>
      </c>
      <c r="G1218" s="6">
        <v>33.778263092041001</v>
      </c>
      <c r="H1218" s="6">
        <v>33.829116821289098</v>
      </c>
      <c r="I1218" s="6">
        <v>33.819789886474602</v>
      </c>
      <c r="J1218" s="6">
        <v>33.839321136474602</v>
      </c>
      <c r="K1218" s="6">
        <v>33.860458374023402</v>
      </c>
      <c r="L1218" s="6">
        <v>30.687952041626001</v>
      </c>
    </row>
    <row r="1219" spans="1:12" x14ac:dyDescent="0.25">
      <c r="A1219">
        <v>2306405</v>
      </c>
      <c r="B1219" t="str">
        <f t="shared" si="18"/>
        <v>ITAPIPOCA, CE, Brasil</v>
      </c>
      <c r="C1219" s="4" t="str">
        <f>_xlfn.XLOOKUP(A1219,[1]!DadosGHD[CD_GEOCMU],[1]!DadosGHD[Região])</f>
        <v>NE</v>
      </c>
      <c r="D1219" s="4" t="str">
        <f>_xlfn.XLOOKUP(A1219,[1]!DadosGHD[CD_GEOCMU],[1]!DadosGHD[uf])</f>
        <v>CE</v>
      </c>
      <c r="E1219" s="5" t="str">
        <f>_xlfn.XLOOKUP(A1219,[1]!DadosGHD[CD_GEOCMU],[1]!DadosGHD[MUNICIPIO])</f>
        <v>ITAPIPOCA</v>
      </c>
      <c r="F1219" s="6">
        <v>33.721084594726598</v>
      </c>
      <c r="G1219" s="6">
        <v>33.8115844726563</v>
      </c>
      <c r="H1219" s="6">
        <v>33.893985748291001</v>
      </c>
      <c r="I1219" s="6">
        <v>38.735462188720703</v>
      </c>
      <c r="J1219" s="6">
        <v>38.774406433105497</v>
      </c>
      <c r="K1219" s="6">
        <v>38.834693908691399</v>
      </c>
      <c r="L1219" s="6">
        <v>39.584484100341797</v>
      </c>
    </row>
    <row r="1220" spans="1:12" x14ac:dyDescent="0.25">
      <c r="A1220">
        <v>2305209</v>
      </c>
      <c r="B1220" t="str">
        <f t="shared" ref="B1220:B1283" si="19">_xlfn.CONCAT(E1220, ", ", D1220, ", Brasil")</f>
        <v>HIDROLANDIA, CE, Brasil</v>
      </c>
      <c r="C1220" s="4" t="str">
        <f>_xlfn.XLOOKUP(A1220,[1]!DadosGHD[CD_GEOCMU],[1]!DadosGHD[Região])</f>
        <v>NE</v>
      </c>
      <c r="D1220" s="4" t="str">
        <f>_xlfn.XLOOKUP(A1220,[1]!DadosGHD[CD_GEOCMU],[1]!DadosGHD[uf])</f>
        <v>CE</v>
      </c>
      <c r="E1220" s="5" t="str">
        <f>_xlfn.XLOOKUP(A1220,[1]!DadosGHD[CD_GEOCMU],[1]!DadosGHD[MUNICIPIO])</f>
        <v>HIDROLANDIA</v>
      </c>
      <c r="F1220" s="6">
        <v>33.721096038818402</v>
      </c>
      <c r="G1220" s="6">
        <v>33.778881072998097</v>
      </c>
      <c r="H1220" s="6">
        <v>33.843822479248097</v>
      </c>
      <c r="I1220" s="6">
        <v>38.750308990478501</v>
      </c>
      <c r="J1220" s="6">
        <v>38.742156982421903</v>
      </c>
      <c r="K1220" s="6">
        <v>33.886882781982401</v>
      </c>
      <c r="L1220" s="6">
        <v>35.136726379394503</v>
      </c>
    </row>
    <row r="1221" spans="1:12" x14ac:dyDescent="0.25">
      <c r="A1221">
        <v>2932903</v>
      </c>
      <c r="B1221" t="str">
        <f t="shared" si="19"/>
        <v>VALENCA, BA, Brasil</v>
      </c>
      <c r="C1221" s="4" t="str">
        <f>_xlfn.XLOOKUP(A1221,[1]!DadosGHD[CD_GEOCMU],[1]!DadosGHD[Região])</f>
        <v>NE</v>
      </c>
      <c r="D1221" s="4" t="str">
        <f>_xlfn.XLOOKUP(A1221,[1]!DadosGHD[CD_GEOCMU],[1]!DadosGHD[uf])</f>
        <v>BA</v>
      </c>
      <c r="E1221" s="5" t="str">
        <f>_xlfn.XLOOKUP(A1221,[1]!DadosGHD[CD_GEOCMU],[1]!DadosGHD[MUNICIPIO])</f>
        <v>VALENCA</v>
      </c>
      <c r="F1221" s="6">
        <v>33.721122741699197</v>
      </c>
      <c r="G1221" s="6">
        <v>33.816616058349602</v>
      </c>
      <c r="H1221" s="6">
        <v>38.764804840087898</v>
      </c>
      <c r="I1221" s="6">
        <v>38.749874114990199</v>
      </c>
      <c r="J1221" s="6">
        <v>38.785247802734403</v>
      </c>
      <c r="K1221" s="6">
        <v>38.852684020996101</v>
      </c>
      <c r="L1221" s="6">
        <v>39.581729888916001</v>
      </c>
    </row>
    <row r="1222" spans="1:12" x14ac:dyDescent="0.25">
      <c r="A1222">
        <v>2916302</v>
      </c>
      <c r="B1222" t="str">
        <f t="shared" si="19"/>
        <v>ITAPEBI, BA, Brasil</v>
      </c>
      <c r="C1222" s="4" t="str">
        <f>_xlfn.XLOOKUP(A1222,[1]!DadosGHD[CD_GEOCMU],[1]!DadosGHD[Região])</f>
        <v>NE</v>
      </c>
      <c r="D1222" s="4" t="str">
        <f>_xlfn.XLOOKUP(A1222,[1]!DadosGHD[CD_GEOCMU],[1]!DadosGHD[uf])</f>
        <v>BA</v>
      </c>
      <c r="E1222" s="5" t="str">
        <f>_xlfn.XLOOKUP(A1222,[1]!DadosGHD[CD_GEOCMU],[1]!DadosGHD[MUNICIPIO])</f>
        <v>ITAPEBI</v>
      </c>
      <c r="F1222" s="6">
        <v>33.721153259277301</v>
      </c>
      <c r="G1222" s="6">
        <v>33.786228179931598</v>
      </c>
      <c r="H1222" s="6">
        <v>33.825096130371101</v>
      </c>
      <c r="I1222" s="6">
        <v>33.792274475097699</v>
      </c>
      <c r="J1222" s="6">
        <v>28.972475051879901</v>
      </c>
      <c r="K1222" s="6">
        <v>28.993803024291999</v>
      </c>
      <c r="L1222" s="6">
        <v>26.283897399902301</v>
      </c>
    </row>
    <row r="1223" spans="1:12" x14ac:dyDescent="0.25">
      <c r="A1223">
        <v>2505402</v>
      </c>
      <c r="B1223" t="str">
        <f t="shared" si="19"/>
        <v>DESTERRO, PB, Brasil</v>
      </c>
      <c r="C1223" s="4" t="str">
        <f>_xlfn.XLOOKUP(A1223,[1]!DadosGHD[CD_GEOCMU],[1]!DadosGHD[Região])</f>
        <v>NE</v>
      </c>
      <c r="D1223" s="4" t="str">
        <f>_xlfn.XLOOKUP(A1223,[1]!DadosGHD[CD_GEOCMU],[1]!DadosGHD[uf])</f>
        <v>PB</v>
      </c>
      <c r="E1223" s="5" t="str">
        <f>_xlfn.XLOOKUP(A1223,[1]!DadosGHD[CD_GEOCMU],[1]!DadosGHD[MUNICIPIO])</f>
        <v>DESTERRO</v>
      </c>
      <c r="F1223" s="6">
        <v>33.721260070800803</v>
      </c>
      <c r="G1223" s="6">
        <v>33.7763862609863</v>
      </c>
      <c r="H1223" s="6">
        <v>33.813220977783203</v>
      </c>
      <c r="I1223" s="6">
        <v>33.789783477783203</v>
      </c>
      <c r="J1223" s="6">
        <v>33.811046600341797</v>
      </c>
      <c r="K1223" s="6">
        <v>33.879924774169901</v>
      </c>
      <c r="L1223" s="6">
        <v>35.119571685791001</v>
      </c>
    </row>
    <row r="1224" spans="1:12" x14ac:dyDescent="0.25">
      <c r="A1224">
        <v>3171030</v>
      </c>
      <c r="B1224" t="str">
        <f t="shared" si="19"/>
        <v>VERDELANDIA, MG, Brasil</v>
      </c>
      <c r="C1224" s="4" t="str">
        <f>_xlfn.XLOOKUP(A1224,[1]!DadosGHD[CD_GEOCMU],[1]!DadosGHD[Região])</f>
        <v>SD</v>
      </c>
      <c r="D1224" s="4" t="str">
        <f>_xlfn.XLOOKUP(A1224,[1]!DadosGHD[CD_GEOCMU],[1]!DadosGHD[uf])</f>
        <v>MG</v>
      </c>
      <c r="E1224" s="5" t="str">
        <f>_xlfn.XLOOKUP(A1224,[1]!DadosGHD[CD_GEOCMU],[1]!DadosGHD[MUNICIPIO])</f>
        <v>VERDELANDIA</v>
      </c>
      <c r="F1224" s="6">
        <v>33.721263885498097</v>
      </c>
      <c r="G1224" s="6">
        <v>33.836353302002003</v>
      </c>
      <c r="H1224" s="6">
        <v>33.872299194335902</v>
      </c>
      <c r="I1224" s="6">
        <v>33.840648651123097</v>
      </c>
      <c r="J1224" s="6">
        <v>33.848598480224602</v>
      </c>
      <c r="K1224" s="6">
        <v>33.879177093505902</v>
      </c>
      <c r="L1224" s="6">
        <v>26.2991542816162</v>
      </c>
    </row>
    <row r="1225" spans="1:12" x14ac:dyDescent="0.25">
      <c r="A1225">
        <v>2300408</v>
      </c>
      <c r="B1225" t="str">
        <f t="shared" si="19"/>
        <v>AIUABA, CE, Brasil</v>
      </c>
      <c r="C1225" s="4" t="str">
        <f>_xlfn.XLOOKUP(A1225,[1]!DadosGHD[CD_GEOCMU],[1]!DadosGHD[Região])</f>
        <v>NE</v>
      </c>
      <c r="D1225" s="4" t="str">
        <f>_xlfn.XLOOKUP(A1225,[1]!DadosGHD[CD_GEOCMU],[1]!DadosGHD[uf])</f>
        <v>CE</v>
      </c>
      <c r="E1225" s="5" t="str">
        <f>_xlfn.XLOOKUP(A1225,[1]!DadosGHD[CD_GEOCMU],[1]!DadosGHD[MUNICIPIO])</f>
        <v>AIUABA</v>
      </c>
      <c r="F1225" s="6">
        <v>33.721302032470703</v>
      </c>
      <c r="G1225" s="6">
        <v>33.778141021728501</v>
      </c>
      <c r="H1225" s="6">
        <v>33.816501617431598</v>
      </c>
      <c r="I1225" s="6">
        <v>33.802886962890597</v>
      </c>
      <c r="J1225" s="6">
        <v>33.8143119812012</v>
      </c>
      <c r="K1225" s="6">
        <v>33.8731689453125</v>
      </c>
      <c r="L1225" s="6">
        <v>30.700717926025401</v>
      </c>
    </row>
    <row r="1226" spans="1:12" x14ac:dyDescent="0.25">
      <c r="A1226">
        <v>2101608</v>
      </c>
      <c r="B1226" t="str">
        <f t="shared" si="19"/>
        <v>BARRA DO CORDA, MA, Brasil</v>
      </c>
      <c r="C1226" s="4" t="str">
        <f>_xlfn.XLOOKUP(A1226,[1]!DadosGHD[CD_GEOCMU],[1]!DadosGHD[Região])</f>
        <v>NE</v>
      </c>
      <c r="D1226" s="4" t="str">
        <f>_xlfn.XLOOKUP(A1226,[1]!DadosGHD[CD_GEOCMU],[1]!DadosGHD[uf])</f>
        <v>MA</v>
      </c>
      <c r="E1226" s="5" t="str">
        <f>_xlfn.XLOOKUP(A1226,[1]!DadosGHD[CD_GEOCMU],[1]!DadosGHD[MUNICIPIO])</f>
        <v>BARRA DO CORDA</v>
      </c>
      <c r="F1226" s="6">
        <v>33.721397399902301</v>
      </c>
      <c r="G1226" s="6">
        <v>33.815383911132798</v>
      </c>
      <c r="H1226" s="6">
        <v>33.868476867675803</v>
      </c>
      <c r="I1226" s="6">
        <v>33.85693359375</v>
      </c>
      <c r="J1226" s="6">
        <v>33.875782012939503</v>
      </c>
      <c r="K1226" s="6">
        <v>33.903129577636697</v>
      </c>
      <c r="L1226" s="6">
        <v>35.118846893310597</v>
      </c>
    </row>
    <row r="1227" spans="1:12" x14ac:dyDescent="0.25">
      <c r="A1227">
        <v>2311959</v>
      </c>
      <c r="B1227" t="str">
        <f t="shared" si="19"/>
        <v>SALITRE, CE, Brasil</v>
      </c>
      <c r="C1227" s="4" t="str">
        <f>_xlfn.XLOOKUP(A1227,[1]!DadosGHD[CD_GEOCMU],[1]!DadosGHD[Região])</f>
        <v>NE</v>
      </c>
      <c r="D1227" s="4" t="str">
        <f>_xlfn.XLOOKUP(A1227,[1]!DadosGHD[CD_GEOCMU],[1]!DadosGHD[uf])</f>
        <v>CE</v>
      </c>
      <c r="E1227" s="5" t="str">
        <f>_xlfn.XLOOKUP(A1227,[1]!DadosGHD[CD_GEOCMU],[1]!DadosGHD[MUNICIPIO])</f>
        <v>SALITRE</v>
      </c>
      <c r="F1227" s="6">
        <v>33.721420288085902</v>
      </c>
      <c r="G1227" s="6">
        <v>33.777206420898402</v>
      </c>
      <c r="H1227" s="6">
        <v>33.820835113525398</v>
      </c>
      <c r="I1227" s="6">
        <v>28.9429531097412</v>
      </c>
      <c r="J1227" s="6">
        <v>28.961952209472699</v>
      </c>
      <c r="K1227" s="6">
        <v>33.850254058837898</v>
      </c>
      <c r="L1227" s="6">
        <v>26.2873439788818</v>
      </c>
    </row>
    <row r="1228" spans="1:12" x14ac:dyDescent="0.25">
      <c r="A1228">
        <v>2926400</v>
      </c>
      <c r="B1228" t="str">
        <f t="shared" si="19"/>
        <v>RIACHO DE SANTANA, BA, Brasil</v>
      </c>
      <c r="C1228" s="4" t="str">
        <f>_xlfn.XLOOKUP(A1228,[1]!DadosGHD[CD_GEOCMU],[1]!DadosGHD[Região])</f>
        <v>NE</v>
      </c>
      <c r="D1228" s="4" t="str">
        <f>_xlfn.XLOOKUP(A1228,[1]!DadosGHD[CD_GEOCMU],[1]!DadosGHD[uf])</f>
        <v>BA</v>
      </c>
      <c r="E1228" s="5" t="str">
        <f>_xlfn.XLOOKUP(A1228,[1]!DadosGHD[CD_GEOCMU],[1]!DadosGHD[MUNICIPIO])</f>
        <v>RIACHO DE SANTANA</v>
      </c>
      <c r="F1228" s="6">
        <v>33.721530914306598</v>
      </c>
      <c r="G1228" s="6">
        <v>33.782543182373097</v>
      </c>
      <c r="H1228" s="6">
        <v>33.820091247558601</v>
      </c>
      <c r="I1228" s="6">
        <v>33.800430297851598</v>
      </c>
      <c r="J1228" s="6">
        <v>33.8246040344238</v>
      </c>
      <c r="K1228" s="6">
        <v>33.865776062011697</v>
      </c>
      <c r="L1228" s="6">
        <v>26.293361663818398</v>
      </c>
    </row>
    <row r="1229" spans="1:12" x14ac:dyDescent="0.25">
      <c r="A1229">
        <v>2905800</v>
      </c>
      <c r="B1229" t="str">
        <f t="shared" si="19"/>
        <v>CAMAMU, BA, Brasil</v>
      </c>
      <c r="C1229" s="4" t="str">
        <f>_xlfn.XLOOKUP(A1229,[1]!DadosGHD[CD_GEOCMU],[1]!DadosGHD[Região])</f>
        <v>NE</v>
      </c>
      <c r="D1229" s="4" t="str">
        <f>_xlfn.XLOOKUP(A1229,[1]!DadosGHD[CD_GEOCMU],[1]!DadosGHD[uf])</f>
        <v>BA</v>
      </c>
      <c r="E1229" s="5" t="str">
        <f>_xlfn.XLOOKUP(A1229,[1]!DadosGHD[CD_GEOCMU],[1]!DadosGHD[MUNICIPIO])</f>
        <v>CAMAMU</v>
      </c>
      <c r="F1229" s="6">
        <v>33.7216796875</v>
      </c>
      <c r="G1229" s="6">
        <v>33.773342132568402</v>
      </c>
      <c r="H1229" s="6">
        <v>33.8199272155762</v>
      </c>
      <c r="I1229" s="6">
        <v>33.811313629150398</v>
      </c>
      <c r="J1229" s="6">
        <v>33.858879089355497</v>
      </c>
      <c r="K1229" s="6">
        <v>33.8855171203613</v>
      </c>
      <c r="L1229" s="6">
        <v>35.117851257324197</v>
      </c>
    </row>
    <row r="1230" spans="1:12" x14ac:dyDescent="0.25">
      <c r="A1230">
        <v>3157336</v>
      </c>
      <c r="B1230" t="str">
        <f t="shared" si="19"/>
        <v>SANTA CRUZ DE MINAS, MG, Brasil</v>
      </c>
      <c r="C1230" s="4" t="str">
        <f>_xlfn.XLOOKUP(A1230,[1]!DadosGHD[CD_GEOCMU],[1]!DadosGHD[Região])</f>
        <v>SD</v>
      </c>
      <c r="D1230" s="4" t="str">
        <f>_xlfn.XLOOKUP(A1230,[1]!DadosGHD[CD_GEOCMU],[1]!DadosGHD[uf])</f>
        <v>MG</v>
      </c>
      <c r="E1230" s="5" t="str">
        <f>_xlfn.XLOOKUP(A1230,[1]!DadosGHD[CD_GEOCMU],[1]!DadosGHD[MUNICIPIO])</f>
        <v>SANTA CRUZ DE MINAS</v>
      </c>
      <c r="F1230" s="6">
        <v>33.721809387207003</v>
      </c>
      <c r="G1230" s="6">
        <v>33.791259765625</v>
      </c>
      <c r="H1230" s="6">
        <v>38.793323516845703</v>
      </c>
      <c r="I1230" s="6">
        <v>38.803802490234403</v>
      </c>
      <c r="J1230" s="6">
        <v>43.725440979003899</v>
      </c>
      <c r="K1230" s="6">
        <v>43.814865112304702</v>
      </c>
      <c r="L1230" s="6">
        <v>53.016021728515597</v>
      </c>
    </row>
    <row r="1231" spans="1:12" x14ac:dyDescent="0.25">
      <c r="A1231">
        <v>2301901</v>
      </c>
      <c r="B1231" t="str">
        <f t="shared" si="19"/>
        <v>BARBALHA, CE, Brasil</v>
      </c>
      <c r="C1231" s="4" t="str">
        <f>_xlfn.XLOOKUP(A1231,[1]!DadosGHD[CD_GEOCMU],[1]!DadosGHD[Região])</f>
        <v>NE</v>
      </c>
      <c r="D1231" s="4" t="str">
        <f>_xlfn.XLOOKUP(A1231,[1]!DadosGHD[CD_GEOCMU],[1]!DadosGHD[uf])</f>
        <v>CE</v>
      </c>
      <c r="E1231" s="5" t="str">
        <f>_xlfn.XLOOKUP(A1231,[1]!DadosGHD[CD_GEOCMU],[1]!DadosGHD[MUNICIPIO])</f>
        <v>BARBALHA</v>
      </c>
      <c r="F1231" s="6">
        <v>33.721817016601598</v>
      </c>
      <c r="G1231" s="6">
        <v>33.845878601074197</v>
      </c>
      <c r="H1231" s="6">
        <v>38.777866363525398</v>
      </c>
      <c r="I1231" s="6">
        <v>38.8070068359375</v>
      </c>
      <c r="J1231" s="6">
        <v>43.7186889648438</v>
      </c>
      <c r="K1231" s="6">
        <v>43.804130554199197</v>
      </c>
      <c r="L1231" s="6">
        <v>44.040477752685597</v>
      </c>
    </row>
    <row r="1232" spans="1:12" x14ac:dyDescent="0.25">
      <c r="A1232">
        <v>2703007</v>
      </c>
      <c r="B1232" t="str">
        <f t="shared" si="19"/>
        <v>IBATEGUARA, AL, Brasil</v>
      </c>
      <c r="C1232" s="4" t="str">
        <f>_xlfn.XLOOKUP(A1232,[1]!DadosGHD[CD_GEOCMU],[1]!DadosGHD[Região])</f>
        <v>NE</v>
      </c>
      <c r="D1232" s="4" t="str">
        <f>_xlfn.XLOOKUP(A1232,[1]!DadosGHD[CD_GEOCMU],[1]!DadosGHD[uf])</f>
        <v>AL</v>
      </c>
      <c r="E1232" s="5" t="str">
        <f>_xlfn.XLOOKUP(A1232,[1]!DadosGHD[CD_GEOCMU],[1]!DadosGHD[MUNICIPIO])</f>
        <v>IBATEGUARA</v>
      </c>
      <c r="F1232" s="6">
        <v>33.721855163574197</v>
      </c>
      <c r="G1232" s="6">
        <v>33.7769584655762</v>
      </c>
      <c r="H1232" s="6">
        <v>33.817050933837898</v>
      </c>
      <c r="I1232" s="6">
        <v>33.8056030273438</v>
      </c>
      <c r="J1232" s="6">
        <v>33.817180633544901</v>
      </c>
      <c r="K1232" s="6">
        <v>33.907718658447301</v>
      </c>
      <c r="L1232" s="6">
        <v>26.2867755889893</v>
      </c>
    </row>
    <row r="1233" spans="1:12" x14ac:dyDescent="0.25">
      <c r="A1233">
        <v>1508001</v>
      </c>
      <c r="B1233" t="str">
        <f t="shared" si="19"/>
        <v>TOME-ACU, PA, Brasil</v>
      </c>
      <c r="C1233" s="4" t="str">
        <f>_xlfn.XLOOKUP(A1233,[1]!DadosGHD[CD_GEOCMU],[1]!DadosGHD[Região])</f>
        <v>NO</v>
      </c>
      <c r="D1233" s="4" t="str">
        <f>_xlfn.XLOOKUP(A1233,[1]!DadosGHD[CD_GEOCMU],[1]!DadosGHD[uf])</f>
        <v>PA</v>
      </c>
      <c r="E1233" s="5" t="str">
        <f>_xlfn.XLOOKUP(A1233,[1]!DadosGHD[CD_GEOCMU],[1]!DadosGHD[MUNICIPIO])</f>
        <v>TOME-ACU</v>
      </c>
      <c r="F1233" s="6">
        <v>33.721885681152301</v>
      </c>
      <c r="G1233" s="6">
        <v>33.822547912597699</v>
      </c>
      <c r="H1233" s="6">
        <v>33.867984771728501</v>
      </c>
      <c r="I1233" s="6">
        <v>33.837203979492202</v>
      </c>
      <c r="J1233" s="6">
        <v>33.842376708984403</v>
      </c>
      <c r="K1233" s="6">
        <v>38.784034729003899</v>
      </c>
      <c r="L1233" s="6">
        <v>39.569618225097699</v>
      </c>
    </row>
    <row r="1234" spans="1:12" x14ac:dyDescent="0.25">
      <c r="A1234">
        <v>2613404</v>
      </c>
      <c r="B1234" t="str">
        <f t="shared" si="19"/>
        <v>SAO JOSE DA COROA GRANDE, PE, Brasil</v>
      </c>
      <c r="C1234" s="4" t="str">
        <f>_xlfn.XLOOKUP(A1234,[1]!DadosGHD[CD_GEOCMU],[1]!DadosGHD[Região])</f>
        <v>NE</v>
      </c>
      <c r="D1234" s="4" t="str">
        <f>_xlfn.XLOOKUP(A1234,[1]!DadosGHD[CD_GEOCMU],[1]!DadosGHD[uf])</f>
        <v>PE</v>
      </c>
      <c r="E1234" s="5" t="str">
        <f>_xlfn.XLOOKUP(A1234,[1]!DadosGHD[CD_GEOCMU],[1]!DadosGHD[MUNICIPIO])</f>
        <v>SAO JOSE DA COROA GRANDE</v>
      </c>
      <c r="F1234" s="6">
        <v>33.7219047546387</v>
      </c>
      <c r="G1234" s="6">
        <v>33.791831970214801</v>
      </c>
      <c r="H1234" s="6">
        <v>33.832981109619098</v>
      </c>
      <c r="I1234" s="6">
        <v>33.8016967773438</v>
      </c>
      <c r="J1234" s="6">
        <v>33.860408782958999</v>
      </c>
      <c r="K1234" s="6">
        <v>38.801345825195298</v>
      </c>
      <c r="L1234" s="6">
        <v>44.0510063171387</v>
      </c>
    </row>
    <row r="1235" spans="1:12" x14ac:dyDescent="0.25">
      <c r="A1235">
        <v>2803203</v>
      </c>
      <c r="B1235" t="str">
        <f t="shared" si="19"/>
        <v>ITAPORANGA D'AJUDA, SE, Brasil</v>
      </c>
      <c r="C1235" s="4" t="str">
        <f>_xlfn.XLOOKUP(A1235,[1]!DadosGHD[CD_GEOCMU],[1]!DadosGHD[Região])</f>
        <v>NE</v>
      </c>
      <c r="D1235" s="4" t="str">
        <f>_xlfn.XLOOKUP(A1235,[1]!DadosGHD[CD_GEOCMU],[1]!DadosGHD[uf])</f>
        <v>SE</v>
      </c>
      <c r="E1235" s="5" t="str">
        <f>_xlfn.XLOOKUP(A1235,[1]!DadosGHD[CD_GEOCMU],[1]!DadosGHD[MUNICIPIO])</f>
        <v>ITAPORANGA D'AJUDA</v>
      </c>
      <c r="F1235" s="6">
        <v>33.721977233886697</v>
      </c>
      <c r="G1235" s="6">
        <v>33.807460784912102</v>
      </c>
      <c r="H1235" s="6">
        <v>33.891963958740199</v>
      </c>
      <c r="I1235" s="6">
        <v>38.741569519042997</v>
      </c>
      <c r="J1235" s="6">
        <v>38.806079864502003</v>
      </c>
      <c r="K1235" s="6">
        <v>38.8616943359375</v>
      </c>
      <c r="L1235" s="6">
        <v>39.56298828125</v>
      </c>
    </row>
    <row r="1236" spans="1:12" x14ac:dyDescent="0.25">
      <c r="A1236">
        <v>2906006</v>
      </c>
      <c r="B1236" t="str">
        <f t="shared" si="19"/>
        <v>CAMPO FORMOSO, BA, Brasil</v>
      </c>
      <c r="C1236" s="4" t="str">
        <f>_xlfn.XLOOKUP(A1236,[1]!DadosGHD[CD_GEOCMU],[1]!DadosGHD[Região])</f>
        <v>NE</v>
      </c>
      <c r="D1236" s="4" t="str">
        <f>_xlfn.XLOOKUP(A1236,[1]!DadosGHD[CD_GEOCMU],[1]!DadosGHD[uf])</f>
        <v>BA</v>
      </c>
      <c r="E1236" s="5" t="str">
        <f>_xlfn.XLOOKUP(A1236,[1]!DadosGHD[CD_GEOCMU],[1]!DadosGHD[MUNICIPIO])</f>
        <v>CAMPO FORMOSO</v>
      </c>
      <c r="F1236" s="6">
        <v>33.722042083740199</v>
      </c>
      <c r="G1236" s="6">
        <v>33.784511566162102</v>
      </c>
      <c r="H1236" s="6">
        <v>33.826324462890597</v>
      </c>
      <c r="I1236" s="6">
        <v>33.819263458252003</v>
      </c>
      <c r="J1236" s="6">
        <v>33.857658386230497</v>
      </c>
      <c r="K1236" s="6">
        <v>33.888725280761697</v>
      </c>
      <c r="L1236" s="6">
        <v>30.7134094238281</v>
      </c>
    </row>
    <row r="1237" spans="1:12" x14ac:dyDescent="0.25">
      <c r="A1237">
        <v>2906824</v>
      </c>
      <c r="B1237" t="str">
        <f t="shared" si="19"/>
        <v>CANUDOS, BA, Brasil</v>
      </c>
      <c r="C1237" s="4" t="str">
        <f>_xlfn.XLOOKUP(A1237,[1]!DadosGHD[CD_GEOCMU],[1]!DadosGHD[Região])</f>
        <v>NE</v>
      </c>
      <c r="D1237" s="4" t="str">
        <f>_xlfn.XLOOKUP(A1237,[1]!DadosGHD[CD_GEOCMU],[1]!DadosGHD[uf])</f>
        <v>BA</v>
      </c>
      <c r="E1237" s="5" t="str">
        <f>_xlfn.XLOOKUP(A1237,[1]!DadosGHD[CD_GEOCMU],[1]!DadosGHD[MUNICIPIO])</f>
        <v>CANUDOS</v>
      </c>
      <c r="F1237" s="6">
        <v>33.722141265869098</v>
      </c>
      <c r="G1237" s="6">
        <v>33.803821563720703</v>
      </c>
      <c r="H1237" s="6">
        <v>33.843204498291001</v>
      </c>
      <c r="I1237" s="6">
        <v>33.824520111083999</v>
      </c>
      <c r="J1237" s="6">
        <v>33.839958190917997</v>
      </c>
      <c r="K1237" s="6">
        <v>33.884319305419901</v>
      </c>
      <c r="L1237" s="6">
        <v>26.2925510406494</v>
      </c>
    </row>
    <row r="1238" spans="1:12" x14ac:dyDescent="0.25">
      <c r="A1238">
        <v>1720309</v>
      </c>
      <c r="B1238" t="str">
        <f t="shared" si="19"/>
        <v>SAO SEBASTIAO DO TOCANTINS, TO, Brasil</v>
      </c>
      <c r="C1238" s="4" t="str">
        <f>_xlfn.XLOOKUP(A1238,[1]!DadosGHD[CD_GEOCMU],[1]!DadosGHD[Região])</f>
        <v>NO</v>
      </c>
      <c r="D1238" s="4" t="str">
        <f>_xlfn.XLOOKUP(A1238,[1]!DadosGHD[CD_GEOCMU],[1]!DadosGHD[uf])</f>
        <v>TO</v>
      </c>
      <c r="E1238" s="5" t="str">
        <f>_xlfn.XLOOKUP(A1238,[1]!DadosGHD[CD_GEOCMU],[1]!DadosGHD[MUNICIPIO])</f>
        <v>SAO SEBASTIAO DO TOCANTINS</v>
      </c>
      <c r="F1238" s="6">
        <v>33.722171783447301</v>
      </c>
      <c r="G1238" s="6">
        <v>28.907878875732401</v>
      </c>
      <c r="H1238" s="6">
        <v>28.942651748657202</v>
      </c>
      <c r="I1238" s="6">
        <v>28.925045013427699</v>
      </c>
      <c r="J1238" s="6">
        <v>28.9409065246582</v>
      </c>
      <c r="K1238" s="6">
        <v>28.9686679840088</v>
      </c>
      <c r="L1238" s="6">
        <v>26.2798957824707</v>
      </c>
    </row>
    <row r="1239" spans="1:12" x14ac:dyDescent="0.25">
      <c r="A1239">
        <v>2919900</v>
      </c>
      <c r="B1239" t="str">
        <f t="shared" si="19"/>
        <v>MACURURE, BA, Brasil</v>
      </c>
      <c r="C1239" s="4" t="str">
        <f>_xlfn.XLOOKUP(A1239,[1]!DadosGHD[CD_GEOCMU],[1]!DadosGHD[Região])</f>
        <v>NE</v>
      </c>
      <c r="D1239" s="4" t="str">
        <f>_xlfn.XLOOKUP(A1239,[1]!DadosGHD[CD_GEOCMU],[1]!DadosGHD[uf])</f>
        <v>BA</v>
      </c>
      <c r="E1239" s="5" t="str">
        <f>_xlfn.XLOOKUP(A1239,[1]!DadosGHD[CD_GEOCMU],[1]!DadosGHD[MUNICIPIO])</f>
        <v>MACURURE</v>
      </c>
      <c r="F1239" s="6">
        <v>33.722202301025398</v>
      </c>
      <c r="G1239" s="6">
        <v>33.787639617919901</v>
      </c>
      <c r="H1239" s="6">
        <v>33.820579528808601</v>
      </c>
      <c r="I1239" s="6">
        <v>33.808464050292997</v>
      </c>
      <c r="J1239" s="6">
        <v>33.859771728515597</v>
      </c>
      <c r="K1239" s="6">
        <v>33.907066345214801</v>
      </c>
      <c r="L1239" s="6">
        <v>35.143363952636697</v>
      </c>
    </row>
    <row r="1240" spans="1:12" x14ac:dyDescent="0.25">
      <c r="A1240">
        <v>2924702</v>
      </c>
      <c r="B1240" t="str">
        <f t="shared" si="19"/>
        <v>PIRIPA, BA, Brasil</v>
      </c>
      <c r="C1240" s="4" t="str">
        <f>_xlfn.XLOOKUP(A1240,[1]!DadosGHD[CD_GEOCMU],[1]!DadosGHD[Região])</f>
        <v>NE</v>
      </c>
      <c r="D1240" s="4" t="str">
        <f>_xlfn.XLOOKUP(A1240,[1]!DadosGHD[CD_GEOCMU],[1]!DadosGHD[uf])</f>
        <v>BA</v>
      </c>
      <c r="E1240" s="5" t="str">
        <f>_xlfn.XLOOKUP(A1240,[1]!DadosGHD[CD_GEOCMU],[1]!DadosGHD[MUNICIPIO])</f>
        <v>PIRIPA</v>
      </c>
      <c r="F1240" s="6">
        <v>33.722213745117202</v>
      </c>
      <c r="G1240" s="6">
        <v>33.792652130127003</v>
      </c>
      <c r="H1240" s="6">
        <v>33.886394500732401</v>
      </c>
      <c r="I1240" s="6">
        <v>33.872196197509801</v>
      </c>
      <c r="J1240" s="6">
        <v>38.752334594726598</v>
      </c>
      <c r="K1240" s="6">
        <v>38.783000946044901</v>
      </c>
      <c r="L1240" s="6">
        <v>48.513107299804702</v>
      </c>
    </row>
    <row r="1241" spans="1:12" x14ac:dyDescent="0.25">
      <c r="A1241">
        <v>2904803</v>
      </c>
      <c r="B1241" t="str">
        <f t="shared" si="19"/>
        <v>CAATIBA, BA, Brasil</v>
      </c>
      <c r="C1241" s="4" t="str">
        <f>_xlfn.XLOOKUP(A1241,[1]!DadosGHD[CD_GEOCMU],[1]!DadosGHD[Região])</f>
        <v>NE</v>
      </c>
      <c r="D1241" s="4" t="str">
        <f>_xlfn.XLOOKUP(A1241,[1]!DadosGHD[CD_GEOCMU],[1]!DadosGHD[uf])</f>
        <v>BA</v>
      </c>
      <c r="E1241" s="5" t="str">
        <f>_xlfn.XLOOKUP(A1241,[1]!DadosGHD[CD_GEOCMU],[1]!DadosGHD[MUNICIPIO])</f>
        <v>CAATIBA</v>
      </c>
      <c r="F1241" s="6">
        <v>33.722251892089801</v>
      </c>
      <c r="G1241" s="6">
        <v>33.826057434082003</v>
      </c>
      <c r="H1241" s="6">
        <v>33.881160736083999</v>
      </c>
      <c r="I1241" s="6">
        <v>33.865280151367202</v>
      </c>
      <c r="J1241" s="6">
        <v>38.7535400390625</v>
      </c>
      <c r="K1241" s="6">
        <v>33.917594909667997</v>
      </c>
      <c r="L1241" s="6">
        <v>26.287275314331101</v>
      </c>
    </row>
    <row r="1242" spans="1:12" x14ac:dyDescent="0.25">
      <c r="A1242">
        <v>2108108</v>
      </c>
      <c r="B1242" t="str">
        <f t="shared" si="19"/>
        <v>PAULO RAMOS, MA, Brasil</v>
      </c>
      <c r="C1242" s="4" t="str">
        <f>_xlfn.XLOOKUP(A1242,[1]!DadosGHD[CD_GEOCMU],[1]!DadosGHD[Região])</f>
        <v>NE</v>
      </c>
      <c r="D1242" s="4" t="str">
        <f>_xlfn.XLOOKUP(A1242,[1]!DadosGHD[CD_GEOCMU],[1]!DadosGHD[uf])</f>
        <v>MA</v>
      </c>
      <c r="E1242" s="5" t="str">
        <f>_xlfn.XLOOKUP(A1242,[1]!DadosGHD[CD_GEOCMU],[1]!DadosGHD[MUNICIPIO])</f>
        <v>PAULO RAMOS</v>
      </c>
      <c r="F1242" s="6">
        <v>33.722343444824197</v>
      </c>
      <c r="G1242" s="6">
        <v>33.782516479492202</v>
      </c>
      <c r="H1242" s="6">
        <v>33.820217132568402</v>
      </c>
      <c r="I1242" s="6">
        <v>33.800254821777301</v>
      </c>
      <c r="J1242" s="6">
        <v>33.823734283447301</v>
      </c>
      <c r="K1242" s="6">
        <v>33.882686614990199</v>
      </c>
      <c r="L1242" s="6">
        <v>26.297359466552699</v>
      </c>
    </row>
    <row r="1243" spans="1:12" x14ac:dyDescent="0.25">
      <c r="A1243">
        <v>2926608</v>
      </c>
      <c r="B1243" t="str">
        <f t="shared" si="19"/>
        <v>RIBEIRA DO POMBAL, BA, Brasil</v>
      </c>
      <c r="C1243" s="4" t="str">
        <f>_xlfn.XLOOKUP(A1243,[1]!DadosGHD[CD_GEOCMU],[1]!DadosGHD[Região])</f>
        <v>NE</v>
      </c>
      <c r="D1243" s="4" t="str">
        <f>_xlfn.XLOOKUP(A1243,[1]!DadosGHD[CD_GEOCMU],[1]!DadosGHD[uf])</f>
        <v>BA</v>
      </c>
      <c r="E1243" s="5" t="str">
        <f>_xlfn.XLOOKUP(A1243,[1]!DadosGHD[CD_GEOCMU],[1]!DadosGHD[MUNICIPIO])</f>
        <v>RIBEIRA DO POMBAL</v>
      </c>
      <c r="F1243" s="6">
        <v>33.722385406494098</v>
      </c>
      <c r="G1243" s="6">
        <v>33.794490814208999</v>
      </c>
      <c r="H1243" s="6">
        <v>33.870899200439503</v>
      </c>
      <c r="I1243" s="6">
        <v>33.8600463867188</v>
      </c>
      <c r="J1243" s="6">
        <v>38.756809234619098</v>
      </c>
      <c r="K1243" s="6">
        <v>33.877956390380902</v>
      </c>
      <c r="L1243" s="6">
        <v>26.287355422973601</v>
      </c>
    </row>
    <row r="1244" spans="1:12" x14ac:dyDescent="0.25">
      <c r="A1244">
        <v>2929057</v>
      </c>
      <c r="B1244" t="str">
        <f t="shared" si="19"/>
        <v>SAO FELIX DO CORIBE, BA, Brasil</v>
      </c>
      <c r="C1244" s="4" t="str">
        <f>_xlfn.XLOOKUP(A1244,[1]!DadosGHD[CD_GEOCMU],[1]!DadosGHD[Região])</f>
        <v>NE</v>
      </c>
      <c r="D1244" s="4" t="str">
        <f>_xlfn.XLOOKUP(A1244,[1]!DadosGHD[CD_GEOCMU],[1]!DadosGHD[uf])</f>
        <v>BA</v>
      </c>
      <c r="E1244" s="5" t="str">
        <f>_xlfn.XLOOKUP(A1244,[1]!DadosGHD[CD_GEOCMU],[1]!DadosGHD[MUNICIPIO])</f>
        <v>SAO FELIX DO CORIBE</v>
      </c>
      <c r="F1244" s="6">
        <v>33.722557067871101</v>
      </c>
      <c r="G1244" s="6">
        <v>33.777072906494098</v>
      </c>
      <c r="H1244" s="6">
        <v>33.8191108703613</v>
      </c>
      <c r="I1244" s="6">
        <v>33.796012878417997</v>
      </c>
      <c r="J1244" s="6">
        <v>33.812881469726598</v>
      </c>
      <c r="K1244" s="6">
        <v>33.844158172607401</v>
      </c>
      <c r="L1244" s="6">
        <v>26.2931613922119</v>
      </c>
    </row>
    <row r="1245" spans="1:12" x14ac:dyDescent="0.25">
      <c r="A1245">
        <v>2603108</v>
      </c>
      <c r="B1245" t="str">
        <f t="shared" si="19"/>
        <v>CACHOEIRINHA, PE, Brasil</v>
      </c>
      <c r="C1245" s="4" t="str">
        <f>_xlfn.XLOOKUP(A1245,[1]!DadosGHD[CD_GEOCMU],[1]!DadosGHD[Região])</f>
        <v>NE</v>
      </c>
      <c r="D1245" s="4" t="str">
        <f>_xlfn.XLOOKUP(A1245,[1]!DadosGHD[CD_GEOCMU],[1]!DadosGHD[uf])</f>
        <v>PE</v>
      </c>
      <c r="E1245" s="5" t="str">
        <f>_xlfn.XLOOKUP(A1245,[1]!DadosGHD[CD_GEOCMU],[1]!DadosGHD[MUNICIPIO])</f>
        <v>CACHOEIRINHA</v>
      </c>
      <c r="F1245" s="6">
        <v>33.722660064697301</v>
      </c>
      <c r="G1245" s="6">
        <v>33.783382415771499</v>
      </c>
      <c r="H1245" s="6">
        <v>33.8194580078125</v>
      </c>
      <c r="I1245" s="6">
        <v>33.802005767822301</v>
      </c>
      <c r="J1245" s="6">
        <v>33.841781616210902</v>
      </c>
      <c r="K1245" s="6">
        <v>33.894760131835902</v>
      </c>
      <c r="L1245" s="6">
        <v>30.716253280639702</v>
      </c>
    </row>
    <row r="1246" spans="1:12" x14ac:dyDescent="0.25">
      <c r="A1246">
        <v>2613800</v>
      </c>
      <c r="B1246" t="str">
        <f t="shared" si="19"/>
        <v>SAO VICENTE FERRER, PE, Brasil</v>
      </c>
      <c r="C1246" s="4" t="str">
        <f>_xlfn.XLOOKUP(A1246,[1]!DadosGHD[CD_GEOCMU],[1]!DadosGHD[Região])</f>
        <v>NE</v>
      </c>
      <c r="D1246" s="4" t="str">
        <f>_xlfn.XLOOKUP(A1246,[1]!DadosGHD[CD_GEOCMU],[1]!DadosGHD[uf])</f>
        <v>PE</v>
      </c>
      <c r="E1246" s="5" t="str">
        <f>_xlfn.XLOOKUP(A1246,[1]!DadosGHD[CD_GEOCMU],[1]!DadosGHD[MUNICIPIO])</f>
        <v>SAO VICENTE FERRER</v>
      </c>
      <c r="F1246" s="6">
        <v>33.722679138183601</v>
      </c>
      <c r="G1246" s="6">
        <v>33.798362731933601</v>
      </c>
      <c r="H1246" s="6">
        <v>28.975347518920898</v>
      </c>
      <c r="I1246" s="6">
        <v>28.955686569213899</v>
      </c>
      <c r="J1246" s="6">
        <v>28.9703178405762</v>
      </c>
      <c r="K1246" s="6">
        <v>28.997270584106399</v>
      </c>
      <c r="L1246" s="6">
        <v>26.283174514770501</v>
      </c>
    </row>
    <row r="1247" spans="1:12" x14ac:dyDescent="0.25">
      <c r="A1247">
        <v>2311900</v>
      </c>
      <c r="B1247" t="str">
        <f t="shared" si="19"/>
        <v>SABOEIRO, CE, Brasil</v>
      </c>
      <c r="C1247" s="4" t="str">
        <f>_xlfn.XLOOKUP(A1247,[1]!DadosGHD[CD_GEOCMU],[1]!DadosGHD[Região])</f>
        <v>NE</v>
      </c>
      <c r="D1247" s="4" t="str">
        <f>_xlfn.XLOOKUP(A1247,[1]!DadosGHD[CD_GEOCMU],[1]!DadosGHD[uf])</f>
        <v>CE</v>
      </c>
      <c r="E1247" s="5" t="str">
        <f>_xlfn.XLOOKUP(A1247,[1]!DadosGHD[CD_GEOCMU],[1]!DadosGHD[MUNICIPIO])</f>
        <v>SABOEIRO</v>
      </c>
      <c r="F1247" s="6">
        <v>33.722751617431598</v>
      </c>
      <c r="G1247" s="6">
        <v>33.7779731750488</v>
      </c>
      <c r="H1247" s="6">
        <v>28.971128463745099</v>
      </c>
      <c r="I1247" s="6">
        <v>28.9287300109863</v>
      </c>
      <c r="J1247" s="6">
        <v>28.9409065246582</v>
      </c>
      <c r="K1247" s="6">
        <v>29.005680084228501</v>
      </c>
      <c r="L1247" s="6">
        <v>35.143405914306598</v>
      </c>
    </row>
    <row r="1248" spans="1:12" x14ac:dyDescent="0.25">
      <c r="A1248">
        <v>2300705</v>
      </c>
      <c r="B1248" t="str">
        <f t="shared" si="19"/>
        <v>ALTO SANTO, CE, Brasil</v>
      </c>
      <c r="C1248" s="4" t="str">
        <f>_xlfn.XLOOKUP(A1248,[1]!DadosGHD[CD_GEOCMU],[1]!DadosGHD[Região])</f>
        <v>NE</v>
      </c>
      <c r="D1248" s="4" t="str">
        <f>_xlfn.XLOOKUP(A1248,[1]!DadosGHD[CD_GEOCMU],[1]!DadosGHD[uf])</f>
        <v>CE</v>
      </c>
      <c r="E1248" s="5" t="str">
        <f>_xlfn.XLOOKUP(A1248,[1]!DadosGHD[CD_GEOCMU],[1]!DadosGHD[MUNICIPIO])</f>
        <v>ALTO SANTO</v>
      </c>
      <c r="F1248" s="6">
        <v>33.722831726074197</v>
      </c>
      <c r="G1248" s="6">
        <v>33.792606353759801</v>
      </c>
      <c r="H1248" s="6">
        <v>33.826278686523402</v>
      </c>
      <c r="I1248" s="6">
        <v>33.796485900878899</v>
      </c>
      <c r="J1248" s="6">
        <v>28.976741790771499</v>
      </c>
      <c r="K1248" s="6">
        <v>28.982784271240199</v>
      </c>
      <c r="L1248" s="6">
        <v>26.2798957824707</v>
      </c>
    </row>
    <row r="1249" spans="1:12" x14ac:dyDescent="0.25">
      <c r="A1249">
        <v>2906907</v>
      </c>
      <c r="B1249" t="str">
        <f t="shared" si="19"/>
        <v>CARAVELAS, BA, Brasil</v>
      </c>
      <c r="C1249" s="4" t="str">
        <f>_xlfn.XLOOKUP(A1249,[1]!DadosGHD[CD_GEOCMU],[1]!DadosGHD[Região])</f>
        <v>NE</v>
      </c>
      <c r="D1249" s="4" t="str">
        <f>_xlfn.XLOOKUP(A1249,[1]!DadosGHD[CD_GEOCMU],[1]!DadosGHD[uf])</f>
        <v>BA</v>
      </c>
      <c r="E1249" s="5" t="str">
        <f>_xlfn.XLOOKUP(A1249,[1]!DadosGHD[CD_GEOCMU],[1]!DadosGHD[MUNICIPIO])</f>
        <v>CARAVELAS</v>
      </c>
      <c r="F1249" s="6">
        <v>33.723121643066399</v>
      </c>
      <c r="G1249" s="6">
        <v>33.787734985351598</v>
      </c>
      <c r="H1249" s="6">
        <v>33.840194702148402</v>
      </c>
      <c r="I1249" s="6">
        <v>33.8155517578125</v>
      </c>
      <c r="J1249" s="6">
        <v>33.828742980957003</v>
      </c>
      <c r="K1249" s="6">
        <v>33.858047485351598</v>
      </c>
      <c r="L1249" s="6">
        <v>30.717058181762699</v>
      </c>
    </row>
    <row r="1250" spans="1:12" x14ac:dyDescent="0.25">
      <c r="A1250">
        <v>2308609</v>
      </c>
      <c r="B1250" t="str">
        <f t="shared" si="19"/>
        <v>MONSENHOR TABOSA, CE, Brasil</v>
      </c>
      <c r="C1250" s="4" t="str">
        <f>_xlfn.XLOOKUP(A1250,[1]!DadosGHD[CD_GEOCMU],[1]!DadosGHD[Região])</f>
        <v>NE</v>
      </c>
      <c r="D1250" s="4" t="str">
        <f>_xlfn.XLOOKUP(A1250,[1]!DadosGHD[CD_GEOCMU],[1]!DadosGHD[uf])</f>
        <v>CE</v>
      </c>
      <c r="E1250" s="5" t="str">
        <f>_xlfn.XLOOKUP(A1250,[1]!DadosGHD[CD_GEOCMU],[1]!DadosGHD[MUNICIPIO])</f>
        <v>MONSENHOR TABOSA</v>
      </c>
      <c r="F1250" s="6">
        <v>33.7231636047363</v>
      </c>
      <c r="G1250" s="6">
        <v>33.782810211181598</v>
      </c>
      <c r="H1250" s="6">
        <v>33.855880737304702</v>
      </c>
      <c r="I1250" s="6">
        <v>38.7597045898438</v>
      </c>
      <c r="J1250" s="6">
        <v>38.791816711425803</v>
      </c>
      <c r="K1250" s="6">
        <v>38.830757141113303</v>
      </c>
      <c r="L1250" s="6">
        <v>35.136604309082003</v>
      </c>
    </row>
    <row r="1251" spans="1:12" x14ac:dyDescent="0.25">
      <c r="A1251">
        <v>2602100</v>
      </c>
      <c r="B1251" t="str">
        <f t="shared" si="19"/>
        <v>BOM CONSELHO, PE, Brasil</v>
      </c>
      <c r="C1251" s="4" t="str">
        <f>_xlfn.XLOOKUP(A1251,[1]!DadosGHD[CD_GEOCMU],[1]!DadosGHD[Região])</f>
        <v>NE</v>
      </c>
      <c r="D1251" s="4" t="str">
        <f>_xlfn.XLOOKUP(A1251,[1]!DadosGHD[CD_GEOCMU],[1]!DadosGHD[uf])</f>
        <v>PE</v>
      </c>
      <c r="E1251" s="5" t="str">
        <f>_xlfn.XLOOKUP(A1251,[1]!DadosGHD[CD_GEOCMU],[1]!DadosGHD[MUNICIPIO])</f>
        <v>BOM CONSELHO</v>
      </c>
      <c r="F1251" s="6">
        <v>33.723178863525398</v>
      </c>
      <c r="G1251" s="6">
        <v>33.800079345703097</v>
      </c>
      <c r="H1251" s="6">
        <v>33.8467826843262</v>
      </c>
      <c r="I1251" s="6">
        <v>33.819618225097699</v>
      </c>
      <c r="J1251" s="6">
        <v>33.844223022460902</v>
      </c>
      <c r="K1251" s="6">
        <v>33.864936828613303</v>
      </c>
      <c r="L1251" s="6">
        <v>26.292587280273398</v>
      </c>
    </row>
    <row r="1252" spans="1:12" x14ac:dyDescent="0.25">
      <c r="A1252">
        <v>2309300</v>
      </c>
      <c r="B1252" t="str">
        <f t="shared" si="19"/>
        <v>NOVA RUSSAS, CE, Brasil</v>
      </c>
      <c r="C1252" s="4" t="str">
        <f>_xlfn.XLOOKUP(A1252,[1]!DadosGHD[CD_GEOCMU],[1]!DadosGHD[Região])</f>
        <v>NE</v>
      </c>
      <c r="D1252" s="4" t="str">
        <f>_xlfn.XLOOKUP(A1252,[1]!DadosGHD[CD_GEOCMU],[1]!DadosGHD[uf])</f>
        <v>CE</v>
      </c>
      <c r="E1252" s="5" t="str">
        <f>_xlfn.XLOOKUP(A1252,[1]!DadosGHD[CD_GEOCMU],[1]!DadosGHD[MUNICIPIO])</f>
        <v>NOVA RUSSAS</v>
      </c>
      <c r="F1252" s="6">
        <v>33.723194122314503</v>
      </c>
      <c r="G1252" s="6">
        <v>33.792148590087898</v>
      </c>
      <c r="H1252" s="6">
        <v>33.842636108398402</v>
      </c>
      <c r="I1252" s="6">
        <v>33.849605560302699</v>
      </c>
      <c r="J1252" s="6">
        <v>33.887660980224602</v>
      </c>
      <c r="K1252" s="6">
        <v>38.785045623779297</v>
      </c>
      <c r="L1252" s="6">
        <v>39.598518371582003</v>
      </c>
    </row>
    <row r="1253" spans="1:12" x14ac:dyDescent="0.25">
      <c r="A1253">
        <v>2516805</v>
      </c>
      <c r="B1253" t="str">
        <f t="shared" si="19"/>
        <v>TRIUNFO, PB, Brasil</v>
      </c>
      <c r="C1253" s="4" t="str">
        <f>_xlfn.XLOOKUP(A1253,[1]!DadosGHD[CD_GEOCMU],[1]!DadosGHD[Região])</f>
        <v>NE</v>
      </c>
      <c r="D1253" s="4" t="str">
        <f>_xlfn.XLOOKUP(A1253,[1]!DadosGHD[CD_GEOCMU],[1]!DadosGHD[uf])</f>
        <v>PB</v>
      </c>
      <c r="E1253" s="5" t="str">
        <f>_xlfn.XLOOKUP(A1253,[1]!DadosGHD[CD_GEOCMU],[1]!DadosGHD[MUNICIPIO])</f>
        <v>TRIUNFO</v>
      </c>
      <c r="F1253" s="6">
        <v>33.723217010498097</v>
      </c>
      <c r="G1253" s="6">
        <v>33.822052001953097</v>
      </c>
      <c r="H1253" s="6">
        <v>33.872547149658203</v>
      </c>
      <c r="I1253" s="6">
        <v>33.871433258056598</v>
      </c>
      <c r="J1253" s="6">
        <v>38.7729682922363</v>
      </c>
      <c r="K1253" s="6">
        <v>38.842723846435597</v>
      </c>
      <c r="L1253" s="6">
        <v>44.033416748046903</v>
      </c>
    </row>
    <row r="1254" spans="1:12" x14ac:dyDescent="0.25">
      <c r="A1254">
        <v>1100940</v>
      </c>
      <c r="B1254" t="str">
        <f t="shared" si="19"/>
        <v>CUJUBIM, RO, Brasil</v>
      </c>
      <c r="C1254" s="4" t="str">
        <f>_xlfn.XLOOKUP(A1254,[1]!DadosGHD[CD_GEOCMU],[1]!DadosGHD[Região])</f>
        <v>NO</v>
      </c>
      <c r="D1254" s="4" t="str">
        <f>_xlfn.XLOOKUP(A1254,[1]!DadosGHD[CD_GEOCMU],[1]!DadosGHD[uf])</f>
        <v>RO</v>
      </c>
      <c r="E1254" s="5" t="str">
        <f>_xlfn.XLOOKUP(A1254,[1]!DadosGHD[CD_GEOCMU],[1]!DadosGHD[MUNICIPIO])</f>
        <v>CUJUBIM</v>
      </c>
      <c r="F1254" s="6">
        <v>33.723320007324197</v>
      </c>
      <c r="G1254" s="6">
        <v>33.812965393066399</v>
      </c>
      <c r="H1254" s="6">
        <v>33.8450927734375</v>
      </c>
      <c r="I1254" s="6">
        <v>33.822845458984403</v>
      </c>
      <c r="J1254" s="6">
        <v>33.834556579589801</v>
      </c>
      <c r="K1254" s="6">
        <v>33.865108489990199</v>
      </c>
      <c r="L1254" s="6">
        <v>39.603061676025398</v>
      </c>
    </row>
    <row r="1255" spans="1:12" x14ac:dyDescent="0.25">
      <c r="A1255">
        <v>3130051</v>
      </c>
      <c r="B1255" t="str">
        <f t="shared" si="19"/>
        <v>ICARAI DE MINAS, MG, Brasil</v>
      </c>
      <c r="C1255" s="4" t="str">
        <f>_xlfn.XLOOKUP(A1255,[1]!DadosGHD[CD_GEOCMU],[1]!DadosGHD[Região])</f>
        <v>SD</v>
      </c>
      <c r="D1255" s="4" t="str">
        <f>_xlfn.XLOOKUP(A1255,[1]!DadosGHD[CD_GEOCMU],[1]!DadosGHD[uf])</f>
        <v>MG</v>
      </c>
      <c r="E1255" s="5" t="str">
        <f>_xlfn.XLOOKUP(A1255,[1]!DadosGHD[CD_GEOCMU],[1]!DadosGHD[MUNICIPIO])</f>
        <v>ICARAI DE MINAS</v>
      </c>
      <c r="F1255" s="6">
        <v>33.723320007324197</v>
      </c>
      <c r="G1255" s="6">
        <v>33.810104370117202</v>
      </c>
      <c r="H1255" s="6">
        <v>33.847805023193402</v>
      </c>
      <c r="I1255" s="6">
        <v>33.8239555358887</v>
      </c>
      <c r="J1255" s="6">
        <v>33.840156555175803</v>
      </c>
      <c r="K1255" s="6">
        <v>33.870849609375</v>
      </c>
      <c r="L1255" s="6">
        <v>26.293092727661101</v>
      </c>
    </row>
    <row r="1256" spans="1:12" x14ac:dyDescent="0.25">
      <c r="A1256">
        <v>2311405</v>
      </c>
      <c r="B1256" t="str">
        <f t="shared" si="19"/>
        <v>QUIXERAMOBIM, CE, Brasil</v>
      </c>
      <c r="C1256" s="4" t="str">
        <f>_xlfn.XLOOKUP(A1256,[1]!DadosGHD[CD_GEOCMU],[1]!DadosGHD[Região])</f>
        <v>NE</v>
      </c>
      <c r="D1256" s="4" t="str">
        <f>_xlfn.XLOOKUP(A1256,[1]!DadosGHD[CD_GEOCMU],[1]!DadosGHD[uf])</f>
        <v>CE</v>
      </c>
      <c r="E1256" s="5" t="str">
        <f>_xlfn.XLOOKUP(A1256,[1]!DadosGHD[CD_GEOCMU],[1]!DadosGHD[MUNICIPIO])</f>
        <v>QUIXERAMOBIM</v>
      </c>
      <c r="F1256" s="6">
        <v>33.723403930664098</v>
      </c>
      <c r="G1256" s="6">
        <v>33.828849792480497</v>
      </c>
      <c r="H1256" s="6">
        <v>38.773067474365199</v>
      </c>
      <c r="I1256" s="6">
        <v>38.755504608154297</v>
      </c>
      <c r="J1256" s="6">
        <v>38.798667907714801</v>
      </c>
      <c r="K1256" s="6">
        <v>38.856037139892599</v>
      </c>
      <c r="L1256" s="6">
        <v>44.022983551025398</v>
      </c>
    </row>
    <row r="1257" spans="1:12" x14ac:dyDescent="0.25">
      <c r="A1257">
        <v>2517001</v>
      </c>
      <c r="B1257" t="str">
        <f t="shared" si="19"/>
        <v>UMBUZEIRO, PB, Brasil</v>
      </c>
      <c r="C1257" s="4" t="str">
        <f>_xlfn.XLOOKUP(A1257,[1]!DadosGHD[CD_GEOCMU],[1]!DadosGHD[Região])</f>
        <v>NE</v>
      </c>
      <c r="D1257" s="4" t="str">
        <f>_xlfn.XLOOKUP(A1257,[1]!DadosGHD[CD_GEOCMU],[1]!DadosGHD[uf])</f>
        <v>PB</v>
      </c>
      <c r="E1257" s="5" t="str">
        <f>_xlfn.XLOOKUP(A1257,[1]!DadosGHD[CD_GEOCMU],[1]!DadosGHD[MUNICIPIO])</f>
        <v>UMBUZEIRO</v>
      </c>
      <c r="F1257" s="6">
        <v>33.723472595214801</v>
      </c>
      <c r="G1257" s="6">
        <v>28.936990737915</v>
      </c>
      <c r="H1257" s="6">
        <v>33.877555847167997</v>
      </c>
      <c r="I1257" s="6">
        <v>33.851341247558601</v>
      </c>
      <c r="J1257" s="6">
        <v>33.867717742919901</v>
      </c>
      <c r="K1257" s="6">
        <v>33.848560333252003</v>
      </c>
      <c r="L1257" s="6">
        <v>26.286798477172901</v>
      </c>
    </row>
    <row r="1258" spans="1:12" x14ac:dyDescent="0.25">
      <c r="A1258">
        <v>1101609</v>
      </c>
      <c r="B1258" t="str">
        <f t="shared" si="19"/>
        <v>THEOBROMA, RO, Brasil</v>
      </c>
      <c r="C1258" s="4" t="str">
        <f>_xlfn.XLOOKUP(A1258,[1]!DadosGHD[CD_GEOCMU],[1]!DadosGHD[Região])</f>
        <v>NO</v>
      </c>
      <c r="D1258" s="4" t="str">
        <f>_xlfn.XLOOKUP(A1258,[1]!DadosGHD[CD_GEOCMU],[1]!DadosGHD[uf])</f>
        <v>RO</v>
      </c>
      <c r="E1258" s="5" t="str">
        <f>_xlfn.XLOOKUP(A1258,[1]!DadosGHD[CD_GEOCMU],[1]!DadosGHD[MUNICIPIO])</f>
        <v>THEOBROMA</v>
      </c>
      <c r="F1258" s="6">
        <v>33.723487854003899</v>
      </c>
      <c r="G1258" s="6">
        <v>33.7648315429688</v>
      </c>
      <c r="H1258" s="6">
        <v>28.975294113159201</v>
      </c>
      <c r="I1258" s="6">
        <v>33.8456420898438</v>
      </c>
      <c r="J1258" s="6">
        <v>38.769462585449197</v>
      </c>
      <c r="K1258" s="6">
        <v>38.7950248718262</v>
      </c>
      <c r="L1258" s="6">
        <v>30.712547302246101</v>
      </c>
    </row>
    <row r="1259" spans="1:12" x14ac:dyDescent="0.25">
      <c r="A1259">
        <v>3159506</v>
      </c>
      <c r="B1259" t="str">
        <f t="shared" si="19"/>
        <v>SANTA RITA DO ITUETO, MG, Brasil</v>
      </c>
      <c r="C1259" s="4" t="str">
        <f>_xlfn.XLOOKUP(A1259,[1]!DadosGHD[CD_GEOCMU],[1]!DadosGHD[Região])</f>
        <v>SD</v>
      </c>
      <c r="D1259" s="4" t="str">
        <f>_xlfn.XLOOKUP(A1259,[1]!DadosGHD[CD_GEOCMU],[1]!DadosGHD[uf])</f>
        <v>MG</v>
      </c>
      <c r="E1259" s="5" t="str">
        <f>_xlfn.XLOOKUP(A1259,[1]!DadosGHD[CD_GEOCMU],[1]!DadosGHD[MUNICIPIO])</f>
        <v>SANTA RITA DO ITUETO</v>
      </c>
      <c r="F1259" s="6">
        <v>33.7236137390137</v>
      </c>
      <c r="G1259" s="6">
        <v>33.841945648193402</v>
      </c>
      <c r="H1259" s="6">
        <v>33.886955261230497</v>
      </c>
      <c r="I1259" s="6">
        <v>33.863414764404297</v>
      </c>
      <c r="J1259" s="6">
        <v>33.884349822998097</v>
      </c>
      <c r="K1259" s="6">
        <v>33.912330627441399</v>
      </c>
      <c r="L1259" s="6">
        <v>30.697759628295898</v>
      </c>
    </row>
    <row r="1260" spans="1:12" x14ac:dyDescent="0.25">
      <c r="A1260">
        <v>2406601</v>
      </c>
      <c r="B1260" t="str">
        <f t="shared" si="19"/>
        <v>LAGOA SALGADA, RN, Brasil</v>
      </c>
      <c r="C1260" s="4" t="str">
        <f>_xlfn.XLOOKUP(A1260,[1]!DadosGHD[CD_GEOCMU],[1]!DadosGHD[Região])</f>
        <v>NE</v>
      </c>
      <c r="D1260" s="4" t="str">
        <f>_xlfn.XLOOKUP(A1260,[1]!DadosGHD[CD_GEOCMU],[1]!DadosGHD[uf])</f>
        <v>RN</v>
      </c>
      <c r="E1260" s="5" t="str">
        <f>_xlfn.XLOOKUP(A1260,[1]!DadosGHD[CD_GEOCMU],[1]!DadosGHD[MUNICIPIO])</f>
        <v>LAGOA SALGADA</v>
      </c>
      <c r="F1260" s="6">
        <v>33.723716735839801</v>
      </c>
      <c r="G1260" s="6">
        <v>33.796211242675803</v>
      </c>
      <c r="H1260" s="6">
        <v>33.825553894042997</v>
      </c>
      <c r="I1260" s="6">
        <v>33.812686920166001</v>
      </c>
      <c r="J1260" s="6">
        <v>33.859512329101598</v>
      </c>
      <c r="K1260" s="6">
        <v>33.876167297363303</v>
      </c>
      <c r="L1260" s="6">
        <v>35.135089874267599</v>
      </c>
    </row>
    <row r="1261" spans="1:12" x14ac:dyDescent="0.25">
      <c r="A1261">
        <v>2805802</v>
      </c>
      <c r="B1261" t="str">
        <f t="shared" si="19"/>
        <v>RIACHAO DO DANTAS, SE, Brasil</v>
      </c>
      <c r="C1261" s="4" t="str">
        <f>_xlfn.XLOOKUP(A1261,[1]!DadosGHD[CD_GEOCMU],[1]!DadosGHD[Região])</f>
        <v>NE</v>
      </c>
      <c r="D1261" s="4" t="str">
        <f>_xlfn.XLOOKUP(A1261,[1]!DadosGHD[CD_GEOCMU],[1]!DadosGHD[uf])</f>
        <v>SE</v>
      </c>
      <c r="E1261" s="5" t="str">
        <f>_xlfn.XLOOKUP(A1261,[1]!DadosGHD[CD_GEOCMU],[1]!DadosGHD[MUNICIPIO])</f>
        <v>RIACHAO DO DANTAS</v>
      </c>
      <c r="F1261" s="6">
        <v>33.7237358093262</v>
      </c>
      <c r="G1261" s="6">
        <v>33.813926696777301</v>
      </c>
      <c r="H1261" s="6">
        <v>33.8762016296387</v>
      </c>
      <c r="I1261" s="6">
        <v>38.773807525634801</v>
      </c>
      <c r="J1261" s="6">
        <v>43.707553863525398</v>
      </c>
      <c r="K1261" s="6">
        <v>38.860057830810597</v>
      </c>
      <c r="L1261" s="6">
        <v>39.590824127197301</v>
      </c>
    </row>
    <row r="1262" spans="1:12" x14ac:dyDescent="0.25">
      <c r="A1262">
        <v>3302270</v>
      </c>
      <c r="B1262" t="str">
        <f t="shared" si="19"/>
        <v>JAPERI, RJ, Brasil</v>
      </c>
      <c r="C1262" s="4" t="str">
        <f>_xlfn.XLOOKUP(A1262,[1]!DadosGHD[CD_GEOCMU],[1]!DadosGHD[Região])</f>
        <v>SD</v>
      </c>
      <c r="D1262" s="4" t="str">
        <f>_xlfn.XLOOKUP(A1262,[1]!DadosGHD[CD_GEOCMU],[1]!DadosGHD[uf])</f>
        <v>RJ</v>
      </c>
      <c r="E1262" s="5" t="str">
        <f>_xlfn.XLOOKUP(A1262,[1]!DadosGHD[CD_GEOCMU],[1]!DadosGHD[MUNICIPIO])</f>
        <v>JAPERI</v>
      </c>
      <c r="F1262" s="6">
        <v>33.723770141601598</v>
      </c>
      <c r="G1262" s="6">
        <v>33.808933258056598</v>
      </c>
      <c r="H1262" s="6">
        <v>33.853736877441399</v>
      </c>
      <c r="I1262" s="6">
        <v>33.821971893310597</v>
      </c>
      <c r="J1262" s="6">
        <v>33.811813354492202</v>
      </c>
      <c r="K1262" s="6">
        <v>28.984746932983398</v>
      </c>
      <c r="L1262" s="6">
        <v>26.2801704406738</v>
      </c>
    </row>
    <row r="1263" spans="1:12" x14ac:dyDescent="0.25">
      <c r="A1263">
        <v>2108702</v>
      </c>
      <c r="B1263" t="str">
        <f t="shared" si="19"/>
        <v>PIO XII, MA, Brasil</v>
      </c>
      <c r="C1263" s="4" t="str">
        <f>_xlfn.XLOOKUP(A1263,[1]!DadosGHD[CD_GEOCMU],[1]!DadosGHD[Região])</f>
        <v>NE</v>
      </c>
      <c r="D1263" s="4" t="str">
        <f>_xlfn.XLOOKUP(A1263,[1]!DadosGHD[CD_GEOCMU],[1]!DadosGHD[uf])</f>
        <v>MA</v>
      </c>
      <c r="E1263" s="5" t="str">
        <f>_xlfn.XLOOKUP(A1263,[1]!DadosGHD[CD_GEOCMU],[1]!DadosGHD[MUNICIPIO])</f>
        <v>PIO XII</v>
      </c>
      <c r="F1263" s="6">
        <v>33.723899841308601</v>
      </c>
      <c r="G1263" s="6">
        <v>33.783985137939503</v>
      </c>
      <c r="H1263" s="6">
        <v>33.823196411132798</v>
      </c>
      <c r="I1263" s="6">
        <v>33.802341461181598</v>
      </c>
      <c r="J1263" s="6">
        <v>28.9717712402344</v>
      </c>
      <c r="K1263" s="6">
        <v>28.9932746887207</v>
      </c>
      <c r="L1263" s="6">
        <v>26.295915603637699</v>
      </c>
    </row>
    <row r="1264" spans="1:12" x14ac:dyDescent="0.25">
      <c r="A1264">
        <v>2900405</v>
      </c>
      <c r="B1264" t="str">
        <f t="shared" si="19"/>
        <v>AGUA FRIA, BA, Brasil</v>
      </c>
      <c r="C1264" s="4" t="str">
        <f>_xlfn.XLOOKUP(A1264,[1]!DadosGHD[CD_GEOCMU],[1]!DadosGHD[Região])</f>
        <v>NE</v>
      </c>
      <c r="D1264" s="4" t="str">
        <f>_xlfn.XLOOKUP(A1264,[1]!DadosGHD[CD_GEOCMU],[1]!DadosGHD[uf])</f>
        <v>BA</v>
      </c>
      <c r="E1264" s="5" t="str">
        <f>_xlfn.XLOOKUP(A1264,[1]!DadosGHD[CD_GEOCMU],[1]!DadosGHD[MUNICIPIO])</f>
        <v>AGUA FRIA</v>
      </c>
      <c r="F1264" s="6">
        <v>33.724063873291001</v>
      </c>
      <c r="G1264" s="6">
        <v>33.788166046142599</v>
      </c>
      <c r="H1264" s="6">
        <v>33.824249267578097</v>
      </c>
      <c r="I1264" s="6">
        <v>33.800933837890597</v>
      </c>
      <c r="J1264" s="6">
        <v>28.978034973144499</v>
      </c>
      <c r="K1264" s="6">
        <v>29.004734039306602</v>
      </c>
      <c r="L1264" s="6">
        <v>26.296005249023398</v>
      </c>
    </row>
    <row r="1265" spans="1:12" x14ac:dyDescent="0.25">
      <c r="A1265">
        <v>3116506</v>
      </c>
      <c r="B1265" t="str">
        <f t="shared" si="19"/>
        <v>CLARO DOS POCOES, MG, Brasil</v>
      </c>
      <c r="C1265" s="4" t="str">
        <f>_xlfn.XLOOKUP(A1265,[1]!DadosGHD[CD_GEOCMU],[1]!DadosGHD[Região])</f>
        <v>SD</v>
      </c>
      <c r="D1265" s="4" t="str">
        <f>_xlfn.XLOOKUP(A1265,[1]!DadosGHD[CD_GEOCMU],[1]!DadosGHD[uf])</f>
        <v>MG</v>
      </c>
      <c r="E1265" s="5" t="str">
        <f>_xlfn.XLOOKUP(A1265,[1]!DadosGHD[CD_GEOCMU],[1]!DadosGHD[MUNICIPIO])</f>
        <v>CLARO DOS POCOES</v>
      </c>
      <c r="F1265" s="6">
        <v>33.724178314208999</v>
      </c>
      <c r="G1265" s="6">
        <v>33.781558990478501</v>
      </c>
      <c r="H1265" s="6">
        <v>33.844497680664098</v>
      </c>
      <c r="I1265" s="6">
        <v>33.853603363037102</v>
      </c>
      <c r="J1265" s="6">
        <v>38.741714477539098</v>
      </c>
      <c r="K1265" s="6">
        <v>38.784355163574197</v>
      </c>
      <c r="L1265" s="6">
        <v>35.135009765625</v>
      </c>
    </row>
    <row r="1266" spans="1:12" x14ac:dyDescent="0.25">
      <c r="A1266">
        <v>1503077</v>
      </c>
      <c r="B1266" t="str">
        <f t="shared" si="19"/>
        <v>GARRAFAO DO NORTE, PA, Brasil</v>
      </c>
      <c r="C1266" s="4" t="str">
        <f>_xlfn.XLOOKUP(A1266,[1]!DadosGHD[CD_GEOCMU],[1]!DadosGHD[Região])</f>
        <v>NO</v>
      </c>
      <c r="D1266" s="4" t="str">
        <f>_xlfn.XLOOKUP(A1266,[1]!DadosGHD[CD_GEOCMU],[1]!DadosGHD[uf])</f>
        <v>PA</v>
      </c>
      <c r="E1266" s="5" t="str">
        <f>_xlfn.XLOOKUP(A1266,[1]!DadosGHD[CD_GEOCMU],[1]!DadosGHD[MUNICIPIO])</f>
        <v>GARRAFAO DO NORTE</v>
      </c>
      <c r="F1266" s="6">
        <v>33.724227905273402</v>
      </c>
      <c r="G1266" s="6">
        <v>33.791355133056598</v>
      </c>
      <c r="H1266" s="6">
        <v>33.828166961669901</v>
      </c>
      <c r="I1266" s="6">
        <v>33.802398681640597</v>
      </c>
      <c r="J1266" s="6">
        <v>33.822780609130902</v>
      </c>
      <c r="K1266" s="6">
        <v>33.845172882080099</v>
      </c>
      <c r="L1266" s="6">
        <v>30.7070007324219</v>
      </c>
    </row>
    <row r="1267" spans="1:12" x14ac:dyDescent="0.25">
      <c r="A1267">
        <v>2509057</v>
      </c>
      <c r="B1267" t="str">
        <f t="shared" si="19"/>
        <v>MARCACAO, PB, Brasil</v>
      </c>
      <c r="C1267" s="4" t="str">
        <f>_xlfn.XLOOKUP(A1267,[1]!DadosGHD[CD_GEOCMU],[1]!DadosGHD[Região])</f>
        <v>NE</v>
      </c>
      <c r="D1267" s="4" t="str">
        <f>_xlfn.XLOOKUP(A1267,[1]!DadosGHD[CD_GEOCMU],[1]!DadosGHD[uf])</f>
        <v>PB</v>
      </c>
      <c r="E1267" s="5" t="str">
        <f>_xlfn.XLOOKUP(A1267,[1]!DadosGHD[CD_GEOCMU],[1]!DadosGHD[MUNICIPIO])</f>
        <v>MARCACAO</v>
      </c>
      <c r="F1267" s="6">
        <v>33.724540710449197</v>
      </c>
      <c r="G1267" s="6">
        <v>33.7886772155762</v>
      </c>
      <c r="H1267" s="6">
        <v>33.818748474121101</v>
      </c>
      <c r="I1267" s="6">
        <v>33.794406890869098</v>
      </c>
      <c r="J1267" s="6">
        <v>33.833644866943402</v>
      </c>
      <c r="K1267" s="6">
        <v>33.863868713378899</v>
      </c>
      <c r="L1267" s="6">
        <v>26.2919921875</v>
      </c>
    </row>
    <row r="1268" spans="1:12" x14ac:dyDescent="0.25">
      <c r="A1268">
        <v>2112902</v>
      </c>
      <c r="B1268" t="str">
        <f t="shared" si="19"/>
        <v>VITORIA DO MEARIM, MA, Brasil</v>
      </c>
      <c r="C1268" s="4" t="str">
        <f>_xlfn.XLOOKUP(A1268,[1]!DadosGHD[CD_GEOCMU],[1]!DadosGHD[Região])</f>
        <v>NE</v>
      </c>
      <c r="D1268" s="4" t="str">
        <f>_xlfn.XLOOKUP(A1268,[1]!DadosGHD[CD_GEOCMU],[1]!DadosGHD[uf])</f>
        <v>MA</v>
      </c>
      <c r="E1268" s="5" t="str">
        <f>_xlfn.XLOOKUP(A1268,[1]!DadosGHD[CD_GEOCMU],[1]!DadosGHD[MUNICIPIO])</f>
        <v>VITORIA DO MEARIM</v>
      </c>
      <c r="F1268" s="6">
        <v>33.724552154541001</v>
      </c>
      <c r="G1268" s="6">
        <v>33.785469055175803</v>
      </c>
      <c r="H1268" s="6">
        <v>33.8184204101563</v>
      </c>
      <c r="I1268" s="6">
        <v>33.791030883789098</v>
      </c>
      <c r="J1268" s="6">
        <v>33.812198638916001</v>
      </c>
      <c r="K1268" s="6">
        <v>33.859798431396499</v>
      </c>
      <c r="L1268" s="6">
        <v>35.113235473632798</v>
      </c>
    </row>
    <row r="1269" spans="1:12" x14ac:dyDescent="0.25">
      <c r="A1269">
        <v>5103379</v>
      </c>
      <c r="B1269" t="str">
        <f t="shared" si="19"/>
        <v>COTRIGUACU, MT, Brasil</v>
      </c>
      <c r="C1269" s="4" t="str">
        <f>_xlfn.XLOOKUP(A1269,[1]!DadosGHD[CD_GEOCMU],[1]!DadosGHD[Região])</f>
        <v>CO</v>
      </c>
      <c r="D1269" s="4" t="str">
        <f>_xlfn.XLOOKUP(A1269,[1]!DadosGHD[CD_GEOCMU],[1]!DadosGHD[uf])</f>
        <v>MT</v>
      </c>
      <c r="E1269" s="5" t="str">
        <f>_xlfn.XLOOKUP(A1269,[1]!DadosGHD[CD_GEOCMU],[1]!DadosGHD[MUNICIPIO])</f>
        <v>COTRIGUACU</v>
      </c>
      <c r="F1269" s="6">
        <v>33.724594116210902</v>
      </c>
      <c r="G1269" s="6">
        <v>33.806179046630902</v>
      </c>
      <c r="H1269" s="6">
        <v>33.862522125244098</v>
      </c>
      <c r="I1269" s="6">
        <v>33.831714630127003</v>
      </c>
      <c r="J1269" s="6">
        <v>33.867973327636697</v>
      </c>
      <c r="K1269" s="6">
        <v>48.788570404052699</v>
      </c>
      <c r="L1269" s="6">
        <v>35.153400421142599</v>
      </c>
    </row>
    <row r="1270" spans="1:12" x14ac:dyDescent="0.25">
      <c r="A1270">
        <v>2101103</v>
      </c>
      <c r="B1270" t="str">
        <f t="shared" si="19"/>
        <v>AXIXA, MA, Brasil</v>
      </c>
      <c r="C1270" s="4" t="str">
        <f>_xlfn.XLOOKUP(A1270,[1]!DadosGHD[CD_GEOCMU],[1]!DadosGHD[Região])</f>
        <v>NE</v>
      </c>
      <c r="D1270" s="4" t="str">
        <f>_xlfn.XLOOKUP(A1270,[1]!DadosGHD[CD_GEOCMU],[1]!DadosGHD[uf])</f>
        <v>MA</v>
      </c>
      <c r="E1270" s="5" t="str">
        <f>_xlfn.XLOOKUP(A1270,[1]!DadosGHD[CD_GEOCMU],[1]!DadosGHD[MUNICIPIO])</f>
        <v>AXIXA</v>
      </c>
      <c r="F1270" s="6">
        <v>33.724655151367202</v>
      </c>
      <c r="G1270" s="6">
        <v>33.768337249755902</v>
      </c>
      <c r="H1270" s="6">
        <v>28.976560592651399</v>
      </c>
      <c r="I1270" s="6">
        <v>28.956275939941399</v>
      </c>
      <c r="J1270" s="6">
        <v>28.9695720672607</v>
      </c>
      <c r="K1270" s="6">
        <v>28.978767395019499</v>
      </c>
      <c r="L1270" s="6">
        <v>26.2798957824707</v>
      </c>
    </row>
    <row r="1271" spans="1:12" x14ac:dyDescent="0.25">
      <c r="A1271">
        <v>2701506</v>
      </c>
      <c r="B1271" t="str">
        <f t="shared" si="19"/>
        <v>CAMPO GRANDE, AL, Brasil</v>
      </c>
      <c r="C1271" s="4" t="str">
        <f>_xlfn.XLOOKUP(A1271,[1]!DadosGHD[CD_GEOCMU],[1]!DadosGHD[Região])</f>
        <v>NE</v>
      </c>
      <c r="D1271" s="4" t="str">
        <f>_xlfn.XLOOKUP(A1271,[1]!DadosGHD[CD_GEOCMU],[1]!DadosGHD[uf])</f>
        <v>AL</v>
      </c>
      <c r="E1271" s="5" t="str">
        <f>_xlfn.XLOOKUP(A1271,[1]!DadosGHD[CD_GEOCMU],[1]!DadosGHD[MUNICIPIO])</f>
        <v>CAMPO GRANDE</v>
      </c>
      <c r="F1271" s="6">
        <v>33.724727630615199</v>
      </c>
      <c r="G1271" s="6">
        <v>33.841438293457003</v>
      </c>
      <c r="H1271" s="6">
        <v>33.883415222167997</v>
      </c>
      <c r="I1271" s="6">
        <v>33.856075286865199</v>
      </c>
      <c r="J1271" s="6">
        <v>33.873195648193402</v>
      </c>
      <c r="K1271" s="6">
        <v>48.895713806152301</v>
      </c>
      <c r="L1271" s="6">
        <v>30.6892700195313</v>
      </c>
    </row>
    <row r="1272" spans="1:12" x14ac:dyDescent="0.25">
      <c r="A1272">
        <v>2915908</v>
      </c>
      <c r="B1272" t="str">
        <f t="shared" si="19"/>
        <v>ITANAGRA, BA, Brasil</v>
      </c>
      <c r="C1272" s="4" t="str">
        <f>_xlfn.XLOOKUP(A1272,[1]!DadosGHD[CD_GEOCMU],[1]!DadosGHD[Região])</f>
        <v>NE</v>
      </c>
      <c r="D1272" s="4" t="str">
        <f>_xlfn.XLOOKUP(A1272,[1]!DadosGHD[CD_GEOCMU],[1]!DadosGHD[uf])</f>
        <v>BA</v>
      </c>
      <c r="E1272" s="5" t="str">
        <f>_xlfn.XLOOKUP(A1272,[1]!DadosGHD[CD_GEOCMU],[1]!DadosGHD[MUNICIPIO])</f>
        <v>ITANAGRA</v>
      </c>
      <c r="F1272" s="6">
        <v>33.724777221679702</v>
      </c>
      <c r="G1272" s="6">
        <v>33.801074981689503</v>
      </c>
      <c r="H1272" s="6">
        <v>33.859409332275398</v>
      </c>
      <c r="I1272" s="6">
        <v>33.848396301269503</v>
      </c>
      <c r="J1272" s="6">
        <v>33.843650817871101</v>
      </c>
      <c r="K1272" s="6">
        <v>33.865715026855497</v>
      </c>
      <c r="L1272" s="6">
        <v>26.294218063354499</v>
      </c>
    </row>
    <row r="1273" spans="1:12" x14ac:dyDescent="0.25">
      <c r="A1273">
        <v>2110039</v>
      </c>
      <c r="B1273" t="str">
        <f t="shared" si="19"/>
        <v>SANTA LUZIA DO PARUA, MA, Brasil</v>
      </c>
      <c r="C1273" s="4" t="str">
        <f>_xlfn.XLOOKUP(A1273,[1]!DadosGHD[CD_GEOCMU],[1]!DadosGHD[Região])</f>
        <v>NE</v>
      </c>
      <c r="D1273" s="4" t="str">
        <f>_xlfn.XLOOKUP(A1273,[1]!DadosGHD[CD_GEOCMU],[1]!DadosGHD[uf])</f>
        <v>MA</v>
      </c>
      <c r="E1273" s="5" t="str">
        <f>_xlfn.XLOOKUP(A1273,[1]!DadosGHD[CD_GEOCMU],[1]!DadosGHD[MUNICIPIO])</f>
        <v>SANTA LUZIA DO PARUA</v>
      </c>
      <c r="F1273" s="6">
        <v>33.724807739257798</v>
      </c>
      <c r="G1273" s="6">
        <v>33.792469024658203</v>
      </c>
      <c r="H1273" s="6">
        <v>33.826087951660199</v>
      </c>
      <c r="I1273" s="6">
        <v>33.797645568847699</v>
      </c>
      <c r="J1273" s="6">
        <v>33.813735961914098</v>
      </c>
      <c r="K1273" s="6">
        <v>29.004711151123001</v>
      </c>
      <c r="L1273" s="6">
        <v>30.693895339965799</v>
      </c>
    </row>
    <row r="1274" spans="1:12" x14ac:dyDescent="0.25">
      <c r="A1274">
        <v>3148905</v>
      </c>
      <c r="B1274" t="str">
        <f t="shared" si="19"/>
        <v>PEDRA DO INDAIA, MG, Brasil</v>
      </c>
      <c r="C1274" s="4" t="str">
        <f>_xlfn.XLOOKUP(A1274,[1]!DadosGHD[CD_GEOCMU],[1]!DadosGHD[Região])</f>
        <v>SD</v>
      </c>
      <c r="D1274" s="4" t="str">
        <f>_xlfn.XLOOKUP(A1274,[1]!DadosGHD[CD_GEOCMU],[1]!DadosGHD[uf])</f>
        <v>MG</v>
      </c>
      <c r="E1274" s="5" t="str">
        <f>_xlfn.XLOOKUP(A1274,[1]!DadosGHD[CD_GEOCMU],[1]!DadosGHD[MUNICIPIO])</f>
        <v>PEDRA DO INDAIA</v>
      </c>
      <c r="F1274" s="6">
        <v>33.724868774414098</v>
      </c>
      <c r="G1274" s="6">
        <v>38.7166748046875</v>
      </c>
      <c r="H1274" s="6">
        <v>38.816493988037102</v>
      </c>
      <c r="I1274" s="6">
        <v>43.695999145507798</v>
      </c>
      <c r="J1274" s="6">
        <v>43.725437164306598</v>
      </c>
      <c r="K1274" s="6">
        <v>43.805809020996101</v>
      </c>
      <c r="L1274" s="6">
        <v>44.073085784912102</v>
      </c>
    </row>
    <row r="1275" spans="1:12" x14ac:dyDescent="0.25">
      <c r="A1275">
        <v>1718303</v>
      </c>
      <c r="B1275" t="str">
        <f t="shared" si="19"/>
        <v>PRAIA NORTE, TO, Brasil</v>
      </c>
      <c r="C1275" s="4" t="str">
        <f>_xlfn.XLOOKUP(A1275,[1]!DadosGHD[CD_GEOCMU],[1]!DadosGHD[Região])</f>
        <v>NO</v>
      </c>
      <c r="D1275" s="4" t="str">
        <f>_xlfn.XLOOKUP(A1275,[1]!DadosGHD[CD_GEOCMU],[1]!DadosGHD[uf])</f>
        <v>TO</v>
      </c>
      <c r="E1275" s="5" t="str">
        <f>_xlfn.XLOOKUP(A1275,[1]!DadosGHD[CD_GEOCMU],[1]!DadosGHD[MUNICIPIO])</f>
        <v>PRAIA NORTE</v>
      </c>
      <c r="F1275" s="6">
        <v>33.725055694580099</v>
      </c>
      <c r="G1275" s="6">
        <v>33.778774261474602</v>
      </c>
      <c r="H1275" s="6">
        <v>33.814178466796903</v>
      </c>
      <c r="I1275" s="6">
        <v>28.960626602172901</v>
      </c>
      <c r="J1275" s="6">
        <v>28.974920272827202</v>
      </c>
      <c r="K1275" s="6">
        <v>28.9686679840088</v>
      </c>
      <c r="L1275" s="6">
        <v>26.2798957824707</v>
      </c>
    </row>
    <row r="1276" spans="1:12" x14ac:dyDescent="0.25">
      <c r="A1276">
        <v>2911808</v>
      </c>
      <c r="B1276" t="str">
        <f t="shared" si="19"/>
        <v>GUARATINGA, BA, Brasil</v>
      </c>
      <c r="C1276" s="4" t="str">
        <f>_xlfn.XLOOKUP(A1276,[1]!DadosGHD[CD_GEOCMU],[1]!DadosGHD[Região])</f>
        <v>NE</v>
      </c>
      <c r="D1276" s="4" t="str">
        <f>_xlfn.XLOOKUP(A1276,[1]!DadosGHD[CD_GEOCMU],[1]!DadosGHD[uf])</f>
        <v>BA</v>
      </c>
      <c r="E1276" s="5" t="str">
        <f>_xlfn.XLOOKUP(A1276,[1]!DadosGHD[CD_GEOCMU],[1]!DadosGHD[MUNICIPIO])</f>
        <v>GUARATINGA</v>
      </c>
      <c r="F1276" s="6">
        <v>33.725154876708999</v>
      </c>
      <c r="G1276" s="6">
        <v>33.791286468505902</v>
      </c>
      <c r="H1276" s="6">
        <v>33.861171722412102</v>
      </c>
      <c r="I1276" s="6">
        <v>33.841259002685597</v>
      </c>
      <c r="J1276" s="6">
        <v>33.88427734375</v>
      </c>
      <c r="K1276" s="6">
        <v>38.792999267578097</v>
      </c>
      <c r="L1276" s="6">
        <v>35.155651092529297</v>
      </c>
    </row>
    <row r="1277" spans="1:12" x14ac:dyDescent="0.25">
      <c r="A1277">
        <v>2301851</v>
      </c>
      <c r="B1277" t="str">
        <f t="shared" si="19"/>
        <v>BANABUIU, CE, Brasil</v>
      </c>
      <c r="C1277" s="4" t="str">
        <f>_xlfn.XLOOKUP(A1277,[1]!DadosGHD[CD_GEOCMU],[1]!DadosGHD[Região])</f>
        <v>NE</v>
      </c>
      <c r="D1277" s="4" t="str">
        <f>_xlfn.XLOOKUP(A1277,[1]!DadosGHD[CD_GEOCMU],[1]!DadosGHD[uf])</f>
        <v>CE</v>
      </c>
      <c r="E1277" s="5" t="str">
        <f>_xlfn.XLOOKUP(A1277,[1]!DadosGHD[CD_GEOCMU],[1]!DadosGHD[MUNICIPIO])</f>
        <v>BANABUIU</v>
      </c>
      <c r="F1277" s="6">
        <v>33.725181579589801</v>
      </c>
      <c r="G1277" s="6">
        <v>33.789089202880902</v>
      </c>
      <c r="H1277" s="6">
        <v>33.837623596191399</v>
      </c>
      <c r="I1277" s="6">
        <v>33.831516265869098</v>
      </c>
      <c r="J1277" s="6">
        <v>33.887489318847699</v>
      </c>
      <c r="K1277" s="6">
        <v>33.925792694091797</v>
      </c>
      <c r="L1277" s="6">
        <v>30.719747543335</v>
      </c>
    </row>
    <row r="1278" spans="1:12" x14ac:dyDescent="0.25">
      <c r="A1278">
        <v>4323101</v>
      </c>
      <c r="B1278" t="str">
        <f t="shared" si="19"/>
        <v>VICENTE DUTRA, RS, Brasil</v>
      </c>
      <c r="C1278" s="4" t="str">
        <f>_xlfn.XLOOKUP(A1278,[1]!DadosGHD[CD_GEOCMU],[1]!DadosGHD[Região])</f>
        <v>SL</v>
      </c>
      <c r="D1278" s="4" t="str">
        <f>_xlfn.XLOOKUP(A1278,[1]!DadosGHD[CD_GEOCMU],[1]!DadosGHD[uf])</f>
        <v>RS</v>
      </c>
      <c r="E1278" s="5" t="str">
        <f>_xlfn.XLOOKUP(A1278,[1]!DadosGHD[CD_GEOCMU],[1]!DadosGHD[MUNICIPIO])</f>
        <v>VICENTE DUTRA</v>
      </c>
      <c r="F1278" s="6">
        <v>33.7252388000488</v>
      </c>
      <c r="G1278" s="6">
        <v>38.774055480957003</v>
      </c>
      <c r="H1278" s="6">
        <v>43.708187103271499</v>
      </c>
      <c r="I1278" s="6">
        <v>43.747844696044901</v>
      </c>
      <c r="J1278" s="6">
        <v>43.814361572265597</v>
      </c>
      <c r="K1278" s="6">
        <v>48.7645263671875</v>
      </c>
      <c r="L1278" s="6">
        <v>48.522502899169901</v>
      </c>
    </row>
    <row r="1279" spans="1:12" x14ac:dyDescent="0.25">
      <c r="A1279">
        <v>2901155</v>
      </c>
      <c r="B1279" t="str">
        <f t="shared" si="19"/>
        <v>AMERICA DOURADA, BA, Brasil</v>
      </c>
      <c r="C1279" s="4" t="str">
        <f>_xlfn.XLOOKUP(A1279,[1]!DadosGHD[CD_GEOCMU],[1]!DadosGHD[Região])</f>
        <v>NE</v>
      </c>
      <c r="D1279" s="4" t="str">
        <f>_xlfn.XLOOKUP(A1279,[1]!DadosGHD[CD_GEOCMU],[1]!DadosGHD[uf])</f>
        <v>BA</v>
      </c>
      <c r="E1279" s="5" t="str">
        <f>_xlfn.XLOOKUP(A1279,[1]!DadosGHD[CD_GEOCMU],[1]!DadosGHD[MUNICIPIO])</f>
        <v>AMERICA DOURADA</v>
      </c>
      <c r="F1279" s="6">
        <v>33.725265502929702</v>
      </c>
      <c r="G1279" s="6">
        <v>33.782482147216797</v>
      </c>
      <c r="H1279" s="6">
        <v>33.826999664306598</v>
      </c>
      <c r="I1279" s="6">
        <v>33.807201385498097</v>
      </c>
      <c r="J1279" s="6">
        <v>33.867927551269503</v>
      </c>
      <c r="K1279" s="6">
        <v>33.912563323974602</v>
      </c>
      <c r="L1279" s="6">
        <v>30.720531463623001</v>
      </c>
    </row>
    <row r="1280" spans="1:12" x14ac:dyDescent="0.25">
      <c r="A1280">
        <v>2922730</v>
      </c>
      <c r="B1280" t="str">
        <f t="shared" si="19"/>
        <v>NOVA FATIMA, BA, Brasil</v>
      </c>
      <c r="C1280" s="4" t="str">
        <f>_xlfn.XLOOKUP(A1280,[1]!DadosGHD[CD_GEOCMU],[1]!DadosGHD[Região])</f>
        <v>NE</v>
      </c>
      <c r="D1280" s="4" t="str">
        <f>_xlfn.XLOOKUP(A1280,[1]!DadosGHD[CD_GEOCMU],[1]!DadosGHD[uf])</f>
        <v>BA</v>
      </c>
      <c r="E1280" s="5" t="str">
        <f>_xlfn.XLOOKUP(A1280,[1]!DadosGHD[CD_GEOCMU],[1]!DadosGHD[MUNICIPIO])</f>
        <v>NOVA FATIMA</v>
      </c>
      <c r="F1280" s="6">
        <v>33.725292205810597</v>
      </c>
      <c r="G1280" s="6">
        <v>33.777870178222699</v>
      </c>
      <c r="H1280" s="6">
        <v>33.817188262939503</v>
      </c>
      <c r="I1280" s="6">
        <v>33.811351776123097</v>
      </c>
      <c r="J1280" s="6">
        <v>38.743503570556598</v>
      </c>
      <c r="K1280" s="6">
        <v>38.786476135253899</v>
      </c>
      <c r="L1280" s="6">
        <v>30.705263137817401</v>
      </c>
    </row>
    <row r="1281" spans="1:12" x14ac:dyDescent="0.25">
      <c r="A1281">
        <v>2800704</v>
      </c>
      <c r="B1281" t="str">
        <f t="shared" si="19"/>
        <v>BREJO GRANDE, SE, Brasil</v>
      </c>
      <c r="C1281" s="4" t="str">
        <f>_xlfn.XLOOKUP(A1281,[1]!DadosGHD[CD_GEOCMU],[1]!DadosGHD[Região])</f>
        <v>NE</v>
      </c>
      <c r="D1281" s="4" t="str">
        <f>_xlfn.XLOOKUP(A1281,[1]!DadosGHD[CD_GEOCMU],[1]!DadosGHD[uf])</f>
        <v>SE</v>
      </c>
      <c r="E1281" s="5" t="str">
        <f>_xlfn.XLOOKUP(A1281,[1]!DadosGHD[CD_GEOCMU],[1]!DadosGHD[MUNICIPIO])</f>
        <v>BREJO GRANDE</v>
      </c>
      <c r="F1281" s="6">
        <v>33.725490570068402</v>
      </c>
      <c r="G1281" s="6">
        <v>33.779006958007798</v>
      </c>
      <c r="H1281" s="6">
        <v>33.811580657958999</v>
      </c>
      <c r="I1281" s="6">
        <v>33.788730621337898</v>
      </c>
      <c r="J1281" s="6">
        <v>28.9762477874756</v>
      </c>
      <c r="K1281" s="6">
        <v>29.0030612945557</v>
      </c>
      <c r="L1281" s="6">
        <v>26.28395652771</v>
      </c>
    </row>
    <row r="1282" spans="1:12" x14ac:dyDescent="0.25">
      <c r="A1282">
        <v>2507408</v>
      </c>
      <c r="B1282" t="str">
        <f t="shared" si="19"/>
        <v>JERICO, PB, Brasil</v>
      </c>
      <c r="C1282" s="4" t="str">
        <f>_xlfn.XLOOKUP(A1282,[1]!DadosGHD[CD_GEOCMU],[1]!DadosGHD[Região])</f>
        <v>NE</v>
      </c>
      <c r="D1282" s="4" t="str">
        <f>_xlfn.XLOOKUP(A1282,[1]!DadosGHD[CD_GEOCMU],[1]!DadosGHD[uf])</f>
        <v>PB</v>
      </c>
      <c r="E1282" s="5" t="str">
        <f>_xlfn.XLOOKUP(A1282,[1]!DadosGHD[CD_GEOCMU],[1]!DadosGHD[MUNICIPIO])</f>
        <v>JERICO</v>
      </c>
      <c r="F1282" s="6">
        <v>33.725563049316399</v>
      </c>
      <c r="G1282" s="6">
        <v>33.779209136962898</v>
      </c>
      <c r="H1282" s="6">
        <v>33.850921630859403</v>
      </c>
      <c r="I1282" s="6">
        <v>33.854625701904297</v>
      </c>
      <c r="J1282" s="6">
        <v>33.871875762939503</v>
      </c>
      <c r="K1282" s="6">
        <v>33.8880615234375</v>
      </c>
      <c r="L1282" s="6">
        <v>30.718614578247099</v>
      </c>
    </row>
    <row r="1283" spans="1:12" x14ac:dyDescent="0.25">
      <c r="A1283">
        <v>2907103</v>
      </c>
      <c r="B1283" t="str">
        <f t="shared" si="19"/>
        <v>CARINHANHA, BA, Brasil</v>
      </c>
      <c r="C1283" s="4" t="str">
        <f>_xlfn.XLOOKUP(A1283,[1]!DadosGHD[CD_GEOCMU],[1]!DadosGHD[Região])</f>
        <v>NE</v>
      </c>
      <c r="D1283" s="4" t="str">
        <f>_xlfn.XLOOKUP(A1283,[1]!DadosGHD[CD_GEOCMU],[1]!DadosGHD[uf])</f>
        <v>BA</v>
      </c>
      <c r="E1283" s="5" t="str">
        <f>_xlfn.XLOOKUP(A1283,[1]!DadosGHD[CD_GEOCMU],[1]!DadosGHD[MUNICIPIO])</f>
        <v>CARINHANHA</v>
      </c>
      <c r="F1283" s="6">
        <v>33.7256889343262</v>
      </c>
      <c r="G1283" s="6">
        <v>33.784992218017599</v>
      </c>
      <c r="H1283" s="6">
        <v>33.832889556884801</v>
      </c>
      <c r="I1283" s="6">
        <v>33.819454193115199</v>
      </c>
      <c r="J1283" s="6">
        <v>33.864231109619098</v>
      </c>
      <c r="K1283" s="6">
        <v>33.875537872314503</v>
      </c>
      <c r="L1283" s="6">
        <v>26.299510955810501</v>
      </c>
    </row>
    <row r="1284" spans="1:12" x14ac:dyDescent="0.25">
      <c r="A1284">
        <v>4315404</v>
      </c>
      <c r="B1284" t="str">
        <f t="shared" ref="B1284:B1347" si="20">_xlfn.CONCAT(E1284, ", ", D1284, ", Brasil")</f>
        <v>REDENTORA, RS, Brasil</v>
      </c>
      <c r="C1284" s="4" t="str">
        <f>_xlfn.XLOOKUP(A1284,[1]!DadosGHD[CD_GEOCMU],[1]!DadosGHD[Região])</f>
        <v>SL</v>
      </c>
      <c r="D1284" s="4" t="str">
        <f>_xlfn.XLOOKUP(A1284,[1]!DadosGHD[CD_GEOCMU],[1]!DadosGHD[uf])</f>
        <v>RS</v>
      </c>
      <c r="E1284" s="5" t="str">
        <f>_xlfn.XLOOKUP(A1284,[1]!DadosGHD[CD_GEOCMU],[1]!DadosGHD[MUNICIPIO])</f>
        <v>REDENTORA</v>
      </c>
      <c r="F1284" s="6">
        <v>33.7257080078125</v>
      </c>
      <c r="G1284" s="6">
        <v>38.693283081054702</v>
      </c>
      <c r="H1284" s="6">
        <v>33.881744384765597</v>
      </c>
      <c r="I1284" s="6">
        <v>33.869495391845703</v>
      </c>
      <c r="J1284" s="6">
        <v>38.742012023925803</v>
      </c>
      <c r="K1284" s="6">
        <v>38.790534973144503</v>
      </c>
      <c r="L1284" s="6">
        <v>35.141822814941399</v>
      </c>
    </row>
    <row r="1285" spans="1:12" x14ac:dyDescent="0.25">
      <c r="A1285">
        <v>4107157</v>
      </c>
      <c r="B1285" t="str">
        <f t="shared" si="20"/>
        <v>DIAMANTE D'OESTE, PR, Brasil</v>
      </c>
      <c r="C1285" s="4" t="str">
        <f>_xlfn.XLOOKUP(A1285,[1]!DadosGHD[CD_GEOCMU],[1]!DadosGHD[Região])</f>
        <v>SL</v>
      </c>
      <c r="D1285" s="4" t="str">
        <f>_xlfn.XLOOKUP(A1285,[1]!DadosGHD[CD_GEOCMU],[1]!DadosGHD[uf])</f>
        <v>PR</v>
      </c>
      <c r="E1285" s="5" t="str">
        <f>_xlfn.XLOOKUP(A1285,[1]!DadosGHD[CD_GEOCMU],[1]!DadosGHD[MUNICIPIO])</f>
        <v>DIAMANTE D'OESTE</v>
      </c>
      <c r="F1285" s="6">
        <v>33.725791931152301</v>
      </c>
      <c r="G1285" s="6">
        <v>38.754718780517599</v>
      </c>
      <c r="H1285" s="6">
        <v>38.789321899414098</v>
      </c>
      <c r="I1285" s="6">
        <v>38.804634094238303</v>
      </c>
      <c r="J1285" s="6">
        <v>48.699794769287102</v>
      </c>
      <c r="K1285" s="6">
        <v>53.946372985839801</v>
      </c>
      <c r="L1285" s="6">
        <v>57.589881896972699</v>
      </c>
    </row>
    <row r="1286" spans="1:12" x14ac:dyDescent="0.25">
      <c r="A1286">
        <v>2923506</v>
      </c>
      <c r="B1286" t="str">
        <f t="shared" si="20"/>
        <v>PALMEIRAS, BA, Brasil</v>
      </c>
      <c r="C1286" s="4" t="str">
        <f>_xlfn.XLOOKUP(A1286,[1]!DadosGHD[CD_GEOCMU],[1]!DadosGHD[Região])</f>
        <v>NE</v>
      </c>
      <c r="D1286" s="4" t="str">
        <f>_xlfn.XLOOKUP(A1286,[1]!DadosGHD[CD_GEOCMU],[1]!DadosGHD[uf])</f>
        <v>BA</v>
      </c>
      <c r="E1286" s="5" t="str">
        <f>_xlfn.XLOOKUP(A1286,[1]!DadosGHD[CD_GEOCMU],[1]!DadosGHD[MUNICIPIO])</f>
        <v>PALMEIRAS</v>
      </c>
      <c r="F1286" s="6">
        <v>33.725856781005902</v>
      </c>
      <c r="G1286" s="6">
        <v>33.784385681152301</v>
      </c>
      <c r="H1286" s="6">
        <v>33.839206695556598</v>
      </c>
      <c r="I1286" s="6">
        <v>33.848762512207003</v>
      </c>
      <c r="J1286" s="6">
        <v>33.895313262939503</v>
      </c>
      <c r="K1286" s="6">
        <v>38.796291351318402</v>
      </c>
      <c r="L1286" s="6">
        <v>39.564128875732401</v>
      </c>
    </row>
    <row r="1287" spans="1:12" x14ac:dyDescent="0.25">
      <c r="A1287">
        <v>2201960</v>
      </c>
      <c r="B1287" t="str">
        <f t="shared" si="20"/>
        <v>BRASILEIRA, PI, Brasil</v>
      </c>
      <c r="C1287" s="4" t="str">
        <f>_xlfn.XLOOKUP(A1287,[1]!DadosGHD[CD_GEOCMU],[1]!DadosGHD[Região])</f>
        <v>NE</v>
      </c>
      <c r="D1287" s="4" t="str">
        <f>_xlfn.XLOOKUP(A1287,[1]!DadosGHD[CD_GEOCMU],[1]!DadosGHD[uf])</f>
        <v>PI</v>
      </c>
      <c r="E1287" s="5" t="str">
        <f>_xlfn.XLOOKUP(A1287,[1]!DadosGHD[CD_GEOCMU],[1]!DadosGHD[MUNICIPIO])</f>
        <v>BRASILEIRA</v>
      </c>
      <c r="F1287" s="6">
        <v>33.725929260253899</v>
      </c>
      <c r="G1287" s="6">
        <v>33.780033111572301</v>
      </c>
      <c r="H1287" s="6">
        <v>33.8172798156738</v>
      </c>
      <c r="I1287" s="6">
        <v>33.799800872802699</v>
      </c>
      <c r="J1287" s="6">
        <v>33.827827453613303</v>
      </c>
      <c r="K1287" s="6">
        <v>28.9686679840088</v>
      </c>
      <c r="L1287" s="6">
        <v>26.2798957824707</v>
      </c>
    </row>
    <row r="1288" spans="1:12" x14ac:dyDescent="0.25">
      <c r="A1288">
        <v>3143450</v>
      </c>
      <c r="B1288" t="str">
        <f t="shared" si="20"/>
        <v>MONTEZUMA, MG, Brasil</v>
      </c>
      <c r="C1288" s="4" t="str">
        <f>_xlfn.XLOOKUP(A1288,[1]!DadosGHD[CD_GEOCMU],[1]!DadosGHD[Região])</f>
        <v>SD</v>
      </c>
      <c r="D1288" s="4" t="str">
        <f>_xlfn.XLOOKUP(A1288,[1]!DadosGHD[CD_GEOCMU],[1]!DadosGHD[uf])</f>
        <v>MG</v>
      </c>
      <c r="E1288" s="5" t="str">
        <f>_xlfn.XLOOKUP(A1288,[1]!DadosGHD[CD_GEOCMU],[1]!DadosGHD[MUNICIPIO])</f>
        <v>MONTEZUMA</v>
      </c>
      <c r="F1288" s="6">
        <v>33.725975036621101</v>
      </c>
      <c r="G1288" s="6">
        <v>33.779762268066399</v>
      </c>
      <c r="H1288" s="6">
        <v>33.815631866455099</v>
      </c>
      <c r="I1288" s="6">
        <v>33.790042877197301</v>
      </c>
      <c r="J1288" s="6">
        <v>28.9766025543213</v>
      </c>
      <c r="K1288" s="6">
        <v>29.003217697143601</v>
      </c>
      <c r="L1288" s="6">
        <v>26.2866096496582</v>
      </c>
    </row>
    <row r="1289" spans="1:12" x14ac:dyDescent="0.25">
      <c r="A1289">
        <v>2307502</v>
      </c>
      <c r="B1289" t="str">
        <f t="shared" si="20"/>
        <v>LAVRAS DA MANGABEIRA, CE, Brasil</v>
      </c>
      <c r="C1289" s="4" t="str">
        <f>_xlfn.XLOOKUP(A1289,[1]!DadosGHD[CD_GEOCMU],[1]!DadosGHD[Região])</f>
        <v>NE</v>
      </c>
      <c r="D1289" s="4" t="str">
        <f>_xlfn.XLOOKUP(A1289,[1]!DadosGHD[CD_GEOCMU],[1]!DadosGHD[uf])</f>
        <v>CE</v>
      </c>
      <c r="E1289" s="5" t="str">
        <f>_xlfn.XLOOKUP(A1289,[1]!DadosGHD[CD_GEOCMU],[1]!DadosGHD[MUNICIPIO])</f>
        <v>LAVRAS DA MANGABEIRA</v>
      </c>
      <c r="F1289" s="6">
        <v>33.725997924804702</v>
      </c>
      <c r="G1289" s="6">
        <v>33.811080932617202</v>
      </c>
      <c r="H1289" s="6">
        <v>33.8619995117188</v>
      </c>
      <c r="I1289" s="6">
        <v>33.850936889648402</v>
      </c>
      <c r="J1289" s="6">
        <v>33.8680419921875</v>
      </c>
      <c r="K1289" s="6">
        <v>33.886417388916001</v>
      </c>
      <c r="L1289" s="6">
        <v>30.714128494262699</v>
      </c>
    </row>
    <row r="1290" spans="1:12" x14ac:dyDescent="0.25">
      <c r="A1290">
        <v>2104628</v>
      </c>
      <c r="B1290" t="str">
        <f t="shared" si="20"/>
        <v>GOVERNADOR LUIZ ROCHA, MA, Brasil</v>
      </c>
      <c r="C1290" s="4" t="str">
        <f>_xlfn.XLOOKUP(A1290,[1]!DadosGHD[CD_GEOCMU],[1]!DadosGHD[Região])</f>
        <v>NE</v>
      </c>
      <c r="D1290" s="4" t="str">
        <f>_xlfn.XLOOKUP(A1290,[1]!DadosGHD[CD_GEOCMU],[1]!DadosGHD[uf])</f>
        <v>MA</v>
      </c>
      <c r="E1290" s="5" t="str">
        <f>_xlfn.XLOOKUP(A1290,[1]!DadosGHD[CD_GEOCMU],[1]!DadosGHD[MUNICIPIO])</f>
        <v>GOVERNADOR LUIZ ROCHA</v>
      </c>
      <c r="F1290" s="6">
        <v>33.726036071777301</v>
      </c>
      <c r="G1290" s="6">
        <v>33.779651641845703</v>
      </c>
      <c r="H1290" s="6">
        <v>33.8174438476563</v>
      </c>
      <c r="I1290" s="6">
        <v>33.8101806640625</v>
      </c>
      <c r="J1290" s="6">
        <v>33.85986328125</v>
      </c>
      <c r="K1290" s="6">
        <v>33.888236999511697</v>
      </c>
      <c r="L1290" s="6">
        <v>35.152076721191399</v>
      </c>
    </row>
    <row r="1291" spans="1:12" x14ac:dyDescent="0.25">
      <c r="A1291">
        <v>2106706</v>
      </c>
      <c r="B1291" t="str">
        <f t="shared" si="20"/>
        <v>MIRADOR, MA, Brasil</v>
      </c>
      <c r="C1291" s="4" t="str">
        <f>_xlfn.XLOOKUP(A1291,[1]!DadosGHD[CD_GEOCMU],[1]!DadosGHD[Região])</f>
        <v>NE</v>
      </c>
      <c r="D1291" s="4" t="str">
        <f>_xlfn.XLOOKUP(A1291,[1]!DadosGHD[CD_GEOCMU],[1]!DadosGHD[uf])</f>
        <v>MA</v>
      </c>
      <c r="E1291" s="5" t="str">
        <f>_xlfn.XLOOKUP(A1291,[1]!DadosGHD[CD_GEOCMU],[1]!DadosGHD[MUNICIPIO])</f>
        <v>MIRADOR</v>
      </c>
      <c r="F1291" s="6">
        <v>33.726207733154297</v>
      </c>
      <c r="G1291" s="6">
        <v>33.788650512695298</v>
      </c>
      <c r="H1291" s="6">
        <v>33.831356048583999</v>
      </c>
      <c r="I1291" s="6">
        <v>33.809177398681598</v>
      </c>
      <c r="J1291" s="6">
        <v>33.829795837402301</v>
      </c>
      <c r="K1291" s="6">
        <v>33.857582092285199</v>
      </c>
      <c r="L1291" s="6">
        <v>26.293584823608398</v>
      </c>
    </row>
    <row r="1292" spans="1:12" x14ac:dyDescent="0.25">
      <c r="A1292">
        <v>2926657</v>
      </c>
      <c r="B1292" t="str">
        <f t="shared" si="20"/>
        <v>RIBEIRAO DO LARGO, BA, Brasil</v>
      </c>
      <c r="C1292" s="4" t="str">
        <f>_xlfn.XLOOKUP(A1292,[1]!DadosGHD[CD_GEOCMU],[1]!DadosGHD[Região])</f>
        <v>NE</v>
      </c>
      <c r="D1292" s="4" t="str">
        <f>_xlfn.XLOOKUP(A1292,[1]!DadosGHD[CD_GEOCMU],[1]!DadosGHD[uf])</f>
        <v>BA</v>
      </c>
      <c r="E1292" s="5" t="str">
        <f>_xlfn.XLOOKUP(A1292,[1]!DadosGHD[CD_GEOCMU],[1]!DadosGHD[MUNICIPIO])</f>
        <v>RIBEIRAO DO LARGO</v>
      </c>
      <c r="F1292" s="6">
        <v>33.726207733154297</v>
      </c>
      <c r="G1292" s="6">
        <v>33.784107208252003</v>
      </c>
      <c r="H1292" s="6">
        <v>33.840766906738303</v>
      </c>
      <c r="I1292" s="6">
        <v>33.829414367675803</v>
      </c>
      <c r="J1292" s="6">
        <v>33.858531951904297</v>
      </c>
      <c r="K1292" s="6">
        <v>33.903457641601598</v>
      </c>
      <c r="L1292" s="6">
        <v>26.2798957824707</v>
      </c>
    </row>
    <row r="1293" spans="1:12" x14ac:dyDescent="0.25">
      <c r="A1293">
        <v>2109551</v>
      </c>
      <c r="B1293" t="str">
        <f t="shared" si="20"/>
        <v>RIBAMAR FIQUENE, MA, Brasil</v>
      </c>
      <c r="C1293" s="4" t="str">
        <f>_xlfn.XLOOKUP(A1293,[1]!DadosGHD[CD_GEOCMU],[1]!DadosGHD[Região])</f>
        <v>NE</v>
      </c>
      <c r="D1293" s="4" t="str">
        <f>_xlfn.XLOOKUP(A1293,[1]!DadosGHD[CD_GEOCMU],[1]!DadosGHD[uf])</f>
        <v>MA</v>
      </c>
      <c r="E1293" s="5" t="str">
        <f>_xlfn.XLOOKUP(A1293,[1]!DadosGHD[CD_GEOCMU],[1]!DadosGHD[MUNICIPIO])</f>
        <v>RIBAMAR FIQUENE</v>
      </c>
      <c r="F1293" s="6">
        <v>33.726318359375</v>
      </c>
      <c r="G1293" s="6">
        <v>33.779876708984403</v>
      </c>
      <c r="H1293" s="6">
        <v>33.817661285400398</v>
      </c>
      <c r="I1293" s="6">
        <v>33.796276092529297</v>
      </c>
      <c r="J1293" s="6">
        <v>33.819656372070298</v>
      </c>
      <c r="K1293" s="6">
        <v>33.851119995117202</v>
      </c>
      <c r="L1293" s="6">
        <v>26.296852111816399</v>
      </c>
    </row>
    <row r="1294" spans="1:12" x14ac:dyDescent="0.25">
      <c r="A1294">
        <v>3540259</v>
      </c>
      <c r="B1294" t="str">
        <f t="shared" si="20"/>
        <v>PONTALINDA, SP, Brasil</v>
      </c>
      <c r="C1294" s="4" t="str">
        <f>_xlfn.XLOOKUP(A1294,[1]!DadosGHD[CD_GEOCMU],[1]!DadosGHD[Região])</f>
        <v>SD</v>
      </c>
      <c r="D1294" s="4" t="str">
        <f>_xlfn.XLOOKUP(A1294,[1]!DadosGHD[CD_GEOCMU],[1]!DadosGHD[uf])</f>
        <v>SP</v>
      </c>
      <c r="E1294" s="5" t="str">
        <f>_xlfn.XLOOKUP(A1294,[1]!DadosGHD[CD_GEOCMU],[1]!DadosGHD[MUNICIPIO])</f>
        <v>PONTALINDA</v>
      </c>
      <c r="F1294" s="6">
        <v>33.726325988769503</v>
      </c>
      <c r="G1294" s="6">
        <v>28.9380493164063</v>
      </c>
      <c r="H1294" s="6">
        <v>28.974758148193398</v>
      </c>
      <c r="I1294" s="6">
        <v>28.953485488891602</v>
      </c>
      <c r="J1294" s="6">
        <v>28.955713272094702</v>
      </c>
      <c r="K1294" s="6">
        <v>28.973878860473601</v>
      </c>
      <c r="L1294" s="6">
        <v>39.569622039794901</v>
      </c>
    </row>
    <row r="1295" spans="1:12" x14ac:dyDescent="0.25">
      <c r="A1295">
        <v>2109759</v>
      </c>
      <c r="B1295" t="str">
        <f t="shared" si="20"/>
        <v>SANTA FILOMENA DO MARANHAO, MA, Brasil</v>
      </c>
      <c r="C1295" s="4" t="str">
        <f>_xlfn.XLOOKUP(A1295,[1]!DadosGHD[CD_GEOCMU],[1]!DadosGHD[Região])</f>
        <v>NE</v>
      </c>
      <c r="D1295" s="4" t="str">
        <f>_xlfn.XLOOKUP(A1295,[1]!DadosGHD[CD_GEOCMU],[1]!DadosGHD[uf])</f>
        <v>MA</v>
      </c>
      <c r="E1295" s="5" t="str">
        <f>_xlfn.XLOOKUP(A1295,[1]!DadosGHD[CD_GEOCMU],[1]!DadosGHD[MUNICIPIO])</f>
        <v>SANTA FILOMENA DO MARANHAO</v>
      </c>
      <c r="F1295" s="6">
        <v>33.726444244384801</v>
      </c>
      <c r="G1295" s="6">
        <v>33.779651641845703</v>
      </c>
      <c r="H1295" s="6">
        <v>33.818119049072301</v>
      </c>
      <c r="I1295" s="6">
        <v>33.795028686523402</v>
      </c>
      <c r="J1295" s="6">
        <v>33.811733245849602</v>
      </c>
      <c r="K1295" s="6">
        <v>28.9686679840088</v>
      </c>
      <c r="L1295" s="6">
        <v>26.2798957824707</v>
      </c>
    </row>
    <row r="1296" spans="1:12" x14ac:dyDescent="0.25">
      <c r="A1296">
        <v>3145059</v>
      </c>
      <c r="B1296" t="str">
        <f t="shared" si="20"/>
        <v>NOVA PORTEIRINHA, MG, Brasil</v>
      </c>
      <c r="C1296" s="4" t="str">
        <f>_xlfn.XLOOKUP(A1296,[1]!DadosGHD[CD_GEOCMU],[1]!DadosGHD[Região])</f>
        <v>SD</v>
      </c>
      <c r="D1296" s="4" t="str">
        <f>_xlfn.XLOOKUP(A1296,[1]!DadosGHD[CD_GEOCMU],[1]!DadosGHD[uf])</f>
        <v>MG</v>
      </c>
      <c r="E1296" s="5" t="str">
        <f>_xlfn.XLOOKUP(A1296,[1]!DadosGHD[CD_GEOCMU],[1]!DadosGHD[MUNICIPIO])</f>
        <v>NOVA PORTEIRINHA</v>
      </c>
      <c r="F1296" s="6">
        <v>33.726497650146499</v>
      </c>
      <c r="G1296" s="6">
        <v>33.780441284179702</v>
      </c>
      <c r="H1296" s="6">
        <v>33.820960998535199</v>
      </c>
      <c r="I1296" s="6">
        <v>33.798580169677699</v>
      </c>
      <c r="J1296" s="6">
        <v>33.820491790771499</v>
      </c>
      <c r="K1296" s="6">
        <v>33.891014099121101</v>
      </c>
      <c r="L1296" s="6">
        <v>35.145862579345703</v>
      </c>
    </row>
    <row r="1297" spans="1:12" x14ac:dyDescent="0.25">
      <c r="A1297">
        <v>2931053</v>
      </c>
      <c r="B1297" t="str">
        <f t="shared" si="20"/>
        <v>TANQUE NOVO, BA, Brasil</v>
      </c>
      <c r="C1297" s="4" t="str">
        <f>_xlfn.XLOOKUP(A1297,[1]!DadosGHD[CD_GEOCMU],[1]!DadosGHD[Região])</f>
        <v>NE</v>
      </c>
      <c r="D1297" s="4" t="str">
        <f>_xlfn.XLOOKUP(A1297,[1]!DadosGHD[CD_GEOCMU],[1]!DadosGHD[uf])</f>
        <v>BA</v>
      </c>
      <c r="E1297" s="5" t="str">
        <f>_xlfn.XLOOKUP(A1297,[1]!DadosGHD[CD_GEOCMU],[1]!DadosGHD[MUNICIPIO])</f>
        <v>TANQUE NOVO</v>
      </c>
      <c r="F1297" s="6">
        <v>33.726894378662102</v>
      </c>
      <c r="G1297" s="6">
        <v>33.782516479492202</v>
      </c>
      <c r="H1297" s="6">
        <v>33.824256896972699</v>
      </c>
      <c r="I1297" s="6">
        <v>33.801536560058601</v>
      </c>
      <c r="J1297" s="6">
        <v>28.9756374359131</v>
      </c>
      <c r="K1297" s="6">
        <v>29.0034370422363</v>
      </c>
      <c r="L1297" s="6">
        <v>26.289232254028299</v>
      </c>
    </row>
    <row r="1298" spans="1:12" x14ac:dyDescent="0.25">
      <c r="A1298">
        <v>2908101</v>
      </c>
      <c r="B1298" t="str">
        <f t="shared" si="20"/>
        <v>COCOS, BA, Brasil</v>
      </c>
      <c r="C1298" s="4" t="str">
        <f>_xlfn.XLOOKUP(A1298,[1]!DadosGHD[CD_GEOCMU],[1]!DadosGHD[Região])</f>
        <v>NE</v>
      </c>
      <c r="D1298" s="4" t="str">
        <f>_xlfn.XLOOKUP(A1298,[1]!DadosGHD[CD_GEOCMU],[1]!DadosGHD[uf])</f>
        <v>BA</v>
      </c>
      <c r="E1298" s="5" t="str">
        <f>_xlfn.XLOOKUP(A1298,[1]!DadosGHD[CD_GEOCMU],[1]!DadosGHD[MUNICIPIO])</f>
        <v>COCOS</v>
      </c>
      <c r="F1298" s="6">
        <v>33.726902008056598</v>
      </c>
      <c r="G1298" s="6">
        <v>33.773948669433601</v>
      </c>
      <c r="H1298" s="6">
        <v>33.852081298828097</v>
      </c>
      <c r="I1298" s="6">
        <v>33.826869964599602</v>
      </c>
      <c r="J1298" s="6">
        <v>33.838768005371101</v>
      </c>
      <c r="K1298" s="6">
        <v>33.854198455810597</v>
      </c>
      <c r="L1298" s="6">
        <v>26.288019180297901</v>
      </c>
    </row>
    <row r="1299" spans="1:12" x14ac:dyDescent="0.25">
      <c r="A1299">
        <v>2912509</v>
      </c>
      <c r="B1299" t="str">
        <f t="shared" si="20"/>
        <v>IBIPITANGA, BA, Brasil</v>
      </c>
      <c r="C1299" s="4" t="str">
        <f>_xlfn.XLOOKUP(A1299,[1]!DadosGHD[CD_GEOCMU],[1]!DadosGHD[Região])</f>
        <v>NE</v>
      </c>
      <c r="D1299" s="4" t="str">
        <f>_xlfn.XLOOKUP(A1299,[1]!DadosGHD[CD_GEOCMU],[1]!DadosGHD[uf])</f>
        <v>BA</v>
      </c>
      <c r="E1299" s="5" t="str">
        <f>_xlfn.XLOOKUP(A1299,[1]!DadosGHD[CD_GEOCMU],[1]!DadosGHD[MUNICIPIO])</f>
        <v>IBIPITANGA</v>
      </c>
      <c r="F1299" s="6">
        <v>33.7269897460938</v>
      </c>
      <c r="G1299" s="6">
        <v>33.780841827392599</v>
      </c>
      <c r="H1299" s="6">
        <v>33.822006225585902</v>
      </c>
      <c r="I1299" s="6">
        <v>33.800697326660199</v>
      </c>
      <c r="J1299" s="6">
        <v>28.9770698547363</v>
      </c>
      <c r="K1299" s="6">
        <v>33.885219573974602</v>
      </c>
      <c r="L1299" s="6">
        <v>30.686632156372099</v>
      </c>
    </row>
    <row r="1300" spans="1:12" x14ac:dyDescent="0.25">
      <c r="A1300">
        <v>2103703</v>
      </c>
      <c r="B1300" t="str">
        <f t="shared" si="20"/>
        <v>CURURUPU, MA, Brasil</v>
      </c>
      <c r="C1300" s="4" t="str">
        <f>_xlfn.XLOOKUP(A1300,[1]!DadosGHD[CD_GEOCMU],[1]!DadosGHD[Região])</f>
        <v>NE</v>
      </c>
      <c r="D1300" s="4" t="str">
        <f>_xlfn.XLOOKUP(A1300,[1]!DadosGHD[CD_GEOCMU],[1]!DadosGHD[uf])</f>
        <v>MA</v>
      </c>
      <c r="E1300" s="5" t="str">
        <f>_xlfn.XLOOKUP(A1300,[1]!DadosGHD[CD_GEOCMU],[1]!DadosGHD[MUNICIPIO])</f>
        <v>CURURUPU</v>
      </c>
      <c r="F1300" s="6">
        <v>33.727012634277301</v>
      </c>
      <c r="G1300" s="6">
        <v>33.7813529968262</v>
      </c>
      <c r="H1300" s="6">
        <v>33.8133354187012</v>
      </c>
      <c r="I1300" s="6">
        <v>33.793170928955099</v>
      </c>
      <c r="J1300" s="6">
        <v>28.977857589721701</v>
      </c>
      <c r="K1300" s="6">
        <v>33.858917236328097</v>
      </c>
      <c r="L1300" s="6">
        <v>26.283262252807599</v>
      </c>
    </row>
    <row r="1301" spans="1:12" x14ac:dyDescent="0.25">
      <c r="A1301">
        <v>2201051</v>
      </c>
      <c r="B1301" t="str">
        <f t="shared" si="20"/>
        <v>ASSUNCAO DO PIAUI, PI, Brasil</v>
      </c>
      <c r="C1301" s="4" t="str">
        <f>_xlfn.XLOOKUP(A1301,[1]!DadosGHD[CD_GEOCMU],[1]!DadosGHD[Região])</f>
        <v>NE</v>
      </c>
      <c r="D1301" s="4" t="str">
        <f>_xlfn.XLOOKUP(A1301,[1]!DadosGHD[CD_GEOCMU],[1]!DadosGHD[uf])</f>
        <v>PI</v>
      </c>
      <c r="E1301" s="5" t="str">
        <f>_xlfn.XLOOKUP(A1301,[1]!DadosGHD[CD_GEOCMU],[1]!DadosGHD[MUNICIPIO])</f>
        <v>ASSUNCAO DO PIAUI</v>
      </c>
      <c r="F1301" s="6">
        <v>33.7270317077637</v>
      </c>
      <c r="G1301" s="6">
        <v>33.781604766845703</v>
      </c>
      <c r="H1301" s="6">
        <v>33.822578430175803</v>
      </c>
      <c r="I1301" s="6">
        <v>33.796306610107401</v>
      </c>
      <c r="J1301" s="6">
        <v>33.811275482177699</v>
      </c>
      <c r="K1301" s="6">
        <v>33.842826843261697</v>
      </c>
      <c r="L1301" s="6">
        <v>26.284929275512699</v>
      </c>
    </row>
    <row r="1302" spans="1:12" x14ac:dyDescent="0.25">
      <c r="A1302">
        <v>2302305</v>
      </c>
      <c r="B1302" t="str">
        <f t="shared" si="20"/>
        <v>BELA CRUZ, CE, Brasil</v>
      </c>
      <c r="C1302" s="4" t="str">
        <f>_xlfn.XLOOKUP(A1302,[1]!DadosGHD[CD_GEOCMU],[1]!DadosGHD[Região])</f>
        <v>NE</v>
      </c>
      <c r="D1302" s="4" t="str">
        <f>_xlfn.XLOOKUP(A1302,[1]!DadosGHD[CD_GEOCMU],[1]!DadosGHD[uf])</f>
        <v>CE</v>
      </c>
      <c r="E1302" s="5" t="str">
        <f>_xlfn.XLOOKUP(A1302,[1]!DadosGHD[CD_GEOCMU],[1]!DadosGHD[MUNICIPIO])</f>
        <v>BELA CRUZ</v>
      </c>
      <c r="F1302" s="6">
        <v>33.727058410644503</v>
      </c>
      <c r="G1302" s="6">
        <v>33.7882080078125</v>
      </c>
      <c r="H1302" s="6">
        <v>28.978767395019499</v>
      </c>
      <c r="I1302" s="6">
        <v>28.944808959960898</v>
      </c>
      <c r="J1302" s="6">
        <v>28.970537185668899</v>
      </c>
      <c r="K1302" s="6">
        <v>33.844062805175803</v>
      </c>
      <c r="L1302" s="6">
        <v>30.688291549682599</v>
      </c>
    </row>
    <row r="1303" spans="1:12" x14ac:dyDescent="0.25">
      <c r="A1303">
        <v>1506187</v>
      </c>
      <c r="B1303" t="str">
        <f t="shared" si="20"/>
        <v>RONDON DO PARA, PA, Brasil</v>
      </c>
      <c r="C1303" s="4" t="str">
        <f>_xlfn.XLOOKUP(A1303,[1]!DadosGHD[CD_GEOCMU],[1]!DadosGHD[Região])</f>
        <v>NO</v>
      </c>
      <c r="D1303" s="4" t="str">
        <f>_xlfn.XLOOKUP(A1303,[1]!DadosGHD[CD_GEOCMU],[1]!DadosGHD[uf])</f>
        <v>PA</v>
      </c>
      <c r="E1303" s="5" t="str">
        <f>_xlfn.XLOOKUP(A1303,[1]!DadosGHD[CD_GEOCMU],[1]!DadosGHD[MUNICIPIO])</f>
        <v>RONDON DO PARA</v>
      </c>
      <c r="F1303" s="6">
        <v>33.727184295654297</v>
      </c>
      <c r="G1303" s="6">
        <v>33.804443359375</v>
      </c>
      <c r="H1303" s="6">
        <v>33.8718872070313</v>
      </c>
      <c r="I1303" s="6">
        <v>33.840873718261697</v>
      </c>
      <c r="J1303" s="6">
        <v>33.8582153320313</v>
      </c>
      <c r="K1303" s="6">
        <v>33.906543731689503</v>
      </c>
      <c r="L1303" s="6">
        <v>35.134235382080099</v>
      </c>
    </row>
    <row r="1304" spans="1:12" x14ac:dyDescent="0.25">
      <c r="A1304">
        <v>2910701</v>
      </c>
      <c r="B1304" t="str">
        <f t="shared" si="20"/>
        <v>EUCLIDES DA CUNHA, BA, Brasil</v>
      </c>
      <c r="C1304" s="4" t="str">
        <f>_xlfn.XLOOKUP(A1304,[1]!DadosGHD[CD_GEOCMU],[1]!DadosGHD[Região])</f>
        <v>NE</v>
      </c>
      <c r="D1304" s="4" t="str">
        <f>_xlfn.XLOOKUP(A1304,[1]!DadosGHD[CD_GEOCMU],[1]!DadosGHD[uf])</f>
        <v>BA</v>
      </c>
      <c r="E1304" s="5" t="str">
        <f>_xlfn.XLOOKUP(A1304,[1]!DadosGHD[CD_GEOCMU],[1]!DadosGHD[MUNICIPIO])</f>
        <v>EUCLIDES DA CUNHA</v>
      </c>
      <c r="F1304" s="6">
        <v>33.7271919250488</v>
      </c>
      <c r="G1304" s="6">
        <v>33.812553405761697</v>
      </c>
      <c r="H1304" s="6">
        <v>33.860092163085902</v>
      </c>
      <c r="I1304" s="6">
        <v>33.8475341796875</v>
      </c>
      <c r="J1304" s="6">
        <v>33.870155334472699</v>
      </c>
      <c r="K1304" s="6">
        <v>33.902912139892599</v>
      </c>
      <c r="L1304" s="6">
        <v>30.702093124389702</v>
      </c>
    </row>
    <row r="1305" spans="1:12" x14ac:dyDescent="0.25">
      <c r="A1305">
        <v>3117603</v>
      </c>
      <c r="B1305" t="str">
        <f t="shared" si="20"/>
        <v>CONCEICAO DO PARA, MG, Brasil</v>
      </c>
      <c r="C1305" s="4" t="str">
        <f>_xlfn.XLOOKUP(A1305,[1]!DadosGHD[CD_GEOCMU],[1]!DadosGHD[Região])</f>
        <v>SD</v>
      </c>
      <c r="D1305" s="4" t="str">
        <f>_xlfn.XLOOKUP(A1305,[1]!DadosGHD[CD_GEOCMU],[1]!DadosGHD[uf])</f>
        <v>MG</v>
      </c>
      <c r="E1305" s="5" t="str">
        <f>_xlfn.XLOOKUP(A1305,[1]!DadosGHD[CD_GEOCMU],[1]!DadosGHD[MUNICIPIO])</f>
        <v>CONCEICAO DO PARA</v>
      </c>
      <c r="F1305" s="6">
        <v>33.727237701416001</v>
      </c>
      <c r="G1305" s="6">
        <v>38.752647399902301</v>
      </c>
      <c r="H1305" s="6">
        <v>38.806953430175803</v>
      </c>
      <c r="I1305" s="6">
        <v>38.783214569091797</v>
      </c>
      <c r="J1305" s="6">
        <v>38.797218322753899</v>
      </c>
      <c r="K1305" s="6">
        <v>43.851776123046903</v>
      </c>
      <c r="L1305" s="6">
        <v>53.043025970458999</v>
      </c>
    </row>
    <row r="1306" spans="1:12" x14ac:dyDescent="0.25">
      <c r="A1306">
        <v>2615409</v>
      </c>
      <c r="B1306" t="str">
        <f t="shared" si="20"/>
        <v>TORITAMA, PE, Brasil</v>
      </c>
      <c r="C1306" s="4" t="str">
        <f>_xlfn.XLOOKUP(A1306,[1]!DadosGHD[CD_GEOCMU],[1]!DadosGHD[Região])</f>
        <v>NE</v>
      </c>
      <c r="D1306" s="4" t="str">
        <f>_xlfn.XLOOKUP(A1306,[1]!DadosGHD[CD_GEOCMU],[1]!DadosGHD[uf])</f>
        <v>PE</v>
      </c>
      <c r="E1306" s="5" t="str">
        <f>_xlfn.XLOOKUP(A1306,[1]!DadosGHD[CD_GEOCMU],[1]!DadosGHD[MUNICIPIO])</f>
        <v>TORITAMA</v>
      </c>
      <c r="F1306" s="6">
        <v>33.727329254150398</v>
      </c>
      <c r="G1306" s="6">
        <v>33.796360015869098</v>
      </c>
      <c r="H1306" s="6">
        <v>33.840866088867202</v>
      </c>
      <c r="I1306" s="6">
        <v>38.715030670166001</v>
      </c>
      <c r="J1306" s="6">
        <v>33.889495849609403</v>
      </c>
      <c r="K1306" s="6">
        <v>33.912662506103501</v>
      </c>
      <c r="L1306" s="6">
        <v>35.132225036621101</v>
      </c>
    </row>
    <row r="1307" spans="1:12" x14ac:dyDescent="0.25">
      <c r="A1307">
        <v>2313807</v>
      </c>
      <c r="B1307" t="str">
        <f t="shared" si="20"/>
        <v>URUBURETAMA, CE, Brasil</v>
      </c>
      <c r="C1307" s="4" t="str">
        <f>_xlfn.XLOOKUP(A1307,[1]!DadosGHD[CD_GEOCMU],[1]!DadosGHD[Região])</f>
        <v>NE</v>
      </c>
      <c r="D1307" s="4" t="str">
        <f>_xlfn.XLOOKUP(A1307,[1]!DadosGHD[CD_GEOCMU],[1]!DadosGHD[uf])</f>
        <v>CE</v>
      </c>
      <c r="E1307" s="5" t="str">
        <f>_xlfn.XLOOKUP(A1307,[1]!DadosGHD[CD_GEOCMU],[1]!DadosGHD[MUNICIPIO])</f>
        <v>URUBURETAMA</v>
      </c>
      <c r="F1307" s="6">
        <v>33.727348327636697</v>
      </c>
      <c r="G1307" s="6">
        <v>33.792354583740199</v>
      </c>
      <c r="H1307" s="6">
        <v>33.829948425292997</v>
      </c>
      <c r="I1307" s="6">
        <v>33.804080963134801</v>
      </c>
      <c r="J1307" s="6">
        <v>33.815452575683601</v>
      </c>
      <c r="K1307" s="6">
        <v>33.847141265869098</v>
      </c>
      <c r="L1307" s="6">
        <v>26.296216964721701</v>
      </c>
    </row>
    <row r="1308" spans="1:12" x14ac:dyDescent="0.25">
      <c r="A1308">
        <v>2806107</v>
      </c>
      <c r="B1308" t="str">
        <f t="shared" si="20"/>
        <v>ROSARIO DO CATETE, SE, Brasil</v>
      </c>
      <c r="C1308" s="4" t="str">
        <f>_xlfn.XLOOKUP(A1308,[1]!DadosGHD[CD_GEOCMU],[1]!DadosGHD[Região])</f>
        <v>NE</v>
      </c>
      <c r="D1308" s="4" t="str">
        <f>_xlfn.XLOOKUP(A1308,[1]!DadosGHD[CD_GEOCMU],[1]!DadosGHD[uf])</f>
        <v>SE</v>
      </c>
      <c r="E1308" s="5" t="str">
        <f>_xlfn.XLOOKUP(A1308,[1]!DadosGHD[CD_GEOCMU],[1]!DadosGHD[MUNICIPIO])</f>
        <v>ROSARIO DO CATETE</v>
      </c>
      <c r="F1308" s="6">
        <v>33.727420806884801</v>
      </c>
      <c r="G1308" s="6">
        <v>38.730655670166001</v>
      </c>
      <c r="H1308" s="6">
        <v>38.769092559814503</v>
      </c>
      <c r="I1308" s="6">
        <v>33.851383209228501</v>
      </c>
      <c r="J1308" s="6">
        <v>38.7550659179688</v>
      </c>
      <c r="K1308" s="6">
        <v>38.787376403808601</v>
      </c>
      <c r="L1308" s="6">
        <v>39.590404510498097</v>
      </c>
    </row>
    <row r="1309" spans="1:12" x14ac:dyDescent="0.25">
      <c r="A1309">
        <v>3126505</v>
      </c>
      <c r="B1309" t="str">
        <f t="shared" si="20"/>
        <v>FRANCISCO BADARO, MG, Brasil</v>
      </c>
      <c r="C1309" s="4" t="str">
        <f>_xlfn.XLOOKUP(A1309,[1]!DadosGHD[CD_GEOCMU],[1]!DadosGHD[Região])</f>
        <v>SD</v>
      </c>
      <c r="D1309" s="4" t="str">
        <f>_xlfn.XLOOKUP(A1309,[1]!DadosGHD[CD_GEOCMU],[1]!DadosGHD[uf])</f>
        <v>MG</v>
      </c>
      <c r="E1309" s="5" t="str">
        <f>_xlfn.XLOOKUP(A1309,[1]!DadosGHD[CD_GEOCMU],[1]!DadosGHD[MUNICIPIO])</f>
        <v>FRANCISCO BADARO</v>
      </c>
      <c r="F1309" s="6">
        <v>33.7274360656738</v>
      </c>
      <c r="G1309" s="6">
        <v>33.795791625976598</v>
      </c>
      <c r="H1309" s="6">
        <v>28.978086471557599</v>
      </c>
      <c r="I1309" s="6">
        <v>28.9553318023682</v>
      </c>
      <c r="J1309" s="6">
        <v>28.9634094238281</v>
      </c>
      <c r="K1309" s="6">
        <v>33.861648559570298</v>
      </c>
      <c r="L1309" s="6">
        <v>30.717178344726602</v>
      </c>
    </row>
    <row r="1310" spans="1:12" x14ac:dyDescent="0.25">
      <c r="A1310">
        <v>2905107</v>
      </c>
      <c r="B1310" t="str">
        <f t="shared" si="20"/>
        <v>CAEM, BA, Brasil</v>
      </c>
      <c r="C1310" s="4" t="str">
        <f>_xlfn.XLOOKUP(A1310,[1]!DadosGHD[CD_GEOCMU],[1]!DadosGHD[Região])</f>
        <v>NE</v>
      </c>
      <c r="D1310" s="4" t="str">
        <f>_xlfn.XLOOKUP(A1310,[1]!DadosGHD[CD_GEOCMU],[1]!DadosGHD[uf])</f>
        <v>BA</v>
      </c>
      <c r="E1310" s="5" t="str">
        <f>_xlfn.XLOOKUP(A1310,[1]!DadosGHD[CD_GEOCMU],[1]!DadosGHD[MUNICIPIO])</f>
        <v>CAEM</v>
      </c>
      <c r="F1310" s="6">
        <v>33.727500915527301</v>
      </c>
      <c r="G1310" s="6">
        <v>33.778720855712898</v>
      </c>
      <c r="H1310" s="6">
        <v>33.8235473632813</v>
      </c>
      <c r="I1310" s="6">
        <v>33.799343109130902</v>
      </c>
      <c r="J1310" s="6">
        <v>28.9710884094238</v>
      </c>
      <c r="K1310" s="6">
        <v>28.9686679840088</v>
      </c>
      <c r="L1310" s="6">
        <v>26.287742614746101</v>
      </c>
    </row>
    <row r="1311" spans="1:12" x14ac:dyDescent="0.25">
      <c r="A1311">
        <v>4312674</v>
      </c>
      <c r="B1311" t="str">
        <f t="shared" si="20"/>
        <v>NICOLAU VERGUEIRO, RS, Brasil</v>
      </c>
      <c r="C1311" s="4" t="str">
        <f>_xlfn.XLOOKUP(A1311,[1]!DadosGHD[CD_GEOCMU],[1]!DadosGHD[Região])</f>
        <v>SL</v>
      </c>
      <c r="D1311" s="4" t="str">
        <f>_xlfn.XLOOKUP(A1311,[1]!DadosGHD[CD_GEOCMU],[1]!DadosGHD[uf])</f>
        <v>RS</v>
      </c>
      <c r="E1311" s="5" t="str">
        <f>_xlfn.XLOOKUP(A1311,[1]!DadosGHD[CD_GEOCMU],[1]!DadosGHD[MUNICIPIO])</f>
        <v>NICOLAU VERGUEIRO</v>
      </c>
      <c r="F1311" s="6">
        <v>33.727653503417997</v>
      </c>
      <c r="G1311" s="6">
        <v>48.629543304443402</v>
      </c>
      <c r="H1311" s="6">
        <v>43.790153503417997</v>
      </c>
      <c r="I1311" s="6">
        <v>38.758888244628899</v>
      </c>
      <c r="J1311" s="6">
        <v>38.766712188720703</v>
      </c>
      <c r="K1311" s="6">
        <v>38.804435729980497</v>
      </c>
      <c r="L1311" s="6">
        <v>30.7020263671875</v>
      </c>
    </row>
    <row r="1312" spans="1:12" x14ac:dyDescent="0.25">
      <c r="A1312">
        <v>3150570</v>
      </c>
      <c r="B1312" t="str">
        <f t="shared" si="20"/>
        <v>PINTOPOLIS, MG, Brasil</v>
      </c>
      <c r="C1312" s="4" t="str">
        <f>_xlfn.XLOOKUP(A1312,[1]!DadosGHD[CD_GEOCMU],[1]!DadosGHD[Região])</f>
        <v>SD</v>
      </c>
      <c r="D1312" s="4" t="str">
        <f>_xlfn.XLOOKUP(A1312,[1]!DadosGHD[CD_GEOCMU],[1]!DadosGHD[uf])</f>
        <v>MG</v>
      </c>
      <c r="E1312" s="5" t="str">
        <f>_xlfn.XLOOKUP(A1312,[1]!DadosGHD[CD_GEOCMU],[1]!DadosGHD[MUNICIPIO])</f>
        <v>PINTOPOLIS</v>
      </c>
      <c r="F1312" s="6">
        <v>33.7279243469238</v>
      </c>
      <c r="G1312" s="6">
        <v>38.685020446777301</v>
      </c>
      <c r="H1312" s="6">
        <v>33.8891410827637</v>
      </c>
      <c r="I1312" s="6">
        <v>33.798488616943402</v>
      </c>
      <c r="J1312" s="6">
        <v>33.815616607666001</v>
      </c>
      <c r="K1312" s="6">
        <v>33.8471488952637</v>
      </c>
      <c r="L1312" s="6">
        <v>26.286542892456101</v>
      </c>
    </row>
    <row r="1313" spans="1:12" x14ac:dyDescent="0.25">
      <c r="A1313">
        <v>2313708</v>
      </c>
      <c r="B1313" t="str">
        <f t="shared" si="20"/>
        <v>UMARI, CE, Brasil</v>
      </c>
      <c r="C1313" s="4" t="str">
        <f>_xlfn.XLOOKUP(A1313,[1]!DadosGHD[CD_GEOCMU],[1]!DadosGHD[Região])</f>
        <v>NE</v>
      </c>
      <c r="D1313" s="4" t="str">
        <f>_xlfn.XLOOKUP(A1313,[1]!DadosGHD[CD_GEOCMU],[1]!DadosGHD[uf])</f>
        <v>CE</v>
      </c>
      <c r="E1313" s="5" t="str">
        <f>_xlfn.XLOOKUP(A1313,[1]!DadosGHD[CD_GEOCMU],[1]!DadosGHD[MUNICIPIO])</f>
        <v>UMARI</v>
      </c>
      <c r="F1313" s="6">
        <v>33.727993011474602</v>
      </c>
      <c r="G1313" s="6">
        <v>33.783863067627003</v>
      </c>
      <c r="H1313" s="6">
        <v>33.8218994140625</v>
      </c>
      <c r="I1313" s="6">
        <v>33.7983207702637</v>
      </c>
      <c r="J1313" s="6">
        <v>33.838752746582003</v>
      </c>
      <c r="K1313" s="6">
        <v>33.923187255859403</v>
      </c>
      <c r="L1313" s="6">
        <v>35.1300048828125</v>
      </c>
    </row>
    <row r="1314" spans="1:12" x14ac:dyDescent="0.25">
      <c r="A1314">
        <v>4305504</v>
      </c>
      <c r="B1314" t="str">
        <f t="shared" si="20"/>
        <v>CIRIACO, RS, Brasil</v>
      </c>
      <c r="C1314" s="4" t="str">
        <f>_xlfn.XLOOKUP(A1314,[1]!DadosGHD[CD_GEOCMU],[1]!DadosGHD[Região])</f>
        <v>SL</v>
      </c>
      <c r="D1314" s="4" t="str">
        <f>_xlfn.XLOOKUP(A1314,[1]!DadosGHD[CD_GEOCMU],[1]!DadosGHD[uf])</f>
        <v>RS</v>
      </c>
      <c r="E1314" s="5" t="str">
        <f>_xlfn.XLOOKUP(A1314,[1]!DadosGHD[CD_GEOCMU],[1]!DadosGHD[MUNICIPIO])</f>
        <v>CIRIACO</v>
      </c>
      <c r="F1314" s="6">
        <v>33.728103637695298</v>
      </c>
      <c r="G1314" s="6">
        <v>38.767646789550803</v>
      </c>
      <c r="H1314" s="6">
        <v>38.820259094238303</v>
      </c>
      <c r="I1314" s="6">
        <v>38.805381774902301</v>
      </c>
      <c r="J1314" s="6">
        <v>48.714332580566399</v>
      </c>
      <c r="K1314" s="6">
        <v>48.793201446533203</v>
      </c>
      <c r="L1314" s="6">
        <v>48.532825469970703</v>
      </c>
    </row>
    <row r="1315" spans="1:12" x14ac:dyDescent="0.25">
      <c r="A1315">
        <v>2500809</v>
      </c>
      <c r="B1315" t="str">
        <f t="shared" si="20"/>
        <v>ARACAGI, PB, Brasil</v>
      </c>
      <c r="C1315" s="4" t="str">
        <f>_xlfn.XLOOKUP(A1315,[1]!DadosGHD[CD_GEOCMU],[1]!DadosGHD[Região])</f>
        <v>NE</v>
      </c>
      <c r="D1315" s="4" t="str">
        <f>_xlfn.XLOOKUP(A1315,[1]!DadosGHD[CD_GEOCMU],[1]!DadosGHD[uf])</f>
        <v>PB</v>
      </c>
      <c r="E1315" s="5" t="str">
        <f>_xlfn.XLOOKUP(A1315,[1]!DadosGHD[CD_GEOCMU],[1]!DadosGHD[MUNICIPIO])</f>
        <v>ARACAGI</v>
      </c>
      <c r="F1315" s="6">
        <v>33.728183746337898</v>
      </c>
      <c r="G1315" s="6">
        <v>33.787799835205099</v>
      </c>
      <c r="H1315" s="6">
        <v>33.840797424316399</v>
      </c>
      <c r="I1315" s="6">
        <v>33.817153930664098</v>
      </c>
      <c r="J1315" s="6">
        <v>28.9752597808838</v>
      </c>
      <c r="K1315" s="6">
        <v>29.002763748168899</v>
      </c>
      <c r="L1315" s="6">
        <v>30.687110900878899</v>
      </c>
    </row>
    <row r="1316" spans="1:12" x14ac:dyDescent="0.25">
      <c r="A1316">
        <v>2908408</v>
      </c>
      <c r="B1316" t="str">
        <f t="shared" si="20"/>
        <v>CONCEICAO DO COITE, BA, Brasil</v>
      </c>
      <c r="C1316" s="4" t="str">
        <f>_xlfn.XLOOKUP(A1316,[1]!DadosGHD[CD_GEOCMU],[1]!DadosGHD[Região])</f>
        <v>NE</v>
      </c>
      <c r="D1316" s="4" t="str">
        <f>_xlfn.XLOOKUP(A1316,[1]!DadosGHD[CD_GEOCMU],[1]!DadosGHD[uf])</f>
        <v>BA</v>
      </c>
      <c r="E1316" s="5" t="str">
        <f>_xlfn.XLOOKUP(A1316,[1]!DadosGHD[CD_GEOCMU],[1]!DadosGHD[MUNICIPIO])</f>
        <v>CONCEICAO DO COITE</v>
      </c>
      <c r="F1316" s="6">
        <v>33.7282905578613</v>
      </c>
      <c r="G1316" s="6">
        <v>33.811809539794901</v>
      </c>
      <c r="H1316" s="6">
        <v>33.865325927734403</v>
      </c>
      <c r="I1316" s="6">
        <v>33.842880249023402</v>
      </c>
      <c r="J1316" s="6">
        <v>33.858272552490199</v>
      </c>
      <c r="K1316" s="6">
        <v>33.905715942382798</v>
      </c>
      <c r="L1316" s="6">
        <v>30.6875400543213</v>
      </c>
    </row>
    <row r="1317" spans="1:12" x14ac:dyDescent="0.25">
      <c r="A1317">
        <v>2308302</v>
      </c>
      <c r="B1317" t="str">
        <f t="shared" si="20"/>
        <v>MILAGRES, CE, Brasil</v>
      </c>
      <c r="C1317" s="4" t="str">
        <f>_xlfn.XLOOKUP(A1317,[1]!DadosGHD[CD_GEOCMU],[1]!DadosGHD[Região])</f>
        <v>NE</v>
      </c>
      <c r="D1317" s="4" t="str">
        <f>_xlfn.XLOOKUP(A1317,[1]!DadosGHD[CD_GEOCMU],[1]!DadosGHD[uf])</f>
        <v>CE</v>
      </c>
      <c r="E1317" s="5" t="str">
        <f>_xlfn.XLOOKUP(A1317,[1]!DadosGHD[CD_GEOCMU],[1]!DadosGHD[MUNICIPIO])</f>
        <v>MILAGRES</v>
      </c>
      <c r="F1317" s="6">
        <v>33.728462219238303</v>
      </c>
      <c r="G1317" s="6">
        <v>33.809989929199197</v>
      </c>
      <c r="H1317" s="6">
        <v>33.863101959228501</v>
      </c>
      <c r="I1317" s="6">
        <v>33.857212066650398</v>
      </c>
      <c r="J1317" s="6">
        <v>33.876659393310597</v>
      </c>
      <c r="K1317" s="6">
        <v>38.801551818847699</v>
      </c>
      <c r="L1317" s="6">
        <v>39.586013793945298</v>
      </c>
    </row>
    <row r="1318" spans="1:12" x14ac:dyDescent="0.25">
      <c r="A1318">
        <v>3152204</v>
      </c>
      <c r="B1318" t="str">
        <f t="shared" si="20"/>
        <v>PORTEIRINHA, MG, Brasil</v>
      </c>
      <c r="C1318" s="4" t="str">
        <f>_xlfn.XLOOKUP(A1318,[1]!DadosGHD[CD_GEOCMU],[1]!DadosGHD[Região])</f>
        <v>SD</v>
      </c>
      <c r="D1318" s="4" t="str">
        <f>_xlfn.XLOOKUP(A1318,[1]!DadosGHD[CD_GEOCMU],[1]!DadosGHD[uf])</f>
        <v>MG</v>
      </c>
      <c r="E1318" s="5" t="str">
        <f>_xlfn.XLOOKUP(A1318,[1]!DadosGHD[CD_GEOCMU],[1]!DadosGHD[MUNICIPIO])</f>
        <v>PORTEIRINHA</v>
      </c>
      <c r="F1318" s="6">
        <v>33.728599548339801</v>
      </c>
      <c r="G1318" s="6">
        <v>33.833320617675803</v>
      </c>
      <c r="H1318" s="6">
        <v>38.742820739746101</v>
      </c>
      <c r="I1318" s="6">
        <v>38.778007507324197</v>
      </c>
      <c r="J1318" s="6">
        <v>38.776576995849602</v>
      </c>
      <c r="K1318" s="6">
        <v>38.8189086914063</v>
      </c>
      <c r="L1318" s="6">
        <v>39.572933197021499</v>
      </c>
    </row>
    <row r="1319" spans="1:12" x14ac:dyDescent="0.25">
      <c r="A1319">
        <v>2926905</v>
      </c>
      <c r="B1319" t="str">
        <f t="shared" si="20"/>
        <v>RIO DO PIRES, BA, Brasil</v>
      </c>
      <c r="C1319" s="4" t="str">
        <f>_xlfn.XLOOKUP(A1319,[1]!DadosGHD[CD_GEOCMU],[1]!DadosGHD[Região])</f>
        <v>NE</v>
      </c>
      <c r="D1319" s="4" t="str">
        <f>_xlfn.XLOOKUP(A1319,[1]!DadosGHD[CD_GEOCMU],[1]!DadosGHD[uf])</f>
        <v>BA</v>
      </c>
      <c r="E1319" s="5" t="str">
        <f>_xlfn.XLOOKUP(A1319,[1]!DadosGHD[CD_GEOCMU],[1]!DadosGHD[MUNICIPIO])</f>
        <v>RIO DO PIRES</v>
      </c>
      <c r="F1319" s="6">
        <v>33.728607177734403</v>
      </c>
      <c r="G1319" s="6">
        <v>33.773750305175803</v>
      </c>
      <c r="H1319" s="6">
        <v>33.815418243408203</v>
      </c>
      <c r="I1319" s="6">
        <v>33.791603088378899</v>
      </c>
      <c r="J1319" s="6">
        <v>28.958158493041999</v>
      </c>
      <c r="K1319" s="6">
        <v>28.985790252685501</v>
      </c>
      <c r="L1319" s="6">
        <v>26.280908584594702</v>
      </c>
    </row>
    <row r="1320" spans="1:12" x14ac:dyDescent="0.25">
      <c r="A1320">
        <v>3136603</v>
      </c>
      <c r="B1320" t="str">
        <f t="shared" si="20"/>
        <v>NOVA UNIAO, MG, Brasil</v>
      </c>
      <c r="C1320" s="4" t="str">
        <f>_xlfn.XLOOKUP(A1320,[1]!DadosGHD[CD_GEOCMU],[1]!DadosGHD[Região])</f>
        <v>SD</v>
      </c>
      <c r="D1320" s="4" t="str">
        <f>_xlfn.XLOOKUP(A1320,[1]!DadosGHD[CD_GEOCMU],[1]!DadosGHD[uf])</f>
        <v>MG</v>
      </c>
      <c r="E1320" s="5" t="str">
        <f>_xlfn.XLOOKUP(A1320,[1]!DadosGHD[CD_GEOCMU],[1]!DadosGHD[MUNICIPIO])</f>
        <v>NOVA UNIAO</v>
      </c>
      <c r="F1320" s="6">
        <v>33.728614807128899</v>
      </c>
      <c r="G1320" s="6">
        <v>33.844429016113303</v>
      </c>
      <c r="H1320" s="6">
        <v>38.799034118652301</v>
      </c>
      <c r="I1320" s="6">
        <v>38.806739807128899</v>
      </c>
      <c r="J1320" s="6">
        <v>43.720596313476598</v>
      </c>
      <c r="K1320" s="6">
        <v>43.783958435058601</v>
      </c>
      <c r="L1320" s="6">
        <v>48.5148315429688</v>
      </c>
    </row>
    <row r="1321" spans="1:12" x14ac:dyDescent="0.25">
      <c r="A1321">
        <v>2803302</v>
      </c>
      <c r="B1321" t="str">
        <f t="shared" si="20"/>
        <v>JAPARATUBA, SE, Brasil</v>
      </c>
      <c r="C1321" s="4" t="str">
        <f>_xlfn.XLOOKUP(A1321,[1]!DadosGHD[CD_GEOCMU],[1]!DadosGHD[Região])</f>
        <v>NE</v>
      </c>
      <c r="D1321" s="4" t="str">
        <f>_xlfn.XLOOKUP(A1321,[1]!DadosGHD[CD_GEOCMU],[1]!DadosGHD[uf])</f>
        <v>SE</v>
      </c>
      <c r="E1321" s="5" t="str">
        <f>_xlfn.XLOOKUP(A1321,[1]!DadosGHD[CD_GEOCMU],[1]!DadosGHD[MUNICIPIO])</f>
        <v>JAPARATUBA</v>
      </c>
      <c r="F1321" s="6">
        <v>33.728847503662102</v>
      </c>
      <c r="G1321" s="6">
        <v>33.802043914794901</v>
      </c>
      <c r="H1321" s="6">
        <v>33.836147308349602</v>
      </c>
      <c r="I1321" s="6">
        <v>33.822174072265597</v>
      </c>
      <c r="J1321" s="6">
        <v>33.847145080566399</v>
      </c>
      <c r="K1321" s="6">
        <v>33.880081176757798</v>
      </c>
      <c r="L1321" s="6">
        <v>30.6949768066406</v>
      </c>
    </row>
    <row r="1322" spans="1:12" x14ac:dyDescent="0.25">
      <c r="A1322">
        <v>1303569</v>
      </c>
      <c r="B1322" t="str">
        <f t="shared" si="20"/>
        <v>RIO PRETO DA EVA, AM, Brasil</v>
      </c>
      <c r="C1322" s="4" t="str">
        <f>_xlfn.XLOOKUP(A1322,[1]!DadosGHD[CD_GEOCMU],[1]!DadosGHD[Região])</f>
        <v>NO</v>
      </c>
      <c r="D1322" s="4" t="str">
        <f>_xlfn.XLOOKUP(A1322,[1]!DadosGHD[CD_GEOCMU],[1]!DadosGHD[uf])</f>
        <v>AM</v>
      </c>
      <c r="E1322" s="5" t="str">
        <f>_xlfn.XLOOKUP(A1322,[1]!DadosGHD[CD_GEOCMU],[1]!DadosGHD[MUNICIPIO])</f>
        <v>RIO PRETO DA EVA</v>
      </c>
      <c r="F1322" s="6">
        <v>33.728889465332003</v>
      </c>
      <c r="G1322" s="6">
        <v>33.795207977294901</v>
      </c>
      <c r="H1322" s="6">
        <v>33.816707611083999</v>
      </c>
      <c r="I1322" s="6">
        <v>33.798789978027301</v>
      </c>
      <c r="J1322" s="6">
        <v>33.842586517333999</v>
      </c>
      <c r="K1322" s="6">
        <v>33.874195098877003</v>
      </c>
      <c r="L1322" s="6">
        <v>35.124309539794901</v>
      </c>
    </row>
    <row r="1323" spans="1:12" x14ac:dyDescent="0.25">
      <c r="A1323">
        <v>2211100</v>
      </c>
      <c r="B1323" t="str">
        <f t="shared" si="20"/>
        <v>UNIAO, PI, Brasil</v>
      </c>
      <c r="C1323" s="4" t="str">
        <f>_xlfn.XLOOKUP(A1323,[1]!DadosGHD[CD_GEOCMU],[1]!DadosGHD[Região])</f>
        <v>NE</v>
      </c>
      <c r="D1323" s="4" t="str">
        <f>_xlfn.XLOOKUP(A1323,[1]!DadosGHD[CD_GEOCMU],[1]!DadosGHD[uf])</f>
        <v>PI</v>
      </c>
      <c r="E1323" s="5" t="str">
        <f>_xlfn.XLOOKUP(A1323,[1]!DadosGHD[CD_GEOCMU],[1]!DadosGHD[MUNICIPIO])</f>
        <v>UNIAO</v>
      </c>
      <c r="F1323" s="6">
        <v>33.728954315185597</v>
      </c>
      <c r="G1323" s="6">
        <v>33.792232513427699</v>
      </c>
      <c r="H1323" s="6">
        <v>33.831554412841797</v>
      </c>
      <c r="I1323" s="6">
        <v>33.811573028564503</v>
      </c>
      <c r="J1323" s="6">
        <v>33.840518951416001</v>
      </c>
      <c r="K1323" s="6">
        <v>33.889118194580099</v>
      </c>
      <c r="L1323" s="6">
        <v>30.695075988769499</v>
      </c>
    </row>
    <row r="1324" spans="1:12" x14ac:dyDescent="0.25">
      <c r="A1324">
        <v>3117836</v>
      </c>
      <c r="B1324" t="str">
        <f t="shared" si="20"/>
        <v>CONEGO MARINHO, MG, Brasil</v>
      </c>
      <c r="C1324" s="4" t="str">
        <f>_xlfn.XLOOKUP(A1324,[1]!DadosGHD[CD_GEOCMU],[1]!DadosGHD[Região])</f>
        <v>SD</v>
      </c>
      <c r="D1324" s="4" t="str">
        <f>_xlfn.XLOOKUP(A1324,[1]!DadosGHD[CD_GEOCMU],[1]!DadosGHD[uf])</f>
        <v>MG</v>
      </c>
      <c r="E1324" s="5" t="str">
        <f>_xlfn.XLOOKUP(A1324,[1]!DadosGHD[CD_GEOCMU],[1]!DadosGHD[MUNICIPIO])</f>
        <v>CONEGO MARINHO</v>
      </c>
      <c r="F1324" s="6">
        <v>33.729167938232401</v>
      </c>
      <c r="G1324" s="6">
        <v>33.782875061035199</v>
      </c>
      <c r="H1324" s="6">
        <v>33.820953369140597</v>
      </c>
      <c r="I1324" s="6">
        <v>33.7975463867188</v>
      </c>
      <c r="J1324" s="6">
        <v>33.8134956359863</v>
      </c>
      <c r="K1324" s="6">
        <v>33.844680786132798</v>
      </c>
      <c r="L1324" s="6">
        <v>35.114810943603501</v>
      </c>
    </row>
    <row r="1325" spans="1:12" x14ac:dyDescent="0.25">
      <c r="A1325">
        <v>2313559</v>
      </c>
      <c r="B1325" t="str">
        <f t="shared" si="20"/>
        <v>TURURU, CE, Brasil</v>
      </c>
      <c r="C1325" s="4" t="str">
        <f>_xlfn.XLOOKUP(A1325,[1]!DadosGHD[CD_GEOCMU],[1]!DadosGHD[Região])</f>
        <v>NE</v>
      </c>
      <c r="D1325" s="4" t="str">
        <f>_xlfn.XLOOKUP(A1325,[1]!DadosGHD[CD_GEOCMU],[1]!DadosGHD[uf])</f>
        <v>CE</v>
      </c>
      <c r="E1325" s="5" t="str">
        <f>_xlfn.XLOOKUP(A1325,[1]!DadosGHD[CD_GEOCMU],[1]!DadosGHD[MUNICIPIO])</f>
        <v>TURURU</v>
      </c>
      <c r="F1325" s="6">
        <v>33.7293090820313</v>
      </c>
      <c r="G1325" s="6">
        <v>33.781940460205099</v>
      </c>
      <c r="H1325" s="6">
        <v>33.816566467285199</v>
      </c>
      <c r="I1325" s="6">
        <v>33.797599792480497</v>
      </c>
      <c r="J1325" s="6">
        <v>33.828369140625</v>
      </c>
      <c r="K1325" s="6">
        <v>33.894229888916001</v>
      </c>
      <c r="L1325" s="6">
        <v>30.710512161254901</v>
      </c>
    </row>
    <row r="1326" spans="1:12" x14ac:dyDescent="0.25">
      <c r="A1326">
        <v>5204003</v>
      </c>
      <c r="B1326" t="str">
        <f t="shared" si="20"/>
        <v>CABECEIRAS, GO, Brasil</v>
      </c>
      <c r="C1326" s="4" t="str">
        <f>_xlfn.XLOOKUP(A1326,[1]!DadosGHD[CD_GEOCMU],[1]!DadosGHD[Região])</f>
        <v>CO</v>
      </c>
      <c r="D1326" s="4" t="str">
        <f>_xlfn.XLOOKUP(A1326,[1]!DadosGHD[CD_GEOCMU],[1]!DadosGHD[uf])</f>
        <v>GO</v>
      </c>
      <c r="E1326" s="5" t="str">
        <f>_xlfn.XLOOKUP(A1326,[1]!DadosGHD[CD_GEOCMU],[1]!DadosGHD[MUNICIPIO])</f>
        <v>CABECEIRAS</v>
      </c>
      <c r="F1326" s="6">
        <v>33.729347229003899</v>
      </c>
      <c r="G1326" s="6">
        <v>38.690586090087898</v>
      </c>
      <c r="H1326" s="6">
        <v>38.750484466552699</v>
      </c>
      <c r="I1326" s="6">
        <v>38.719551086425803</v>
      </c>
      <c r="J1326" s="6">
        <v>38.790798187255902</v>
      </c>
      <c r="K1326" s="6">
        <v>33.904655456542997</v>
      </c>
      <c r="L1326" s="6">
        <v>35.127529144287102</v>
      </c>
    </row>
    <row r="1327" spans="1:12" x14ac:dyDescent="0.25">
      <c r="A1327">
        <v>2113009</v>
      </c>
      <c r="B1327" t="str">
        <f t="shared" si="20"/>
        <v>VITORINO FREIRE, MA, Brasil</v>
      </c>
      <c r="C1327" s="4" t="str">
        <f>_xlfn.XLOOKUP(A1327,[1]!DadosGHD[CD_GEOCMU],[1]!DadosGHD[Região])</f>
        <v>NE</v>
      </c>
      <c r="D1327" s="4" t="str">
        <f>_xlfn.XLOOKUP(A1327,[1]!DadosGHD[CD_GEOCMU],[1]!DadosGHD[uf])</f>
        <v>MA</v>
      </c>
      <c r="E1327" s="5" t="str">
        <f>_xlfn.XLOOKUP(A1327,[1]!DadosGHD[CD_GEOCMU],[1]!DadosGHD[MUNICIPIO])</f>
        <v>VITORINO FREIRE</v>
      </c>
      <c r="F1327" s="6">
        <v>33.729454040527301</v>
      </c>
      <c r="G1327" s="6">
        <v>33.794795989990199</v>
      </c>
      <c r="H1327" s="6">
        <v>33.8228759765625</v>
      </c>
      <c r="I1327" s="6">
        <v>33.804721832275398</v>
      </c>
      <c r="J1327" s="6">
        <v>33.845367431640597</v>
      </c>
      <c r="K1327" s="6">
        <v>33.8932914733887</v>
      </c>
      <c r="L1327" s="6">
        <v>30.703748703002901</v>
      </c>
    </row>
    <row r="1328" spans="1:12" x14ac:dyDescent="0.25">
      <c r="A1328">
        <v>5211404</v>
      </c>
      <c r="B1328" t="str">
        <f t="shared" si="20"/>
        <v>ITAUCU, GO, Brasil</v>
      </c>
      <c r="C1328" s="4" t="str">
        <f>_xlfn.XLOOKUP(A1328,[1]!DadosGHD[CD_GEOCMU],[1]!DadosGHD[Região])</f>
        <v>CO</v>
      </c>
      <c r="D1328" s="4" t="str">
        <f>_xlfn.XLOOKUP(A1328,[1]!DadosGHD[CD_GEOCMU],[1]!DadosGHD[uf])</f>
        <v>GO</v>
      </c>
      <c r="E1328" s="5" t="str">
        <f>_xlfn.XLOOKUP(A1328,[1]!DadosGHD[CD_GEOCMU],[1]!DadosGHD[MUNICIPIO])</f>
        <v>ITAUCU</v>
      </c>
      <c r="F1328" s="6">
        <v>33.729721069335902</v>
      </c>
      <c r="G1328" s="6">
        <v>33.831794738769503</v>
      </c>
      <c r="H1328" s="6">
        <v>38.741443634033203</v>
      </c>
      <c r="I1328" s="6">
        <v>33.849395751953097</v>
      </c>
      <c r="J1328" s="6">
        <v>33.850883483886697</v>
      </c>
      <c r="K1328" s="6">
        <v>33.871803283691399</v>
      </c>
      <c r="L1328" s="6">
        <v>30.713901519775401</v>
      </c>
    </row>
    <row r="1329" spans="1:12" x14ac:dyDescent="0.25">
      <c r="A1329">
        <v>2918209</v>
      </c>
      <c r="B1329" t="str">
        <f t="shared" si="20"/>
        <v>JIQUIRICA, BA, Brasil</v>
      </c>
      <c r="C1329" s="4" t="str">
        <f>_xlfn.XLOOKUP(A1329,[1]!DadosGHD[CD_GEOCMU],[1]!DadosGHD[Região])</f>
        <v>NE</v>
      </c>
      <c r="D1329" s="4" t="str">
        <f>_xlfn.XLOOKUP(A1329,[1]!DadosGHD[CD_GEOCMU],[1]!DadosGHD[uf])</f>
        <v>BA</v>
      </c>
      <c r="E1329" s="5" t="str">
        <f>_xlfn.XLOOKUP(A1329,[1]!DadosGHD[CD_GEOCMU],[1]!DadosGHD[MUNICIPIO])</f>
        <v>JIQUIRICA</v>
      </c>
      <c r="F1329" s="6">
        <v>33.729808807373097</v>
      </c>
      <c r="G1329" s="6">
        <v>33.784408569335902</v>
      </c>
      <c r="H1329" s="6">
        <v>33.8465385437012</v>
      </c>
      <c r="I1329" s="6">
        <v>33.821887969970703</v>
      </c>
      <c r="J1329" s="6">
        <v>33.866020202636697</v>
      </c>
      <c r="K1329" s="6">
        <v>33.890186309814503</v>
      </c>
      <c r="L1329" s="6">
        <v>30.695310592651399</v>
      </c>
    </row>
    <row r="1330" spans="1:12" x14ac:dyDescent="0.25">
      <c r="A1330">
        <v>2920106</v>
      </c>
      <c r="B1330" t="str">
        <f t="shared" si="20"/>
        <v>MAIRI, BA, Brasil</v>
      </c>
      <c r="C1330" s="4" t="str">
        <f>_xlfn.XLOOKUP(A1330,[1]!DadosGHD[CD_GEOCMU],[1]!DadosGHD[Região])</f>
        <v>NE</v>
      </c>
      <c r="D1330" s="4" t="str">
        <f>_xlfn.XLOOKUP(A1330,[1]!DadosGHD[CD_GEOCMU],[1]!DadosGHD[uf])</f>
        <v>BA</v>
      </c>
      <c r="E1330" s="5" t="str">
        <f>_xlfn.XLOOKUP(A1330,[1]!DadosGHD[CD_GEOCMU],[1]!DadosGHD[MUNICIPIO])</f>
        <v>MAIRI</v>
      </c>
      <c r="F1330" s="6">
        <v>33.7299613952637</v>
      </c>
      <c r="G1330" s="6">
        <v>33.788612365722699</v>
      </c>
      <c r="H1330" s="6">
        <v>33.847194671630902</v>
      </c>
      <c r="I1330" s="6">
        <v>33.819957733154297</v>
      </c>
      <c r="J1330" s="6">
        <v>33.8595581054688</v>
      </c>
      <c r="K1330" s="6">
        <v>33.895023345947301</v>
      </c>
      <c r="L1330" s="6">
        <v>30.7165927886963</v>
      </c>
    </row>
    <row r="1331" spans="1:12" x14ac:dyDescent="0.25">
      <c r="A1331">
        <v>2112803</v>
      </c>
      <c r="B1331" t="str">
        <f t="shared" si="20"/>
        <v>VIANA, MA, Brasil</v>
      </c>
      <c r="C1331" s="4" t="str">
        <f>_xlfn.XLOOKUP(A1331,[1]!DadosGHD[CD_GEOCMU],[1]!DadosGHD[Região])</f>
        <v>NE</v>
      </c>
      <c r="D1331" s="4" t="str">
        <f>_xlfn.XLOOKUP(A1331,[1]!DadosGHD[CD_GEOCMU],[1]!DadosGHD[uf])</f>
        <v>MA</v>
      </c>
      <c r="E1331" s="5" t="str">
        <f>_xlfn.XLOOKUP(A1331,[1]!DadosGHD[CD_GEOCMU],[1]!DadosGHD[MUNICIPIO])</f>
        <v>VIANA</v>
      </c>
      <c r="F1331" s="6">
        <v>33.729965209960902</v>
      </c>
      <c r="G1331" s="6">
        <v>33.790939331054702</v>
      </c>
      <c r="H1331" s="6">
        <v>33.826969146728501</v>
      </c>
      <c r="I1331" s="6">
        <v>33.811672210693402</v>
      </c>
      <c r="J1331" s="6">
        <v>33.829967498779297</v>
      </c>
      <c r="K1331" s="6">
        <v>33.857761383056598</v>
      </c>
      <c r="L1331" s="6">
        <v>30.692560195922901</v>
      </c>
    </row>
    <row r="1332" spans="1:12" x14ac:dyDescent="0.25">
      <c r="A1332">
        <v>2500775</v>
      </c>
      <c r="B1332" t="str">
        <f t="shared" si="20"/>
        <v>APARECIDA, PB, Brasil</v>
      </c>
      <c r="C1332" s="4" t="str">
        <f>_xlfn.XLOOKUP(A1332,[1]!DadosGHD[CD_GEOCMU],[1]!DadosGHD[Região])</f>
        <v>NE</v>
      </c>
      <c r="D1332" s="4" t="str">
        <f>_xlfn.XLOOKUP(A1332,[1]!DadosGHD[CD_GEOCMU],[1]!DadosGHD[uf])</f>
        <v>PB</v>
      </c>
      <c r="E1332" s="5" t="str">
        <f>_xlfn.XLOOKUP(A1332,[1]!DadosGHD[CD_GEOCMU],[1]!DadosGHD[MUNICIPIO])</f>
        <v>APARECIDA</v>
      </c>
      <c r="F1332" s="6">
        <v>33.730014801025398</v>
      </c>
      <c r="G1332" s="6">
        <v>33.788028717041001</v>
      </c>
      <c r="H1332" s="6">
        <v>33.828422546386697</v>
      </c>
      <c r="I1332" s="6">
        <v>33.859878540039098</v>
      </c>
      <c r="J1332" s="6">
        <v>38.741950988769503</v>
      </c>
      <c r="K1332" s="6">
        <v>38.782646179199197</v>
      </c>
      <c r="L1332" s="6">
        <v>39.564926147460902</v>
      </c>
    </row>
    <row r="1333" spans="1:12" x14ac:dyDescent="0.25">
      <c r="A1333">
        <v>2608008</v>
      </c>
      <c r="B1333" t="str">
        <f t="shared" si="20"/>
        <v>JATAUBA, PE, Brasil</v>
      </c>
      <c r="C1333" s="4" t="str">
        <f>_xlfn.XLOOKUP(A1333,[1]!DadosGHD[CD_GEOCMU],[1]!DadosGHD[Região])</f>
        <v>NE</v>
      </c>
      <c r="D1333" s="4" t="str">
        <f>_xlfn.XLOOKUP(A1333,[1]!DadosGHD[CD_GEOCMU],[1]!DadosGHD[uf])</f>
        <v>PE</v>
      </c>
      <c r="E1333" s="5" t="str">
        <f>_xlfn.XLOOKUP(A1333,[1]!DadosGHD[CD_GEOCMU],[1]!DadosGHD[MUNICIPIO])</f>
        <v>JATAUBA</v>
      </c>
      <c r="F1333" s="6">
        <v>33.730152130127003</v>
      </c>
      <c r="G1333" s="6">
        <v>33.773990631103501</v>
      </c>
      <c r="H1333" s="6">
        <v>28.94313621521</v>
      </c>
      <c r="I1333" s="6">
        <v>28.925045013427699</v>
      </c>
      <c r="J1333" s="6">
        <v>28.941083908081101</v>
      </c>
      <c r="K1333" s="6">
        <v>28.9713020324707</v>
      </c>
      <c r="L1333" s="6">
        <v>26.2996711730957</v>
      </c>
    </row>
    <row r="1334" spans="1:12" x14ac:dyDescent="0.25">
      <c r="A1334">
        <v>2929255</v>
      </c>
      <c r="B1334" t="str">
        <f t="shared" si="20"/>
        <v>SAO GABRIEL, BA, Brasil</v>
      </c>
      <c r="C1334" s="4" t="str">
        <f>_xlfn.XLOOKUP(A1334,[1]!DadosGHD[CD_GEOCMU],[1]!DadosGHD[Região])</f>
        <v>NE</v>
      </c>
      <c r="D1334" s="4" t="str">
        <f>_xlfn.XLOOKUP(A1334,[1]!DadosGHD[CD_GEOCMU],[1]!DadosGHD[uf])</f>
        <v>BA</v>
      </c>
      <c r="E1334" s="5" t="str">
        <f>_xlfn.XLOOKUP(A1334,[1]!DadosGHD[CD_GEOCMU],[1]!DadosGHD[MUNICIPIO])</f>
        <v>SAO GABRIEL</v>
      </c>
      <c r="F1334" s="6">
        <v>33.730178833007798</v>
      </c>
      <c r="G1334" s="6">
        <v>33.790370941162102</v>
      </c>
      <c r="H1334" s="6">
        <v>33.855995178222699</v>
      </c>
      <c r="I1334" s="6">
        <v>38.759738922119098</v>
      </c>
      <c r="J1334" s="6">
        <v>43.7183837890625</v>
      </c>
      <c r="K1334" s="6">
        <v>48.803077697753899</v>
      </c>
      <c r="L1334" s="6">
        <v>57.522991180419901</v>
      </c>
    </row>
    <row r="1335" spans="1:12" x14ac:dyDescent="0.25">
      <c r="A1335">
        <v>2604700</v>
      </c>
      <c r="B1335" t="str">
        <f t="shared" si="20"/>
        <v>CORRENTES, PE, Brasil</v>
      </c>
      <c r="C1335" s="4" t="str">
        <f>_xlfn.XLOOKUP(A1335,[1]!DadosGHD[CD_GEOCMU],[1]!DadosGHD[Região])</f>
        <v>NE</v>
      </c>
      <c r="D1335" s="4" t="str">
        <f>_xlfn.XLOOKUP(A1335,[1]!DadosGHD[CD_GEOCMU],[1]!DadosGHD[uf])</f>
        <v>PE</v>
      </c>
      <c r="E1335" s="5" t="str">
        <f>_xlfn.XLOOKUP(A1335,[1]!DadosGHD[CD_GEOCMU],[1]!DadosGHD[MUNICIPIO])</f>
        <v>CORRENTES</v>
      </c>
      <c r="F1335" s="6">
        <v>33.730258941650398</v>
      </c>
      <c r="G1335" s="6">
        <v>33.7944946289063</v>
      </c>
      <c r="H1335" s="6">
        <v>33.8564262390137</v>
      </c>
      <c r="I1335" s="6">
        <v>33.817043304443402</v>
      </c>
      <c r="J1335" s="6">
        <v>33.8410453796387</v>
      </c>
      <c r="K1335" s="6">
        <v>33.845005035400398</v>
      </c>
      <c r="L1335" s="6">
        <v>30.691572189331101</v>
      </c>
    </row>
    <row r="1336" spans="1:12" x14ac:dyDescent="0.25">
      <c r="A1336">
        <v>2504157</v>
      </c>
      <c r="B1336" t="str">
        <f t="shared" si="20"/>
        <v>CASSERENGUE, PB, Brasil</v>
      </c>
      <c r="C1336" s="4" t="str">
        <f>_xlfn.XLOOKUP(A1336,[1]!DadosGHD[CD_GEOCMU],[1]!DadosGHD[Região])</f>
        <v>NE</v>
      </c>
      <c r="D1336" s="4" t="str">
        <f>_xlfn.XLOOKUP(A1336,[1]!DadosGHD[CD_GEOCMU],[1]!DadosGHD[uf])</f>
        <v>PB</v>
      </c>
      <c r="E1336" s="5" t="str">
        <f>_xlfn.XLOOKUP(A1336,[1]!DadosGHD[CD_GEOCMU],[1]!DadosGHD[MUNICIPIO])</f>
        <v>CASSERENGUE</v>
      </c>
      <c r="F1336" s="6">
        <v>33.730281829833999</v>
      </c>
      <c r="G1336" s="6">
        <v>33.794231414794901</v>
      </c>
      <c r="H1336" s="6">
        <v>38.767368316650398</v>
      </c>
      <c r="I1336" s="6">
        <v>38.754734039306598</v>
      </c>
      <c r="J1336" s="6">
        <v>38.777748107910199</v>
      </c>
      <c r="K1336" s="6">
        <v>33.8930854797363</v>
      </c>
      <c r="L1336" s="6">
        <v>30.7093200683594</v>
      </c>
    </row>
    <row r="1337" spans="1:12" x14ac:dyDescent="0.25">
      <c r="A1337">
        <v>2903607</v>
      </c>
      <c r="B1337" t="str">
        <f t="shared" si="20"/>
        <v>BIRITINGA, BA, Brasil</v>
      </c>
      <c r="C1337" s="4" t="str">
        <f>_xlfn.XLOOKUP(A1337,[1]!DadosGHD[CD_GEOCMU],[1]!DadosGHD[Região])</f>
        <v>NE</v>
      </c>
      <c r="D1337" s="4" t="str">
        <f>_xlfn.XLOOKUP(A1337,[1]!DadosGHD[CD_GEOCMU],[1]!DadosGHD[uf])</f>
        <v>BA</v>
      </c>
      <c r="E1337" s="5" t="str">
        <f>_xlfn.XLOOKUP(A1337,[1]!DadosGHD[CD_GEOCMU],[1]!DadosGHD[MUNICIPIO])</f>
        <v>BIRITINGA</v>
      </c>
      <c r="F1337" s="6">
        <v>33.730316162109403</v>
      </c>
      <c r="G1337" s="6">
        <v>33.803237915039098</v>
      </c>
      <c r="H1337" s="6">
        <v>33.846706390380902</v>
      </c>
      <c r="I1337" s="6">
        <v>33.824016571044901</v>
      </c>
      <c r="J1337" s="6">
        <v>33.847454071044901</v>
      </c>
      <c r="K1337" s="6">
        <v>28.9886875152588</v>
      </c>
      <c r="L1337" s="6">
        <v>26.282110214233398</v>
      </c>
    </row>
    <row r="1338" spans="1:12" x14ac:dyDescent="0.25">
      <c r="A1338">
        <v>2704401</v>
      </c>
      <c r="B1338" t="str">
        <f t="shared" si="20"/>
        <v>MAJOR ISIDORO, AL, Brasil</v>
      </c>
      <c r="C1338" s="4" t="str">
        <f>_xlfn.XLOOKUP(A1338,[1]!DadosGHD[CD_GEOCMU],[1]!DadosGHD[Região])</f>
        <v>NE</v>
      </c>
      <c r="D1338" s="4" t="str">
        <f>_xlfn.XLOOKUP(A1338,[1]!DadosGHD[CD_GEOCMU],[1]!DadosGHD[uf])</f>
        <v>AL</v>
      </c>
      <c r="E1338" s="5" t="str">
        <f>_xlfn.XLOOKUP(A1338,[1]!DadosGHD[CD_GEOCMU],[1]!DadosGHD[MUNICIPIO])</f>
        <v>MAJOR ISIDORO</v>
      </c>
      <c r="F1338" s="6">
        <v>33.730350494384801</v>
      </c>
      <c r="G1338" s="6">
        <v>33.792781829833999</v>
      </c>
      <c r="H1338" s="6">
        <v>33.838817596435597</v>
      </c>
      <c r="I1338" s="6">
        <v>33.825607299804702</v>
      </c>
      <c r="J1338" s="6">
        <v>33.8453979492188</v>
      </c>
      <c r="K1338" s="6">
        <v>33.916866302490199</v>
      </c>
      <c r="L1338" s="6">
        <v>26.298332214355501</v>
      </c>
    </row>
    <row r="1339" spans="1:12" x14ac:dyDescent="0.25">
      <c r="A1339">
        <v>2501401</v>
      </c>
      <c r="B1339" t="str">
        <f t="shared" si="20"/>
        <v>BAIA DA TRAICAO, PB, Brasil</v>
      </c>
      <c r="C1339" s="4" t="str">
        <f>_xlfn.XLOOKUP(A1339,[1]!DadosGHD[CD_GEOCMU],[1]!DadosGHD[Região])</f>
        <v>NE</v>
      </c>
      <c r="D1339" s="4" t="str">
        <f>_xlfn.XLOOKUP(A1339,[1]!DadosGHD[CD_GEOCMU],[1]!DadosGHD[uf])</f>
        <v>PB</v>
      </c>
      <c r="E1339" s="5" t="str">
        <f>_xlfn.XLOOKUP(A1339,[1]!DadosGHD[CD_GEOCMU],[1]!DadosGHD[MUNICIPIO])</f>
        <v>BAIA DA TRAICAO</v>
      </c>
      <c r="F1339" s="6">
        <v>33.730369567871101</v>
      </c>
      <c r="G1339" s="6">
        <v>33.796073913574197</v>
      </c>
      <c r="H1339" s="6">
        <v>33.830009460449197</v>
      </c>
      <c r="I1339" s="6">
        <v>33.805023193359403</v>
      </c>
      <c r="J1339" s="6">
        <v>33.835899353027301</v>
      </c>
      <c r="K1339" s="6">
        <v>33.910713195800803</v>
      </c>
      <c r="L1339" s="6">
        <v>35.114002227783203</v>
      </c>
    </row>
    <row r="1340" spans="1:12" x14ac:dyDescent="0.25">
      <c r="A1340">
        <v>2701902</v>
      </c>
      <c r="B1340" t="str">
        <f t="shared" si="20"/>
        <v>CHA PRETA, AL, Brasil</v>
      </c>
      <c r="C1340" s="4" t="str">
        <f>_xlfn.XLOOKUP(A1340,[1]!DadosGHD[CD_GEOCMU],[1]!DadosGHD[Região])</f>
        <v>NE</v>
      </c>
      <c r="D1340" s="4" t="str">
        <f>_xlfn.XLOOKUP(A1340,[1]!DadosGHD[CD_GEOCMU],[1]!DadosGHD[uf])</f>
        <v>AL</v>
      </c>
      <c r="E1340" s="5" t="str">
        <f>_xlfn.XLOOKUP(A1340,[1]!DadosGHD[CD_GEOCMU],[1]!DadosGHD[MUNICIPIO])</f>
        <v>CHA PRETA</v>
      </c>
      <c r="F1340" s="6">
        <v>33.730506896972699</v>
      </c>
      <c r="G1340" s="6">
        <v>33.783462524414098</v>
      </c>
      <c r="H1340" s="6">
        <v>33.823535919189503</v>
      </c>
      <c r="I1340" s="6">
        <v>33.801197052002003</v>
      </c>
      <c r="J1340" s="6">
        <v>33.818550109863303</v>
      </c>
      <c r="K1340" s="6">
        <v>33.850296020507798</v>
      </c>
      <c r="L1340" s="6">
        <v>26.290340423583999</v>
      </c>
    </row>
    <row r="1341" spans="1:12" x14ac:dyDescent="0.25">
      <c r="A1341">
        <v>3117405</v>
      </c>
      <c r="B1341" t="str">
        <f t="shared" si="20"/>
        <v>CONCEICAO DE IPANEMA, MG, Brasil</v>
      </c>
      <c r="C1341" s="4" t="str">
        <f>_xlfn.XLOOKUP(A1341,[1]!DadosGHD[CD_GEOCMU],[1]!DadosGHD[Região])</f>
        <v>SD</v>
      </c>
      <c r="D1341" s="4" t="str">
        <f>_xlfn.XLOOKUP(A1341,[1]!DadosGHD[CD_GEOCMU],[1]!DadosGHD[uf])</f>
        <v>MG</v>
      </c>
      <c r="E1341" s="5" t="str">
        <f>_xlfn.XLOOKUP(A1341,[1]!DadosGHD[CD_GEOCMU],[1]!DadosGHD[MUNICIPIO])</f>
        <v>CONCEICAO DE IPANEMA</v>
      </c>
      <c r="F1341" s="6">
        <v>33.730640411377003</v>
      </c>
      <c r="G1341" s="6">
        <v>38.706962585449197</v>
      </c>
      <c r="H1341" s="6">
        <v>38.756454467773402</v>
      </c>
      <c r="I1341" s="6">
        <v>38.746421813964801</v>
      </c>
      <c r="J1341" s="6">
        <v>38.7703666687012</v>
      </c>
      <c r="K1341" s="6">
        <v>38.801956176757798</v>
      </c>
      <c r="L1341" s="6">
        <v>35.122222900390597</v>
      </c>
    </row>
    <row r="1342" spans="1:12" x14ac:dyDescent="0.25">
      <c r="A1342">
        <v>2931806</v>
      </c>
      <c r="B1342" t="str">
        <f t="shared" si="20"/>
        <v>TREMEDAL, BA, Brasil</v>
      </c>
      <c r="C1342" s="4" t="str">
        <f>_xlfn.XLOOKUP(A1342,[1]!DadosGHD[CD_GEOCMU],[1]!DadosGHD[Região])</f>
        <v>NE</v>
      </c>
      <c r="D1342" s="4" t="str">
        <f>_xlfn.XLOOKUP(A1342,[1]!DadosGHD[CD_GEOCMU],[1]!DadosGHD[uf])</f>
        <v>BA</v>
      </c>
      <c r="E1342" s="5" t="str">
        <f>_xlfn.XLOOKUP(A1342,[1]!DadosGHD[CD_GEOCMU],[1]!DadosGHD[MUNICIPIO])</f>
        <v>TREMEDAL</v>
      </c>
      <c r="F1342" s="6">
        <v>33.730663299560597</v>
      </c>
      <c r="G1342" s="6">
        <v>33.789161682128899</v>
      </c>
      <c r="H1342" s="6">
        <v>33.848869323730497</v>
      </c>
      <c r="I1342" s="6">
        <v>33.836940765380902</v>
      </c>
      <c r="J1342" s="6">
        <v>33.843135833740199</v>
      </c>
      <c r="K1342" s="6">
        <v>29.002264022827202</v>
      </c>
      <c r="L1342" s="6">
        <v>30.718999862670898</v>
      </c>
    </row>
    <row r="1343" spans="1:12" x14ac:dyDescent="0.25">
      <c r="A1343">
        <v>1508084</v>
      </c>
      <c r="B1343" t="str">
        <f t="shared" si="20"/>
        <v>TUCUMA, PA, Brasil</v>
      </c>
      <c r="C1343" s="4" t="str">
        <f>_xlfn.XLOOKUP(A1343,[1]!DadosGHD[CD_GEOCMU],[1]!DadosGHD[Região])</f>
        <v>NO</v>
      </c>
      <c r="D1343" s="4" t="str">
        <f>_xlfn.XLOOKUP(A1343,[1]!DadosGHD[CD_GEOCMU],[1]!DadosGHD[uf])</f>
        <v>PA</v>
      </c>
      <c r="E1343" s="5" t="str">
        <f>_xlfn.XLOOKUP(A1343,[1]!DadosGHD[CD_GEOCMU],[1]!DadosGHD[MUNICIPIO])</f>
        <v>TUCUMA</v>
      </c>
      <c r="F1343" s="6">
        <v>33.730670928955099</v>
      </c>
      <c r="G1343" s="6">
        <v>33.828502655029297</v>
      </c>
      <c r="H1343" s="6">
        <v>38.762435913085902</v>
      </c>
      <c r="I1343" s="6">
        <v>38.769439697265597</v>
      </c>
      <c r="J1343" s="6">
        <v>43.703765869140597</v>
      </c>
      <c r="K1343" s="6">
        <v>38.854888916015597</v>
      </c>
      <c r="L1343" s="6">
        <v>44.028274536132798</v>
      </c>
    </row>
    <row r="1344" spans="1:12" x14ac:dyDescent="0.25">
      <c r="A1344">
        <v>3145356</v>
      </c>
      <c r="B1344" t="str">
        <f t="shared" si="20"/>
        <v>NOVO ORIENTE DE MINAS, MG, Brasil</v>
      </c>
      <c r="C1344" s="4" t="str">
        <f>_xlfn.XLOOKUP(A1344,[1]!DadosGHD[CD_GEOCMU],[1]!DadosGHD[Região])</f>
        <v>SD</v>
      </c>
      <c r="D1344" s="4" t="str">
        <f>_xlfn.XLOOKUP(A1344,[1]!DadosGHD[CD_GEOCMU],[1]!DadosGHD[uf])</f>
        <v>MG</v>
      </c>
      <c r="E1344" s="5" t="str">
        <f>_xlfn.XLOOKUP(A1344,[1]!DadosGHD[CD_GEOCMU],[1]!DadosGHD[MUNICIPIO])</f>
        <v>NOVO ORIENTE DE MINAS</v>
      </c>
      <c r="F1344" s="6">
        <v>33.730705261230497</v>
      </c>
      <c r="G1344" s="6">
        <v>33.841388702392599</v>
      </c>
      <c r="H1344" s="6">
        <v>33.8809204101563</v>
      </c>
      <c r="I1344" s="6">
        <v>33.863624572753899</v>
      </c>
      <c r="J1344" s="6">
        <v>33.886035919189503</v>
      </c>
      <c r="K1344" s="6">
        <v>33.920074462890597</v>
      </c>
      <c r="L1344" s="6">
        <v>30.704595565795898</v>
      </c>
    </row>
    <row r="1345" spans="1:12" x14ac:dyDescent="0.25">
      <c r="A1345">
        <v>2921401</v>
      </c>
      <c r="B1345" t="str">
        <f t="shared" si="20"/>
        <v>MIRANGABA, BA, Brasil</v>
      </c>
      <c r="C1345" s="4" t="str">
        <f>_xlfn.XLOOKUP(A1345,[1]!DadosGHD[CD_GEOCMU],[1]!DadosGHD[Região])</f>
        <v>NE</v>
      </c>
      <c r="D1345" s="4" t="str">
        <f>_xlfn.XLOOKUP(A1345,[1]!DadosGHD[CD_GEOCMU],[1]!DadosGHD[uf])</f>
        <v>BA</v>
      </c>
      <c r="E1345" s="5" t="str">
        <f>_xlfn.XLOOKUP(A1345,[1]!DadosGHD[CD_GEOCMU],[1]!DadosGHD[MUNICIPIO])</f>
        <v>MIRANGABA</v>
      </c>
      <c r="F1345" s="6">
        <v>33.730789184570298</v>
      </c>
      <c r="G1345" s="6">
        <v>33.786464691162102</v>
      </c>
      <c r="H1345" s="6">
        <v>33.829883575439503</v>
      </c>
      <c r="I1345" s="6">
        <v>33.831817626953097</v>
      </c>
      <c r="J1345" s="6">
        <v>33.872196197509801</v>
      </c>
      <c r="K1345" s="6">
        <v>33.924171447753899</v>
      </c>
      <c r="L1345" s="6">
        <v>35.1326713562012</v>
      </c>
    </row>
    <row r="1346" spans="1:12" x14ac:dyDescent="0.25">
      <c r="A1346">
        <v>2203008</v>
      </c>
      <c r="B1346" t="str">
        <f t="shared" si="20"/>
        <v>CRISTALANDIA DO PIAUI, PI, Brasil</v>
      </c>
      <c r="C1346" s="4" t="str">
        <f>_xlfn.XLOOKUP(A1346,[1]!DadosGHD[CD_GEOCMU],[1]!DadosGHD[Região])</f>
        <v>NE</v>
      </c>
      <c r="D1346" s="4" t="str">
        <f>_xlfn.XLOOKUP(A1346,[1]!DadosGHD[CD_GEOCMU],[1]!DadosGHD[uf])</f>
        <v>PI</v>
      </c>
      <c r="E1346" s="5" t="str">
        <f>_xlfn.XLOOKUP(A1346,[1]!DadosGHD[CD_GEOCMU],[1]!DadosGHD[MUNICIPIO])</f>
        <v>CRISTALANDIA DO PIAUI</v>
      </c>
      <c r="F1346" s="6">
        <v>33.730796813964801</v>
      </c>
      <c r="G1346" s="6">
        <v>33.782783508300803</v>
      </c>
      <c r="H1346" s="6">
        <v>33.815639495849602</v>
      </c>
      <c r="I1346" s="6">
        <v>33.789241790771499</v>
      </c>
      <c r="J1346" s="6">
        <v>28.9776306152344</v>
      </c>
      <c r="K1346" s="6">
        <v>29.003486633300799</v>
      </c>
      <c r="L1346" s="6">
        <v>26.2798957824707</v>
      </c>
    </row>
    <row r="1347" spans="1:12" x14ac:dyDescent="0.25">
      <c r="A1347">
        <v>2603454</v>
      </c>
      <c r="B1347" t="str">
        <f t="shared" si="20"/>
        <v>CAMARAGIBE, PE, Brasil</v>
      </c>
      <c r="C1347" s="4" t="str">
        <f>_xlfn.XLOOKUP(A1347,[1]!DadosGHD[CD_GEOCMU],[1]!DadosGHD[Região])</f>
        <v>NE</v>
      </c>
      <c r="D1347" s="4" t="str">
        <f>_xlfn.XLOOKUP(A1347,[1]!DadosGHD[CD_GEOCMU],[1]!DadosGHD[uf])</f>
        <v>PE</v>
      </c>
      <c r="E1347" s="5" t="str">
        <f>_xlfn.XLOOKUP(A1347,[1]!DadosGHD[CD_GEOCMU],[1]!DadosGHD[MUNICIPIO])</f>
        <v>CAMARAGIBE</v>
      </c>
      <c r="F1347" s="6">
        <v>33.730873107910199</v>
      </c>
      <c r="G1347" s="6">
        <v>33.7903022766113</v>
      </c>
      <c r="H1347" s="6">
        <v>33.8288764953613</v>
      </c>
      <c r="I1347" s="6">
        <v>33.795143127441399</v>
      </c>
      <c r="J1347" s="6">
        <v>28.977657318115199</v>
      </c>
      <c r="K1347" s="6">
        <v>28.982240676879901</v>
      </c>
      <c r="L1347" s="6">
        <v>26.289613723754901</v>
      </c>
    </row>
    <row r="1348" spans="1:12" x14ac:dyDescent="0.25">
      <c r="A1348">
        <v>2901353</v>
      </c>
      <c r="B1348" t="str">
        <f t="shared" ref="B1348:B1411" si="21">_xlfn.CONCAT(E1348, ", ", D1348, ", Brasil")</f>
        <v>ANDORINHA, BA, Brasil</v>
      </c>
      <c r="C1348" s="4" t="str">
        <f>_xlfn.XLOOKUP(A1348,[1]!DadosGHD[CD_GEOCMU],[1]!DadosGHD[Região])</f>
        <v>NE</v>
      </c>
      <c r="D1348" s="4" t="str">
        <f>_xlfn.XLOOKUP(A1348,[1]!DadosGHD[CD_GEOCMU],[1]!DadosGHD[uf])</f>
        <v>BA</v>
      </c>
      <c r="E1348" s="5" t="str">
        <f>_xlfn.XLOOKUP(A1348,[1]!DadosGHD[CD_GEOCMU],[1]!DadosGHD[MUNICIPIO])</f>
        <v>ANDORINHA</v>
      </c>
      <c r="F1348" s="6">
        <v>33.730922698974602</v>
      </c>
      <c r="G1348" s="6">
        <v>33.783504486083999</v>
      </c>
      <c r="H1348" s="6">
        <v>33.824409484863303</v>
      </c>
      <c r="I1348" s="6">
        <v>33.8013916015625</v>
      </c>
      <c r="J1348" s="6">
        <v>33.854171752929702</v>
      </c>
      <c r="K1348" s="6">
        <v>33.886764526367202</v>
      </c>
      <c r="L1348" s="6">
        <v>26.291624069213899</v>
      </c>
    </row>
    <row r="1349" spans="1:12" x14ac:dyDescent="0.25">
      <c r="A1349">
        <v>2302909</v>
      </c>
      <c r="B1349" t="str">
        <f t="shared" si="21"/>
        <v>CAPISTRANO, CE, Brasil</v>
      </c>
      <c r="C1349" s="4" t="str">
        <f>_xlfn.XLOOKUP(A1349,[1]!DadosGHD[CD_GEOCMU],[1]!DadosGHD[Região])</f>
        <v>NE</v>
      </c>
      <c r="D1349" s="4" t="str">
        <f>_xlfn.XLOOKUP(A1349,[1]!DadosGHD[CD_GEOCMU],[1]!DadosGHD[uf])</f>
        <v>CE</v>
      </c>
      <c r="E1349" s="5" t="str">
        <f>_xlfn.XLOOKUP(A1349,[1]!DadosGHD[CD_GEOCMU],[1]!DadosGHD[MUNICIPIO])</f>
        <v>CAPISTRANO</v>
      </c>
      <c r="F1349" s="6">
        <v>33.7309379577637</v>
      </c>
      <c r="G1349" s="6">
        <v>33.794864654541001</v>
      </c>
      <c r="H1349" s="6">
        <v>33.831306457519503</v>
      </c>
      <c r="I1349" s="6">
        <v>33.814060211181598</v>
      </c>
      <c r="J1349" s="6">
        <v>33.838943481445298</v>
      </c>
      <c r="K1349" s="6">
        <v>33.901309967041001</v>
      </c>
      <c r="L1349" s="6">
        <v>30.7212829589844</v>
      </c>
    </row>
    <row r="1350" spans="1:12" x14ac:dyDescent="0.25">
      <c r="A1350">
        <v>2614006</v>
      </c>
      <c r="B1350" t="str">
        <f t="shared" si="21"/>
        <v>SERRITA, PE, Brasil</v>
      </c>
      <c r="C1350" s="4" t="str">
        <f>_xlfn.XLOOKUP(A1350,[1]!DadosGHD[CD_GEOCMU],[1]!DadosGHD[Região])</f>
        <v>NE</v>
      </c>
      <c r="D1350" s="4" t="str">
        <f>_xlfn.XLOOKUP(A1350,[1]!DadosGHD[CD_GEOCMU],[1]!DadosGHD[uf])</f>
        <v>PE</v>
      </c>
      <c r="E1350" s="5" t="str">
        <f>_xlfn.XLOOKUP(A1350,[1]!DadosGHD[CD_GEOCMU],[1]!DadosGHD[MUNICIPIO])</f>
        <v>SERRITA</v>
      </c>
      <c r="F1350" s="6">
        <v>33.730960845947301</v>
      </c>
      <c r="G1350" s="6">
        <v>33.789112091064503</v>
      </c>
      <c r="H1350" s="6">
        <v>28.970535278320298</v>
      </c>
      <c r="I1350" s="6">
        <v>33.7962036132813</v>
      </c>
      <c r="J1350" s="6">
        <v>33.831516265869098</v>
      </c>
      <c r="K1350" s="6">
        <v>33.841865539550803</v>
      </c>
      <c r="L1350" s="6">
        <v>35.136135101318402</v>
      </c>
    </row>
    <row r="1351" spans="1:12" x14ac:dyDescent="0.25">
      <c r="A1351">
        <v>1502939</v>
      </c>
      <c r="B1351" t="str">
        <f t="shared" si="21"/>
        <v>DOM ELISEU, PA, Brasil</v>
      </c>
      <c r="C1351" s="4" t="str">
        <f>_xlfn.XLOOKUP(A1351,[1]!DadosGHD[CD_GEOCMU],[1]!DadosGHD[Região])</f>
        <v>NO</v>
      </c>
      <c r="D1351" s="4" t="str">
        <f>_xlfn.XLOOKUP(A1351,[1]!DadosGHD[CD_GEOCMU],[1]!DadosGHD[uf])</f>
        <v>PA</v>
      </c>
      <c r="E1351" s="5" t="str">
        <f>_xlfn.XLOOKUP(A1351,[1]!DadosGHD[CD_GEOCMU],[1]!DadosGHD[MUNICIPIO])</f>
        <v>DOM ELISEU</v>
      </c>
      <c r="F1351" s="6">
        <v>33.7309761047363</v>
      </c>
      <c r="G1351" s="6">
        <v>33.802555084228501</v>
      </c>
      <c r="H1351" s="6">
        <v>33.839763641357401</v>
      </c>
      <c r="I1351" s="6">
        <v>33.822032928466797</v>
      </c>
      <c r="J1351" s="6">
        <v>33.847541809082003</v>
      </c>
      <c r="K1351" s="6">
        <v>33.898677825927699</v>
      </c>
      <c r="L1351" s="6">
        <v>35.121177673339801</v>
      </c>
    </row>
    <row r="1352" spans="1:12" x14ac:dyDescent="0.25">
      <c r="A1352">
        <v>3131158</v>
      </c>
      <c r="B1352" t="str">
        <f t="shared" si="21"/>
        <v>IPABA, MG, Brasil</v>
      </c>
      <c r="C1352" s="4" t="str">
        <f>_xlfn.XLOOKUP(A1352,[1]!DadosGHD[CD_GEOCMU],[1]!DadosGHD[Região])</f>
        <v>SD</v>
      </c>
      <c r="D1352" s="4" t="str">
        <f>_xlfn.XLOOKUP(A1352,[1]!DadosGHD[CD_GEOCMU],[1]!DadosGHD[uf])</f>
        <v>MG</v>
      </c>
      <c r="E1352" s="5" t="str">
        <f>_xlfn.XLOOKUP(A1352,[1]!DadosGHD[CD_GEOCMU],[1]!DadosGHD[MUNICIPIO])</f>
        <v>IPABA</v>
      </c>
      <c r="F1352" s="6">
        <v>33.731010437011697</v>
      </c>
      <c r="G1352" s="6">
        <v>33.822216033935597</v>
      </c>
      <c r="H1352" s="6">
        <v>33.855239868164098</v>
      </c>
      <c r="I1352" s="6">
        <v>33.821094512939503</v>
      </c>
      <c r="J1352" s="6">
        <v>33.822559356689503</v>
      </c>
      <c r="K1352" s="6">
        <v>33.853416442871101</v>
      </c>
      <c r="L1352" s="6">
        <v>30.7176914215088</v>
      </c>
    </row>
    <row r="1353" spans="1:12" x14ac:dyDescent="0.25">
      <c r="A1353">
        <v>2906402</v>
      </c>
      <c r="B1353" t="str">
        <f t="shared" si="21"/>
        <v>CANDEAL, BA, Brasil</v>
      </c>
      <c r="C1353" s="4" t="str">
        <f>_xlfn.XLOOKUP(A1353,[1]!DadosGHD[CD_GEOCMU],[1]!DadosGHD[Região])</f>
        <v>NE</v>
      </c>
      <c r="D1353" s="4" t="str">
        <f>_xlfn.XLOOKUP(A1353,[1]!DadosGHD[CD_GEOCMU],[1]!DadosGHD[uf])</f>
        <v>BA</v>
      </c>
      <c r="E1353" s="5" t="str">
        <f>_xlfn.XLOOKUP(A1353,[1]!DadosGHD[CD_GEOCMU],[1]!DadosGHD[MUNICIPIO])</f>
        <v>CANDEAL</v>
      </c>
      <c r="F1353" s="6">
        <v>33.731071472167997</v>
      </c>
      <c r="G1353" s="6">
        <v>33.766777038574197</v>
      </c>
      <c r="H1353" s="6">
        <v>33.810752868652301</v>
      </c>
      <c r="I1353" s="6">
        <v>33.789295196533203</v>
      </c>
      <c r="J1353" s="6">
        <v>28.977882385253899</v>
      </c>
      <c r="K1353" s="6">
        <v>29.0057983398438</v>
      </c>
      <c r="L1353" s="6">
        <v>26.284091949462901</v>
      </c>
    </row>
    <row r="1354" spans="1:12" x14ac:dyDescent="0.25">
      <c r="A1354">
        <v>2514909</v>
      </c>
      <c r="B1354" t="str">
        <f t="shared" si="21"/>
        <v>SAO MAMEDE, PB, Brasil</v>
      </c>
      <c r="C1354" s="4" t="str">
        <f>_xlfn.XLOOKUP(A1354,[1]!DadosGHD[CD_GEOCMU],[1]!DadosGHD[Região])</f>
        <v>NE</v>
      </c>
      <c r="D1354" s="4" t="str">
        <f>_xlfn.XLOOKUP(A1354,[1]!DadosGHD[CD_GEOCMU],[1]!DadosGHD[uf])</f>
        <v>PB</v>
      </c>
      <c r="E1354" s="5" t="str">
        <f>_xlfn.XLOOKUP(A1354,[1]!DadosGHD[CD_GEOCMU],[1]!DadosGHD[MUNICIPIO])</f>
        <v>SAO MAMEDE</v>
      </c>
      <c r="F1354" s="6">
        <v>33.731201171875</v>
      </c>
      <c r="G1354" s="6">
        <v>33.792736053466797</v>
      </c>
      <c r="H1354" s="6">
        <v>33.848644256591797</v>
      </c>
      <c r="I1354" s="6">
        <v>33.8358345031738</v>
      </c>
      <c r="J1354" s="6">
        <v>33.889450073242202</v>
      </c>
      <c r="K1354" s="6">
        <v>38.8074340820313</v>
      </c>
      <c r="L1354" s="6">
        <v>39.597324371337898</v>
      </c>
    </row>
    <row r="1355" spans="1:12" x14ac:dyDescent="0.25">
      <c r="A1355">
        <v>2903235</v>
      </c>
      <c r="B1355" t="str">
        <f t="shared" si="21"/>
        <v>BARRO ALTO, BA, Brasil</v>
      </c>
      <c r="C1355" s="4" t="str">
        <f>_xlfn.XLOOKUP(A1355,[1]!DadosGHD[CD_GEOCMU],[1]!DadosGHD[Região])</f>
        <v>NE</v>
      </c>
      <c r="D1355" s="4" t="str">
        <f>_xlfn.XLOOKUP(A1355,[1]!DadosGHD[CD_GEOCMU],[1]!DadosGHD[uf])</f>
        <v>BA</v>
      </c>
      <c r="E1355" s="5" t="str">
        <f>_xlfn.XLOOKUP(A1355,[1]!DadosGHD[CD_GEOCMU],[1]!DadosGHD[MUNICIPIO])</f>
        <v>BARRO ALTO</v>
      </c>
      <c r="F1355" s="6">
        <v>33.731327056884801</v>
      </c>
      <c r="G1355" s="6">
        <v>33.781032562255902</v>
      </c>
      <c r="H1355" s="6">
        <v>33.822380065917997</v>
      </c>
      <c r="I1355" s="6">
        <v>33.829345703125</v>
      </c>
      <c r="J1355" s="6">
        <v>38.753860473632798</v>
      </c>
      <c r="K1355" s="6">
        <v>43.800647735595703</v>
      </c>
      <c r="L1355" s="6">
        <v>39.591487884521499</v>
      </c>
    </row>
    <row r="1356" spans="1:12" x14ac:dyDescent="0.25">
      <c r="A1356">
        <v>2200251</v>
      </c>
      <c r="B1356" t="str">
        <f t="shared" si="21"/>
        <v>ALAGOINHA DO PIAUI, PI, Brasil</v>
      </c>
      <c r="C1356" s="4" t="str">
        <f>_xlfn.XLOOKUP(A1356,[1]!DadosGHD[CD_GEOCMU],[1]!DadosGHD[Região])</f>
        <v>NE</v>
      </c>
      <c r="D1356" s="4" t="str">
        <f>_xlfn.XLOOKUP(A1356,[1]!DadosGHD[CD_GEOCMU],[1]!DadosGHD[uf])</f>
        <v>PI</v>
      </c>
      <c r="E1356" s="5" t="str">
        <f>_xlfn.XLOOKUP(A1356,[1]!DadosGHD[CD_GEOCMU],[1]!DadosGHD[MUNICIPIO])</f>
        <v>ALAGOINHA DO PIAUI</v>
      </c>
      <c r="F1356" s="6">
        <v>33.731376647949197</v>
      </c>
      <c r="G1356" s="6">
        <v>33.7820854187012</v>
      </c>
      <c r="H1356" s="6">
        <v>33.8191947937012</v>
      </c>
      <c r="I1356" s="6">
        <v>33.796585083007798</v>
      </c>
      <c r="J1356" s="6">
        <v>33.813762664794901</v>
      </c>
      <c r="K1356" s="6">
        <v>33.869728088378899</v>
      </c>
      <c r="L1356" s="6">
        <v>30.701278686523398</v>
      </c>
    </row>
    <row r="1357" spans="1:12" x14ac:dyDescent="0.25">
      <c r="A1357">
        <v>2512002</v>
      </c>
      <c r="B1357" t="str">
        <f t="shared" si="21"/>
        <v>POCINHOS, PB, Brasil</v>
      </c>
      <c r="C1357" s="4" t="str">
        <f>_xlfn.XLOOKUP(A1357,[1]!DadosGHD[CD_GEOCMU],[1]!DadosGHD[Região])</f>
        <v>NE</v>
      </c>
      <c r="D1357" s="4" t="str">
        <f>_xlfn.XLOOKUP(A1357,[1]!DadosGHD[CD_GEOCMU],[1]!DadosGHD[uf])</f>
        <v>PB</v>
      </c>
      <c r="E1357" s="5" t="str">
        <f>_xlfn.XLOOKUP(A1357,[1]!DadosGHD[CD_GEOCMU],[1]!DadosGHD[MUNICIPIO])</f>
        <v>POCINHOS</v>
      </c>
      <c r="F1357" s="6">
        <v>33.731430053710902</v>
      </c>
      <c r="G1357" s="6">
        <v>33.798789978027301</v>
      </c>
      <c r="H1357" s="6">
        <v>33.863895416259801</v>
      </c>
      <c r="I1357" s="6">
        <v>33.863101959228501</v>
      </c>
      <c r="J1357" s="6">
        <v>33.889671325683601</v>
      </c>
      <c r="K1357" s="6">
        <v>38.7882270812988</v>
      </c>
      <c r="L1357" s="6">
        <v>39.575344085693402</v>
      </c>
    </row>
    <row r="1358" spans="1:12" x14ac:dyDescent="0.25">
      <c r="A1358">
        <v>4309159</v>
      </c>
      <c r="B1358" t="str">
        <f t="shared" si="21"/>
        <v>GRAMADO XAVIER, RS, Brasil</v>
      </c>
      <c r="C1358" s="4" t="str">
        <f>_xlfn.XLOOKUP(A1358,[1]!DadosGHD[CD_GEOCMU],[1]!DadosGHD[Região])</f>
        <v>SL</v>
      </c>
      <c r="D1358" s="4" t="str">
        <f>_xlfn.XLOOKUP(A1358,[1]!DadosGHD[CD_GEOCMU],[1]!DadosGHD[uf])</f>
        <v>RS</v>
      </c>
      <c r="E1358" s="5" t="str">
        <f>_xlfn.XLOOKUP(A1358,[1]!DadosGHD[CD_GEOCMU],[1]!DadosGHD[MUNICIPIO])</f>
        <v>GRAMADO XAVIER</v>
      </c>
      <c r="F1358" s="6">
        <v>33.7314453125</v>
      </c>
      <c r="G1358" s="6">
        <v>43.638271331787102</v>
      </c>
      <c r="H1358" s="6">
        <v>43.719352722167997</v>
      </c>
      <c r="I1358" s="6">
        <v>43.761955261230497</v>
      </c>
      <c r="J1358" s="6">
        <v>48.770835876464801</v>
      </c>
      <c r="K1358" s="6">
        <v>48.791976928710902</v>
      </c>
      <c r="L1358" s="6">
        <v>48.516330718994098</v>
      </c>
    </row>
    <row r="1359" spans="1:12" x14ac:dyDescent="0.25">
      <c r="A1359">
        <v>3116100</v>
      </c>
      <c r="B1359" t="str">
        <f t="shared" si="21"/>
        <v>CHAPADA DO NORTE, MG, Brasil</v>
      </c>
      <c r="C1359" s="4" t="str">
        <f>_xlfn.XLOOKUP(A1359,[1]!DadosGHD[CD_GEOCMU],[1]!DadosGHD[Região])</f>
        <v>SD</v>
      </c>
      <c r="D1359" s="4" t="str">
        <f>_xlfn.XLOOKUP(A1359,[1]!DadosGHD[CD_GEOCMU],[1]!DadosGHD[uf])</f>
        <v>MG</v>
      </c>
      <c r="E1359" s="5" t="str">
        <f>_xlfn.XLOOKUP(A1359,[1]!DadosGHD[CD_GEOCMU],[1]!DadosGHD[MUNICIPIO])</f>
        <v>CHAPADA DO NORTE</v>
      </c>
      <c r="F1359" s="6">
        <v>33.731487274169901</v>
      </c>
      <c r="G1359" s="6">
        <v>33.806556701660199</v>
      </c>
      <c r="H1359" s="6">
        <v>33.848461151123097</v>
      </c>
      <c r="I1359" s="6">
        <v>33.823310852050803</v>
      </c>
      <c r="J1359" s="6">
        <v>28.974658966064499</v>
      </c>
      <c r="K1359" s="6">
        <v>33.855239868164098</v>
      </c>
      <c r="L1359" s="6">
        <v>30.708320617675799</v>
      </c>
    </row>
    <row r="1360" spans="1:12" x14ac:dyDescent="0.25">
      <c r="A1360">
        <v>2105500</v>
      </c>
      <c r="B1360" t="str">
        <f t="shared" si="21"/>
        <v>JOAO LISBOA, MA, Brasil</v>
      </c>
      <c r="C1360" s="4" t="str">
        <f>_xlfn.XLOOKUP(A1360,[1]!DadosGHD[CD_GEOCMU],[1]!DadosGHD[Região])</f>
        <v>NE</v>
      </c>
      <c r="D1360" s="4" t="str">
        <f>_xlfn.XLOOKUP(A1360,[1]!DadosGHD[CD_GEOCMU],[1]!DadosGHD[uf])</f>
        <v>MA</v>
      </c>
      <c r="E1360" s="5" t="str">
        <f>_xlfn.XLOOKUP(A1360,[1]!DadosGHD[CD_GEOCMU],[1]!DadosGHD[MUNICIPIO])</f>
        <v>JOAO LISBOA</v>
      </c>
      <c r="F1360" s="6">
        <v>33.731632232666001</v>
      </c>
      <c r="G1360" s="6">
        <v>33.817481994628899</v>
      </c>
      <c r="H1360" s="6">
        <v>33.873603820800803</v>
      </c>
      <c r="I1360" s="6">
        <v>33.850112915039098</v>
      </c>
      <c r="J1360" s="6">
        <v>33.840652465820298</v>
      </c>
      <c r="K1360" s="6">
        <v>33.882068634033203</v>
      </c>
      <c r="L1360" s="6">
        <v>26.2916584014893</v>
      </c>
    </row>
    <row r="1361" spans="1:12" x14ac:dyDescent="0.25">
      <c r="A1361">
        <v>3145307</v>
      </c>
      <c r="B1361" t="str">
        <f t="shared" si="21"/>
        <v>NOVO CRUZEIRO, MG, Brasil</v>
      </c>
      <c r="C1361" s="4" t="str">
        <f>_xlfn.XLOOKUP(A1361,[1]!DadosGHD[CD_GEOCMU],[1]!DadosGHD[Região])</f>
        <v>SD</v>
      </c>
      <c r="D1361" s="4" t="str">
        <f>_xlfn.XLOOKUP(A1361,[1]!DadosGHD[CD_GEOCMU],[1]!DadosGHD[uf])</f>
        <v>MG</v>
      </c>
      <c r="E1361" s="5" t="str">
        <f>_xlfn.XLOOKUP(A1361,[1]!DadosGHD[CD_GEOCMU],[1]!DadosGHD[MUNICIPIO])</f>
        <v>NOVO CRUZEIRO</v>
      </c>
      <c r="F1361" s="6">
        <v>33.731731414794901</v>
      </c>
      <c r="G1361" s="6">
        <v>33.805747985839801</v>
      </c>
      <c r="H1361" s="6">
        <v>33.853244781494098</v>
      </c>
      <c r="I1361" s="6">
        <v>33.833648681640597</v>
      </c>
      <c r="J1361" s="6">
        <v>33.845939636230497</v>
      </c>
      <c r="K1361" s="6">
        <v>33.877456665039098</v>
      </c>
      <c r="L1361" s="6">
        <v>30.703668594360401</v>
      </c>
    </row>
    <row r="1362" spans="1:12" x14ac:dyDescent="0.25">
      <c r="A1362">
        <v>2507606</v>
      </c>
      <c r="B1362" t="str">
        <f t="shared" si="21"/>
        <v>JUAREZ TAVORA, PB, Brasil</v>
      </c>
      <c r="C1362" s="4" t="str">
        <f>_xlfn.XLOOKUP(A1362,[1]!DadosGHD[CD_GEOCMU],[1]!DadosGHD[Região])</f>
        <v>NE</v>
      </c>
      <c r="D1362" s="4" t="str">
        <f>_xlfn.XLOOKUP(A1362,[1]!DadosGHD[CD_GEOCMU],[1]!DadosGHD[uf])</f>
        <v>PB</v>
      </c>
      <c r="E1362" s="5" t="str">
        <f>_xlfn.XLOOKUP(A1362,[1]!DadosGHD[CD_GEOCMU],[1]!DadosGHD[MUNICIPIO])</f>
        <v>JUAREZ TAVORA</v>
      </c>
      <c r="F1362" s="6">
        <v>33.731807708740199</v>
      </c>
      <c r="G1362" s="6">
        <v>33.7844429016113</v>
      </c>
      <c r="H1362" s="6">
        <v>33.820056915283203</v>
      </c>
      <c r="I1362" s="6">
        <v>33.814022064208999</v>
      </c>
      <c r="J1362" s="6">
        <v>33.863937377929702</v>
      </c>
      <c r="K1362" s="6">
        <v>33.868007659912102</v>
      </c>
      <c r="L1362" s="6">
        <v>26.284072875976602</v>
      </c>
    </row>
    <row r="1363" spans="1:12" x14ac:dyDescent="0.25">
      <c r="A1363">
        <v>2920809</v>
      </c>
      <c r="B1363" t="str">
        <f t="shared" si="21"/>
        <v>MARCIONILIO SOUZA, BA, Brasil</v>
      </c>
      <c r="C1363" s="4" t="str">
        <f>_xlfn.XLOOKUP(A1363,[1]!DadosGHD[CD_GEOCMU],[1]!DadosGHD[Região])</f>
        <v>NE</v>
      </c>
      <c r="D1363" s="4" t="str">
        <f>_xlfn.XLOOKUP(A1363,[1]!DadosGHD[CD_GEOCMU],[1]!DadosGHD[uf])</f>
        <v>BA</v>
      </c>
      <c r="E1363" s="5" t="str">
        <f>_xlfn.XLOOKUP(A1363,[1]!DadosGHD[CD_GEOCMU],[1]!DadosGHD[MUNICIPIO])</f>
        <v>MARCIONILIO SOUZA</v>
      </c>
      <c r="F1363" s="6">
        <v>33.731849670410199</v>
      </c>
      <c r="G1363" s="6">
        <v>33.791275024414098</v>
      </c>
      <c r="H1363" s="6">
        <v>33.8126831054688</v>
      </c>
      <c r="I1363" s="6">
        <v>33.820629119873097</v>
      </c>
      <c r="J1363" s="6">
        <v>33.845298767089801</v>
      </c>
      <c r="K1363" s="6">
        <v>33.875312805175803</v>
      </c>
      <c r="L1363" s="6">
        <v>35.1127319335938</v>
      </c>
    </row>
    <row r="1364" spans="1:12" x14ac:dyDescent="0.25">
      <c r="A1364">
        <v>2101731</v>
      </c>
      <c r="B1364" t="str">
        <f t="shared" si="21"/>
        <v>BELAGUA, MA, Brasil</v>
      </c>
      <c r="C1364" s="4" t="str">
        <f>_xlfn.XLOOKUP(A1364,[1]!DadosGHD[CD_GEOCMU],[1]!DadosGHD[Região])</f>
        <v>NE</v>
      </c>
      <c r="D1364" s="4" t="str">
        <f>_xlfn.XLOOKUP(A1364,[1]!DadosGHD[CD_GEOCMU],[1]!DadosGHD[uf])</f>
        <v>MA</v>
      </c>
      <c r="E1364" s="5" t="str">
        <f>_xlfn.XLOOKUP(A1364,[1]!DadosGHD[CD_GEOCMU],[1]!DadosGHD[MUNICIPIO])</f>
        <v>BELAGUA</v>
      </c>
      <c r="F1364" s="6">
        <v>33.731922149658203</v>
      </c>
      <c r="G1364" s="6">
        <v>33.783535003662102</v>
      </c>
      <c r="H1364" s="6">
        <v>33.822265625</v>
      </c>
      <c r="I1364" s="6">
        <v>33.799003601074197</v>
      </c>
      <c r="J1364" s="6">
        <v>33.815559387207003</v>
      </c>
      <c r="K1364" s="6">
        <v>33.8465385437012</v>
      </c>
      <c r="L1364" s="6">
        <v>26.282426834106399</v>
      </c>
    </row>
    <row r="1365" spans="1:12" x14ac:dyDescent="0.25">
      <c r="A1365">
        <v>5201801</v>
      </c>
      <c r="B1365" t="str">
        <f t="shared" si="21"/>
        <v>ARAGOIANIA, GO, Brasil</v>
      </c>
      <c r="C1365" s="4" t="str">
        <f>_xlfn.XLOOKUP(A1365,[1]!DadosGHD[CD_GEOCMU],[1]!DadosGHD[Região])</f>
        <v>CO</v>
      </c>
      <c r="D1365" s="4" t="str">
        <f>_xlfn.XLOOKUP(A1365,[1]!DadosGHD[CD_GEOCMU],[1]!DadosGHD[uf])</f>
        <v>GO</v>
      </c>
      <c r="E1365" s="5" t="str">
        <f>_xlfn.XLOOKUP(A1365,[1]!DadosGHD[CD_GEOCMU],[1]!DadosGHD[MUNICIPIO])</f>
        <v>ARAGOIANIA</v>
      </c>
      <c r="F1365" s="6">
        <v>33.732017517089801</v>
      </c>
      <c r="G1365" s="6">
        <v>33.784870147705099</v>
      </c>
      <c r="H1365" s="6">
        <v>33.8411254882813</v>
      </c>
      <c r="I1365" s="6">
        <v>33.827320098877003</v>
      </c>
      <c r="J1365" s="6">
        <v>33.840572357177699</v>
      </c>
      <c r="K1365" s="6">
        <v>33.863658905029297</v>
      </c>
      <c r="L1365" s="6">
        <v>30.687707901001001</v>
      </c>
    </row>
    <row r="1366" spans="1:12" x14ac:dyDescent="0.25">
      <c r="A1366">
        <v>2309201</v>
      </c>
      <c r="B1366" t="str">
        <f t="shared" si="21"/>
        <v>NOVA OLINDA, CE, Brasil</v>
      </c>
      <c r="C1366" s="4" t="str">
        <f>_xlfn.XLOOKUP(A1366,[1]!DadosGHD[CD_GEOCMU],[1]!DadosGHD[Região])</f>
        <v>NE</v>
      </c>
      <c r="D1366" s="4" t="str">
        <f>_xlfn.XLOOKUP(A1366,[1]!DadosGHD[CD_GEOCMU],[1]!DadosGHD[uf])</f>
        <v>CE</v>
      </c>
      <c r="E1366" s="5" t="str">
        <f>_xlfn.XLOOKUP(A1366,[1]!DadosGHD[CD_GEOCMU],[1]!DadosGHD[MUNICIPIO])</f>
        <v>NOVA OLINDA</v>
      </c>
      <c r="F1366" s="6">
        <v>33.732093811035199</v>
      </c>
      <c r="G1366" s="6">
        <v>33.796455383300803</v>
      </c>
      <c r="H1366" s="6">
        <v>33.831233978271499</v>
      </c>
      <c r="I1366" s="6">
        <v>33.815097808837898</v>
      </c>
      <c r="J1366" s="6">
        <v>33.821662902832003</v>
      </c>
      <c r="K1366" s="6">
        <v>33.885124206542997</v>
      </c>
      <c r="L1366" s="6">
        <v>26.285821914672901</v>
      </c>
    </row>
    <row r="1367" spans="1:12" x14ac:dyDescent="0.25">
      <c r="A1367">
        <v>2301307</v>
      </c>
      <c r="B1367" t="str">
        <f t="shared" si="21"/>
        <v>ARARIPE, CE, Brasil</v>
      </c>
      <c r="C1367" s="4" t="str">
        <f>_xlfn.XLOOKUP(A1367,[1]!DadosGHD[CD_GEOCMU],[1]!DadosGHD[Região])</f>
        <v>NE</v>
      </c>
      <c r="D1367" s="4" t="str">
        <f>_xlfn.XLOOKUP(A1367,[1]!DadosGHD[CD_GEOCMU],[1]!DadosGHD[uf])</f>
        <v>CE</v>
      </c>
      <c r="E1367" s="5" t="str">
        <f>_xlfn.XLOOKUP(A1367,[1]!DadosGHD[CD_GEOCMU],[1]!DadosGHD[MUNICIPIO])</f>
        <v>ARARIPE</v>
      </c>
      <c r="F1367" s="6">
        <v>33.732162475585902</v>
      </c>
      <c r="G1367" s="6">
        <v>33.799602508544901</v>
      </c>
      <c r="H1367" s="6">
        <v>33.815780639648402</v>
      </c>
      <c r="I1367" s="6">
        <v>33.793895721435597</v>
      </c>
      <c r="J1367" s="6">
        <v>33.816326141357401</v>
      </c>
      <c r="K1367" s="6">
        <v>33.8737983703613</v>
      </c>
      <c r="L1367" s="6">
        <v>35.117382049560597</v>
      </c>
    </row>
    <row r="1368" spans="1:12" x14ac:dyDescent="0.25">
      <c r="A1368">
        <v>2502003</v>
      </c>
      <c r="B1368" t="str">
        <f t="shared" si="21"/>
        <v>BELEM DO BREJO DO CRUZ, PB, Brasil</v>
      </c>
      <c r="C1368" s="4" t="str">
        <f>_xlfn.XLOOKUP(A1368,[1]!DadosGHD[CD_GEOCMU],[1]!DadosGHD[Região])</f>
        <v>NE</v>
      </c>
      <c r="D1368" s="4" t="str">
        <f>_xlfn.XLOOKUP(A1368,[1]!DadosGHD[CD_GEOCMU],[1]!DadosGHD[uf])</f>
        <v>PB</v>
      </c>
      <c r="E1368" s="5" t="str">
        <f>_xlfn.XLOOKUP(A1368,[1]!DadosGHD[CD_GEOCMU],[1]!DadosGHD[MUNICIPIO])</f>
        <v>BELEM DO BREJO DO CRUZ</v>
      </c>
      <c r="F1368" s="6">
        <v>33.732231140136697</v>
      </c>
      <c r="G1368" s="6">
        <v>33.790138244628899</v>
      </c>
      <c r="H1368" s="6">
        <v>33.830673217773402</v>
      </c>
      <c r="I1368" s="6">
        <v>33.829990386962898</v>
      </c>
      <c r="J1368" s="6">
        <v>33.839042663574197</v>
      </c>
      <c r="K1368" s="6">
        <v>33.927330017089801</v>
      </c>
      <c r="L1368" s="6">
        <v>35.138572692871101</v>
      </c>
    </row>
    <row r="1369" spans="1:12" x14ac:dyDescent="0.25">
      <c r="A1369">
        <v>2206506</v>
      </c>
      <c r="B1369" t="str">
        <f t="shared" si="21"/>
        <v>MONSENHOR HIPOLITO, PI, Brasil</v>
      </c>
      <c r="C1369" s="4" t="str">
        <f>_xlfn.XLOOKUP(A1369,[1]!DadosGHD[CD_GEOCMU],[1]!DadosGHD[Região])</f>
        <v>NE</v>
      </c>
      <c r="D1369" s="4" t="str">
        <f>_xlfn.XLOOKUP(A1369,[1]!DadosGHD[CD_GEOCMU],[1]!DadosGHD[uf])</f>
        <v>PI</v>
      </c>
      <c r="E1369" s="5" t="str">
        <f>_xlfn.XLOOKUP(A1369,[1]!DadosGHD[CD_GEOCMU],[1]!DadosGHD[MUNICIPIO])</f>
        <v>MONSENHOR HIPOLITO</v>
      </c>
      <c r="F1369" s="6">
        <v>33.732379913330099</v>
      </c>
      <c r="G1369" s="6">
        <v>33.792884826660199</v>
      </c>
      <c r="H1369" s="6">
        <v>33.843650817871101</v>
      </c>
      <c r="I1369" s="6">
        <v>33.817344665527301</v>
      </c>
      <c r="J1369" s="6">
        <v>33.841312408447301</v>
      </c>
      <c r="K1369" s="6">
        <v>33.852218627929702</v>
      </c>
      <c r="L1369" s="6">
        <v>30.6837482452393</v>
      </c>
    </row>
    <row r="1370" spans="1:12" x14ac:dyDescent="0.25">
      <c r="A1370">
        <v>2923803</v>
      </c>
      <c r="B1370" t="str">
        <f t="shared" si="21"/>
        <v>PARIPIRANGA, BA, Brasil</v>
      </c>
      <c r="C1370" s="4" t="str">
        <f>_xlfn.XLOOKUP(A1370,[1]!DadosGHD[CD_GEOCMU],[1]!DadosGHD[Região])</f>
        <v>NE</v>
      </c>
      <c r="D1370" s="4" t="str">
        <f>_xlfn.XLOOKUP(A1370,[1]!DadosGHD[CD_GEOCMU],[1]!DadosGHD[uf])</f>
        <v>BA</v>
      </c>
      <c r="E1370" s="5" t="str">
        <f>_xlfn.XLOOKUP(A1370,[1]!DadosGHD[CD_GEOCMU],[1]!DadosGHD[MUNICIPIO])</f>
        <v>PARIPIRANGA</v>
      </c>
      <c r="F1370" s="6">
        <v>33.7324028015137</v>
      </c>
      <c r="G1370" s="6">
        <v>33.808975219726598</v>
      </c>
      <c r="H1370" s="6">
        <v>38.764350891113303</v>
      </c>
      <c r="I1370" s="6">
        <v>38.728603363037102</v>
      </c>
      <c r="J1370" s="6">
        <v>38.749423980712898</v>
      </c>
      <c r="K1370" s="6">
        <v>38.782039642333999</v>
      </c>
      <c r="L1370" s="6">
        <v>35.120414733886697</v>
      </c>
    </row>
    <row r="1371" spans="1:12" x14ac:dyDescent="0.25">
      <c r="A1371">
        <v>2105989</v>
      </c>
      <c r="B1371" t="str">
        <f t="shared" si="21"/>
        <v>LAJEADO NOVO, MA, Brasil</v>
      </c>
      <c r="C1371" s="4" t="str">
        <f>_xlfn.XLOOKUP(A1371,[1]!DadosGHD[CD_GEOCMU],[1]!DadosGHD[Região])</f>
        <v>NE</v>
      </c>
      <c r="D1371" s="4" t="str">
        <f>_xlfn.XLOOKUP(A1371,[1]!DadosGHD[CD_GEOCMU],[1]!DadosGHD[uf])</f>
        <v>MA</v>
      </c>
      <c r="E1371" s="5" t="str">
        <f>_xlfn.XLOOKUP(A1371,[1]!DadosGHD[CD_GEOCMU],[1]!DadosGHD[MUNICIPIO])</f>
        <v>LAJEADO NOVO</v>
      </c>
      <c r="F1371" s="6">
        <v>33.732555389404297</v>
      </c>
      <c r="G1371" s="6">
        <v>33.824497222900398</v>
      </c>
      <c r="H1371" s="6">
        <v>33.862052917480497</v>
      </c>
      <c r="I1371" s="6">
        <v>33.837570190429702</v>
      </c>
      <c r="J1371" s="6">
        <v>33.863624572753899</v>
      </c>
      <c r="K1371" s="6">
        <v>33.888698577880902</v>
      </c>
      <c r="L1371" s="6">
        <v>30.719764709472699</v>
      </c>
    </row>
    <row r="1372" spans="1:12" x14ac:dyDescent="0.25">
      <c r="A1372">
        <v>2508505</v>
      </c>
      <c r="B1372" t="str">
        <f t="shared" si="21"/>
        <v>LIVRAMENTO, PB, Brasil</v>
      </c>
      <c r="C1372" s="4" t="str">
        <f>_xlfn.XLOOKUP(A1372,[1]!DadosGHD[CD_GEOCMU],[1]!DadosGHD[Região])</f>
        <v>NE</v>
      </c>
      <c r="D1372" s="4" t="str">
        <f>_xlfn.XLOOKUP(A1372,[1]!DadosGHD[CD_GEOCMU],[1]!DadosGHD[uf])</f>
        <v>PB</v>
      </c>
      <c r="E1372" s="5" t="str">
        <f>_xlfn.XLOOKUP(A1372,[1]!DadosGHD[CD_GEOCMU],[1]!DadosGHD[MUNICIPIO])</f>
        <v>LIVRAMENTO</v>
      </c>
      <c r="F1372" s="6">
        <v>33.732608795166001</v>
      </c>
      <c r="G1372" s="6">
        <v>33.784042358398402</v>
      </c>
      <c r="H1372" s="6">
        <v>33.822799682617202</v>
      </c>
      <c r="I1372" s="6">
        <v>33.8019828796387</v>
      </c>
      <c r="J1372" s="6">
        <v>33.819202423095703</v>
      </c>
      <c r="K1372" s="6">
        <v>33.850822448730497</v>
      </c>
      <c r="L1372" s="6">
        <v>26.286676406860401</v>
      </c>
    </row>
    <row r="1373" spans="1:12" x14ac:dyDescent="0.25">
      <c r="A1373">
        <v>5107776</v>
      </c>
      <c r="B1373" t="str">
        <f t="shared" si="21"/>
        <v>SANTA TEREZINHA, MT, Brasil</v>
      </c>
      <c r="C1373" s="4" t="str">
        <f>_xlfn.XLOOKUP(A1373,[1]!DadosGHD[CD_GEOCMU],[1]!DadosGHD[Região])</f>
        <v>CO</v>
      </c>
      <c r="D1373" s="4" t="str">
        <f>_xlfn.XLOOKUP(A1373,[1]!DadosGHD[CD_GEOCMU],[1]!DadosGHD[uf])</f>
        <v>MT</v>
      </c>
      <c r="E1373" s="5" t="str">
        <f>_xlfn.XLOOKUP(A1373,[1]!DadosGHD[CD_GEOCMU],[1]!DadosGHD[MUNICIPIO])</f>
        <v>SANTA TEREZINHA</v>
      </c>
      <c r="F1373" s="6">
        <v>33.732879638671903</v>
      </c>
      <c r="G1373" s="6">
        <v>33.785575866699197</v>
      </c>
      <c r="H1373" s="6">
        <v>33.8270072937012</v>
      </c>
      <c r="I1373" s="6">
        <v>33.803989410400398</v>
      </c>
      <c r="J1373" s="6">
        <v>33.831653594970703</v>
      </c>
      <c r="K1373" s="6">
        <v>33.894332885742202</v>
      </c>
      <c r="L1373" s="6">
        <v>26.298042297363299</v>
      </c>
    </row>
    <row r="1374" spans="1:12" x14ac:dyDescent="0.25">
      <c r="A1374">
        <v>2101004</v>
      </c>
      <c r="B1374" t="str">
        <f t="shared" si="21"/>
        <v>ARARI, MA, Brasil</v>
      </c>
      <c r="C1374" s="4" t="str">
        <f>_xlfn.XLOOKUP(A1374,[1]!DadosGHD[CD_GEOCMU],[1]!DadosGHD[Região])</f>
        <v>NE</v>
      </c>
      <c r="D1374" s="4" t="str">
        <f>_xlfn.XLOOKUP(A1374,[1]!DadosGHD[CD_GEOCMU],[1]!DadosGHD[uf])</f>
        <v>MA</v>
      </c>
      <c r="E1374" s="5" t="str">
        <f>_xlfn.XLOOKUP(A1374,[1]!DadosGHD[CD_GEOCMU],[1]!DadosGHD[MUNICIPIO])</f>
        <v>ARARI</v>
      </c>
      <c r="F1374" s="6">
        <v>33.733348846435597</v>
      </c>
      <c r="G1374" s="6">
        <v>33.779689788818402</v>
      </c>
      <c r="H1374" s="6">
        <v>28.977127075195298</v>
      </c>
      <c r="I1374" s="6">
        <v>28.9529838562012</v>
      </c>
      <c r="J1374" s="6">
        <v>28.973402023315401</v>
      </c>
      <c r="K1374" s="6">
        <v>28.998622894287099</v>
      </c>
      <c r="L1374" s="6">
        <v>26.296308517456101</v>
      </c>
    </row>
    <row r="1375" spans="1:12" x14ac:dyDescent="0.25">
      <c r="A1375">
        <v>2806404</v>
      </c>
      <c r="B1375" t="str">
        <f t="shared" si="21"/>
        <v>SANTANA DO SAO FRANCISCO, SE, Brasil</v>
      </c>
      <c r="C1375" s="4" t="str">
        <f>_xlfn.XLOOKUP(A1375,[1]!DadosGHD[CD_GEOCMU],[1]!DadosGHD[Região])</f>
        <v>NE</v>
      </c>
      <c r="D1375" s="4" t="str">
        <f>_xlfn.XLOOKUP(A1375,[1]!DadosGHD[CD_GEOCMU],[1]!DadosGHD[uf])</f>
        <v>SE</v>
      </c>
      <c r="E1375" s="5" t="str">
        <f>_xlfn.XLOOKUP(A1375,[1]!DadosGHD[CD_GEOCMU],[1]!DadosGHD[MUNICIPIO])</f>
        <v>SANTANA DO SAO FRANCISCO</v>
      </c>
      <c r="F1375" s="6">
        <v>33.733352661132798</v>
      </c>
      <c r="G1375" s="6">
        <v>33.784618377685597</v>
      </c>
      <c r="H1375" s="6">
        <v>33.818912506103501</v>
      </c>
      <c r="I1375" s="6">
        <v>33.7949409484863</v>
      </c>
      <c r="J1375" s="6">
        <v>28.9409065246582</v>
      </c>
      <c r="K1375" s="6">
        <v>28.9686679840088</v>
      </c>
      <c r="L1375" s="6">
        <v>26.2798957824707</v>
      </c>
    </row>
    <row r="1376" spans="1:12" x14ac:dyDescent="0.25">
      <c r="A1376">
        <v>2925402</v>
      </c>
      <c r="B1376" t="str">
        <f t="shared" si="21"/>
        <v>POTIRAGUA, BA, Brasil</v>
      </c>
      <c r="C1376" s="4" t="str">
        <f>_xlfn.XLOOKUP(A1376,[1]!DadosGHD[CD_GEOCMU],[1]!DadosGHD[Região])</f>
        <v>NE</v>
      </c>
      <c r="D1376" s="4" t="str">
        <f>_xlfn.XLOOKUP(A1376,[1]!DadosGHD[CD_GEOCMU],[1]!DadosGHD[uf])</f>
        <v>BA</v>
      </c>
      <c r="E1376" s="5" t="str">
        <f>_xlfn.XLOOKUP(A1376,[1]!DadosGHD[CD_GEOCMU],[1]!DadosGHD[MUNICIPIO])</f>
        <v>POTIRAGUA</v>
      </c>
      <c r="F1376" s="6">
        <v>33.733448028564503</v>
      </c>
      <c r="G1376" s="6">
        <v>33.805313110351598</v>
      </c>
      <c r="H1376" s="6">
        <v>33.847835540771499</v>
      </c>
      <c r="I1376" s="6">
        <v>33.830032348632798</v>
      </c>
      <c r="J1376" s="6">
        <v>33.864322662353501</v>
      </c>
      <c r="K1376" s="6">
        <v>38.8177490234375</v>
      </c>
      <c r="L1376" s="6">
        <v>35.147384643554702</v>
      </c>
    </row>
    <row r="1377" spans="1:12" x14ac:dyDescent="0.25">
      <c r="A1377">
        <v>2107704</v>
      </c>
      <c r="B1377" t="str">
        <f t="shared" si="21"/>
        <v>PARAIBANO, MA, Brasil</v>
      </c>
      <c r="C1377" s="4" t="str">
        <f>_xlfn.XLOOKUP(A1377,[1]!DadosGHD[CD_GEOCMU],[1]!DadosGHD[Região])</f>
        <v>NE</v>
      </c>
      <c r="D1377" s="4" t="str">
        <f>_xlfn.XLOOKUP(A1377,[1]!DadosGHD[CD_GEOCMU],[1]!DadosGHD[uf])</f>
        <v>MA</v>
      </c>
      <c r="E1377" s="5" t="str">
        <f>_xlfn.XLOOKUP(A1377,[1]!DadosGHD[CD_GEOCMU],[1]!DadosGHD[MUNICIPIO])</f>
        <v>PARAIBANO</v>
      </c>
      <c r="F1377" s="6">
        <v>33.733577728271499</v>
      </c>
      <c r="G1377" s="6">
        <v>33.796680450439503</v>
      </c>
      <c r="H1377" s="6">
        <v>33.830257415771499</v>
      </c>
      <c r="I1377" s="6">
        <v>33.806098937988303</v>
      </c>
      <c r="J1377" s="6">
        <v>33.820533752441399</v>
      </c>
      <c r="K1377" s="6">
        <v>29.0022487640381</v>
      </c>
      <c r="L1377" s="6">
        <v>30.692844390869102</v>
      </c>
    </row>
    <row r="1378" spans="1:12" x14ac:dyDescent="0.25">
      <c r="A1378">
        <v>2931509</v>
      </c>
      <c r="B1378" t="str">
        <f t="shared" si="21"/>
        <v>TEOFILANDIA, BA, Brasil</v>
      </c>
      <c r="C1378" s="4" t="str">
        <f>_xlfn.XLOOKUP(A1378,[1]!DadosGHD[CD_GEOCMU],[1]!DadosGHD[Região])</f>
        <v>NE</v>
      </c>
      <c r="D1378" s="4" t="str">
        <f>_xlfn.XLOOKUP(A1378,[1]!DadosGHD[CD_GEOCMU],[1]!DadosGHD[uf])</f>
        <v>BA</v>
      </c>
      <c r="E1378" s="5" t="str">
        <f>_xlfn.XLOOKUP(A1378,[1]!DadosGHD[CD_GEOCMU],[1]!DadosGHD[MUNICIPIO])</f>
        <v>TEOFILANDIA</v>
      </c>
      <c r="F1378" s="6">
        <v>33.733707427978501</v>
      </c>
      <c r="G1378" s="6">
        <v>33.822860717773402</v>
      </c>
      <c r="H1378" s="6">
        <v>33.839694976806598</v>
      </c>
      <c r="I1378" s="6">
        <v>33.789539337158203</v>
      </c>
      <c r="J1378" s="6">
        <v>33.8100395202637</v>
      </c>
      <c r="K1378" s="6">
        <v>29.002607345581101</v>
      </c>
      <c r="L1378" s="6">
        <v>26.2798957824707</v>
      </c>
    </row>
    <row r="1379" spans="1:12" x14ac:dyDescent="0.25">
      <c r="A1379">
        <v>2703809</v>
      </c>
      <c r="B1379" t="str">
        <f t="shared" si="21"/>
        <v>JOAQUIM GOMES, AL, Brasil</v>
      </c>
      <c r="C1379" s="4" t="str">
        <f>_xlfn.XLOOKUP(A1379,[1]!DadosGHD[CD_GEOCMU],[1]!DadosGHD[Região])</f>
        <v>NE</v>
      </c>
      <c r="D1379" s="4" t="str">
        <f>_xlfn.XLOOKUP(A1379,[1]!DadosGHD[CD_GEOCMU],[1]!DadosGHD[uf])</f>
        <v>AL</v>
      </c>
      <c r="E1379" s="5" t="str">
        <f>_xlfn.XLOOKUP(A1379,[1]!DadosGHD[CD_GEOCMU],[1]!DadosGHD[MUNICIPIO])</f>
        <v>JOAQUIM GOMES</v>
      </c>
      <c r="F1379" s="6">
        <v>33.733711242675803</v>
      </c>
      <c r="G1379" s="6">
        <v>33.789966583252003</v>
      </c>
      <c r="H1379" s="6">
        <v>33.833930969238303</v>
      </c>
      <c r="I1379" s="6">
        <v>33.818641662597699</v>
      </c>
      <c r="J1379" s="6">
        <v>33.8291206359863</v>
      </c>
      <c r="K1379" s="6">
        <v>33.846836090087898</v>
      </c>
      <c r="L1379" s="6">
        <v>26.2994194030762</v>
      </c>
    </row>
    <row r="1380" spans="1:12" x14ac:dyDescent="0.25">
      <c r="A1380">
        <v>4308078</v>
      </c>
      <c r="B1380" t="str">
        <f t="shared" si="21"/>
        <v>FAZENDA VILANOVA, RS, Brasil</v>
      </c>
      <c r="C1380" s="4" t="str">
        <f>_xlfn.XLOOKUP(A1380,[1]!DadosGHD[CD_GEOCMU],[1]!DadosGHD[Região])</f>
        <v>SL</v>
      </c>
      <c r="D1380" s="4" t="str">
        <f>_xlfn.XLOOKUP(A1380,[1]!DadosGHD[CD_GEOCMU],[1]!DadosGHD[uf])</f>
        <v>RS</v>
      </c>
      <c r="E1380" s="5" t="str">
        <f>_xlfn.XLOOKUP(A1380,[1]!DadosGHD[CD_GEOCMU],[1]!DadosGHD[MUNICIPIO])</f>
        <v>FAZENDA VILANOVA</v>
      </c>
      <c r="F1380" s="6">
        <v>33.733776092529297</v>
      </c>
      <c r="G1380" s="6">
        <v>43.644329071044901</v>
      </c>
      <c r="H1380" s="6">
        <v>38.832916259765597</v>
      </c>
      <c r="I1380" s="6">
        <v>43.781780242919901</v>
      </c>
      <c r="J1380" s="6">
        <v>48.774036407470703</v>
      </c>
      <c r="K1380" s="6">
        <v>43.879692077636697</v>
      </c>
      <c r="L1380" s="6">
        <v>44.076541900634801</v>
      </c>
    </row>
    <row r="1381" spans="1:12" x14ac:dyDescent="0.25">
      <c r="A1381">
        <v>2705408</v>
      </c>
      <c r="B1381" t="str">
        <f t="shared" si="21"/>
        <v>MONTEIROPOLIS, AL, Brasil</v>
      </c>
      <c r="C1381" s="4" t="str">
        <f>_xlfn.XLOOKUP(A1381,[1]!DadosGHD[CD_GEOCMU],[1]!DadosGHD[Região])</f>
        <v>NE</v>
      </c>
      <c r="D1381" s="4" t="str">
        <f>_xlfn.XLOOKUP(A1381,[1]!DadosGHD[CD_GEOCMU],[1]!DadosGHD[uf])</f>
        <v>AL</v>
      </c>
      <c r="E1381" s="5" t="str">
        <f>_xlfn.XLOOKUP(A1381,[1]!DadosGHD[CD_GEOCMU],[1]!DadosGHD[MUNICIPIO])</f>
        <v>MONTEIROPOLIS</v>
      </c>
      <c r="F1381" s="6">
        <v>33.733860015869098</v>
      </c>
      <c r="G1381" s="6">
        <v>33.785865783691399</v>
      </c>
      <c r="H1381" s="6">
        <v>33.825965881347699</v>
      </c>
      <c r="I1381" s="6">
        <v>33.803398132324197</v>
      </c>
      <c r="J1381" s="6">
        <v>33.8206596374512</v>
      </c>
      <c r="K1381" s="6">
        <v>33.852317810058601</v>
      </c>
      <c r="L1381" s="6">
        <v>26.285686492919901</v>
      </c>
    </row>
    <row r="1382" spans="1:12" x14ac:dyDescent="0.25">
      <c r="A1382">
        <v>1505494</v>
      </c>
      <c r="B1382" t="str">
        <f t="shared" si="21"/>
        <v>PALESTINA DO PARA, PA, Brasil</v>
      </c>
      <c r="C1382" s="4" t="str">
        <f>_xlfn.XLOOKUP(A1382,[1]!DadosGHD[CD_GEOCMU],[1]!DadosGHD[Região])</f>
        <v>NO</v>
      </c>
      <c r="D1382" s="4" t="str">
        <f>_xlfn.XLOOKUP(A1382,[1]!DadosGHD[CD_GEOCMU],[1]!DadosGHD[uf])</f>
        <v>PA</v>
      </c>
      <c r="E1382" s="5" t="str">
        <f>_xlfn.XLOOKUP(A1382,[1]!DadosGHD[CD_GEOCMU],[1]!DadosGHD[MUNICIPIO])</f>
        <v>PALESTINA DO PARA</v>
      </c>
      <c r="F1382" s="6">
        <v>33.734062194824197</v>
      </c>
      <c r="G1382" s="6">
        <v>33.803726196289098</v>
      </c>
      <c r="H1382" s="6">
        <v>33.854156494140597</v>
      </c>
      <c r="I1382" s="6">
        <v>33.871688842773402</v>
      </c>
      <c r="J1382" s="6">
        <v>33.888511657714801</v>
      </c>
      <c r="K1382" s="6">
        <v>33.921272277832003</v>
      </c>
      <c r="L1382" s="6">
        <v>30.686182022094702</v>
      </c>
    </row>
    <row r="1383" spans="1:12" x14ac:dyDescent="0.25">
      <c r="A1383">
        <v>2205953</v>
      </c>
      <c r="B1383" t="str">
        <f t="shared" si="21"/>
        <v>MARCOLANDIA, PI, Brasil</v>
      </c>
      <c r="C1383" s="4" t="str">
        <f>_xlfn.XLOOKUP(A1383,[1]!DadosGHD[CD_GEOCMU],[1]!DadosGHD[Região])</f>
        <v>NE</v>
      </c>
      <c r="D1383" s="4" t="str">
        <f>_xlfn.XLOOKUP(A1383,[1]!DadosGHD[CD_GEOCMU],[1]!DadosGHD[uf])</f>
        <v>PI</v>
      </c>
      <c r="E1383" s="5" t="str">
        <f>_xlfn.XLOOKUP(A1383,[1]!DadosGHD[CD_GEOCMU],[1]!DadosGHD[MUNICIPIO])</f>
        <v>MARCOLANDIA</v>
      </c>
      <c r="F1383" s="6">
        <v>33.734169006347699</v>
      </c>
      <c r="G1383" s="6">
        <v>33.804508209228501</v>
      </c>
      <c r="H1383" s="6">
        <v>33.834804534912102</v>
      </c>
      <c r="I1383" s="6">
        <v>33.806526184082003</v>
      </c>
      <c r="J1383" s="6">
        <v>33.819000244140597</v>
      </c>
      <c r="K1383" s="6">
        <v>29.001314163208001</v>
      </c>
      <c r="L1383" s="6">
        <v>26.296512603759801</v>
      </c>
    </row>
    <row r="1384" spans="1:12" x14ac:dyDescent="0.25">
      <c r="A1384">
        <v>2111409</v>
      </c>
      <c r="B1384" t="str">
        <f t="shared" si="21"/>
        <v>SAO LUIS GONZAGA DO MARANHAO, MA, Brasil</v>
      </c>
      <c r="C1384" s="4" t="str">
        <f>_xlfn.XLOOKUP(A1384,[1]!DadosGHD[CD_GEOCMU],[1]!DadosGHD[Região])</f>
        <v>NE</v>
      </c>
      <c r="D1384" s="4" t="str">
        <f>_xlfn.XLOOKUP(A1384,[1]!DadosGHD[CD_GEOCMU],[1]!DadosGHD[uf])</f>
        <v>MA</v>
      </c>
      <c r="E1384" s="5" t="str">
        <f>_xlfn.XLOOKUP(A1384,[1]!DadosGHD[CD_GEOCMU],[1]!DadosGHD[MUNICIPIO])</f>
        <v>SAO LUIS GONZAGA DO MARANHAO</v>
      </c>
      <c r="F1384" s="6">
        <v>33.734214782714801</v>
      </c>
      <c r="G1384" s="6">
        <v>33.792465209960902</v>
      </c>
      <c r="H1384" s="6">
        <v>33.843597412109403</v>
      </c>
      <c r="I1384" s="6">
        <v>33.814300537109403</v>
      </c>
      <c r="J1384" s="6">
        <v>28.9717311859131</v>
      </c>
      <c r="K1384" s="6">
        <v>28.9955348968506</v>
      </c>
      <c r="L1384" s="6">
        <v>26.281557083129901</v>
      </c>
    </row>
    <row r="1385" spans="1:12" x14ac:dyDescent="0.25">
      <c r="A1385">
        <v>2911600</v>
      </c>
      <c r="B1385" t="str">
        <f t="shared" si="21"/>
        <v>GOVERNADOR MANGABEIRA, BA, Brasil</v>
      </c>
      <c r="C1385" s="4" t="str">
        <f>_xlfn.XLOOKUP(A1385,[1]!DadosGHD[CD_GEOCMU],[1]!DadosGHD[Região])</f>
        <v>NE</v>
      </c>
      <c r="D1385" s="4" t="str">
        <f>_xlfn.XLOOKUP(A1385,[1]!DadosGHD[CD_GEOCMU],[1]!DadosGHD[uf])</f>
        <v>BA</v>
      </c>
      <c r="E1385" s="5" t="str">
        <f>_xlfn.XLOOKUP(A1385,[1]!DadosGHD[CD_GEOCMU],[1]!DadosGHD[MUNICIPIO])</f>
        <v>GOVERNADOR MANGABEIRA</v>
      </c>
      <c r="F1385" s="6">
        <v>33.734245300292997</v>
      </c>
      <c r="G1385" s="6">
        <v>33.784400939941399</v>
      </c>
      <c r="H1385" s="6">
        <v>33.832675933837898</v>
      </c>
      <c r="I1385" s="6">
        <v>33.823295593261697</v>
      </c>
      <c r="J1385" s="6">
        <v>33.865756988525398</v>
      </c>
      <c r="K1385" s="6">
        <v>33.895545959472699</v>
      </c>
      <c r="L1385" s="6">
        <v>30.6910724639893</v>
      </c>
    </row>
    <row r="1386" spans="1:12" x14ac:dyDescent="0.25">
      <c r="A1386">
        <v>2100808</v>
      </c>
      <c r="B1386" t="str">
        <f t="shared" si="21"/>
        <v>ANAPURUS, MA, Brasil</v>
      </c>
      <c r="C1386" s="4" t="str">
        <f>_xlfn.XLOOKUP(A1386,[1]!DadosGHD[CD_GEOCMU],[1]!DadosGHD[Região])</f>
        <v>NE</v>
      </c>
      <c r="D1386" s="4" t="str">
        <f>_xlfn.XLOOKUP(A1386,[1]!DadosGHD[CD_GEOCMU],[1]!DadosGHD[uf])</f>
        <v>MA</v>
      </c>
      <c r="E1386" s="5" t="str">
        <f>_xlfn.XLOOKUP(A1386,[1]!DadosGHD[CD_GEOCMU],[1]!DadosGHD[MUNICIPIO])</f>
        <v>ANAPURUS</v>
      </c>
      <c r="F1386" s="6">
        <v>33.734748840332003</v>
      </c>
      <c r="G1386" s="6">
        <v>33.785530090332003</v>
      </c>
      <c r="H1386" s="6">
        <v>33.826465606689503</v>
      </c>
      <c r="I1386" s="6">
        <v>28.948411941528299</v>
      </c>
      <c r="J1386" s="6">
        <v>28.9452095031738</v>
      </c>
      <c r="K1386" s="6">
        <v>28.968776702880898</v>
      </c>
      <c r="L1386" s="6">
        <v>26.299119949340799</v>
      </c>
    </row>
    <row r="1387" spans="1:12" x14ac:dyDescent="0.25">
      <c r="A1387">
        <v>2307205</v>
      </c>
      <c r="B1387" t="str">
        <f t="shared" si="21"/>
        <v>JATI, CE, Brasil</v>
      </c>
      <c r="C1387" s="4" t="str">
        <f>_xlfn.XLOOKUP(A1387,[1]!DadosGHD[CD_GEOCMU],[1]!DadosGHD[Região])</f>
        <v>NE</v>
      </c>
      <c r="D1387" s="4" t="str">
        <f>_xlfn.XLOOKUP(A1387,[1]!DadosGHD[CD_GEOCMU],[1]!DadosGHD[uf])</f>
        <v>CE</v>
      </c>
      <c r="E1387" s="5" t="str">
        <f>_xlfn.XLOOKUP(A1387,[1]!DadosGHD[CD_GEOCMU],[1]!DadosGHD[MUNICIPIO])</f>
        <v>JATI</v>
      </c>
      <c r="F1387" s="6">
        <v>33.734783172607401</v>
      </c>
      <c r="G1387" s="6">
        <v>33.787834167480497</v>
      </c>
      <c r="H1387" s="6">
        <v>33.827854156494098</v>
      </c>
      <c r="I1387" s="6">
        <v>33.813308715820298</v>
      </c>
      <c r="J1387" s="6">
        <v>33.822364807128899</v>
      </c>
      <c r="K1387" s="6">
        <v>33.898246765136697</v>
      </c>
      <c r="L1387" s="6">
        <v>30.720758438110401</v>
      </c>
    </row>
    <row r="1388" spans="1:12" x14ac:dyDescent="0.25">
      <c r="A1388">
        <v>1304203</v>
      </c>
      <c r="B1388" t="str">
        <f t="shared" si="21"/>
        <v>TEFE, AM, Brasil</v>
      </c>
      <c r="C1388" s="4" t="str">
        <f>_xlfn.XLOOKUP(A1388,[1]!DadosGHD[CD_GEOCMU],[1]!DadosGHD[Região])</f>
        <v>NO</v>
      </c>
      <c r="D1388" s="4" t="str">
        <f>_xlfn.XLOOKUP(A1388,[1]!DadosGHD[CD_GEOCMU],[1]!DadosGHD[uf])</f>
        <v>AM</v>
      </c>
      <c r="E1388" s="5" t="str">
        <f>_xlfn.XLOOKUP(A1388,[1]!DadosGHD[CD_GEOCMU],[1]!DadosGHD[MUNICIPIO])</f>
        <v>TEFE</v>
      </c>
      <c r="F1388" s="6">
        <v>33.734821319580099</v>
      </c>
      <c r="G1388" s="6">
        <v>33.794651031494098</v>
      </c>
      <c r="H1388" s="6">
        <v>33.828815460205099</v>
      </c>
      <c r="I1388" s="6">
        <v>33.809070587158203</v>
      </c>
      <c r="J1388" s="6">
        <v>33.827083587646499</v>
      </c>
      <c r="K1388" s="6">
        <v>33.8602485656738</v>
      </c>
      <c r="L1388" s="6">
        <v>26.2798957824707</v>
      </c>
    </row>
    <row r="1389" spans="1:12" x14ac:dyDescent="0.25">
      <c r="A1389">
        <v>2803500</v>
      </c>
      <c r="B1389" t="str">
        <f t="shared" si="21"/>
        <v>LAGARTO, SE, Brasil</v>
      </c>
      <c r="C1389" s="4" t="str">
        <f>_xlfn.XLOOKUP(A1389,[1]!DadosGHD[CD_GEOCMU],[1]!DadosGHD[Região])</f>
        <v>NE</v>
      </c>
      <c r="D1389" s="4" t="str">
        <f>_xlfn.XLOOKUP(A1389,[1]!DadosGHD[CD_GEOCMU],[1]!DadosGHD[uf])</f>
        <v>SE</v>
      </c>
      <c r="E1389" s="5" t="str">
        <f>_xlfn.XLOOKUP(A1389,[1]!DadosGHD[CD_GEOCMU],[1]!DadosGHD[MUNICIPIO])</f>
        <v>LAGARTO</v>
      </c>
      <c r="F1389" s="6">
        <v>33.734909057617202</v>
      </c>
      <c r="G1389" s="6">
        <v>33.8191528320313</v>
      </c>
      <c r="H1389" s="6">
        <v>33.882625579833999</v>
      </c>
      <c r="I1389" s="6">
        <v>38.726951599121101</v>
      </c>
      <c r="J1389" s="6">
        <v>38.834770202636697</v>
      </c>
      <c r="K1389" s="6">
        <v>38.847648620605497</v>
      </c>
      <c r="L1389" s="6">
        <v>35.125633239746101</v>
      </c>
    </row>
    <row r="1390" spans="1:12" x14ac:dyDescent="0.25">
      <c r="A1390">
        <v>2501005</v>
      </c>
      <c r="B1390" t="str">
        <f t="shared" si="21"/>
        <v>ARARUNA, PB, Brasil</v>
      </c>
      <c r="C1390" s="4" t="str">
        <f>_xlfn.XLOOKUP(A1390,[1]!DadosGHD[CD_GEOCMU],[1]!DadosGHD[Região])</f>
        <v>NE</v>
      </c>
      <c r="D1390" s="4" t="str">
        <f>_xlfn.XLOOKUP(A1390,[1]!DadosGHD[CD_GEOCMU],[1]!DadosGHD[uf])</f>
        <v>PB</v>
      </c>
      <c r="E1390" s="5" t="str">
        <f>_xlfn.XLOOKUP(A1390,[1]!DadosGHD[CD_GEOCMU],[1]!DadosGHD[MUNICIPIO])</f>
        <v>ARARUNA</v>
      </c>
      <c r="F1390" s="6">
        <v>33.734909057617202</v>
      </c>
      <c r="G1390" s="6">
        <v>33.832786560058601</v>
      </c>
      <c r="H1390" s="6">
        <v>33.862815856933601</v>
      </c>
      <c r="I1390" s="6">
        <v>33.840015411377003</v>
      </c>
      <c r="J1390" s="6">
        <v>33.848018646240199</v>
      </c>
      <c r="K1390" s="6">
        <v>33.870132446289098</v>
      </c>
      <c r="L1390" s="6">
        <v>30.7196960449219</v>
      </c>
    </row>
    <row r="1391" spans="1:12" x14ac:dyDescent="0.25">
      <c r="A1391">
        <v>2300507</v>
      </c>
      <c r="B1391" t="str">
        <f t="shared" si="21"/>
        <v>ALCANTARAS, CE, Brasil</v>
      </c>
      <c r="C1391" s="4" t="str">
        <f>_xlfn.XLOOKUP(A1391,[1]!DadosGHD[CD_GEOCMU],[1]!DadosGHD[Região])</f>
        <v>NE</v>
      </c>
      <c r="D1391" s="4" t="str">
        <f>_xlfn.XLOOKUP(A1391,[1]!DadosGHD[CD_GEOCMU],[1]!DadosGHD[uf])</f>
        <v>CE</v>
      </c>
      <c r="E1391" s="5" t="str">
        <f>_xlfn.XLOOKUP(A1391,[1]!DadosGHD[CD_GEOCMU],[1]!DadosGHD[MUNICIPIO])</f>
        <v>ALCANTARAS</v>
      </c>
      <c r="F1391" s="6">
        <v>33.734928131103501</v>
      </c>
      <c r="G1391" s="6">
        <v>33.774971008300803</v>
      </c>
      <c r="H1391" s="6">
        <v>33.816154479980497</v>
      </c>
      <c r="I1391" s="6">
        <v>33.7993354797363</v>
      </c>
      <c r="J1391" s="6">
        <v>33.8454399108887</v>
      </c>
      <c r="K1391" s="6">
        <v>38.876171112060597</v>
      </c>
      <c r="L1391" s="6">
        <v>44.054782867431598</v>
      </c>
    </row>
    <row r="1392" spans="1:12" x14ac:dyDescent="0.25">
      <c r="A1392">
        <v>4305132</v>
      </c>
      <c r="B1392" t="str">
        <f t="shared" si="21"/>
        <v>CERRO BRANCO, RS, Brasil</v>
      </c>
      <c r="C1392" s="4" t="str">
        <f>_xlfn.XLOOKUP(A1392,[1]!DadosGHD[CD_GEOCMU],[1]!DadosGHD[Região])</f>
        <v>SL</v>
      </c>
      <c r="D1392" s="4" t="str">
        <f>_xlfn.XLOOKUP(A1392,[1]!DadosGHD[CD_GEOCMU],[1]!DadosGHD[uf])</f>
        <v>RS</v>
      </c>
      <c r="E1392" s="5" t="str">
        <f>_xlfn.XLOOKUP(A1392,[1]!DadosGHD[CD_GEOCMU],[1]!DadosGHD[MUNICIPIO])</f>
        <v>CERRO BRANCO</v>
      </c>
      <c r="F1392" s="6">
        <v>33.735000610351598</v>
      </c>
      <c r="G1392" s="6">
        <v>38.784046173095703</v>
      </c>
      <c r="H1392" s="6">
        <v>43.728382110595703</v>
      </c>
      <c r="I1392" s="6">
        <v>43.766712188720703</v>
      </c>
      <c r="J1392" s="6">
        <v>43.761882781982401</v>
      </c>
      <c r="K1392" s="6">
        <v>43.7567749023438</v>
      </c>
      <c r="L1392" s="6">
        <v>44.037044525146499</v>
      </c>
    </row>
    <row r="1393" spans="1:12" x14ac:dyDescent="0.25">
      <c r="A1393">
        <v>2616183</v>
      </c>
      <c r="B1393" t="str">
        <f t="shared" si="21"/>
        <v>VERTENTE DO LERIO, PE, Brasil</v>
      </c>
      <c r="C1393" s="4" t="str">
        <f>_xlfn.XLOOKUP(A1393,[1]!DadosGHD[CD_GEOCMU],[1]!DadosGHD[Região])</f>
        <v>NE</v>
      </c>
      <c r="D1393" s="4" t="str">
        <f>_xlfn.XLOOKUP(A1393,[1]!DadosGHD[CD_GEOCMU],[1]!DadosGHD[uf])</f>
        <v>PE</v>
      </c>
      <c r="E1393" s="5" t="str">
        <f>_xlfn.XLOOKUP(A1393,[1]!DadosGHD[CD_GEOCMU],[1]!DadosGHD[MUNICIPIO])</f>
        <v>VERTENTE DO LERIO</v>
      </c>
      <c r="F1393" s="6">
        <v>33.7350883483887</v>
      </c>
      <c r="G1393" s="6">
        <v>33.785343170166001</v>
      </c>
      <c r="H1393" s="6">
        <v>33.819950103759801</v>
      </c>
      <c r="I1393" s="6">
        <v>33.7970161437988</v>
      </c>
      <c r="J1393" s="6">
        <v>33.816261291503899</v>
      </c>
      <c r="K1393" s="6">
        <v>33.847404479980497</v>
      </c>
      <c r="L1393" s="6">
        <v>26.2895622253418</v>
      </c>
    </row>
    <row r="1394" spans="1:12" x14ac:dyDescent="0.25">
      <c r="A1394">
        <v>3136405</v>
      </c>
      <c r="B1394" t="str">
        <f t="shared" si="21"/>
        <v>JOAQUIM FELICIO, MG, Brasil</v>
      </c>
      <c r="C1394" s="4" t="str">
        <f>_xlfn.XLOOKUP(A1394,[1]!DadosGHD[CD_GEOCMU],[1]!DadosGHD[Região])</f>
        <v>SD</v>
      </c>
      <c r="D1394" s="4" t="str">
        <f>_xlfn.XLOOKUP(A1394,[1]!DadosGHD[CD_GEOCMU],[1]!DadosGHD[uf])</f>
        <v>MG</v>
      </c>
      <c r="E1394" s="5" t="str">
        <f>_xlfn.XLOOKUP(A1394,[1]!DadosGHD[CD_GEOCMU],[1]!DadosGHD[MUNICIPIO])</f>
        <v>JOAQUIM FELICIO</v>
      </c>
      <c r="F1394" s="6">
        <v>33.735103607177699</v>
      </c>
      <c r="G1394" s="6">
        <v>28.907878875732401</v>
      </c>
      <c r="H1394" s="6">
        <v>28.942651748657202</v>
      </c>
      <c r="I1394" s="6">
        <v>28.925045013427699</v>
      </c>
      <c r="J1394" s="6">
        <v>28.9409065246582</v>
      </c>
      <c r="K1394" s="6">
        <v>28.9686679840088</v>
      </c>
      <c r="L1394" s="6">
        <v>30.720016479492202</v>
      </c>
    </row>
    <row r="1395" spans="1:12" x14ac:dyDescent="0.25">
      <c r="A1395">
        <v>2512903</v>
      </c>
      <c r="B1395" t="str">
        <f t="shared" si="21"/>
        <v>RIO TINTO, PB, Brasil</v>
      </c>
      <c r="C1395" s="4" t="str">
        <f>_xlfn.XLOOKUP(A1395,[1]!DadosGHD[CD_GEOCMU],[1]!DadosGHD[Região])</f>
        <v>NE</v>
      </c>
      <c r="D1395" s="4" t="str">
        <f>_xlfn.XLOOKUP(A1395,[1]!DadosGHD[CD_GEOCMU],[1]!DadosGHD[uf])</f>
        <v>PB</v>
      </c>
      <c r="E1395" s="5" t="str">
        <f>_xlfn.XLOOKUP(A1395,[1]!DadosGHD[CD_GEOCMU],[1]!DadosGHD[MUNICIPIO])</f>
        <v>RIO TINTO</v>
      </c>
      <c r="F1395" s="6">
        <v>33.735107421875</v>
      </c>
      <c r="G1395" s="6">
        <v>33.811141967773402</v>
      </c>
      <c r="H1395" s="6">
        <v>33.877304077148402</v>
      </c>
      <c r="I1395" s="6">
        <v>33.864364624023402</v>
      </c>
      <c r="J1395" s="6">
        <v>38.751655578613303</v>
      </c>
      <c r="K1395" s="6">
        <v>38.792900085449197</v>
      </c>
      <c r="L1395" s="6">
        <v>35.143146514892599</v>
      </c>
    </row>
    <row r="1396" spans="1:12" x14ac:dyDescent="0.25">
      <c r="A1396">
        <v>2403202</v>
      </c>
      <c r="B1396" t="str">
        <f t="shared" si="21"/>
        <v>DOUTOR SEVERIANO, RN, Brasil</v>
      </c>
      <c r="C1396" s="4" t="str">
        <f>_xlfn.XLOOKUP(A1396,[1]!DadosGHD[CD_GEOCMU],[1]!DadosGHD[Região])</f>
        <v>NE</v>
      </c>
      <c r="D1396" s="4" t="str">
        <f>_xlfn.XLOOKUP(A1396,[1]!DadosGHD[CD_GEOCMU],[1]!DadosGHD[uf])</f>
        <v>RN</v>
      </c>
      <c r="E1396" s="5" t="str">
        <f>_xlfn.XLOOKUP(A1396,[1]!DadosGHD[CD_GEOCMU],[1]!DadosGHD[MUNICIPIO])</f>
        <v>DOUTOR SEVERIANO</v>
      </c>
      <c r="F1396" s="6">
        <v>33.735141754150398</v>
      </c>
      <c r="G1396" s="6">
        <v>38.696556091308601</v>
      </c>
      <c r="H1396" s="6">
        <v>38.767414093017599</v>
      </c>
      <c r="I1396" s="6">
        <v>38.790248870849602</v>
      </c>
      <c r="J1396" s="6">
        <v>38.799552917480497</v>
      </c>
      <c r="K1396" s="6">
        <v>38.832695007324197</v>
      </c>
      <c r="L1396" s="6">
        <v>39.575538635253899</v>
      </c>
    </row>
    <row r="1397" spans="1:12" x14ac:dyDescent="0.25">
      <c r="A1397">
        <v>3509106</v>
      </c>
      <c r="B1397" t="str">
        <f t="shared" si="21"/>
        <v>CAIUA, SP, Brasil</v>
      </c>
      <c r="C1397" s="4" t="str">
        <f>_xlfn.XLOOKUP(A1397,[1]!DadosGHD[CD_GEOCMU],[1]!DadosGHD[Região])</f>
        <v>SD</v>
      </c>
      <c r="D1397" s="4" t="str">
        <f>_xlfn.XLOOKUP(A1397,[1]!DadosGHD[CD_GEOCMU],[1]!DadosGHD[uf])</f>
        <v>SP</v>
      </c>
      <c r="E1397" s="5" t="str">
        <f>_xlfn.XLOOKUP(A1397,[1]!DadosGHD[CD_GEOCMU],[1]!DadosGHD[MUNICIPIO])</f>
        <v>CAIUA</v>
      </c>
      <c r="F1397" s="6">
        <v>33.735202789306598</v>
      </c>
      <c r="G1397" s="6">
        <v>33.840534210205099</v>
      </c>
      <c r="H1397" s="6">
        <v>33.889553070068402</v>
      </c>
      <c r="I1397" s="6">
        <v>33.864494323730497</v>
      </c>
      <c r="J1397" s="6">
        <v>38.747047424316399</v>
      </c>
      <c r="K1397" s="6">
        <v>33.924839019775398</v>
      </c>
      <c r="L1397" s="6">
        <v>35.145599365234403</v>
      </c>
    </row>
    <row r="1398" spans="1:12" x14ac:dyDescent="0.25">
      <c r="A1398">
        <v>2806800</v>
      </c>
      <c r="B1398" t="str">
        <f t="shared" si="21"/>
        <v>SAO DOMINGOS, SE, Brasil</v>
      </c>
      <c r="C1398" s="4" t="str">
        <f>_xlfn.XLOOKUP(A1398,[1]!DadosGHD[CD_GEOCMU],[1]!DadosGHD[Região])</f>
        <v>NE</v>
      </c>
      <c r="D1398" s="4" t="str">
        <f>_xlfn.XLOOKUP(A1398,[1]!DadosGHD[CD_GEOCMU],[1]!DadosGHD[uf])</f>
        <v>SE</v>
      </c>
      <c r="E1398" s="5" t="str">
        <f>_xlfn.XLOOKUP(A1398,[1]!DadosGHD[CD_GEOCMU],[1]!DadosGHD[MUNICIPIO])</f>
        <v>SAO DOMINGOS</v>
      </c>
      <c r="F1398" s="6">
        <v>33.735256195068402</v>
      </c>
      <c r="G1398" s="6">
        <v>33.787277221679702</v>
      </c>
      <c r="H1398" s="6">
        <v>33.829303741455099</v>
      </c>
      <c r="I1398" s="6">
        <v>28.925045013427699</v>
      </c>
      <c r="J1398" s="6">
        <v>28.9694423675537</v>
      </c>
      <c r="K1398" s="6">
        <v>28.994966506958001</v>
      </c>
      <c r="L1398" s="6">
        <v>26.297937393188501</v>
      </c>
    </row>
    <row r="1399" spans="1:12" x14ac:dyDescent="0.25">
      <c r="A1399">
        <v>2400505</v>
      </c>
      <c r="B1399" t="str">
        <f t="shared" si="21"/>
        <v>ALEXANDRIA, RN, Brasil</v>
      </c>
      <c r="C1399" s="4" t="str">
        <f>_xlfn.XLOOKUP(A1399,[1]!DadosGHD[CD_GEOCMU],[1]!DadosGHD[Região])</f>
        <v>NE</v>
      </c>
      <c r="D1399" s="4" t="str">
        <f>_xlfn.XLOOKUP(A1399,[1]!DadosGHD[CD_GEOCMU],[1]!DadosGHD[uf])</f>
        <v>RN</v>
      </c>
      <c r="E1399" s="5" t="str">
        <f>_xlfn.XLOOKUP(A1399,[1]!DadosGHD[CD_GEOCMU],[1]!DadosGHD[MUNICIPIO])</f>
        <v>ALEXANDRIA</v>
      </c>
      <c r="F1399" s="6">
        <v>33.735279083252003</v>
      </c>
      <c r="G1399" s="6">
        <v>33.822853088378899</v>
      </c>
      <c r="H1399" s="6">
        <v>33.864425659179702</v>
      </c>
      <c r="I1399" s="6">
        <v>33.869277954101598</v>
      </c>
      <c r="J1399" s="6">
        <v>33.8650932312012</v>
      </c>
      <c r="K1399" s="6">
        <v>38.799720764160199</v>
      </c>
      <c r="L1399" s="6">
        <v>35.142768859863303</v>
      </c>
    </row>
    <row r="1400" spans="1:12" x14ac:dyDescent="0.25">
      <c r="A1400">
        <v>2401701</v>
      </c>
      <c r="B1400" t="str">
        <f t="shared" si="21"/>
        <v>BOM JESUS, RN, Brasil</v>
      </c>
      <c r="C1400" s="4" t="str">
        <f>_xlfn.XLOOKUP(A1400,[1]!DadosGHD[CD_GEOCMU],[1]!DadosGHD[Região])</f>
        <v>NE</v>
      </c>
      <c r="D1400" s="4" t="str">
        <f>_xlfn.XLOOKUP(A1400,[1]!DadosGHD[CD_GEOCMU],[1]!DadosGHD[uf])</f>
        <v>RN</v>
      </c>
      <c r="E1400" s="5" t="str">
        <f>_xlfn.XLOOKUP(A1400,[1]!DadosGHD[CD_GEOCMU],[1]!DadosGHD[MUNICIPIO])</f>
        <v>BOM JESUS</v>
      </c>
      <c r="F1400" s="6">
        <v>33.735305786132798</v>
      </c>
      <c r="G1400" s="6">
        <v>33.801311492919901</v>
      </c>
      <c r="H1400" s="6">
        <v>33.854110717773402</v>
      </c>
      <c r="I1400" s="6">
        <v>33.801380157470703</v>
      </c>
      <c r="J1400" s="6">
        <v>28.9753322601318</v>
      </c>
      <c r="K1400" s="6">
        <v>33.850597381591797</v>
      </c>
      <c r="L1400" s="6">
        <v>35.114387512207003</v>
      </c>
    </row>
    <row r="1401" spans="1:12" x14ac:dyDescent="0.25">
      <c r="A1401">
        <v>2401800</v>
      </c>
      <c r="B1401" t="str">
        <f t="shared" si="21"/>
        <v>BREJINHO, RN, Brasil</v>
      </c>
      <c r="C1401" s="4" t="str">
        <f>_xlfn.XLOOKUP(A1401,[1]!DadosGHD[CD_GEOCMU],[1]!DadosGHD[Região])</f>
        <v>NE</v>
      </c>
      <c r="D1401" s="4" t="str">
        <f>_xlfn.XLOOKUP(A1401,[1]!DadosGHD[CD_GEOCMU],[1]!DadosGHD[uf])</f>
        <v>RN</v>
      </c>
      <c r="E1401" s="5" t="str">
        <f>_xlfn.XLOOKUP(A1401,[1]!DadosGHD[CD_GEOCMU],[1]!DadosGHD[MUNICIPIO])</f>
        <v>BREJINHO</v>
      </c>
      <c r="F1401" s="6">
        <v>33.735443115234403</v>
      </c>
      <c r="G1401" s="6">
        <v>33.775550842285199</v>
      </c>
      <c r="H1401" s="6">
        <v>33.818016052246101</v>
      </c>
      <c r="I1401" s="6">
        <v>33.800399780273402</v>
      </c>
      <c r="J1401" s="6">
        <v>33.832965850830099</v>
      </c>
      <c r="K1401" s="6">
        <v>33.902416229248097</v>
      </c>
      <c r="L1401" s="6">
        <v>35.140979766845703</v>
      </c>
    </row>
    <row r="1402" spans="1:12" x14ac:dyDescent="0.25">
      <c r="A1402">
        <v>3116159</v>
      </c>
      <c r="B1402" t="str">
        <f t="shared" si="21"/>
        <v>CHAPADA GAUCHA, MG, Brasil</v>
      </c>
      <c r="C1402" s="4" t="str">
        <f>_xlfn.XLOOKUP(A1402,[1]!DadosGHD[CD_GEOCMU],[1]!DadosGHD[Região])</f>
        <v>SD</v>
      </c>
      <c r="D1402" s="4" t="str">
        <f>_xlfn.XLOOKUP(A1402,[1]!DadosGHD[CD_GEOCMU],[1]!DadosGHD[uf])</f>
        <v>MG</v>
      </c>
      <c r="E1402" s="5" t="str">
        <f>_xlfn.XLOOKUP(A1402,[1]!DadosGHD[CD_GEOCMU],[1]!DadosGHD[MUNICIPIO])</f>
        <v>CHAPADA GAUCHA</v>
      </c>
      <c r="F1402" s="6">
        <v>33.735446929931598</v>
      </c>
      <c r="G1402" s="6">
        <v>33.826831817627003</v>
      </c>
      <c r="H1402" s="6">
        <v>33.862239837646499</v>
      </c>
      <c r="I1402" s="6">
        <v>33.8381538391113</v>
      </c>
      <c r="J1402" s="6">
        <v>33.853626251220703</v>
      </c>
      <c r="K1402" s="6">
        <v>33.881187438964801</v>
      </c>
      <c r="L1402" s="6">
        <v>26.2798957824707</v>
      </c>
    </row>
    <row r="1403" spans="1:12" x14ac:dyDescent="0.25">
      <c r="A1403">
        <v>1505601</v>
      </c>
      <c r="B1403" t="str">
        <f t="shared" si="21"/>
        <v>PEIXE-BOI, PA, Brasil</v>
      </c>
      <c r="C1403" s="4" t="str">
        <f>_xlfn.XLOOKUP(A1403,[1]!DadosGHD[CD_GEOCMU],[1]!DadosGHD[Região])</f>
        <v>NO</v>
      </c>
      <c r="D1403" s="4" t="str">
        <f>_xlfn.XLOOKUP(A1403,[1]!DadosGHD[CD_GEOCMU],[1]!DadosGHD[uf])</f>
        <v>PA</v>
      </c>
      <c r="E1403" s="5" t="str">
        <f>_xlfn.XLOOKUP(A1403,[1]!DadosGHD[CD_GEOCMU],[1]!DadosGHD[MUNICIPIO])</f>
        <v>PEIXE-BOI</v>
      </c>
      <c r="F1403" s="6">
        <v>33.735752105712898</v>
      </c>
      <c r="G1403" s="6">
        <v>33.799598693847699</v>
      </c>
      <c r="H1403" s="6">
        <v>33.840339660644503</v>
      </c>
      <c r="I1403" s="6">
        <v>33.821109771728501</v>
      </c>
      <c r="J1403" s="6">
        <v>33.841575622558601</v>
      </c>
      <c r="K1403" s="6">
        <v>33.858196258544901</v>
      </c>
      <c r="L1403" s="6">
        <v>30.7113361358643</v>
      </c>
    </row>
    <row r="1404" spans="1:12" x14ac:dyDescent="0.25">
      <c r="A1404">
        <v>2603801</v>
      </c>
      <c r="B1404" t="str">
        <f t="shared" si="21"/>
        <v>CAPOEIRAS, PE, Brasil</v>
      </c>
      <c r="C1404" s="4" t="str">
        <f>_xlfn.XLOOKUP(A1404,[1]!DadosGHD[CD_GEOCMU],[1]!DadosGHD[Região])</f>
        <v>NE</v>
      </c>
      <c r="D1404" s="4" t="str">
        <f>_xlfn.XLOOKUP(A1404,[1]!DadosGHD[CD_GEOCMU],[1]!DadosGHD[uf])</f>
        <v>PE</v>
      </c>
      <c r="E1404" s="5" t="str">
        <f>_xlfn.XLOOKUP(A1404,[1]!DadosGHD[CD_GEOCMU],[1]!DadosGHD[MUNICIPIO])</f>
        <v>CAPOEIRAS</v>
      </c>
      <c r="F1404" s="6">
        <v>33.735759735107401</v>
      </c>
      <c r="G1404" s="6">
        <v>33.800601959228501</v>
      </c>
      <c r="H1404" s="6">
        <v>33.863330841064503</v>
      </c>
      <c r="I1404" s="6">
        <v>33.842643737792997</v>
      </c>
      <c r="J1404" s="6">
        <v>33.838966369628899</v>
      </c>
      <c r="K1404" s="6">
        <v>33.889595031738303</v>
      </c>
      <c r="L1404" s="6">
        <v>30.7053546905518</v>
      </c>
    </row>
    <row r="1405" spans="1:12" x14ac:dyDescent="0.25">
      <c r="A1405">
        <v>2311504</v>
      </c>
      <c r="B1405" t="str">
        <f t="shared" si="21"/>
        <v>QUIXERE, CE, Brasil</v>
      </c>
      <c r="C1405" s="4" t="str">
        <f>_xlfn.XLOOKUP(A1405,[1]!DadosGHD[CD_GEOCMU],[1]!DadosGHD[Região])</f>
        <v>NE</v>
      </c>
      <c r="D1405" s="4" t="str">
        <f>_xlfn.XLOOKUP(A1405,[1]!DadosGHD[CD_GEOCMU],[1]!DadosGHD[uf])</f>
        <v>CE</v>
      </c>
      <c r="E1405" s="5" t="str">
        <f>_xlfn.XLOOKUP(A1405,[1]!DadosGHD[CD_GEOCMU],[1]!DadosGHD[MUNICIPIO])</f>
        <v>QUIXERE</v>
      </c>
      <c r="F1405" s="6">
        <v>33.735843658447301</v>
      </c>
      <c r="G1405" s="6">
        <v>33.822315216064503</v>
      </c>
      <c r="H1405" s="6">
        <v>33.885162353515597</v>
      </c>
      <c r="I1405" s="6">
        <v>38.756599426269503</v>
      </c>
      <c r="J1405" s="6">
        <v>38.782539367675803</v>
      </c>
      <c r="K1405" s="6">
        <v>38.845211029052699</v>
      </c>
      <c r="L1405" s="6">
        <v>44.016410827636697</v>
      </c>
    </row>
    <row r="1406" spans="1:12" x14ac:dyDescent="0.25">
      <c r="A1406">
        <v>2931004</v>
      </c>
      <c r="B1406" t="str">
        <f t="shared" si="21"/>
        <v>TANHACU, BA, Brasil</v>
      </c>
      <c r="C1406" s="4" t="str">
        <f>_xlfn.XLOOKUP(A1406,[1]!DadosGHD[CD_GEOCMU],[1]!DadosGHD[Região])</f>
        <v>NE</v>
      </c>
      <c r="D1406" s="4" t="str">
        <f>_xlfn.XLOOKUP(A1406,[1]!DadosGHD[CD_GEOCMU],[1]!DadosGHD[uf])</f>
        <v>BA</v>
      </c>
      <c r="E1406" s="5" t="str">
        <f>_xlfn.XLOOKUP(A1406,[1]!DadosGHD[CD_GEOCMU],[1]!DadosGHD[MUNICIPIO])</f>
        <v>TANHACU</v>
      </c>
      <c r="F1406" s="6">
        <v>33.735870361328097</v>
      </c>
      <c r="G1406" s="6">
        <v>33.793895721435597</v>
      </c>
      <c r="H1406" s="6">
        <v>33.841514587402301</v>
      </c>
      <c r="I1406" s="6">
        <v>33.828742980957003</v>
      </c>
      <c r="J1406" s="6">
        <v>33.8364448547363</v>
      </c>
      <c r="K1406" s="6">
        <v>33.855216979980497</v>
      </c>
      <c r="L1406" s="6">
        <v>26.287366867065401</v>
      </c>
    </row>
    <row r="1407" spans="1:12" x14ac:dyDescent="0.25">
      <c r="A1407">
        <v>2807006</v>
      </c>
      <c r="B1407" t="str">
        <f t="shared" si="21"/>
        <v>SAO MIGUEL DO ALEIXO, SE, Brasil</v>
      </c>
      <c r="C1407" s="4" t="str">
        <f>_xlfn.XLOOKUP(A1407,[1]!DadosGHD[CD_GEOCMU],[1]!DadosGHD[Região])</f>
        <v>NE</v>
      </c>
      <c r="D1407" s="4" t="str">
        <f>_xlfn.XLOOKUP(A1407,[1]!DadosGHD[CD_GEOCMU],[1]!DadosGHD[uf])</f>
        <v>SE</v>
      </c>
      <c r="E1407" s="5" t="str">
        <f>_xlfn.XLOOKUP(A1407,[1]!DadosGHD[CD_GEOCMU],[1]!DadosGHD[MUNICIPIO])</f>
        <v>SAO MIGUEL DO ALEIXO</v>
      </c>
      <c r="F1407" s="6">
        <v>33.736042022705099</v>
      </c>
      <c r="G1407" s="6">
        <v>28.9376544952393</v>
      </c>
      <c r="H1407" s="6">
        <v>28.942651748657202</v>
      </c>
      <c r="I1407" s="6">
        <v>28.925045013427699</v>
      </c>
      <c r="J1407" s="6">
        <v>28.9409065246582</v>
      </c>
      <c r="K1407" s="6">
        <v>28.9686679840088</v>
      </c>
      <c r="L1407" s="6">
        <v>30.686082839965799</v>
      </c>
    </row>
    <row r="1408" spans="1:12" x14ac:dyDescent="0.25">
      <c r="A1408">
        <v>3141801</v>
      </c>
      <c r="B1408" t="str">
        <f t="shared" si="21"/>
        <v>MINAS NOVAS, MG, Brasil</v>
      </c>
      <c r="C1408" s="4" t="str">
        <f>_xlfn.XLOOKUP(A1408,[1]!DadosGHD[CD_GEOCMU],[1]!DadosGHD[Região])</f>
        <v>SD</v>
      </c>
      <c r="D1408" s="4" t="str">
        <f>_xlfn.XLOOKUP(A1408,[1]!DadosGHD[CD_GEOCMU],[1]!DadosGHD[uf])</f>
        <v>MG</v>
      </c>
      <c r="E1408" s="5" t="str">
        <f>_xlfn.XLOOKUP(A1408,[1]!DadosGHD[CD_GEOCMU],[1]!DadosGHD[MUNICIPIO])</f>
        <v>MINAS NOVAS</v>
      </c>
      <c r="F1408" s="6">
        <v>33.736091613769503</v>
      </c>
      <c r="G1408" s="6">
        <v>33.791885375976598</v>
      </c>
      <c r="H1408" s="6">
        <v>33.832817077636697</v>
      </c>
      <c r="I1408" s="6">
        <v>33.807209014892599</v>
      </c>
      <c r="J1408" s="6">
        <v>33.828948974609403</v>
      </c>
      <c r="K1408" s="6">
        <v>33.856227874755902</v>
      </c>
      <c r="L1408" s="6">
        <v>30.6855564117432</v>
      </c>
    </row>
    <row r="1409" spans="1:12" x14ac:dyDescent="0.25">
      <c r="A1409">
        <v>2914406</v>
      </c>
      <c r="B1409" t="str">
        <f t="shared" si="21"/>
        <v>IRAQUARA, BA, Brasil</v>
      </c>
      <c r="C1409" s="4" t="str">
        <f>_xlfn.XLOOKUP(A1409,[1]!DadosGHD[CD_GEOCMU],[1]!DadosGHD[Região])</f>
        <v>NE</v>
      </c>
      <c r="D1409" s="4" t="str">
        <f>_xlfn.XLOOKUP(A1409,[1]!DadosGHD[CD_GEOCMU],[1]!DadosGHD[uf])</f>
        <v>BA</v>
      </c>
      <c r="E1409" s="5" t="str">
        <f>_xlfn.XLOOKUP(A1409,[1]!DadosGHD[CD_GEOCMU],[1]!DadosGHD[MUNICIPIO])</f>
        <v>IRAQUARA</v>
      </c>
      <c r="F1409" s="6">
        <v>33.736164093017599</v>
      </c>
      <c r="G1409" s="6">
        <v>33.791030883789098</v>
      </c>
      <c r="H1409" s="6">
        <v>33.840381622314503</v>
      </c>
      <c r="I1409" s="6">
        <v>33.817539215087898</v>
      </c>
      <c r="J1409" s="6">
        <v>33.852485656738303</v>
      </c>
      <c r="K1409" s="6">
        <v>33.874687194824197</v>
      </c>
      <c r="L1409" s="6">
        <v>30.709266662597699</v>
      </c>
    </row>
    <row r="1410" spans="1:12" x14ac:dyDescent="0.25">
      <c r="A1410">
        <v>5105176</v>
      </c>
      <c r="B1410" t="str">
        <f t="shared" si="21"/>
        <v>JURUENA, MT, Brasil</v>
      </c>
      <c r="C1410" s="4" t="str">
        <f>_xlfn.XLOOKUP(A1410,[1]!DadosGHD[CD_GEOCMU],[1]!DadosGHD[Região])</f>
        <v>CO</v>
      </c>
      <c r="D1410" s="4" t="str">
        <f>_xlfn.XLOOKUP(A1410,[1]!DadosGHD[CD_GEOCMU],[1]!DadosGHD[uf])</f>
        <v>MT</v>
      </c>
      <c r="E1410" s="5" t="str">
        <f>_xlfn.XLOOKUP(A1410,[1]!DadosGHD[CD_GEOCMU],[1]!DadosGHD[MUNICIPIO])</f>
        <v>JURUENA</v>
      </c>
      <c r="F1410" s="6">
        <v>33.736263275146499</v>
      </c>
      <c r="G1410" s="6">
        <v>33.831752777099602</v>
      </c>
      <c r="H1410" s="6">
        <v>33.889152526855497</v>
      </c>
      <c r="I1410" s="6">
        <v>33.872524261474602</v>
      </c>
      <c r="J1410" s="6">
        <v>33.885307312011697</v>
      </c>
      <c r="K1410" s="6">
        <v>33.900527954101598</v>
      </c>
      <c r="L1410" s="6">
        <v>35.1380615234375</v>
      </c>
    </row>
    <row r="1411" spans="1:12" x14ac:dyDescent="0.25">
      <c r="A1411">
        <v>2515005</v>
      </c>
      <c r="B1411" t="str">
        <f t="shared" si="21"/>
        <v>SAO MIGUEL DE TAIPU, PB, Brasil</v>
      </c>
      <c r="C1411" s="4" t="str">
        <f>_xlfn.XLOOKUP(A1411,[1]!DadosGHD[CD_GEOCMU],[1]!DadosGHD[Região])</f>
        <v>NE</v>
      </c>
      <c r="D1411" s="4" t="str">
        <f>_xlfn.XLOOKUP(A1411,[1]!DadosGHD[CD_GEOCMU],[1]!DadosGHD[uf])</f>
        <v>PB</v>
      </c>
      <c r="E1411" s="5" t="str">
        <f>_xlfn.XLOOKUP(A1411,[1]!DadosGHD[CD_GEOCMU],[1]!DadosGHD[MUNICIPIO])</f>
        <v>SAO MIGUEL DE TAIPU</v>
      </c>
      <c r="F1411" s="6">
        <v>33.736278533935597</v>
      </c>
      <c r="G1411" s="6">
        <v>33.787059783935597</v>
      </c>
      <c r="H1411" s="6">
        <v>33.826400756835902</v>
      </c>
      <c r="I1411" s="6">
        <v>33.800392150878899</v>
      </c>
      <c r="J1411" s="6">
        <v>33.817161560058601</v>
      </c>
      <c r="K1411" s="6">
        <v>33.849758148193402</v>
      </c>
      <c r="L1411" s="6">
        <v>26.290330886840799</v>
      </c>
    </row>
    <row r="1412" spans="1:12" x14ac:dyDescent="0.25">
      <c r="A1412">
        <v>2515971</v>
      </c>
      <c r="B1412" t="str">
        <f t="shared" ref="B1412:B1475" si="22">_xlfn.CONCAT(E1412, ", ", D1412, ", Brasil")</f>
        <v>SOBRADO, PB, Brasil</v>
      </c>
      <c r="C1412" s="4" t="str">
        <f>_xlfn.XLOOKUP(A1412,[1]!DadosGHD[CD_GEOCMU],[1]!DadosGHD[Região])</f>
        <v>NE</v>
      </c>
      <c r="D1412" s="4" t="str">
        <f>_xlfn.XLOOKUP(A1412,[1]!DadosGHD[CD_GEOCMU],[1]!DadosGHD[uf])</f>
        <v>PB</v>
      </c>
      <c r="E1412" s="5" t="str">
        <f>_xlfn.XLOOKUP(A1412,[1]!DadosGHD[CD_GEOCMU],[1]!DadosGHD[MUNICIPIO])</f>
        <v>SOBRADO</v>
      </c>
      <c r="F1412" s="6">
        <v>33.736286163330099</v>
      </c>
      <c r="G1412" s="6">
        <v>33.789665222167997</v>
      </c>
      <c r="H1412" s="6">
        <v>33.837642669677699</v>
      </c>
      <c r="I1412" s="6">
        <v>33.817253112792997</v>
      </c>
      <c r="J1412" s="6">
        <v>33.8494873046875</v>
      </c>
      <c r="K1412" s="6">
        <v>33.8432426452637</v>
      </c>
      <c r="L1412" s="6">
        <v>26.283025741577202</v>
      </c>
    </row>
    <row r="1413" spans="1:12" x14ac:dyDescent="0.25">
      <c r="A1413">
        <v>1717909</v>
      </c>
      <c r="B1413" t="str">
        <f t="shared" si="22"/>
        <v>PONTE ALTA DO TOCANTINS, TO, Brasil</v>
      </c>
      <c r="C1413" s="4" t="str">
        <f>_xlfn.XLOOKUP(A1413,[1]!DadosGHD[CD_GEOCMU],[1]!DadosGHD[Região])</f>
        <v>NO</v>
      </c>
      <c r="D1413" s="4" t="str">
        <f>_xlfn.XLOOKUP(A1413,[1]!DadosGHD[CD_GEOCMU],[1]!DadosGHD[uf])</f>
        <v>TO</v>
      </c>
      <c r="E1413" s="5" t="str">
        <f>_xlfn.XLOOKUP(A1413,[1]!DadosGHD[CD_GEOCMU],[1]!DadosGHD[MUNICIPIO])</f>
        <v>PONTE ALTA DO TOCANTINS</v>
      </c>
      <c r="F1413" s="6">
        <v>33.736312866210902</v>
      </c>
      <c r="G1413" s="6">
        <v>33.788604736328097</v>
      </c>
      <c r="H1413" s="6">
        <v>33.824081420898402</v>
      </c>
      <c r="I1413" s="6">
        <v>33.799861907958999</v>
      </c>
      <c r="J1413" s="6">
        <v>33.820838928222699</v>
      </c>
      <c r="K1413" s="6">
        <v>33.878498077392599</v>
      </c>
      <c r="L1413" s="6">
        <v>35.114097595214801</v>
      </c>
    </row>
    <row r="1414" spans="1:12" x14ac:dyDescent="0.25">
      <c r="A1414">
        <v>2706703</v>
      </c>
      <c r="B1414" t="str">
        <f t="shared" si="22"/>
        <v>PENEDO, AL, Brasil</v>
      </c>
      <c r="C1414" s="4" t="str">
        <f>_xlfn.XLOOKUP(A1414,[1]!DadosGHD[CD_GEOCMU],[1]!DadosGHD[Região])</f>
        <v>NE</v>
      </c>
      <c r="D1414" s="4" t="str">
        <f>_xlfn.XLOOKUP(A1414,[1]!DadosGHD[CD_GEOCMU],[1]!DadosGHD[uf])</f>
        <v>AL</v>
      </c>
      <c r="E1414" s="5" t="str">
        <f>_xlfn.XLOOKUP(A1414,[1]!DadosGHD[CD_GEOCMU],[1]!DadosGHD[MUNICIPIO])</f>
        <v>PENEDO</v>
      </c>
      <c r="F1414" s="6">
        <v>33.736370086669901</v>
      </c>
      <c r="G1414" s="6">
        <v>33.815525054931598</v>
      </c>
      <c r="H1414" s="6">
        <v>33.869915008544901</v>
      </c>
      <c r="I1414" s="6">
        <v>33.857452392578097</v>
      </c>
      <c r="J1414" s="6">
        <v>33.878318786621101</v>
      </c>
      <c r="K1414" s="6">
        <v>33.912330627441399</v>
      </c>
      <c r="L1414" s="6">
        <v>30.689212799072301</v>
      </c>
    </row>
    <row r="1415" spans="1:12" x14ac:dyDescent="0.25">
      <c r="A1415">
        <v>2104602</v>
      </c>
      <c r="B1415" t="str">
        <f t="shared" si="22"/>
        <v>GOVERNADOR EUGENIO BARROS, MA, Brasil</v>
      </c>
      <c r="C1415" s="4" t="str">
        <f>_xlfn.XLOOKUP(A1415,[1]!DadosGHD[CD_GEOCMU],[1]!DadosGHD[Região])</f>
        <v>NE</v>
      </c>
      <c r="D1415" s="4" t="str">
        <f>_xlfn.XLOOKUP(A1415,[1]!DadosGHD[CD_GEOCMU],[1]!DadosGHD[uf])</f>
        <v>MA</v>
      </c>
      <c r="E1415" s="5" t="str">
        <f>_xlfn.XLOOKUP(A1415,[1]!DadosGHD[CD_GEOCMU],[1]!DadosGHD[MUNICIPIO])</f>
        <v>GOVERNADOR EUGENIO BARROS</v>
      </c>
      <c r="F1415" s="6">
        <v>33.736419677734403</v>
      </c>
      <c r="G1415" s="6">
        <v>33.792026519775398</v>
      </c>
      <c r="H1415" s="6">
        <v>33.829803466796903</v>
      </c>
      <c r="I1415" s="6">
        <v>33.807243347167997</v>
      </c>
      <c r="J1415" s="6">
        <v>33.818305969238303</v>
      </c>
      <c r="K1415" s="6">
        <v>33.853351593017599</v>
      </c>
      <c r="L1415" s="6">
        <v>26.286426544189499</v>
      </c>
    </row>
    <row r="1416" spans="1:12" x14ac:dyDescent="0.25">
      <c r="A1416">
        <v>2208106</v>
      </c>
      <c r="B1416" t="str">
        <f t="shared" si="22"/>
        <v>PIMENTEIRAS, PI, Brasil</v>
      </c>
      <c r="C1416" s="4" t="str">
        <f>_xlfn.XLOOKUP(A1416,[1]!DadosGHD[CD_GEOCMU],[1]!DadosGHD[Região])</f>
        <v>NE</v>
      </c>
      <c r="D1416" s="4" t="str">
        <f>_xlfn.XLOOKUP(A1416,[1]!DadosGHD[CD_GEOCMU],[1]!DadosGHD[uf])</f>
        <v>PI</v>
      </c>
      <c r="E1416" s="5" t="str">
        <f>_xlfn.XLOOKUP(A1416,[1]!DadosGHD[CD_GEOCMU],[1]!DadosGHD[MUNICIPIO])</f>
        <v>PIMENTEIRAS</v>
      </c>
      <c r="F1416" s="6">
        <v>33.736583709716797</v>
      </c>
      <c r="G1416" s="6">
        <v>33.803615570068402</v>
      </c>
      <c r="H1416" s="6">
        <v>33.834384918212898</v>
      </c>
      <c r="I1416" s="6">
        <v>33.827335357666001</v>
      </c>
      <c r="J1416" s="6">
        <v>33.835933685302699</v>
      </c>
      <c r="K1416" s="6">
        <v>33.867794036865199</v>
      </c>
      <c r="L1416" s="6">
        <v>30.690549850463899</v>
      </c>
    </row>
    <row r="1417" spans="1:12" x14ac:dyDescent="0.25">
      <c r="A1417">
        <v>4318481</v>
      </c>
      <c r="B1417" t="str">
        <f t="shared" si="22"/>
        <v>SAO JOSE DO HORTENCIO, RS, Brasil</v>
      </c>
      <c r="C1417" s="4" t="str">
        <f>_xlfn.XLOOKUP(A1417,[1]!DadosGHD[CD_GEOCMU],[1]!DadosGHD[Região])</f>
        <v>SL</v>
      </c>
      <c r="D1417" s="4" t="str">
        <f>_xlfn.XLOOKUP(A1417,[1]!DadosGHD[CD_GEOCMU],[1]!DadosGHD[uf])</f>
        <v>RS</v>
      </c>
      <c r="E1417" s="5" t="str">
        <f>_xlfn.XLOOKUP(A1417,[1]!DadosGHD[CD_GEOCMU],[1]!DadosGHD[MUNICIPIO])</f>
        <v>SAO JOSE DO HORTENCIO</v>
      </c>
      <c r="F1417" s="6">
        <v>33.736583709716797</v>
      </c>
      <c r="G1417" s="6">
        <v>38.786170959472699</v>
      </c>
      <c r="H1417" s="6">
        <v>43.729259490966797</v>
      </c>
      <c r="I1417" s="6">
        <v>48.738655090332003</v>
      </c>
      <c r="J1417" s="6">
        <v>48.831695556640597</v>
      </c>
      <c r="K1417" s="6">
        <v>53.910984039306598</v>
      </c>
      <c r="L1417" s="6">
        <v>57.548675537109403</v>
      </c>
    </row>
    <row r="1418" spans="1:12" x14ac:dyDescent="0.25">
      <c r="A1418">
        <v>2908705</v>
      </c>
      <c r="B1418" t="str">
        <f t="shared" si="22"/>
        <v>CONDEUBA, BA, Brasil</v>
      </c>
      <c r="C1418" s="4" t="str">
        <f>_xlfn.XLOOKUP(A1418,[1]!DadosGHD[CD_GEOCMU],[1]!DadosGHD[Região])</f>
        <v>NE</v>
      </c>
      <c r="D1418" s="4" t="str">
        <f>_xlfn.XLOOKUP(A1418,[1]!DadosGHD[CD_GEOCMU],[1]!DadosGHD[uf])</f>
        <v>BA</v>
      </c>
      <c r="E1418" s="5" t="str">
        <f>_xlfn.XLOOKUP(A1418,[1]!DadosGHD[CD_GEOCMU],[1]!DadosGHD[MUNICIPIO])</f>
        <v>CONDEUBA</v>
      </c>
      <c r="F1418" s="6">
        <v>33.736606597900398</v>
      </c>
      <c r="G1418" s="6">
        <v>33.812824249267599</v>
      </c>
      <c r="H1418" s="6">
        <v>33.877388000488303</v>
      </c>
      <c r="I1418" s="6">
        <v>33.856777191162102</v>
      </c>
      <c r="J1418" s="6">
        <v>33.879138946533203</v>
      </c>
      <c r="K1418" s="6">
        <v>33.911067962646499</v>
      </c>
      <c r="L1418" s="6">
        <v>35.119846343994098</v>
      </c>
    </row>
    <row r="1419" spans="1:12" x14ac:dyDescent="0.25">
      <c r="A1419">
        <v>2410306</v>
      </c>
      <c r="B1419" t="str">
        <f t="shared" si="22"/>
        <v>SERRA CAIADA, RN, Brasil</v>
      </c>
      <c r="C1419" s="4" t="str">
        <f>_xlfn.XLOOKUP(A1419,[1]!DadosGHD[CD_GEOCMU],[1]!DadosGHD[Região])</f>
        <v>NE</v>
      </c>
      <c r="D1419" s="4" t="str">
        <f>_xlfn.XLOOKUP(A1419,[1]!DadosGHD[CD_GEOCMU],[1]!DadosGHD[uf])</f>
        <v>RN</v>
      </c>
      <c r="E1419" s="5" t="str">
        <f>_xlfn.XLOOKUP(A1419,[1]!DadosGHD[CD_GEOCMU],[1]!DadosGHD[MUNICIPIO])</f>
        <v>SERRA CAIADA</v>
      </c>
      <c r="F1419" s="6">
        <v>33.736824035644503</v>
      </c>
      <c r="G1419" s="6">
        <v>33.794681549072301</v>
      </c>
      <c r="H1419" s="6">
        <v>33.841297149658203</v>
      </c>
      <c r="I1419" s="6">
        <v>33.811866760253899</v>
      </c>
      <c r="J1419" s="6">
        <v>28.971132278442401</v>
      </c>
      <c r="K1419" s="6">
        <v>33.883705139160199</v>
      </c>
      <c r="L1419" s="6">
        <v>30.709589004516602</v>
      </c>
    </row>
    <row r="1420" spans="1:12" x14ac:dyDescent="0.25">
      <c r="A1420">
        <v>2705002</v>
      </c>
      <c r="B1420" t="str">
        <f t="shared" si="22"/>
        <v>MATA GRANDE, AL, Brasil</v>
      </c>
      <c r="C1420" s="4" t="str">
        <f>_xlfn.XLOOKUP(A1420,[1]!DadosGHD[CD_GEOCMU],[1]!DadosGHD[Região])</f>
        <v>NE</v>
      </c>
      <c r="D1420" s="4" t="str">
        <f>_xlfn.XLOOKUP(A1420,[1]!DadosGHD[CD_GEOCMU],[1]!DadosGHD[uf])</f>
        <v>AL</v>
      </c>
      <c r="E1420" s="5" t="str">
        <f>_xlfn.XLOOKUP(A1420,[1]!DadosGHD[CD_GEOCMU],[1]!DadosGHD[MUNICIPIO])</f>
        <v>MATA GRANDE</v>
      </c>
      <c r="F1420" s="6">
        <v>33.7368774414063</v>
      </c>
      <c r="G1420" s="6">
        <v>33.787757873535199</v>
      </c>
      <c r="H1420" s="6">
        <v>28.958644866943398</v>
      </c>
      <c r="I1420" s="6">
        <v>28.934261322021499</v>
      </c>
      <c r="J1420" s="6">
        <v>28.949638366699201</v>
      </c>
      <c r="K1420" s="6">
        <v>33.867137908935597</v>
      </c>
      <c r="L1420" s="6">
        <v>35.113746643066399</v>
      </c>
    </row>
    <row r="1421" spans="1:12" x14ac:dyDescent="0.25">
      <c r="A1421">
        <v>4314498</v>
      </c>
      <c r="B1421" t="str">
        <f t="shared" si="22"/>
        <v>PINHEIRINHO DO VALE, RS, Brasil</v>
      </c>
      <c r="C1421" s="4" t="str">
        <f>_xlfn.XLOOKUP(A1421,[1]!DadosGHD[CD_GEOCMU],[1]!DadosGHD[Região])</f>
        <v>SL</v>
      </c>
      <c r="D1421" s="4" t="str">
        <f>_xlfn.XLOOKUP(A1421,[1]!DadosGHD[CD_GEOCMU],[1]!DadosGHD[uf])</f>
        <v>RS</v>
      </c>
      <c r="E1421" s="5" t="str">
        <f>_xlfn.XLOOKUP(A1421,[1]!DadosGHD[CD_GEOCMU],[1]!DadosGHD[MUNICIPIO])</f>
        <v>PINHEIRINHO DO VALE</v>
      </c>
      <c r="F1421" s="6">
        <v>33.736904144287102</v>
      </c>
      <c r="G1421" s="6">
        <v>38.780097961425803</v>
      </c>
      <c r="H1421" s="6">
        <v>38.818519592285199</v>
      </c>
      <c r="I1421" s="6">
        <v>43.7716255187988</v>
      </c>
      <c r="J1421" s="6">
        <v>48.713478088378899</v>
      </c>
      <c r="K1421" s="6">
        <v>48.8351020812988</v>
      </c>
      <c r="L1421" s="6">
        <v>44.047981262207003</v>
      </c>
    </row>
    <row r="1422" spans="1:12" x14ac:dyDescent="0.25">
      <c r="A1422">
        <v>2901304</v>
      </c>
      <c r="B1422" t="str">
        <f t="shared" si="22"/>
        <v>ANDARAI, BA, Brasil</v>
      </c>
      <c r="C1422" s="4" t="str">
        <f>_xlfn.XLOOKUP(A1422,[1]!DadosGHD[CD_GEOCMU],[1]!DadosGHD[Região])</f>
        <v>NE</v>
      </c>
      <c r="D1422" s="4" t="str">
        <f>_xlfn.XLOOKUP(A1422,[1]!DadosGHD[CD_GEOCMU],[1]!DadosGHD[uf])</f>
        <v>BA</v>
      </c>
      <c r="E1422" s="5" t="str">
        <f>_xlfn.XLOOKUP(A1422,[1]!DadosGHD[CD_GEOCMU],[1]!DadosGHD[MUNICIPIO])</f>
        <v>ANDARAI</v>
      </c>
      <c r="F1422" s="6">
        <v>33.736911773681598</v>
      </c>
      <c r="G1422" s="6">
        <v>33.8008842468262</v>
      </c>
      <c r="H1422" s="6">
        <v>33.836067199707003</v>
      </c>
      <c r="I1422" s="6">
        <v>33.813423156738303</v>
      </c>
      <c r="J1422" s="6">
        <v>33.832626342773402</v>
      </c>
      <c r="K1422" s="6">
        <v>33.866901397705099</v>
      </c>
      <c r="L1422" s="6">
        <v>26.285202026367202</v>
      </c>
    </row>
    <row r="1423" spans="1:12" x14ac:dyDescent="0.25">
      <c r="A1423">
        <v>3154101</v>
      </c>
      <c r="B1423" t="str">
        <f t="shared" si="22"/>
        <v>RECREIO, MG, Brasil</v>
      </c>
      <c r="C1423" s="4" t="str">
        <f>_xlfn.XLOOKUP(A1423,[1]!DadosGHD[CD_GEOCMU],[1]!DadosGHD[Região])</f>
        <v>SD</v>
      </c>
      <c r="D1423" s="4" t="str">
        <f>_xlfn.XLOOKUP(A1423,[1]!DadosGHD[CD_GEOCMU],[1]!DadosGHD[uf])</f>
        <v>MG</v>
      </c>
      <c r="E1423" s="5" t="str">
        <f>_xlfn.XLOOKUP(A1423,[1]!DadosGHD[CD_GEOCMU],[1]!DadosGHD[MUNICIPIO])</f>
        <v>RECREIO</v>
      </c>
      <c r="F1423" s="6">
        <v>33.736991882324197</v>
      </c>
      <c r="G1423" s="6">
        <v>38.770545959472699</v>
      </c>
      <c r="H1423" s="6">
        <v>38.838294982910199</v>
      </c>
      <c r="I1423" s="6">
        <v>38.812854766845703</v>
      </c>
      <c r="J1423" s="6">
        <v>38.756557464599602</v>
      </c>
      <c r="K1423" s="6">
        <v>38.780773162841797</v>
      </c>
      <c r="L1423" s="6">
        <v>30.7166233062744</v>
      </c>
    </row>
    <row r="1424" spans="1:12" x14ac:dyDescent="0.25">
      <c r="A1424">
        <v>2311306</v>
      </c>
      <c r="B1424" t="str">
        <f t="shared" si="22"/>
        <v>QUIXADA, CE, Brasil</v>
      </c>
      <c r="C1424" s="4" t="str">
        <f>_xlfn.XLOOKUP(A1424,[1]!DadosGHD[CD_GEOCMU],[1]!DadosGHD[Região])</f>
        <v>NE</v>
      </c>
      <c r="D1424" s="4" t="str">
        <f>_xlfn.XLOOKUP(A1424,[1]!DadosGHD[CD_GEOCMU],[1]!DadosGHD[uf])</f>
        <v>CE</v>
      </c>
      <c r="E1424" s="5" t="str">
        <f>_xlfn.XLOOKUP(A1424,[1]!DadosGHD[CD_GEOCMU],[1]!DadosGHD[MUNICIPIO])</f>
        <v>QUIXADA</v>
      </c>
      <c r="F1424" s="6">
        <v>33.737071990966797</v>
      </c>
      <c r="G1424" s="6">
        <v>38.708786010742202</v>
      </c>
      <c r="H1424" s="6">
        <v>38.798423767089801</v>
      </c>
      <c r="I1424" s="6">
        <v>38.817249298095703</v>
      </c>
      <c r="J1424" s="6">
        <v>43.710334777832003</v>
      </c>
      <c r="K1424" s="6">
        <v>43.757152557373097</v>
      </c>
      <c r="L1424" s="6">
        <v>44.0628662109375</v>
      </c>
    </row>
    <row r="1425" spans="1:12" x14ac:dyDescent="0.25">
      <c r="A1425">
        <v>2605103</v>
      </c>
      <c r="B1425" t="str">
        <f t="shared" si="22"/>
        <v>CUSTODIA, PE, Brasil</v>
      </c>
      <c r="C1425" s="4" t="str">
        <f>_xlfn.XLOOKUP(A1425,[1]!DadosGHD[CD_GEOCMU],[1]!DadosGHD[Região])</f>
        <v>NE</v>
      </c>
      <c r="D1425" s="4" t="str">
        <f>_xlfn.XLOOKUP(A1425,[1]!DadosGHD[CD_GEOCMU],[1]!DadosGHD[uf])</f>
        <v>PE</v>
      </c>
      <c r="E1425" s="5" t="str">
        <f>_xlfn.XLOOKUP(A1425,[1]!DadosGHD[CD_GEOCMU],[1]!DadosGHD[MUNICIPIO])</f>
        <v>CUSTODIA</v>
      </c>
      <c r="F1425" s="6">
        <v>33.737071990966797</v>
      </c>
      <c r="G1425" s="6">
        <v>33.7908935546875</v>
      </c>
      <c r="H1425" s="6">
        <v>33.833255767822301</v>
      </c>
      <c r="I1425" s="6">
        <v>33.8097953796387</v>
      </c>
      <c r="J1425" s="6">
        <v>33.839641571044901</v>
      </c>
      <c r="K1425" s="6">
        <v>33.893581390380902</v>
      </c>
      <c r="L1425" s="6">
        <v>30.702701568603501</v>
      </c>
    </row>
    <row r="1426" spans="1:12" x14ac:dyDescent="0.25">
      <c r="A1426">
        <v>2414605</v>
      </c>
      <c r="B1426" t="str">
        <f t="shared" si="22"/>
        <v>UPANEMA, RN, Brasil</v>
      </c>
      <c r="C1426" s="4" t="str">
        <f>_xlfn.XLOOKUP(A1426,[1]!DadosGHD[CD_GEOCMU],[1]!DadosGHD[Região])</f>
        <v>NE</v>
      </c>
      <c r="D1426" s="4" t="str">
        <f>_xlfn.XLOOKUP(A1426,[1]!DadosGHD[CD_GEOCMU],[1]!DadosGHD[uf])</f>
        <v>RN</v>
      </c>
      <c r="E1426" s="5" t="str">
        <f>_xlfn.XLOOKUP(A1426,[1]!DadosGHD[CD_GEOCMU],[1]!DadosGHD[MUNICIPIO])</f>
        <v>UPANEMA</v>
      </c>
      <c r="F1426" s="6">
        <v>33.737094879150398</v>
      </c>
      <c r="G1426" s="6">
        <v>33.838390350341797</v>
      </c>
      <c r="H1426" s="6">
        <v>33.834957122802699</v>
      </c>
      <c r="I1426" s="6">
        <v>33.817794799804702</v>
      </c>
      <c r="J1426" s="6">
        <v>33.840167999267599</v>
      </c>
      <c r="K1426" s="6">
        <v>33.877548217773402</v>
      </c>
      <c r="L1426" s="6">
        <v>30.710569381713899</v>
      </c>
    </row>
    <row r="1427" spans="1:12" x14ac:dyDescent="0.25">
      <c r="A1427">
        <v>2925600</v>
      </c>
      <c r="B1427" t="str">
        <f t="shared" si="22"/>
        <v>PRESIDENTE DUTRA, BA, Brasil</v>
      </c>
      <c r="C1427" s="4" t="str">
        <f>_xlfn.XLOOKUP(A1427,[1]!DadosGHD[CD_GEOCMU],[1]!DadosGHD[Região])</f>
        <v>NE</v>
      </c>
      <c r="D1427" s="4" t="str">
        <f>_xlfn.XLOOKUP(A1427,[1]!DadosGHD[CD_GEOCMU],[1]!DadosGHD[uf])</f>
        <v>BA</v>
      </c>
      <c r="E1427" s="5" t="str">
        <f>_xlfn.XLOOKUP(A1427,[1]!DadosGHD[CD_GEOCMU],[1]!DadosGHD[MUNICIPIO])</f>
        <v>PRESIDENTE DUTRA</v>
      </c>
      <c r="F1427" s="6">
        <v>33.737125396728501</v>
      </c>
      <c r="G1427" s="6">
        <v>38.748939514160199</v>
      </c>
      <c r="H1427" s="6">
        <v>38.754955291748097</v>
      </c>
      <c r="I1427" s="6">
        <v>38.736461639404297</v>
      </c>
      <c r="J1427" s="6">
        <v>38.806507110595703</v>
      </c>
      <c r="K1427" s="6">
        <v>38.853702545166001</v>
      </c>
      <c r="L1427" s="6">
        <v>39.5705375671387</v>
      </c>
    </row>
    <row r="1428" spans="1:12" x14ac:dyDescent="0.25">
      <c r="A1428">
        <v>2615102</v>
      </c>
      <c r="B1428" t="str">
        <f t="shared" si="22"/>
        <v>TEREZINHA, PE, Brasil</v>
      </c>
      <c r="C1428" s="4" t="str">
        <f>_xlfn.XLOOKUP(A1428,[1]!DadosGHD[CD_GEOCMU],[1]!DadosGHD[Região])</f>
        <v>NE</v>
      </c>
      <c r="D1428" s="4" t="str">
        <f>_xlfn.XLOOKUP(A1428,[1]!DadosGHD[CD_GEOCMU],[1]!DadosGHD[uf])</f>
        <v>PE</v>
      </c>
      <c r="E1428" s="5" t="str">
        <f>_xlfn.XLOOKUP(A1428,[1]!DadosGHD[CD_GEOCMU],[1]!DadosGHD[MUNICIPIO])</f>
        <v>TEREZINHA</v>
      </c>
      <c r="F1428" s="6">
        <v>33.737148284912102</v>
      </c>
      <c r="G1428" s="6">
        <v>33.787967681884801</v>
      </c>
      <c r="H1428" s="6">
        <v>33.827060699462898</v>
      </c>
      <c r="I1428" s="6">
        <v>33.804264068603501</v>
      </c>
      <c r="J1428" s="6">
        <v>33.8552055358887</v>
      </c>
      <c r="K1428" s="6">
        <v>33.886394500732401</v>
      </c>
      <c r="L1428" s="6">
        <v>26.298864364623999</v>
      </c>
    </row>
    <row r="1429" spans="1:12" x14ac:dyDescent="0.25">
      <c r="A1429">
        <v>2111052</v>
      </c>
      <c r="B1429" t="str">
        <f t="shared" si="22"/>
        <v>SAO JOAO DO PARAISO, MA, Brasil</v>
      </c>
      <c r="C1429" s="4" t="str">
        <f>_xlfn.XLOOKUP(A1429,[1]!DadosGHD[CD_GEOCMU],[1]!DadosGHD[Região])</f>
        <v>NE</v>
      </c>
      <c r="D1429" s="4" t="str">
        <f>_xlfn.XLOOKUP(A1429,[1]!DadosGHD[CD_GEOCMU],[1]!DadosGHD[uf])</f>
        <v>MA</v>
      </c>
      <c r="E1429" s="5" t="str">
        <f>_xlfn.XLOOKUP(A1429,[1]!DadosGHD[CD_GEOCMU],[1]!DadosGHD[MUNICIPIO])</f>
        <v>SAO JOAO DO PARAISO</v>
      </c>
      <c r="F1429" s="6">
        <v>33.737205505371101</v>
      </c>
      <c r="G1429" s="6">
        <v>33.810375213623097</v>
      </c>
      <c r="H1429" s="6">
        <v>33.847068786621101</v>
      </c>
      <c r="I1429" s="6">
        <v>33.822486877441399</v>
      </c>
      <c r="J1429" s="6">
        <v>33.843429565429702</v>
      </c>
      <c r="K1429" s="6">
        <v>33.882030487060597</v>
      </c>
      <c r="L1429" s="6">
        <v>30.704635620117202</v>
      </c>
    </row>
    <row r="1430" spans="1:12" x14ac:dyDescent="0.25">
      <c r="A1430">
        <v>2918357</v>
      </c>
      <c r="B1430" t="str">
        <f t="shared" si="22"/>
        <v>JOAO DOURADO, BA, Brasil</v>
      </c>
      <c r="C1430" s="4" t="str">
        <f>_xlfn.XLOOKUP(A1430,[1]!DadosGHD[CD_GEOCMU],[1]!DadosGHD[Região])</f>
        <v>NE</v>
      </c>
      <c r="D1430" s="4" t="str">
        <f>_xlfn.XLOOKUP(A1430,[1]!DadosGHD[CD_GEOCMU],[1]!DadosGHD[uf])</f>
        <v>BA</v>
      </c>
      <c r="E1430" s="5" t="str">
        <f>_xlfn.XLOOKUP(A1430,[1]!DadosGHD[CD_GEOCMU],[1]!DadosGHD[MUNICIPIO])</f>
        <v>JOAO DOURADO</v>
      </c>
      <c r="F1430" s="6">
        <v>33.737209320068402</v>
      </c>
      <c r="G1430" s="6">
        <v>33.800045013427699</v>
      </c>
      <c r="H1430" s="6">
        <v>28.974098205566399</v>
      </c>
      <c r="I1430" s="6">
        <v>28.956598281860401</v>
      </c>
      <c r="J1430" s="6">
        <v>33.834224700927699</v>
      </c>
      <c r="K1430" s="6">
        <v>33.865798950195298</v>
      </c>
      <c r="L1430" s="6">
        <v>35.127895355224602</v>
      </c>
    </row>
    <row r="1431" spans="1:12" x14ac:dyDescent="0.25">
      <c r="A1431">
        <v>3505401</v>
      </c>
      <c r="B1431" t="str">
        <f t="shared" si="22"/>
        <v>BARRA DO TURVO, SP, Brasil</v>
      </c>
      <c r="C1431" s="4" t="str">
        <f>_xlfn.XLOOKUP(A1431,[1]!DadosGHD[CD_GEOCMU],[1]!DadosGHD[Região])</f>
        <v>SD</v>
      </c>
      <c r="D1431" s="4" t="str">
        <f>_xlfn.XLOOKUP(A1431,[1]!DadosGHD[CD_GEOCMU],[1]!DadosGHD[uf])</f>
        <v>SP</v>
      </c>
      <c r="E1431" s="5" t="str">
        <f>_xlfn.XLOOKUP(A1431,[1]!DadosGHD[CD_GEOCMU],[1]!DadosGHD[MUNICIPIO])</f>
        <v>BARRA DO TURVO</v>
      </c>
      <c r="F1431" s="6">
        <v>33.737213134765597</v>
      </c>
      <c r="G1431" s="6">
        <v>33.835426330566399</v>
      </c>
      <c r="H1431" s="6">
        <v>33.8925971984863</v>
      </c>
      <c r="I1431" s="6">
        <v>38.716682434082003</v>
      </c>
      <c r="J1431" s="6">
        <v>33.891361236572301</v>
      </c>
      <c r="K1431" s="6">
        <v>38.785755157470703</v>
      </c>
      <c r="L1431" s="6">
        <v>39.5957221984863</v>
      </c>
    </row>
    <row r="1432" spans="1:12" x14ac:dyDescent="0.25">
      <c r="A1432">
        <v>2914653</v>
      </c>
      <c r="B1432" t="str">
        <f t="shared" si="22"/>
        <v>ITABELA, BA, Brasil</v>
      </c>
      <c r="C1432" s="4" t="str">
        <f>_xlfn.XLOOKUP(A1432,[1]!DadosGHD[CD_GEOCMU],[1]!DadosGHD[Região])</f>
        <v>NE</v>
      </c>
      <c r="D1432" s="4" t="str">
        <f>_xlfn.XLOOKUP(A1432,[1]!DadosGHD[CD_GEOCMU],[1]!DadosGHD[uf])</f>
        <v>BA</v>
      </c>
      <c r="E1432" s="5" t="str">
        <f>_xlfn.XLOOKUP(A1432,[1]!DadosGHD[CD_GEOCMU],[1]!DadosGHD[MUNICIPIO])</f>
        <v>ITABELA</v>
      </c>
      <c r="F1432" s="6">
        <v>33.737236022949197</v>
      </c>
      <c r="G1432" s="6">
        <v>33.841388702392599</v>
      </c>
      <c r="H1432" s="6">
        <v>38.785018920898402</v>
      </c>
      <c r="I1432" s="6">
        <v>38.753318786621101</v>
      </c>
      <c r="J1432" s="6">
        <v>38.754310607910199</v>
      </c>
      <c r="K1432" s="6">
        <v>38.853248596191399</v>
      </c>
      <c r="L1432" s="6">
        <v>35.124332427978501</v>
      </c>
    </row>
    <row r="1433" spans="1:12" x14ac:dyDescent="0.25">
      <c r="A1433">
        <v>4313425</v>
      </c>
      <c r="B1433" t="str">
        <f t="shared" si="22"/>
        <v>NOVO MACHADO, RS, Brasil</v>
      </c>
      <c r="C1433" s="4" t="str">
        <f>_xlfn.XLOOKUP(A1433,[1]!DadosGHD[CD_GEOCMU],[1]!DadosGHD[Região])</f>
        <v>SL</v>
      </c>
      <c r="D1433" s="4" t="str">
        <f>_xlfn.XLOOKUP(A1433,[1]!DadosGHD[CD_GEOCMU],[1]!DadosGHD[uf])</f>
        <v>RS</v>
      </c>
      <c r="E1433" s="5" t="str">
        <f>_xlfn.XLOOKUP(A1433,[1]!DadosGHD[CD_GEOCMU],[1]!DadosGHD[MUNICIPIO])</f>
        <v>NOVO MACHADO</v>
      </c>
      <c r="F1433" s="6">
        <v>33.737251281738303</v>
      </c>
      <c r="G1433" s="6">
        <v>43.666187286377003</v>
      </c>
      <c r="H1433" s="6">
        <v>43.755275726318402</v>
      </c>
      <c r="I1433" s="6">
        <v>43.738739013671903</v>
      </c>
      <c r="J1433" s="6">
        <v>43.7681884765625</v>
      </c>
      <c r="K1433" s="6">
        <v>48.772659301757798</v>
      </c>
      <c r="L1433" s="6">
        <v>48.497871398925803</v>
      </c>
    </row>
    <row r="1434" spans="1:12" x14ac:dyDescent="0.25">
      <c r="A1434">
        <v>2304277</v>
      </c>
      <c r="B1434" t="str">
        <f t="shared" si="22"/>
        <v>ERERE, CE, Brasil</v>
      </c>
      <c r="C1434" s="4" t="str">
        <f>_xlfn.XLOOKUP(A1434,[1]!DadosGHD[CD_GEOCMU],[1]!DadosGHD[Região])</f>
        <v>NE</v>
      </c>
      <c r="D1434" s="4" t="str">
        <f>_xlfn.XLOOKUP(A1434,[1]!DadosGHD[CD_GEOCMU],[1]!DadosGHD[uf])</f>
        <v>CE</v>
      </c>
      <c r="E1434" s="5" t="str">
        <f>_xlfn.XLOOKUP(A1434,[1]!DadosGHD[CD_GEOCMU],[1]!DadosGHD[MUNICIPIO])</f>
        <v>ERERE</v>
      </c>
      <c r="F1434" s="6">
        <v>33.737430572509801</v>
      </c>
      <c r="G1434" s="6">
        <v>38.692691802978501</v>
      </c>
      <c r="H1434" s="6">
        <v>38.746799468994098</v>
      </c>
      <c r="I1434" s="6">
        <v>38.758720397949197</v>
      </c>
      <c r="J1434" s="6">
        <v>33.8326416015625</v>
      </c>
      <c r="K1434" s="6">
        <v>33.876838684082003</v>
      </c>
      <c r="L1434" s="6">
        <v>35.151271820068402</v>
      </c>
    </row>
    <row r="1435" spans="1:12" x14ac:dyDescent="0.25">
      <c r="A1435">
        <v>5102850</v>
      </c>
      <c r="B1435" t="str">
        <f t="shared" si="22"/>
        <v>CASTANHEIRA, MT, Brasil</v>
      </c>
      <c r="C1435" s="4" t="str">
        <f>_xlfn.XLOOKUP(A1435,[1]!DadosGHD[CD_GEOCMU],[1]!DadosGHD[Região])</f>
        <v>CO</v>
      </c>
      <c r="D1435" s="4" t="str">
        <f>_xlfn.XLOOKUP(A1435,[1]!DadosGHD[CD_GEOCMU],[1]!DadosGHD[uf])</f>
        <v>MT</v>
      </c>
      <c r="E1435" s="5" t="str">
        <f>_xlfn.XLOOKUP(A1435,[1]!DadosGHD[CD_GEOCMU],[1]!DadosGHD[MUNICIPIO])</f>
        <v>CASTANHEIRA</v>
      </c>
      <c r="F1435" s="6">
        <v>33.737438201904297</v>
      </c>
      <c r="G1435" s="6">
        <v>38.701137542724602</v>
      </c>
      <c r="H1435" s="6">
        <v>33.891761779785199</v>
      </c>
      <c r="I1435" s="6">
        <v>38.774726867675803</v>
      </c>
      <c r="J1435" s="6">
        <v>38.793903350830099</v>
      </c>
      <c r="K1435" s="6">
        <v>38.866382598877003</v>
      </c>
      <c r="L1435" s="6">
        <v>35.139572143554702</v>
      </c>
    </row>
    <row r="1436" spans="1:12" x14ac:dyDescent="0.25">
      <c r="A1436">
        <v>3161106</v>
      </c>
      <c r="B1436" t="str">
        <f t="shared" si="22"/>
        <v>SAO FRANCISCO, MG, Brasil</v>
      </c>
      <c r="C1436" s="4" t="str">
        <f>_xlfn.XLOOKUP(A1436,[1]!DadosGHD[CD_GEOCMU],[1]!DadosGHD[Região])</f>
        <v>SD</v>
      </c>
      <c r="D1436" s="4" t="str">
        <f>_xlfn.XLOOKUP(A1436,[1]!DadosGHD[CD_GEOCMU],[1]!DadosGHD[uf])</f>
        <v>MG</v>
      </c>
      <c r="E1436" s="5" t="str">
        <f>_xlfn.XLOOKUP(A1436,[1]!DadosGHD[CD_GEOCMU],[1]!DadosGHD[MUNICIPIO])</f>
        <v>SAO FRANCISCO</v>
      </c>
      <c r="F1436" s="6">
        <v>33.737586975097699</v>
      </c>
      <c r="G1436" s="6">
        <v>33.814220428466797</v>
      </c>
      <c r="H1436" s="6">
        <v>33.863059997558601</v>
      </c>
      <c r="I1436" s="6">
        <v>33.852684020996101</v>
      </c>
      <c r="J1436" s="6">
        <v>33.881504058837898</v>
      </c>
      <c r="K1436" s="6">
        <v>38.797309875488303</v>
      </c>
      <c r="L1436" s="6">
        <v>35.132938385009801</v>
      </c>
    </row>
    <row r="1437" spans="1:12" x14ac:dyDescent="0.25">
      <c r="A1437">
        <v>2704609</v>
      </c>
      <c r="B1437" t="str">
        <f t="shared" si="22"/>
        <v>MARAVILHA, AL, Brasil</v>
      </c>
      <c r="C1437" s="4" t="str">
        <f>_xlfn.XLOOKUP(A1437,[1]!DadosGHD[CD_GEOCMU],[1]!DadosGHD[Região])</f>
        <v>NE</v>
      </c>
      <c r="D1437" s="4" t="str">
        <f>_xlfn.XLOOKUP(A1437,[1]!DadosGHD[CD_GEOCMU],[1]!DadosGHD[uf])</f>
        <v>AL</v>
      </c>
      <c r="E1437" s="5" t="str">
        <f>_xlfn.XLOOKUP(A1437,[1]!DadosGHD[CD_GEOCMU],[1]!DadosGHD[MUNICIPIO])</f>
        <v>MARAVILHA</v>
      </c>
      <c r="F1437" s="6">
        <v>33.737640380859403</v>
      </c>
      <c r="G1437" s="6">
        <v>33.798065185546903</v>
      </c>
      <c r="H1437" s="6">
        <v>28.977289199829102</v>
      </c>
      <c r="I1437" s="6">
        <v>33.789852142333999</v>
      </c>
      <c r="J1437" s="6">
        <v>33.8153686523438</v>
      </c>
      <c r="K1437" s="6">
        <v>33.845272064208999</v>
      </c>
      <c r="L1437" s="6">
        <v>26.297357559204102</v>
      </c>
    </row>
    <row r="1438" spans="1:12" x14ac:dyDescent="0.25">
      <c r="A1438">
        <v>2304350</v>
      </c>
      <c r="B1438" t="str">
        <f t="shared" si="22"/>
        <v>FORQUILHA, CE, Brasil</v>
      </c>
      <c r="C1438" s="4" t="str">
        <f>_xlfn.XLOOKUP(A1438,[1]!DadosGHD[CD_GEOCMU],[1]!DadosGHD[Região])</f>
        <v>NE</v>
      </c>
      <c r="D1438" s="4" t="str">
        <f>_xlfn.XLOOKUP(A1438,[1]!DadosGHD[CD_GEOCMU],[1]!DadosGHD[uf])</f>
        <v>CE</v>
      </c>
      <c r="E1438" s="5" t="str">
        <f>_xlfn.XLOOKUP(A1438,[1]!DadosGHD[CD_GEOCMU],[1]!DadosGHD[MUNICIPIO])</f>
        <v>FORQUILHA</v>
      </c>
      <c r="F1438" s="6">
        <v>33.737777709960902</v>
      </c>
      <c r="G1438" s="6">
        <v>33.818405151367202</v>
      </c>
      <c r="H1438" s="6">
        <v>33.852615356445298</v>
      </c>
      <c r="I1438" s="6">
        <v>33.830886840820298</v>
      </c>
      <c r="J1438" s="6">
        <v>33.813175201416001</v>
      </c>
      <c r="K1438" s="6">
        <v>33.842823028564503</v>
      </c>
      <c r="L1438" s="6">
        <v>26.292406082153299</v>
      </c>
    </row>
    <row r="1439" spans="1:12" x14ac:dyDescent="0.25">
      <c r="A1439">
        <v>3140605</v>
      </c>
      <c r="B1439" t="str">
        <f t="shared" si="22"/>
        <v>MATERLANDIA, MG, Brasil</v>
      </c>
      <c r="C1439" s="4" t="str">
        <f>_xlfn.XLOOKUP(A1439,[1]!DadosGHD[CD_GEOCMU],[1]!DadosGHD[Região])</f>
        <v>SD</v>
      </c>
      <c r="D1439" s="4" t="str">
        <f>_xlfn.XLOOKUP(A1439,[1]!DadosGHD[CD_GEOCMU],[1]!DadosGHD[uf])</f>
        <v>MG</v>
      </c>
      <c r="E1439" s="5" t="str">
        <f>_xlfn.XLOOKUP(A1439,[1]!DadosGHD[CD_GEOCMU],[1]!DadosGHD[MUNICIPIO])</f>
        <v>MATERLANDIA</v>
      </c>
      <c r="F1439" s="6">
        <v>33.737808227539098</v>
      </c>
      <c r="G1439" s="6">
        <v>28.9137172698975</v>
      </c>
      <c r="H1439" s="6">
        <v>28.942651748657202</v>
      </c>
      <c r="I1439" s="6">
        <v>28.925045013427699</v>
      </c>
      <c r="J1439" s="6">
        <v>28.9409065246582</v>
      </c>
      <c r="K1439" s="6">
        <v>28.9686679840088</v>
      </c>
      <c r="L1439" s="6">
        <v>30.705856323242202</v>
      </c>
    </row>
    <row r="1440" spans="1:12" x14ac:dyDescent="0.25">
      <c r="A1440">
        <v>2202505</v>
      </c>
      <c r="B1440" t="str">
        <f t="shared" si="22"/>
        <v>CARACOL, PI, Brasil</v>
      </c>
      <c r="C1440" s="4" t="str">
        <f>_xlfn.XLOOKUP(A1440,[1]!DadosGHD[CD_GEOCMU],[1]!DadosGHD[Região])</f>
        <v>NE</v>
      </c>
      <c r="D1440" s="4" t="str">
        <f>_xlfn.XLOOKUP(A1440,[1]!DadosGHD[CD_GEOCMU],[1]!DadosGHD[uf])</f>
        <v>PI</v>
      </c>
      <c r="E1440" s="5" t="str">
        <f>_xlfn.XLOOKUP(A1440,[1]!DadosGHD[CD_GEOCMU],[1]!DadosGHD[MUNICIPIO])</f>
        <v>CARACOL</v>
      </c>
      <c r="F1440" s="6">
        <v>33.7379150390625</v>
      </c>
      <c r="G1440" s="6">
        <v>33.776390075683601</v>
      </c>
      <c r="H1440" s="6">
        <v>33.812881469726598</v>
      </c>
      <c r="I1440" s="6">
        <v>33.790092468261697</v>
      </c>
      <c r="J1440" s="6">
        <v>28.978786468505898</v>
      </c>
      <c r="K1440" s="6">
        <v>29.004365921020501</v>
      </c>
      <c r="L1440" s="6">
        <v>30.695358276367202</v>
      </c>
    </row>
    <row r="1441" spans="1:12" x14ac:dyDescent="0.25">
      <c r="A1441">
        <v>1100700</v>
      </c>
      <c r="B1441" t="str">
        <f t="shared" si="22"/>
        <v>CAMPO NOVO DE RONDONIA, RO, Brasil</v>
      </c>
      <c r="C1441" s="4" t="str">
        <f>_xlfn.XLOOKUP(A1441,[1]!DadosGHD[CD_GEOCMU],[1]!DadosGHD[Região])</f>
        <v>NO</v>
      </c>
      <c r="D1441" s="4" t="str">
        <f>_xlfn.XLOOKUP(A1441,[1]!DadosGHD[CD_GEOCMU],[1]!DadosGHD[uf])</f>
        <v>RO</v>
      </c>
      <c r="E1441" s="5" t="str">
        <f>_xlfn.XLOOKUP(A1441,[1]!DadosGHD[CD_GEOCMU],[1]!DadosGHD[MUNICIPIO])</f>
        <v>CAMPO NOVO DE RONDONIA</v>
      </c>
      <c r="F1441" s="6">
        <v>33.7380180358887</v>
      </c>
      <c r="G1441" s="6">
        <v>33.826499938964801</v>
      </c>
      <c r="H1441" s="6">
        <v>38.771732330322301</v>
      </c>
      <c r="I1441" s="6">
        <v>38.772224426269503</v>
      </c>
      <c r="J1441" s="6">
        <v>38.837608337402301</v>
      </c>
      <c r="K1441" s="6">
        <v>43.753768920898402</v>
      </c>
      <c r="L1441" s="6">
        <v>48.502017974853501</v>
      </c>
    </row>
    <row r="1442" spans="1:12" x14ac:dyDescent="0.25">
      <c r="A1442">
        <v>2609006</v>
      </c>
      <c r="B1442" t="str">
        <f t="shared" si="22"/>
        <v>MACAPARANA, PE, Brasil</v>
      </c>
      <c r="C1442" s="4" t="str">
        <f>_xlfn.XLOOKUP(A1442,[1]!DadosGHD[CD_GEOCMU],[1]!DadosGHD[Região])</f>
        <v>NE</v>
      </c>
      <c r="D1442" s="4" t="str">
        <f>_xlfn.XLOOKUP(A1442,[1]!DadosGHD[CD_GEOCMU],[1]!DadosGHD[uf])</f>
        <v>PE</v>
      </c>
      <c r="E1442" s="5" t="str">
        <f>_xlfn.XLOOKUP(A1442,[1]!DadosGHD[CD_GEOCMU],[1]!DadosGHD[MUNICIPIO])</f>
        <v>MACAPARANA</v>
      </c>
      <c r="F1442" s="6">
        <v>33.738128662109403</v>
      </c>
      <c r="G1442" s="6">
        <v>33.790992736816399</v>
      </c>
      <c r="H1442" s="6">
        <v>28.979316711425799</v>
      </c>
      <c r="I1442" s="6">
        <v>28.954973220825199</v>
      </c>
      <c r="J1442" s="6">
        <v>33.811599731445298</v>
      </c>
      <c r="K1442" s="6">
        <v>33.843971252441399</v>
      </c>
      <c r="L1442" s="6">
        <v>26.295547485351602</v>
      </c>
    </row>
    <row r="1443" spans="1:12" x14ac:dyDescent="0.25">
      <c r="A1443">
        <v>2703601</v>
      </c>
      <c r="B1443" t="str">
        <f t="shared" si="22"/>
        <v>JAPARATINGA, AL, Brasil</v>
      </c>
      <c r="C1443" s="4" t="str">
        <f>_xlfn.XLOOKUP(A1443,[1]!DadosGHD[CD_GEOCMU],[1]!DadosGHD[Região])</f>
        <v>NE</v>
      </c>
      <c r="D1443" s="4" t="str">
        <f>_xlfn.XLOOKUP(A1443,[1]!DadosGHD[CD_GEOCMU],[1]!DadosGHD[uf])</f>
        <v>AL</v>
      </c>
      <c r="E1443" s="5" t="str">
        <f>_xlfn.XLOOKUP(A1443,[1]!DadosGHD[CD_GEOCMU],[1]!DadosGHD[MUNICIPIO])</f>
        <v>JAPARATINGA</v>
      </c>
      <c r="F1443" s="6">
        <v>33.7382202148438</v>
      </c>
      <c r="G1443" s="6">
        <v>33.783451080322301</v>
      </c>
      <c r="H1443" s="6">
        <v>33.820590972900398</v>
      </c>
      <c r="I1443" s="6">
        <v>33.7958374023438</v>
      </c>
      <c r="J1443" s="6">
        <v>28.977977752685501</v>
      </c>
      <c r="K1443" s="6">
        <v>29.002622604370099</v>
      </c>
      <c r="L1443" s="6">
        <v>30.698768615722699</v>
      </c>
    </row>
    <row r="1444" spans="1:12" x14ac:dyDescent="0.25">
      <c r="A1444">
        <v>3170057</v>
      </c>
      <c r="B1444" t="str">
        <f t="shared" si="22"/>
        <v>UBAPORANGA, MG, Brasil</v>
      </c>
      <c r="C1444" s="4" t="str">
        <f>_xlfn.XLOOKUP(A1444,[1]!DadosGHD[CD_GEOCMU],[1]!DadosGHD[Região])</f>
        <v>SD</v>
      </c>
      <c r="D1444" s="4" t="str">
        <f>_xlfn.XLOOKUP(A1444,[1]!DadosGHD[CD_GEOCMU],[1]!DadosGHD[uf])</f>
        <v>MG</v>
      </c>
      <c r="E1444" s="5" t="str">
        <f>_xlfn.XLOOKUP(A1444,[1]!DadosGHD[CD_GEOCMU],[1]!DadosGHD[MUNICIPIO])</f>
        <v>UBAPORANGA</v>
      </c>
      <c r="F1444" s="6">
        <v>33.738246917724602</v>
      </c>
      <c r="G1444" s="6">
        <v>33.839134216308601</v>
      </c>
      <c r="H1444" s="6">
        <v>33.877323150634801</v>
      </c>
      <c r="I1444" s="6">
        <v>33.8683052062988</v>
      </c>
      <c r="J1444" s="6">
        <v>38.757575988769503</v>
      </c>
      <c r="K1444" s="6">
        <v>33.931842803955099</v>
      </c>
      <c r="L1444" s="6">
        <v>35.115440368652301</v>
      </c>
    </row>
    <row r="1445" spans="1:12" x14ac:dyDescent="0.25">
      <c r="A1445">
        <v>2109601</v>
      </c>
      <c r="B1445" t="str">
        <f t="shared" si="22"/>
        <v>ROSARIO, MA, Brasil</v>
      </c>
      <c r="C1445" s="4" t="str">
        <f>_xlfn.XLOOKUP(A1445,[1]!DadosGHD[CD_GEOCMU],[1]!DadosGHD[Região])</f>
        <v>NE</v>
      </c>
      <c r="D1445" s="4" t="str">
        <f>_xlfn.XLOOKUP(A1445,[1]!DadosGHD[CD_GEOCMU],[1]!DadosGHD[uf])</f>
        <v>MA</v>
      </c>
      <c r="E1445" s="5" t="str">
        <f>_xlfn.XLOOKUP(A1445,[1]!DadosGHD[CD_GEOCMU],[1]!DadosGHD[MUNICIPIO])</f>
        <v>ROSARIO</v>
      </c>
      <c r="F1445" s="6">
        <v>33.738250732421903</v>
      </c>
      <c r="G1445" s="6">
        <v>33.806697845458999</v>
      </c>
      <c r="H1445" s="6">
        <v>33.844196319580099</v>
      </c>
      <c r="I1445" s="6">
        <v>33.824241638183601</v>
      </c>
      <c r="J1445" s="6">
        <v>33.8594360351563</v>
      </c>
      <c r="K1445" s="6">
        <v>33.870933532714801</v>
      </c>
      <c r="L1445" s="6">
        <v>30.694629669189499</v>
      </c>
    </row>
    <row r="1446" spans="1:12" x14ac:dyDescent="0.25">
      <c r="A1446">
        <v>2109502</v>
      </c>
      <c r="B1446" t="str">
        <f t="shared" si="22"/>
        <v>RIACHAO, MA, Brasil</v>
      </c>
      <c r="C1446" s="4" t="str">
        <f>_xlfn.XLOOKUP(A1446,[1]!DadosGHD[CD_GEOCMU],[1]!DadosGHD[Região])</f>
        <v>NE</v>
      </c>
      <c r="D1446" s="4" t="str">
        <f>_xlfn.XLOOKUP(A1446,[1]!DadosGHD[CD_GEOCMU],[1]!DadosGHD[uf])</f>
        <v>MA</v>
      </c>
      <c r="E1446" s="5" t="str">
        <f>_xlfn.XLOOKUP(A1446,[1]!DadosGHD[CD_GEOCMU],[1]!DadosGHD[MUNICIPIO])</f>
        <v>RIACHAO</v>
      </c>
      <c r="F1446" s="6">
        <v>33.7383003234863</v>
      </c>
      <c r="G1446" s="6">
        <v>33.801952362060597</v>
      </c>
      <c r="H1446" s="6">
        <v>33.837100982666001</v>
      </c>
      <c r="I1446" s="6">
        <v>33.813568115234403</v>
      </c>
      <c r="J1446" s="6">
        <v>33.828163146972699</v>
      </c>
      <c r="K1446" s="6">
        <v>33.863922119140597</v>
      </c>
      <c r="L1446" s="6">
        <v>30.684085845947301</v>
      </c>
    </row>
    <row r="1447" spans="1:12" x14ac:dyDescent="0.25">
      <c r="A1447">
        <v>2903508</v>
      </c>
      <c r="B1447" t="str">
        <f t="shared" si="22"/>
        <v>BELO CAMPO, BA, Brasil</v>
      </c>
      <c r="C1447" s="4" t="str">
        <f>_xlfn.XLOOKUP(A1447,[1]!DadosGHD[CD_GEOCMU],[1]!DadosGHD[Região])</f>
        <v>NE</v>
      </c>
      <c r="D1447" s="4" t="str">
        <f>_xlfn.XLOOKUP(A1447,[1]!DadosGHD[CD_GEOCMU],[1]!DadosGHD[uf])</f>
        <v>BA</v>
      </c>
      <c r="E1447" s="5" t="str">
        <f>_xlfn.XLOOKUP(A1447,[1]!DadosGHD[CD_GEOCMU],[1]!DadosGHD[MUNICIPIO])</f>
        <v>BELO CAMPO</v>
      </c>
      <c r="F1447" s="6">
        <v>33.738304138183601</v>
      </c>
      <c r="G1447" s="6">
        <v>33.789592742919901</v>
      </c>
      <c r="H1447" s="6">
        <v>33.884845733642599</v>
      </c>
      <c r="I1447" s="6">
        <v>38.728420257568402</v>
      </c>
      <c r="J1447" s="6">
        <v>38.791248321533203</v>
      </c>
      <c r="K1447" s="6">
        <v>38.818374633789098</v>
      </c>
      <c r="L1447" s="6">
        <v>39.588039398193402</v>
      </c>
    </row>
    <row r="1448" spans="1:12" x14ac:dyDescent="0.25">
      <c r="A1448">
        <v>1501501</v>
      </c>
      <c r="B1448" t="str">
        <f t="shared" si="22"/>
        <v>BENEVIDES, PA, Brasil</v>
      </c>
      <c r="C1448" s="4" t="str">
        <f>_xlfn.XLOOKUP(A1448,[1]!DadosGHD[CD_GEOCMU],[1]!DadosGHD[Região])</f>
        <v>NO</v>
      </c>
      <c r="D1448" s="4" t="str">
        <f>_xlfn.XLOOKUP(A1448,[1]!DadosGHD[CD_GEOCMU],[1]!DadosGHD[uf])</f>
        <v>PA</v>
      </c>
      <c r="E1448" s="5" t="str">
        <f>_xlfn.XLOOKUP(A1448,[1]!DadosGHD[CD_GEOCMU],[1]!DadosGHD[MUNICIPIO])</f>
        <v>BENEVIDES</v>
      </c>
      <c r="F1448" s="6">
        <v>33.738437652587898</v>
      </c>
      <c r="G1448" s="6">
        <v>33.818546295166001</v>
      </c>
      <c r="H1448" s="6">
        <v>33.859367370605497</v>
      </c>
      <c r="I1448" s="6">
        <v>33.831394195556598</v>
      </c>
      <c r="J1448" s="6">
        <v>33.833290100097699</v>
      </c>
      <c r="K1448" s="6">
        <v>33.851795196533203</v>
      </c>
      <c r="L1448" s="6">
        <v>30.688159942626999</v>
      </c>
    </row>
    <row r="1449" spans="1:12" x14ac:dyDescent="0.25">
      <c r="A1449">
        <v>3146701</v>
      </c>
      <c r="B1449" t="str">
        <f t="shared" si="22"/>
        <v>PALMA, MG, Brasil</v>
      </c>
      <c r="C1449" s="4" t="str">
        <f>_xlfn.XLOOKUP(A1449,[1]!DadosGHD[CD_GEOCMU],[1]!DadosGHD[Região])</f>
        <v>SD</v>
      </c>
      <c r="D1449" s="4" t="str">
        <f>_xlfn.XLOOKUP(A1449,[1]!DadosGHD[CD_GEOCMU],[1]!DadosGHD[uf])</f>
        <v>MG</v>
      </c>
      <c r="E1449" s="5" t="str">
        <f>_xlfn.XLOOKUP(A1449,[1]!DadosGHD[CD_GEOCMU],[1]!DadosGHD[MUNICIPIO])</f>
        <v>PALMA</v>
      </c>
      <c r="F1449" s="6">
        <v>33.738449096679702</v>
      </c>
      <c r="G1449" s="6">
        <v>38.753593444824197</v>
      </c>
      <c r="H1449" s="6">
        <v>38.8008422851563</v>
      </c>
      <c r="I1449" s="6">
        <v>38.769489288330099</v>
      </c>
      <c r="J1449" s="6">
        <v>38.772781372070298</v>
      </c>
      <c r="K1449" s="6">
        <v>38.792999267578097</v>
      </c>
      <c r="L1449" s="6">
        <v>30.705436706543001</v>
      </c>
    </row>
    <row r="1450" spans="1:12" x14ac:dyDescent="0.25">
      <c r="A1450">
        <v>2306256</v>
      </c>
      <c r="B1450" t="str">
        <f t="shared" si="22"/>
        <v>ITAITINGA, CE, Brasil</v>
      </c>
      <c r="C1450" s="4" t="str">
        <f>_xlfn.XLOOKUP(A1450,[1]!DadosGHD[CD_GEOCMU],[1]!DadosGHD[Região])</f>
        <v>NE</v>
      </c>
      <c r="D1450" s="4" t="str">
        <f>_xlfn.XLOOKUP(A1450,[1]!DadosGHD[CD_GEOCMU],[1]!DadosGHD[uf])</f>
        <v>CE</v>
      </c>
      <c r="E1450" s="5" t="str">
        <f>_xlfn.XLOOKUP(A1450,[1]!DadosGHD[CD_GEOCMU],[1]!DadosGHD[MUNICIPIO])</f>
        <v>ITAITINGA</v>
      </c>
      <c r="F1450" s="6">
        <v>33.738491058349602</v>
      </c>
      <c r="G1450" s="6">
        <v>33.8182563781738</v>
      </c>
      <c r="H1450" s="6">
        <v>38.742256164550803</v>
      </c>
      <c r="I1450" s="6">
        <v>38.754436492919901</v>
      </c>
      <c r="J1450" s="6">
        <v>38.838249206542997</v>
      </c>
      <c r="K1450" s="6">
        <v>43.828426361083999</v>
      </c>
      <c r="L1450" s="6">
        <v>35.118473052978501</v>
      </c>
    </row>
    <row r="1451" spans="1:12" x14ac:dyDescent="0.25">
      <c r="A1451">
        <v>2304459</v>
      </c>
      <c r="B1451" t="str">
        <f t="shared" si="22"/>
        <v>FORTIM, CE, Brasil</v>
      </c>
      <c r="C1451" s="4" t="str">
        <f>_xlfn.XLOOKUP(A1451,[1]!DadosGHD[CD_GEOCMU],[1]!DadosGHD[Região])</f>
        <v>NE</v>
      </c>
      <c r="D1451" s="4" t="str">
        <f>_xlfn.XLOOKUP(A1451,[1]!DadosGHD[CD_GEOCMU],[1]!DadosGHD[uf])</f>
        <v>CE</v>
      </c>
      <c r="E1451" s="5" t="str">
        <f>_xlfn.XLOOKUP(A1451,[1]!DadosGHD[CD_GEOCMU],[1]!DadosGHD[MUNICIPIO])</f>
        <v>FORTIM</v>
      </c>
      <c r="F1451" s="6">
        <v>33.738574981689503</v>
      </c>
      <c r="G1451" s="6">
        <v>33.788875579833999</v>
      </c>
      <c r="H1451" s="6">
        <v>33.827548980712898</v>
      </c>
      <c r="I1451" s="6">
        <v>33.828109741210902</v>
      </c>
      <c r="J1451" s="6">
        <v>33.866046905517599</v>
      </c>
      <c r="K1451" s="6">
        <v>43.858669281005902</v>
      </c>
      <c r="L1451" s="6">
        <v>53.035423278808601</v>
      </c>
    </row>
    <row r="1452" spans="1:12" x14ac:dyDescent="0.25">
      <c r="A1452">
        <v>2406908</v>
      </c>
      <c r="B1452" t="str">
        <f t="shared" si="22"/>
        <v>LUCRECIA, RN, Brasil</v>
      </c>
      <c r="C1452" s="4" t="str">
        <f>_xlfn.XLOOKUP(A1452,[1]!DadosGHD[CD_GEOCMU],[1]!DadosGHD[Região])</f>
        <v>NE</v>
      </c>
      <c r="D1452" s="4" t="str">
        <f>_xlfn.XLOOKUP(A1452,[1]!DadosGHD[CD_GEOCMU],[1]!DadosGHD[uf])</f>
        <v>RN</v>
      </c>
      <c r="E1452" s="5" t="str">
        <f>_xlfn.XLOOKUP(A1452,[1]!DadosGHD[CD_GEOCMU],[1]!DadosGHD[MUNICIPIO])</f>
        <v>LUCRECIA</v>
      </c>
      <c r="F1452" s="6">
        <v>33.738601684570298</v>
      </c>
      <c r="G1452" s="6">
        <v>28.920707702636701</v>
      </c>
      <c r="H1452" s="6">
        <v>28.942651748657202</v>
      </c>
      <c r="I1452" s="6">
        <v>28.925045013427699</v>
      </c>
      <c r="J1452" s="6">
        <v>28.9409065246582</v>
      </c>
      <c r="K1452" s="6">
        <v>33.874786376953097</v>
      </c>
      <c r="L1452" s="6">
        <v>35.144660949707003</v>
      </c>
    </row>
    <row r="1453" spans="1:12" x14ac:dyDescent="0.25">
      <c r="A1453">
        <v>3156007</v>
      </c>
      <c r="B1453" t="str">
        <f t="shared" si="22"/>
        <v>RIO VERMELHO, MG, Brasil</v>
      </c>
      <c r="C1453" s="4" t="str">
        <f>_xlfn.XLOOKUP(A1453,[1]!DadosGHD[CD_GEOCMU],[1]!DadosGHD[Região])</f>
        <v>SD</v>
      </c>
      <c r="D1453" s="4" t="str">
        <f>_xlfn.XLOOKUP(A1453,[1]!DadosGHD[CD_GEOCMU],[1]!DadosGHD[uf])</f>
        <v>MG</v>
      </c>
      <c r="E1453" s="5" t="str">
        <f>_xlfn.XLOOKUP(A1453,[1]!DadosGHD[CD_GEOCMU],[1]!DadosGHD[MUNICIPIO])</f>
        <v>RIO VERMELHO</v>
      </c>
      <c r="F1453" s="6">
        <v>33.738685607910199</v>
      </c>
      <c r="G1453" s="6">
        <v>38.705062866210902</v>
      </c>
      <c r="H1453" s="6">
        <v>38.786491394042997</v>
      </c>
      <c r="I1453" s="6">
        <v>33.870899200439503</v>
      </c>
      <c r="J1453" s="6">
        <v>33.888587951660199</v>
      </c>
      <c r="K1453" s="6">
        <v>33.924095153808601</v>
      </c>
      <c r="L1453" s="6">
        <v>30.701766967773398</v>
      </c>
    </row>
    <row r="1454" spans="1:12" x14ac:dyDescent="0.25">
      <c r="A1454">
        <v>2609303</v>
      </c>
      <c r="B1454" t="str">
        <f t="shared" si="22"/>
        <v>MIRANDIBA, PE, Brasil</v>
      </c>
      <c r="C1454" s="4" t="str">
        <f>_xlfn.XLOOKUP(A1454,[1]!DadosGHD[CD_GEOCMU],[1]!DadosGHD[Região])</f>
        <v>NE</v>
      </c>
      <c r="D1454" s="4" t="str">
        <f>_xlfn.XLOOKUP(A1454,[1]!DadosGHD[CD_GEOCMU],[1]!DadosGHD[uf])</f>
        <v>PE</v>
      </c>
      <c r="E1454" s="5" t="str">
        <f>_xlfn.XLOOKUP(A1454,[1]!DadosGHD[CD_GEOCMU],[1]!DadosGHD[MUNICIPIO])</f>
        <v>MIRANDIBA</v>
      </c>
      <c r="F1454" s="6">
        <v>33.738754272460902</v>
      </c>
      <c r="G1454" s="6">
        <v>33.788143157958999</v>
      </c>
      <c r="H1454" s="6">
        <v>33.824131011962898</v>
      </c>
      <c r="I1454" s="6">
        <v>33.8176078796387</v>
      </c>
      <c r="J1454" s="6">
        <v>33.848800659179702</v>
      </c>
      <c r="K1454" s="6">
        <v>33.883220672607401</v>
      </c>
      <c r="L1454" s="6">
        <v>35.130439758300803</v>
      </c>
    </row>
    <row r="1455" spans="1:12" x14ac:dyDescent="0.25">
      <c r="A1455">
        <v>3161650</v>
      </c>
      <c r="B1455" t="str">
        <f t="shared" si="22"/>
        <v>SAO GERALDO DO BAIXIO, MG, Brasil</v>
      </c>
      <c r="C1455" s="4" t="str">
        <f>_xlfn.XLOOKUP(A1455,[1]!DadosGHD[CD_GEOCMU],[1]!DadosGHD[Região])</f>
        <v>SD</v>
      </c>
      <c r="D1455" s="4" t="str">
        <f>_xlfn.XLOOKUP(A1455,[1]!DadosGHD[CD_GEOCMU],[1]!DadosGHD[uf])</f>
        <v>MG</v>
      </c>
      <c r="E1455" s="5" t="str">
        <f>_xlfn.XLOOKUP(A1455,[1]!DadosGHD[CD_GEOCMU],[1]!DadosGHD[MUNICIPIO])</f>
        <v>SAO GERALDO DO BAIXIO</v>
      </c>
      <c r="F1455" s="6">
        <v>33.738849639892599</v>
      </c>
      <c r="G1455" s="6">
        <v>38.7504272460938</v>
      </c>
      <c r="H1455" s="6">
        <v>33.839019775390597</v>
      </c>
      <c r="I1455" s="6">
        <v>28.9484748840332</v>
      </c>
      <c r="J1455" s="6">
        <v>38.769016265869098</v>
      </c>
      <c r="K1455" s="6">
        <v>38.784324645996101</v>
      </c>
      <c r="L1455" s="6">
        <v>30.708593368530298</v>
      </c>
    </row>
    <row r="1456" spans="1:12" x14ac:dyDescent="0.25">
      <c r="A1456">
        <v>2602506</v>
      </c>
      <c r="B1456" t="str">
        <f t="shared" si="22"/>
        <v>BREJINHO, PE, Brasil</v>
      </c>
      <c r="C1456" s="4" t="str">
        <f>_xlfn.XLOOKUP(A1456,[1]!DadosGHD[CD_GEOCMU],[1]!DadosGHD[Região])</f>
        <v>NE</v>
      </c>
      <c r="D1456" s="4" t="str">
        <f>_xlfn.XLOOKUP(A1456,[1]!DadosGHD[CD_GEOCMU],[1]!DadosGHD[uf])</f>
        <v>PE</v>
      </c>
      <c r="E1456" s="5" t="str">
        <f>_xlfn.XLOOKUP(A1456,[1]!DadosGHD[CD_GEOCMU],[1]!DadosGHD[MUNICIPIO])</f>
        <v>BREJINHO</v>
      </c>
      <c r="F1456" s="6">
        <v>33.738883972167997</v>
      </c>
      <c r="G1456" s="6">
        <v>33.790824890136697</v>
      </c>
      <c r="H1456" s="6">
        <v>33.868858337402301</v>
      </c>
      <c r="I1456" s="6">
        <v>33.829914093017599</v>
      </c>
      <c r="J1456" s="6">
        <v>33.816097259521499</v>
      </c>
      <c r="K1456" s="6">
        <v>33.847835540771499</v>
      </c>
      <c r="L1456" s="6">
        <v>26.2842903137207</v>
      </c>
    </row>
    <row r="1457" spans="1:12" x14ac:dyDescent="0.25">
      <c r="A1457">
        <v>2612307</v>
      </c>
      <c r="B1457" t="str">
        <f t="shared" si="22"/>
        <v>SALOA, PE, Brasil</v>
      </c>
      <c r="C1457" s="4" t="str">
        <f>_xlfn.XLOOKUP(A1457,[1]!DadosGHD[CD_GEOCMU],[1]!DadosGHD[Região])</f>
        <v>NE</v>
      </c>
      <c r="D1457" s="4" t="str">
        <f>_xlfn.XLOOKUP(A1457,[1]!DadosGHD[CD_GEOCMU],[1]!DadosGHD[uf])</f>
        <v>PE</v>
      </c>
      <c r="E1457" s="5" t="str">
        <f>_xlfn.XLOOKUP(A1457,[1]!DadosGHD[CD_GEOCMU],[1]!DadosGHD[MUNICIPIO])</f>
        <v>SALOA</v>
      </c>
      <c r="F1457" s="6">
        <v>33.738895416259801</v>
      </c>
      <c r="G1457" s="6">
        <v>33.797519683837898</v>
      </c>
      <c r="H1457" s="6">
        <v>33.835731506347699</v>
      </c>
      <c r="I1457" s="6">
        <v>33.818241119384801</v>
      </c>
      <c r="J1457" s="6">
        <v>33.8525199890137</v>
      </c>
      <c r="K1457" s="6">
        <v>33.899425506591797</v>
      </c>
      <c r="L1457" s="6">
        <v>30.712911605835</v>
      </c>
    </row>
    <row r="1458" spans="1:12" x14ac:dyDescent="0.25">
      <c r="A1458">
        <v>2707404</v>
      </c>
      <c r="B1458" t="str">
        <f t="shared" si="22"/>
        <v>PORTO DE PEDRAS, AL, Brasil</v>
      </c>
      <c r="C1458" s="4" t="str">
        <f>_xlfn.XLOOKUP(A1458,[1]!DadosGHD[CD_GEOCMU],[1]!DadosGHD[Região])</f>
        <v>NE</v>
      </c>
      <c r="D1458" s="4" t="str">
        <f>_xlfn.XLOOKUP(A1458,[1]!DadosGHD[CD_GEOCMU],[1]!DadosGHD[uf])</f>
        <v>AL</v>
      </c>
      <c r="E1458" s="5" t="str">
        <f>_xlfn.XLOOKUP(A1458,[1]!DadosGHD[CD_GEOCMU],[1]!DadosGHD[MUNICIPIO])</f>
        <v>PORTO DE PEDRAS</v>
      </c>
      <c r="F1458" s="6">
        <v>33.738933563232401</v>
      </c>
      <c r="G1458" s="6">
        <v>33.787441253662102</v>
      </c>
      <c r="H1458" s="6">
        <v>33.823352813720703</v>
      </c>
      <c r="I1458" s="6">
        <v>33.800537109375</v>
      </c>
      <c r="J1458" s="6">
        <v>33.819244384765597</v>
      </c>
      <c r="K1458" s="6">
        <v>33.851230621337898</v>
      </c>
      <c r="L1458" s="6">
        <v>26.2834072113037</v>
      </c>
    </row>
    <row r="1459" spans="1:12" x14ac:dyDescent="0.25">
      <c r="A1459">
        <v>3553500</v>
      </c>
      <c r="B1459" t="str">
        <f t="shared" si="22"/>
        <v>TAPIRAI, SP, Brasil</v>
      </c>
      <c r="C1459" s="4" t="str">
        <f>_xlfn.XLOOKUP(A1459,[1]!DadosGHD[CD_GEOCMU],[1]!DadosGHD[Região])</f>
        <v>SD</v>
      </c>
      <c r="D1459" s="4" t="str">
        <f>_xlfn.XLOOKUP(A1459,[1]!DadosGHD[CD_GEOCMU],[1]!DadosGHD[uf])</f>
        <v>SP</v>
      </c>
      <c r="E1459" s="5" t="str">
        <f>_xlfn.XLOOKUP(A1459,[1]!DadosGHD[CD_GEOCMU],[1]!DadosGHD[MUNICIPIO])</f>
        <v>TAPIRAI</v>
      </c>
      <c r="F1459" s="6">
        <v>33.739070892333999</v>
      </c>
      <c r="G1459" s="6">
        <v>33.838291168212898</v>
      </c>
      <c r="H1459" s="6">
        <v>33.894477844238303</v>
      </c>
      <c r="I1459" s="6">
        <v>38.726516723632798</v>
      </c>
      <c r="J1459" s="6">
        <v>38.767574310302699</v>
      </c>
      <c r="K1459" s="6">
        <v>38.803920745849602</v>
      </c>
      <c r="L1459" s="6">
        <v>39.557151794433601</v>
      </c>
    </row>
    <row r="1460" spans="1:12" x14ac:dyDescent="0.25">
      <c r="A1460">
        <v>3130655</v>
      </c>
      <c r="B1460" t="str">
        <f t="shared" si="22"/>
        <v>INDAIABIRA, MG, Brasil</v>
      </c>
      <c r="C1460" s="4" t="str">
        <f>_xlfn.XLOOKUP(A1460,[1]!DadosGHD[CD_GEOCMU],[1]!DadosGHD[Região])</f>
        <v>SD</v>
      </c>
      <c r="D1460" s="4" t="str">
        <f>_xlfn.XLOOKUP(A1460,[1]!DadosGHD[CD_GEOCMU],[1]!DadosGHD[uf])</f>
        <v>MG</v>
      </c>
      <c r="E1460" s="5" t="str">
        <f>_xlfn.XLOOKUP(A1460,[1]!DadosGHD[CD_GEOCMU],[1]!DadosGHD[MUNICIPIO])</f>
        <v>INDAIABIRA</v>
      </c>
      <c r="F1460" s="6">
        <v>33.739120483398402</v>
      </c>
      <c r="G1460" s="6">
        <v>33.788234710693402</v>
      </c>
      <c r="H1460" s="6">
        <v>33.826053619384801</v>
      </c>
      <c r="I1460" s="6">
        <v>33.8052368164063</v>
      </c>
      <c r="J1460" s="6">
        <v>33.829437255859403</v>
      </c>
      <c r="K1460" s="6">
        <v>33.850055694580099</v>
      </c>
      <c r="L1460" s="6">
        <v>26.297746658325199</v>
      </c>
    </row>
    <row r="1461" spans="1:12" x14ac:dyDescent="0.25">
      <c r="A1461">
        <v>2911501</v>
      </c>
      <c r="B1461" t="str">
        <f t="shared" si="22"/>
        <v>GONGOGI, BA, Brasil</v>
      </c>
      <c r="C1461" s="4" t="str">
        <f>_xlfn.XLOOKUP(A1461,[1]!DadosGHD[CD_GEOCMU],[1]!DadosGHD[Região])</f>
        <v>NE</v>
      </c>
      <c r="D1461" s="4" t="str">
        <f>_xlfn.XLOOKUP(A1461,[1]!DadosGHD[CD_GEOCMU],[1]!DadosGHD[uf])</f>
        <v>BA</v>
      </c>
      <c r="E1461" s="5" t="str">
        <f>_xlfn.XLOOKUP(A1461,[1]!DadosGHD[CD_GEOCMU],[1]!DadosGHD[MUNICIPIO])</f>
        <v>GONGOGI</v>
      </c>
      <c r="F1461" s="6">
        <v>33.739173889160199</v>
      </c>
      <c r="G1461" s="6">
        <v>33.796520233154297</v>
      </c>
      <c r="H1461" s="6">
        <v>33.8434448242188</v>
      </c>
      <c r="I1461" s="6">
        <v>33.820224761962898</v>
      </c>
      <c r="J1461" s="6">
        <v>33.836708068847699</v>
      </c>
      <c r="K1461" s="6">
        <v>33.875850677490199</v>
      </c>
      <c r="L1461" s="6">
        <v>30.6896572113037</v>
      </c>
    </row>
    <row r="1462" spans="1:12" x14ac:dyDescent="0.25">
      <c r="A1462">
        <v>2302057</v>
      </c>
      <c r="B1462" t="str">
        <f t="shared" si="22"/>
        <v>BARROQUINHA, CE, Brasil</v>
      </c>
      <c r="C1462" s="4" t="str">
        <f>_xlfn.XLOOKUP(A1462,[1]!DadosGHD[CD_GEOCMU],[1]!DadosGHD[Região])</f>
        <v>NE</v>
      </c>
      <c r="D1462" s="4" t="str">
        <f>_xlfn.XLOOKUP(A1462,[1]!DadosGHD[CD_GEOCMU],[1]!DadosGHD[uf])</f>
        <v>CE</v>
      </c>
      <c r="E1462" s="5" t="str">
        <f>_xlfn.XLOOKUP(A1462,[1]!DadosGHD[CD_GEOCMU],[1]!DadosGHD[MUNICIPIO])</f>
        <v>BARROQUINHA</v>
      </c>
      <c r="F1462" s="6">
        <v>33.739295959472699</v>
      </c>
      <c r="G1462" s="6">
        <v>33.798431396484403</v>
      </c>
      <c r="H1462" s="6">
        <v>33.821086883544901</v>
      </c>
      <c r="I1462" s="6">
        <v>33.798469543457003</v>
      </c>
      <c r="J1462" s="6">
        <v>33.815643310546903</v>
      </c>
      <c r="K1462" s="6">
        <v>33.847221374511697</v>
      </c>
      <c r="L1462" s="6">
        <v>30.721118927001999</v>
      </c>
    </row>
    <row r="1463" spans="1:12" x14ac:dyDescent="0.25">
      <c r="A1463">
        <v>1507904</v>
      </c>
      <c r="B1463" t="str">
        <f t="shared" si="22"/>
        <v>SOURE, PA, Brasil</v>
      </c>
      <c r="C1463" s="4" t="str">
        <f>_xlfn.XLOOKUP(A1463,[1]!DadosGHD[CD_GEOCMU],[1]!DadosGHD[Região])</f>
        <v>NO</v>
      </c>
      <c r="D1463" s="4" t="str">
        <f>_xlfn.XLOOKUP(A1463,[1]!DadosGHD[CD_GEOCMU],[1]!DadosGHD[uf])</f>
        <v>PA</v>
      </c>
      <c r="E1463" s="5" t="str">
        <f>_xlfn.XLOOKUP(A1463,[1]!DadosGHD[CD_GEOCMU],[1]!DadosGHD[MUNICIPIO])</f>
        <v>SOURE</v>
      </c>
      <c r="F1463" s="6">
        <v>33.739311218261697</v>
      </c>
      <c r="G1463" s="6">
        <v>33.805057525634801</v>
      </c>
      <c r="H1463" s="6">
        <v>33.852752685546903</v>
      </c>
      <c r="I1463" s="6">
        <v>33.831943511962898</v>
      </c>
      <c r="J1463" s="6">
        <v>33.8514213562012</v>
      </c>
      <c r="K1463" s="6">
        <v>33.914253234863303</v>
      </c>
      <c r="L1463" s="6">
        <v>30.7005825042725</v>
      </c>
    </row>
    <row r="1464" spans="1:12" x14ac:dyDescent="0.25">
      <c r="A1464">
        <v>2105807</v>
      </c>
      <c r="B1464" t="str">
        <f t="shared" si="22"/>
        <v>LAGO DO JUNCO, MA, Brasil</v>
      </c>
      <c r="C1464" s="4" t="str">
        <f>_xlfn.XLOOKUP(A1464,[1]!DadosGHD[CD_GEOCMU],[1]!DadosGHD[Região])</f>
        <v>NE</v>
      </c>
      <c r="D1464" s="4" t="str">
        <f>_xlfn.XLOOKUP(A1464,[1]!DadosGHD[CD_GEOCMU],[1]!DadosGHD[uf])</f>
        <v>MA</v>
      </c>
      <c r="E1464" s="5" t="str">
        <f>_xlfn.XLOOKUP(A1464,[1]!DadosGHD[CD_GEOCMU],[1]!DadosGHD[MUNICIPIO])</f>
        <v>LAGO DO JUNCO</v>
      </c>
      <c r="F1464" s="6">
        <v>33.739376068115199</v>
      </c>
      <c r="G1464" s="6">
        <v>33.776638031005902</v>
      </c>
      <c r="H1464" s="6">
        <v>33.813385009765597</v>
      </c>
      <c r="I1464" s="6">
        <v>33.790744781494098</v>
      </c>
      <c r="J1464" s="6">
        <v>28.9781684875488</v>
      </c>
      <c r="K1464" s="6">
        <v>29.005153656005898</v>
      </c>
      <c r="L1464" s="6">
        <v>26.285932540893601</v>
      </c>
    </row>
    <row r="1465" spans="1:12" x14ac:dyDescent="0.25">
      <c r="A1465">
        <v>2201150</v>
      </c>
      <c r="B1465" t="str">
        <f t="shared" si="22"/>
        <v>BAIXA GRANDE DO RIBEIRO, PI, Brasil</v>
      </c>
      <c r="C1465" s="4" t="str">
        <f>_xlfn.XLOOKUP(A1465,[1]!DadosGHD[CD_GEOCMU],[1]!DadosGHD[Região])</f>
        <v>NE</v>
      </c>
      <c r="D1465" s="4" t="str">
        <f>_xlfn.XLOOKUP(A1465,[1]!DadosGHD[CD_GEOCMU],[1]!DadosGHD[uf])</f>
        <v>PI</v>
      </c>
      <c r="E1465" s="5" t="str">
        <f>_xlfn.XLOOKUP(A1465,[1]!DadosGHD[CD_GEOCMU],[1]!DadosGHD[MUNICIPIO])</f>
        <v>BAIXA GRANDE DO RIBEIRO</v>
      </c>
      <c r="F1465" s="6">
        <v>33.739395141601598</v>
      </c>
      <c r="G1465" s="6">
        <v>33.777870178222699</v>
      </c>
      <c r="H1465" s="6">
        <v>33.814109802246101</v>
      </c>
      <c r="I1465" s="6">
        <v>28.961183547973601</v>
      </c>
      <c r="J1465" s="6">
        <v>28.957717895507798</v>
      </c>
      <c r="K1465" s="6">
        <v>28.981372833251999</v>
      </c>
      <c r="L1465" s="6">
        <v>26.2798957824707</v>
      </c>
    </row>
    <row r="1466" spans="1:12" x14ac:dyDescent="0.25">
      <c r="A1466">
        <v>2707701</v>
      </c>
      <c r="B1466" t="str">
        <f t="shared" si="22"/>
        <v>RIO LARGO, AL, Brasil</v>
      </c>
      <c r="C1466" s="4" t="str">
        <f>_xlfn.XLOOKUP(A1466,[1]!DadosGHD[CD_GEOCMU],[1]!DadosGHD[Região])</f>
        <v>NE</v>
      </c>
      <c r="D1466" s="4" t="str">
        <f>_xlfn.XLOOKUP(A1466,[1]!DadosGHD[CD_GEOCMU],[1]!DadosGHD[uf])</f>
        <v>AL</v>
      </c>
      <c r="E1466" s="5" t="str">
        <f>_xlfn.XLOOKUP(A1466,[1]!DadosGHD[CD_GEOCMU],[1]!DadosGHD[MUNICIPIO])</f>
        <v>RIO LARGO</v>
      </c>
      <c r="F1466" s="6">
        <v>33.739509582519503</v>
      </c>
      <c r="G1466" s="6">
        <v>33.817359924316399</v>
      </c>
      <c r="H1466" s="6">
        <v>33.8548583984375</v>
      </c>
      <c r="I1466" s="6">
        <v>33.847686767578097</v>
      </c>
      <c r="J1466" s="6">
        <v>33.851039886474602</v>
      </c>
      <c r="K1466" s="6">
        <v>33.897876739502003</v>
      </c>
      <c r="L1466" s="6">
        <v>35.1326293945313</v>
      </c>
    </row>
    <row r="1467" spans="1:12" x14ac:dyDescent="0.25">
      <c r="A1467">
        <v>2603504</v>
      </c>
      <c r="B1467" t="str">
        <f t="shared" si="22"/>
        <v>CAMOCIM DE SAO FELIX, PE, Brasil</v>
      </c>
      <c r="C1467" s="4" t="str">
        <f>_xlfn.XLOOKUP(A1467,[1]!DadosGHD[CD_GEOCMU],[1]!DadosGHD[Região])</f>
        <v>NE</v>
      </c>
      <c r="D1467" s="4" t="str">
        <f>_xlfn.XLOOKUP(A1467,[1]!DadosGHD[CD_GEOCMU],[1]!DadosGHD[uf])</f>
        <v>PE</v>
      </c>
      <c r="E1467" s="5" t="str">
        <f>_xlfn.XLOOKUP(A1467,[1]!DadosGHD[CD_GEOCMU],[1]!DadosGHD[MUNICIPIO])</f>
        <v>CAMOCIM DE SAO FELIX</v>
      </c>
      <c r="F1467" s="6">
        <v>33.7395210266113</v>
      </c>
      <c r="G1467" s="6">
        <v>33.795665740966797</v>
      </c>
      <c r="H1467" s="6">
        <v>33.855667114257798</v>
      </c>
      <c r="I1467" s="6">
        <v>33.871547698974602</v>
      </c>
      <c r="J1467" s="6">
        <v>33.886478424072301</v>
      </c>
      <c r="K1467" s="6">
        <v>33.915554046630902</v>
      </c>
      <c r="L1467" s="6">
        <v>35.159519195556598</v>
      </c>
    </row>
    <row r="1468" spans="1:12" x14ac:dyDescent="0.25">
      <c r="A1468">
        <v>2609907</v>
      </c>
      <c r="B1468" t="str">
        <f t="shared" si="22"/>
        <v>OURICURI, PE, Brasil</v>
      </c>
      <c r="C1468" s="4" t="str">
        <f>_xlfn.XLOOKUP(A1468,[1]!DadosGHD[CD_GEOCMU],[1]!DadosGHD[Região])</f>
        <v>NE</v>
      </c>
      <c r="D1468" s="4" t="str">
        <f>_xlfn.XLOOKUP(A1468,[1]!DadosGHD[CD_GEOCMU],[1]!DadosGHD[uf])</f>
        <v>PE</v>
      </c>
      <c r="E1468" s="5" t="str">
        <f>_xlfn.XLOOKUP(A1468,[1]!DadosGHD[CD_GEOCMU],[1]!DadosGHD[MUNICIPIO])</f>
        <v>OURICURI</v>
      </c>
      <c r="F1468" s="6">
        <v>33.7395210266113</v>
      </c>
      <c r="G1468" s="6">
        <v>33.808670043945298</v>
      </c>
      <c r="H1468" s="6">
        <v>33.849967956542997</v>
      </c>
      <c r="I1468" s="6">
        <v>33.8210258483887</v>
      </c>
      <c r="J1468" s="6">
        <v>33.842929840087898</v>
      </c>
      <c r="K1468" s="6">
        <v>33.877742767333999</v>
      </c>
      <c r="L1468" s="6">
        <v>30.708024978637699</v>
      </c>
    </row>
    <row r="1469" spans="1:12" x14ac:dyDescent="0.25">
      <c r="A1469">
        <v>2908200</v>
      </c>
      <c r="B1469" t="str">
        <f t="shared" si="22"/>
        <v>CONCEICAO DA FEIRA, BA, Brasil</v>
      </c>
      <c r="C1469" s="4" t="str">
        <f>_xlfn.XLOOKUP(A1469,[1]!DadosGHD[CD_GEOCMU],[1]!DadosGHD[Região])</f>
        <v>NE</v>
      </c>
      <c r="D1469" s="4" t="str">
        <f>_xlfn.XLOOKUP(A1469,[1]!DadosGHD[CD_GEOCMU],[1]!DadosGHD[uf])</f>
        <v>BA</v>
      </c>
      <c r="E1469" s="5" t="str">
        <f>_xlfn.XLOOKUP(A1469,[1]!DadosGHD[CD_GEOCMU],[1]!DadosGHD[MUNICIPIO])</f>
        <v>CONCEICAO DA FEIRA</v>
      </c>
      <c r="F1469" s="6">
        <v>33.739608764648402</v>
      </c>
      <c r="G1469" s="6">
        <v>33.767112731933601</v>
      </c>
      <c r="H1469" s="6">
        <v>28.975538253784201</v>
      </c>
      <c r="I1469" s="6">
        <v>28.9527397155762</v>
      </c>
      <c r="J1469" s="6">
        <v>28.9608860015869</v>
      </c>
      <c r="K1469" s="6">
        <v>28.982772827148398</v>
      </c>
      <c r="L1469" s="6">
        <v>26.2798957824707</v>
      </c>
    </row>
    <row r="1470" spans="1:12" x14ac:dyDescent="0.25">
      <c r="A1470">
        <v>1505403</v>
      </c>
      <c r="B1470" t="str">
        <f t="shared" si="22"/>
        <v>OUREM, PA, Brasil</v>
      </c>
      <c r="C1470" s="4" t="str">
        <f>_xlfn.XLOOKUP(A1470,[1]!DadosGHD[CD_GEOCMU],[1]!DadosGHD[Região])</f>
        <v>NO</v>
      </c>
      <c r="D1470" s="4" t="str">
        <f>_xlfn.XLOOKUP(A1470,[1]!DadosGHD[CD_GEOCMU],[1]!DadosGHD[uf])</f>
        <v>PA</v>
      </c>
      <c r="E1470" s="5" t="str">
        <f>_xlfn.XLOOKUP(A1470,[1]!DadosGHD[CD_GEOCMU],[1]!DadosGHD[MUNICIPIO])</f>
        <v>OUREM</v>
      </c>
      <c r="F1470" s="6">
        <v>33.7396240234375</v>
      </c>
      <c r="G1470" s="6">
        <v>33.800243377685597</v>
      </c>
      <c r="H1470" s="6">
        <v>33.854171752929702</v>
      </c>
      <c r="I1470" s="6">
        <v>33.838413238525398</v>
      </c>
      <c r="J1470" s="6">
        <v>33.852928161621101</v>
      </c>
      <c r="K1470" s="6">
        <v>33.876171112060597</v>
      </c>
      <c r="L1470" s="6">
        <v>35.1578559875488</v>
      </c>
    </row>
    <row r="1471" spans="1:12" x14ac:dyDescent="0.25">
      <c r="A1471">
        <v>2602308</v>
      </c>
      <c r="B1471" t="str">
        <f t="shared" si="22"/>
        <v>BONITO, PE, Brasil</v>
      </c>
      <c r="C1471" s="4" t="str">
        <f>_xlfn.XLOOKUP(A1471,[1]!DadosGHD[CD_GEOCMU],[1]!DadosGHD[Região])</f>
        <v>NE</v>
      </c>
      <c r="D1471" s="4" t="str">
        <f>_xlfn.XLOOKUP(A1471,[1]!DadosGHD[CD_GEOCMU],[1]!DadosGHD[uf])</f>
        <v>PE</v>
      </c>
      <c r="E1471" s="5" t="str">
        <f>_xlfn.XLOOKUP(A1471,[1]!DadosGHD[CD_GEOCMU],[1]!DadosGHD[MUNICIPIO])</f>
        <v>BONITO</v>
      </c>
      <c r="F1471" s="6">
        <v>33.739627838134801</v>
      </c>
      <c r="G1471" s="6">
        <v>33.801506042480497</v>
      </c>
      <c r="H1471" s="6">
        <v>33.875419616699197</v>
      </c>
      <c r="I1471" s="6">
        <v>33.853763580322301</v>
      </c>
      <c r="J1471" s="6">
        <v>33.853870391845703</v>
      </c>
      <c r="K1471" s="6">
        <v>33.894538879394503</v>
      </c>
      <c r="L1471" s="6">
        <v>30.718643188476602</v>
      </c>
    </row>
    <row r="1472" spans="1:12" x14ac:dyDescent="0.25">
      <c r="A1472">
        <v>3137007</v>
      </c>
      <c r="B1472" t="str">
        <f t="shared" si="22"/>
        <v>LADAINHA, MG, Brasil</v>
      </c>
      <c r="C1472" s="4" t="str">
        <f>_xlfn.XLOOKUP(A1472,[1]!DadosGHD[CD_GEOCMU],[1]!DadosGHD[Região])</f>
        <v>SD</v>
      </c>
      <c r="D1472" s="4" t="str">
        <f>_xlfn.XLOOKUP(A1472,[1]!DadosGHD[CD_GEOCMU],[1]!DadosGHD[uf])</f>
        <v>MG</v>
      </c>
      <c r="E1472" s="5" t="str">
        <f>_xlfn.XLOOKUP(A1472,[1]!DadosGHD[CD_GEOCMU],[1]!DadosGHD[MUNICIPIO])</f>
        <v>LADAINHA</v>
      </c>
      <c r="F1472" s="6">
        <v>33.739646911621101</v>
      </c>
      <c r="G1472" s="6">
        <v>33.794509887695298</v>
      </c>
      <c r="H1472" s="6">
        <v>33.831882476806598</v>
      </c>
      <c r="I1472" s="6">
        <v>33.810577392578097</v>
      </c>
      <c r="J1472" s="6">
        <v>33.831558227539098</v>
      </c>
      <c r="K1472" s="6">
        <v>33.861244201660199</v>
      </c>
      <c r="L1472" s="6">
        <v>26.290103912353501</v>
      </c>
    </row>
    <row r="1473" spans="1:12" x14ac:dyDescent="0.25">
      <c r="A1473">
        <v>5101605</v>
      </c>
      <c r="B1473" t="str">
        <f t="shared" si="22"/>
        <v>BARAO DE MELGACO, MT, Brasil</v>
      </c>
      <c r="C1473" s="4" t="str">
        <f>_xlfn.XLOOKUP(A1473,[1]!DadosGHD[CD_GEOCMU],[1]!DadosGHD[Região])</f>
        <v>CO</v>
      </c>
      <c r="D1473" s="4" t="str">
        <f>_xlfn.XLOOKUP(A1473,[1]!DadosGHD[CD_GEOCMU],[1]!DadosGHD[uf])</f>
        <v>MT</v>
      </c>
      <c r="E1473" s="5" t="str">
        <f>_xlfn.XLOOKUP(A1473,[1]!DadosGHD[CD_GEOCMU],[1]!DadosGHD[MUNICIPIO])</f>
        <v>BARAO DE MELGACO</v>
      </c>
      <c r="F1473" s="6">
        <v>33.739936828613303</v>
      </c>
      <c r="G1473" s="6">
        <v>33.815078735351598</v>
      </c>
      <c r="H1473" s="6">
        <v>33.843986511230497</v>
      </c>
      <c r="I1473" s="6">
        <v>33.838703155517599</v>
      </c>
      <c r="J1473" s="6">
        <v>33.861236572265597</v>
      </c>
      <c r="K1473" s="6">
        <v>33.885086059570298</v>
      </c>
      <c r="L1473" s="6">
        <v>30.721149444580099</v>
      </c>
    </row>
    <row r="1474" spans="1:12" x14ac:dyDescent="0.25">
      <c r="A1474">
        <v>2401453</v>
      </c>
      <c r="B1474" t="str">
        <f t="shared" si="22"/>
        <v>BARAUNA, RN, Brasil</v>
      </c>
      <c r="C1474" s="4" t="str">
        <f>_xlfn.XLOOKUP(A1474,[1]!DadosGHD[CD_GEOCMU],[1]!DadosGHD[Região])</f>
        <v>NE</v>
      </c>
      <c r="D1474" s="4" t="str">
        <f>_xlfn.XLOOKUP(A1474,[1]!DadosGHD[CD_GEOCMU],[1]!DadosGHD[uf])</f>
        <v>RN</v>
      </c>
      <c r="E1474" s="5" t="str">
        <f>_xlfn.XLOOKUP(A1474,[1]!DadosGHD[CD_GEOCMU],[1]!DadosGHD[MUNICIPIO])</f>
        <v>BARAUNA</v>
      </c>
      <c r="F1474" s="6">
        <v>33.740085601806598</v>
      </c>
      <c r="G1474" s="6">
        <v>33.780372619628899</v>
      </c>
      <c r="H1474" s="6">
        <v>33.876907348632798</v>
      </c>
      <c r="I1474" s="6">
        <v>38.769458770752003</v>
      </c>
      <c r="J1474" s="6">
        <v>38.791374206542997</v>
      </c>
      <c r="K1474" s="6">
        <v>38.836235046386697</v>
      </c>
      <c r="L1474" s="6">
        <v>48.491214752197301</v>
      </c>
    </row>
    <row r="1475" spans="1:12" x14ac:dyDescent="0.25">
      <c r="A1475">
        <v>4303400</v>
      </c>
      <c r="B1475" t="str">
        <f t="shared" si="22"/>
        <v>CAICARA, RS, Brasil</v>
      </c>
      <c r="C1475" s="4" t="str">
        <f>_xlfn.XLOOKUP(A1475,[1]!DadosGHD[CD_GEOCMU],[1]!DadosGHD[Região])</f>
        <v>SL</v>
      </c>
      <c r="D1475" s="4" t="str">
        <f>_xlfn.XLOOKUP(A1475,[1]!DadosGHD[CD_GEOCMU],[1]!DadosGHD[uf])</f>
        <v>RS</v>
      </c>
      <c r="E1475" s="5" t="str">
        <f>_xlfn.XLOOKUP(A1475,[1]!DadosGHD[CD_GEOCMU],[1]!DadosGHD[MUNICIPIO])</f>
        <v>CAICARA</v>
      </c>
      <c r="F1475" s="6">
        <v>33.740180969238303</v>
      </c>
      <c r="G1475" s="6">
        <v>43.7589302062988</v>
      </c>
      <c r="H1475" s="6">
        <v>43.831638336181598</v>
      </c>
      <c r="I1475" s="6">
        <v>48.685718536377003</v>
      </c>
      <c r="J1475" s="6">
        <v>48.719535827636697</v>
      </c>
      <c r="K1475" s="6">
        <v>48.909252166748097</v>
      </c>
      <c r="L1475" s="6">
        <v>48.534702301025398</v>
      </c>
    </row>
    <row r="1476" spans="1:12" x14ac:dyDescent="0.25">
      <c r="A1476">
        <v>2208403</v>
      </c>
      <c r="B1476" t="str">
        <f t="shared" ref="B1476:B1539" si="23">_xlfn.CONCAT(E1476, ", ", D1476, ", Brasil")</f>
        <v>PIRIPIRI, PI, Brasil</v>
      </c>
      <c r="C1476" s="4" t="str">
        <f>_xlfn.XLOOKUP(A1476,[1]!DadosGHD[CD_GEOCMU],[1]!DadosGHD[Região])</f>
        <v>NE</v>
      </c>
      <c r="D1476" s="4" t="str">
        <f>_xlfn.XLOOKUP(A1476,[1]!DadosGHD[CD_GEOCMU],[1]!DadosGHD[uf])</f>
        <v>PI</v>
      </c>
      <c r="E1476" s="5" t="str">
        <f>_xlfn.XLOOKUP(A1476,[1]!DadosGHD[CD_GEOCMU],[1]!DadosGHD[MUNICIPIO])</f>
        <v>PIRIPIRI</v>
      </c>
      <c r="F1476" s="6">
        <v>33.740272521972699</v>
      </c>
      <c r="G1476" s="6">
        <v>33.8176879882813</v>
      </c>
      <c r="H1476" s="6">
        <v>33.8576049804688</v>
      </c>
      <c r="I1476" s="6">
        <v>33.835777282714801</v>
      </c>
      <c r="J1476" s="6">
        <v>33.865528106689503</v>
      </c>
      <c r="K1476" s="6">
        <v>38.818561553955099</v>
      </c>
      <c r="L1476" s="6">
        <v>39.563838958740199</v>
      </c>
    </row>
    <row r="1477" spans="1:12" x14ac:dyDescent="0.25">
      <c r="A1477">
        <v>2920452</v>
      </c>
      <c r="B1477" t="str">
        <f t="shared" si="23"/>
        <v>MANSIDAO, BA, Brasil</v>
      </c>
      <c r="C1477" s="4" t="str">
        <f>_xlfn.XLOOKUP(A1477,[1]!DadosGHD[CD_GEOCMU],[1]!DadosGHD[Região])</f>
        <v>NE</v>
      </c>
      <c r="D1477" s="4" t="str">
        <f>_xlfn.XLOOKUP(A1477,[1]!DadosGHD[CD_GEOCMU],[1]!DadosGHD[uf])</f>
        <v>BA</v>
      </c>
      <c r="E1477" s="5" t="str">
        <f>_xlfn.XLOOKUP(A1477,[1]!DadosGHD[CD_GEOCMU],[1]!DadosGHD[MUNICIPIO])</f>
        <v>MANSIDAO</v>
      </c>
      <c r="F1477" s="6">
        <v>33.740478515625</v>
      </c>
      <c r="G1477" s="6">
        <v>33.790164947509801</v>
      </c>
      <c r="H1477" s="6">
        <v>33.831966400146499</v>
      </c>
      <c r="I1477" s="6">
        <v>33.808635711669901</v>
      </c>
      <c r="J1477" s="6">
        <v>33.825244903564503</v>
      </c>
      <c r="K1477" s="6">
        <v>33.856292724609403</v>
      </c>
      <c r="L1477" s="6">
        <v>26.286451339721701</v>
      </c>
    </row>
    <row r="1478" spans="1:12" x14ac:dyDescent="0.25">
      <c r="A1478">
        <v>2103208</v>
      </c>
      <c r="B1478" t="str">
        <f t="shared" si="23"/>
        <v>CHAPADINHA, MA, Brasil</v>
      </c>
      <c r="C1478" s="4" t="str">
        <f>_xlfn.XLOOKUP(A1478,[1]!DadosGHD[CD_GEOCMU],[1]!DadosGHD[Região])</f>
        <v>NE</v>
      </c>
      <c r="D1478" s="4" t="str">
        <f>_xlfn.XLOOKUP(A1478,[1]!DadosGHD[CD_GEOCMU],[1]!DadosGHD[uf])</f>
        <v>MA</v>
      </c>
      <c r="E1478" s="5" t="str">
        <f>_xlfn.XLOOKUP(A1478,[1]!DadosGHD[CD_GEOCMU],[1]!DadosGHD[MUNICIPIO])</f>
        <v>CHAPADINHA</v>
      </c>
      <c r="F1478" s="6">
        <v>33.740802764892599</v>
      </c>
      <c r="G1478" s="6">
        <v>33.807559967041001</v>
      </c>
      <c r="H1478" s="6">
        <v>33.8512992858887</v>
      </c>
      <c r="I1478" s="6">
        <v>33.834690093994098</v>
      </c>
      <c r="J1478" s="6">
        <v>33.862316131591797</v>
      </c>
      <c r="K1478" s="6">
        <v>33.899345397949197</v>
      </c>
      <c r="L1478" s="6">
        <v>26.286005020141602</v>
      </c>
    </row>
    <row r="1479" spans="1:12" x14ac:dyDescent="0.25">
      <c r="A1479">
        <v>2701605</v>
      </c>
      <c r="B1479" t="str">
        <f t="shared" si="23"/>
        <v>CANAPI, AL, Brasil</v>
      </c>
      <c r="C1479" s="4" t="str">
        <f>_xlfn.XLOOKUP(A1479,[1]!DadosGHD[CD_GEOCMU],[1]!DadosGHD[Região])</f>
        <v>NE</v>
      </c>
      <c r="D1479" s="4" t="str">
        <f>_xlfn.XLOOKUP(A1479,[1]!DadosGHD[CD_GEOCMU],[1]!DadosGHD[uf])</f>
        <v>AL</v>
      </c>
      <c r="E1479" s="5" t="str">
        <f>_xlfn.XLOOKUP(A1479,[1]!DadosGHD[CD_GEOCMU],[1]!DadosGHD[MUNICIPIO])</f>
        <v>CANAPI</v>
      </c>
      <c r="F1479" s="6">
        <v>33.740871429443402</v>
      </c>
      <c r="G1479" s="6">
        <v>33.790634155273402</v>
      </c>
      <c r="H1479" s="6">
        <v>33.844318389892599</v>
      </c>
      <c r="I1479" s="6">
        <v>33.816574096679702</v>
      </c>
      <c r="J1479" s="6">
        <v>33.821155548095703</v>
      </c>
      <c r="K1479" s="6">
        <v>33.842384338378899</v>
      </c>
      <c r="L1479" s="6">
        <v>26.299575805664102</v>
      </c>
    </row>
    <row r="1480" spans="1:12" x14ac:dyDescent="0.25">
      <c r="A1480">
        <v>3527702</v>
      </c>
      <c r="B1480" t="str">
        <f t="shared" si="23"/>
        <v>LUIZIANIA, SP, Brasil</v>
      </c>
      <c r="C1480" s="4" t="str">
        <f>_xlfn.XLOOKUP(A1480,[1]!DadosGHD[CD_GEOCMU],[1]!DadosGHD[Região])</f>
        <v>SD</v>
      </c>
      <c r="D1480" s="4" t="str">
        <f>_xlfn.XLOOKUP(A1480,[1]!DadosGHD[CD_GEOCMU],[1]!DadosGHD[uf])</f>
        <v>SP</v>
      </c>
      <c r="E1480" s="5" t="str">
        <f>_xlfn.XLOOKUP(A1480,[1]!DadosGHD[CD_GEOCMU],[1]!DadosGHD[MUNICIPIO])</f>
        <v>LUIZIANIA</v>
      </c>
      <c r="F1480" s="6">
        <v>33.740890502929702</v>
      </c>
      <c r="G1480" s="6">
        <v>33.833400726318402</v>
      </c>
      <c r="H1480" s="6">
        <v>33.865089416503899</v>
      </c>
      <c r="I1480" s="6">
        <v>33.850418090820298</v>
      </c>
      <c r="J1480" s="6">
        <v>33.8773384094238</v>
      </c>
      <c r="K1480" s="6">
        <v>38.780971527099602</v>
      </c>
      <c r="L1480" s="6">
        <v>39.555595397949197</v>
      </c>
    </row>
    <row r="1481" spans="1:12" x14ac:dyDescent="0.25">
      <c r="A1481">
        <v>2608057</v>
      </c>
      <c r="B1481" t="str">
        <f t="shared" si="23"/>
        <v>JATOBA, PE, Brasil</v>
      </c>
      <c r="C1481" s="4" t="str">
        <f>_xlfn.XLOOKUP(A1481,[1]!DadosGHD[CD_GEOCMU],[1]!DadosGHD[Região])</f>
        <v>NE</v>
      </c>
      <c r="D1481" s="4" t="str">
        <f>_xlfn.XLOOKUP(A1481,[1]!DadosGHD[CD_GEOCMU],[1]!DadosGHD[uf])</f>
        <v>PE</v>
      </c>
      <c r="E1481" s="5" t="str">
        <f>_xlfn.XLOOKUP(A1481,[1]!DadosGHD[CD_GEOCMU],[1]!DadosGHD[MUNICIPIO])</f>
        <v>JATOBA</v>
      </c>
      <c r="F1481" s="6">
        <v>33.740898132324197</v>
      </c>
      <c r="G1481" s="6">
        <v>33.791324615478501</v>
      </c>
      <c r="H1481" s="6">
        <v>33.831707000732401</v>
      </c>
      <c r="I1481" s="6">
        <v>33.826179504394503</v>
      </c>
      <c r="J1481" s="6">
        <v>33.852809906005902</v>
      </c>
      <c r="K1481" s="6">
        <v>33.863574981689503</v>
      </c>
      <c r="L1481" s="6">
        <v>35.136421203613303</v>
      </c>
    </row>
    <row r="1482" spans="1:12" x14ac:dyDescent="0.25">
      <c r="A1482">
        <v>2921203</v>
      </c>
      <c r="B1482" t="str">
        <f t="shared" si="23"/>
        <v>MIGUEL CALMON, BA, Brasil</v>
      </c>
      <c r="C1482" s="4" t="str">
        <f>_xlfn.XLOOKUP(A1482,[1]!DadosGHD[CD_GEOCMU],[1]!DadosGHD[Região])</f>
        <v>NE</v>
      </c>
      <c r="D1482" s="4" t="str">
        <f>_xlfn.XLOOKUP(A1482,[1]!DadosGHD[CD_GEOCMU],[1]!DadosGHD[uf])</f>
        <v>BA</v>
      </c>
      <c r="E1482" s="5" t="str">
        <f>_xlfn.XLOOKUP(A1482,[1]!DadosGHD[CD_GEOCMU],[1]!DadosGHD[MUNICIPIO])</f>
        <v>MIGUEL CALMON</v>
      </c>
      <c r="F1482" s="6">
        <v>33.740909576416001</v>
      </c>
      <c r="G1482" s="6">
        <v>33.818653106689503</v>
      </c>
      <c r="H1482" s="6">
        <v>38.780513763427699</v>
      </c>
      <c r="I1482" s="6">
        <v>38.796016693115199</v>
      </c>
      <c r="J1482" s="6">
        <v>38.831809997558601</v>
      </c>
      <c r="K1482" s="6">
        <v>43.754154205322301</v>
      </c>
      <c r="L1482" s="6">
        <v>39.585830688476598</v>
      </c>
    </row>
    <row r="1483" spans="1:12" x14ac:dyDescent="0.25">
      <c r="A1483">
        <v>2406106</v>
      </c>
      <c r="B1483" t="str">
        <f t="shared" si="23"/>
        <v>JUCURUTU, RN, Brasil</v>
      </c>
      <c r="C1483" s="4" t="str">
        <f>_xlfn.XLOOKUP(A1483,[1]!DadosGHD[CD_GEOCMU],[1]!DadosGHD[Região])</f>
        <v>NE</v>
      </c>
      <c r="D1483" s="4" t="str">
        <f>_xlfn.XLOOKUP(A1483,[1]!DadosGHD[CD_GEOCMU],[1]!DadosGHD[uf])</f>
        <v>RN</v>
      </c>
      <c r="E1483" s="5" t="str">
        <f>_xlfn.XLOOKUP(A1483,[1]!DadosGHD[CD_GEOCMU],[1]!DadosGHD[MUNICIPIO])</f>
        <v>JUCURUTU</v>
      </c>
      <c r="F1483" s="6">
        <v>33.741004943847699</v>
      </c>
      <c r="G1483" s="6">
        <v>33.823734283447301</v>
      </c>
      <c r="H1483" s="6">
        <v>33.8836059570313</v>
      </c>
      <c r="I1483" s="6">
        <v>33.831520080566399</v>
      </c>
      <c r="J1483" s="6">
        <v>33.859127044677699</v>
      </c>
      <c r="K1483" s="6">
        <v>38.790958404541001</v>
      </c>
      <c r="L1483" s="6">
        <v>39.585289001464801</v>
      </c>
    </row>
    <row r="1484" spans="1:12" x14ac:dyDescent="0.25">
      <c r="A1484">
        <v>2400901</v>
      </c>
      <c r="B1484" t="str">
        <f t="shared" si="23"/>
        <v>ANTONIO MARTINS, RN, Brasil</v>
      </c>
      <c r="C1484" s="4" t="str">
        <f>_xlfn.XLOOKUP(A1484,[1]!DadosGHD[CD_GEOCMU],[1]!DadosGHD[Região])</f>
        <v>NE</v>
      </c>
      <c r="D1484" s="4" t="str">
        <f>_xlfn.XLOOKUP(A1484,[1]!DadosGHD[CD_GEOCMU],[1]!DadosGHD[uf])</f>
        <v>RN</v>
      </c>
      <c r="E1484" s="5" t="str">
        <f>_xlfn.XLOOKUP(A1484,[1]!DadosGHD[CD_GEOCMU],[1]!DadosGHD[MUNICIPIO])</f>
        <v>ANTONIO MARTINS</v>
      </c>
      <c r="F1484" s="6">
        <v>33.7410697937012</v>
      </c>
      <c r="G1484" s="6">
        <v>33.837032318115199</v>
      </c>
      <c r="H1484" s="6">
        <v>33.857555389404297</v>
      </c>
      <c r="I1484" s="6">
        <v>33.837730407714801</v>
      </c>
      <c r="J1484" s="6">
        <v>33.8208198547363</v>
      </c>
      <c r="K1484" s="6">
        <v>38.835536956787102</v>
      </c>
      <c r="L1484" s="6">
        <v>35.133628845214801</v>
      </c>
    </row>
    <row r="1485" spans="1:12" x14ac:dyDescent="0.25">
      <c r="A1485">
        <v>2901007</v>
      </c>
      <c r="B1485" t="str">
        <f t="shared" si="23"/>
        <v>AMARGOSA, BA, Brasil</v>
      </c>
      <c r="C1485" s="4" t="str">
        <f>_xlfn.XLOOKUP(A1485,[1]!DadosGHD[CD_GEOCMU],[1]!DadosGHD[Região])</f>
        <v>NE</v>
      </c>
      <c r="D1485" s="4" t="str">
        <f>_xlfn.XLOOKUP(A1485,[1]!DadosGHD[CD_GEOCMU],[1]!DadosGHD[uf])</f>
        <v>BA</v>
      </c>
      <c r="E1485" s="5" t="str">
        <f>_xlfn.XLOOKUP(A1485,[1]!DadosGHD[CD_GEOCMU],[1]!DadosGHD[MUNICIPIO])</f>
        <v>AMARGOSA</v>
      </c>
      <c r="F1485" s="6">
        <v>33.741100311279297</v>
      </c>
      <c r="G1485" s="6">
        <v>33.826393127441399</v>
      </c>
      <c r="H1485" s="6">
        <v>38.742408752441399</v>
      </c>
      <c r="I1485" s="6">
        <v>38.715259552002003</v>
      </c>
      <c r="J1485" s="6">
        <v>33.893024444580099</v>
      </c>
      <c r="K1485" s="6">
        <v>38.825328826904297</v>
      </c>
      <c r="L1485" s="6">
        <v>39.591068267822301</v>
      </c>
    </row>
    <row r="1486" spans="1:12" x14ac:dyDescent="0.25">
      <c r="A1486">
        <v>2409803</v>
      </c>
      <c r="B1486" t="str">
        <f t="shared" si="23"/>
        <v>PEDRO VELHO, RN, Brasil</v>
      </c>
      <c r="C1486" s="4" t="str">
        <f>_xlfn.XLOOKUP(A1486,[1]!DadosGHD[CD_GEOCMU],[1]!DadosGHD[Região])</f>
        <v>NE</v>
      </c>
      <c r="D1486" s="4" t="str">
        <f>_xlfn.XLOOKUP(A1486,[1]!DadosGHD[CD_GEOCMU],[1]!DadosGHD[uf])</f>
        <v>RN</v>
      </c>
      <c r="E1486" s="5" t="str">
        <f>_xlfn.XLOOKUP(A1486,[1]!DadosGHD[CD_GEOCMU],[1]!DadosGHD[MUNICIPIO])</f>
        <v>PEDRO VELHO</v>
      </c>
      <c r="F1486" s="6">
        <v>33.741111755371101</v>
      </c>
      <c r="G1486" s="6">
        <v>33.789192199707003</v>
      </c>
      <c r="H1486" s="6">
        <v>33.824913024902301</v>
      </c>
      <c r="I1486" s="6">
        <v>33.834335327148402</v>
      </c>
      <c r="J1486" s="6">
        <v>33.832515716552699</v>
      </c>
      <c r="K1486" s="6">
        <v>33.876453399658203</v>
      </c>
      <c r="L1486" s="6">
        <v>30.6868591308594</v>
      </c>
    </row>
    <row r="1487" spans="1:12" x14ac:dyDescent="0.25">
      <c r="A1487">
        <v>2600203</v>
      </c>
      <c r="B1487" t="str">
        <f t="shared" si="23"/>
        <v>AFRANIO, PE, Brasil</v>
      </c>
      <c r="C1487" s="4" t="str">
        <f>_xlfn.XLOOKUP(A1487,[1]!DadosGHD[CD_GEOCMU],[1]!DadosGHD[Região])</f>
        <v>NE</v>
      </c>
      <c r="D1487" s="4" t="str">
        <f>_xlfn.XLOOKUP(A1487,[1]!DadosGHD[CD_GEOCMU],[1]!DadosGHD[uf])</f>
        <v>PE</v>
      </c>
      <c r="E1487" s="5" t="str">
        <f>_xlfn.XLOOKUP(A1487,[1]!DadosGHD[CD_GEOCMU],[1]!DadosGHD[MUNICIPIO])</f>
        <v>AFRANIO</v>
      </c>
      <c r="F1487" s="6">
        <v>33.741176605224602</v>
      </c>
      <c r="G1487" s="6">
        <v>33.796096801757798</v>
      </c>
      <c r="H1487" s="6">
        <v>33.830665588378899</v>
      </c>
      <c r="I1487" s="6">
        <v>33.811317443847699</v>
      </c>
      <c r="J1487" s="6">
        <v>33.837989807128899</v>
      </c>
      <c r="K1487" s="6">
        <v>33.874843597412102</v>
      </c>
      <c r="L1487" s="6">
        <v>26.298877716064499</v>
      </c>
    </row>
    <row r="1488" spans="1:12" x14ac:dyDescent="0.25">
      <c r="A1488">
        <v>3541653</v>
      </c>
      <c r="B1488" t="str">
        <f t="shared" si="23"/>
        <v>QUADRA, SP, Brasil</v>
      </c>
      <c r="C1488" s="4" t="str">
        <f>_xlfn.XLOOKUP(A1488,[1]!DadosGHD[CD_GEOCMU],[1]!DadosGHD[Região])</f>
        <v>SD</v>
      </c>
      <c r="D1488" s="4" t="str">
        <f>_xlfn.XLOOKUP(A1488,[1]!DadosGHD[CD_GEOCMU],[1]!DadosGHD[uf])</f>
        <v>SP</v>
      </c>
      <c r="E1488" s="5" t="str">
        <f>_xlfn.XLOOKUP(A1488,[1]!DadosGHD[CD_GEOCMU],[1]!DadosGHD[MUNICIPIO])</f>
        <v>QUADRA</v>
      </c>
      <c r="F1488" s="6">
        <v>33.741184234619098</v>
      </c>
      <c r="G1488" s="6">
        <v>33.810176849365199</v>
      </c>
      <c r="H1488" s="6">
        <v>33.865894317627003</v>
      </c>
      <c r="I1488" s="6">
        <v>33.850051879882798</v>
      </c>
      <c r="J1488" s="6">
        <v>33.884490966796903</v>
      </c>
      <c r="K1488" s="6">
        <v>33.889190673828097</v>
      </c>
      <c r="L1488" s="6">
        <v>53.026615142822301</v>
      </c>
    </row>
    <row r="1489" spans="1:12" x14ac:dyDescent="0.25">
      <c r="A1489">
        <v>4317004</v>
      </c>
      <c r="B1489" t="str">
        <f t="shared" si="23"/>
        <v>SANTANA DA BOA VISTA, RS, Brasil</v>
      </c>
      <c r="C1489" s="4" t="str">
        <f>_xlfn.XLOOKUP(A1489,[1]!DadosGHD[CD_GEOCMU],[1]!DadosGHD[Região])</f>
        <v>SL</v>
      </c>
      <c r="D1489" s="4" t="str">
        <f>_xlfn.XLOOKUP(A1489,[1]!DadosGHD[CD_GEOCMU],[1]!DadosGHD[uf])</f>
        <v>RS</v>
      </c>
      <c r="E1489" s="5" t="str">
        <f>_xlfn.XLOOKUP(A1489,[1]!DadosGHD[CD_GEOCMU],[1]!DadosGHD[MUNICIPIO])</f>
        <v>SANTANA DA BOA VISTA</v>
      </c>
      <c r="F1489" s="6">
        <v>33.741233825683601</v>
      </c>
      <c r="G1489" s="6">
        <v>38.735542297363303</v>
      </c>
      <c r="H1489" s="6">
        <v>38.800209045410199</v>
      </c>
      <c r="I1489" s="6">
        <v>38.815101623535199</v>
      </c>
      <c r="J1489" s="6">
        <v>43.8151245117188</v>
      </c>
      <c r="K1489" s="6">
        <v>38.889514923095703</v>
      </c>
      <c r="L1489" s="6">
        <v>44.038669586181598</v>
      </c>
    </row>
    <row r="1490" spans="1:12" x14ac:dyDescent="0.25">
      <c r="A1490">
        <v>2406700</v>
      </c>
      <c r="B1490" t="str">
        <f t="shared" si="23"/>
        <v>LAJES, RN, Brasil</v>
      </c>
      <c r="C1490" s="4" t="str">
        <f>_xlfn.XLOOKUP(A1490,[1]!DadosGHD[CD_GEOCMU],[1]!DadosGHD[Região])</f>
        <v>NE</v>
      </c>
      <c r="D1490" s="4" t="str">
        <f>_xlfn.XLOOKUP(A1490,[1]!DadosGHD[CD_GEOCMU],[1]!DadosGHD[uf])</f>
        <v>RN</v>
      </c>
      <c r="E1490" s="5" t="str">
        <f>_xlfn.XLOOKUP(A1490,[1]!DadosGHD[CD_GEOCMU],[1]!DadosGHD[MUNICIPIO])</f>
        <v>LAJES</v>
      </c>
      <c r="F1490" s="6">
        <v>33.741291046142599</v>
      </c>
      <c r="G1490" s="6">
        <v>33.811954498291001</v>
      </c>
      <c r="H1490" s="6">
        <v>33.851348876953097</v>
      </c>
      <c r="I1490" s="6">
        <v>33.846233367919901</v>
      </c>
      <c r="J1490" s="6">
        <v>33.890987396240199</v>
      </c>
      <c r="K1490" s="6">
        <v>38.797271728515597</v>
      </c>
      <c r="L1490" s="6">
        <v>35.118824005127003</v>
      </c>
    </row>
    <row r="1491" spans="1:12" x14ac:dyDescent="0.25">
      <c r="A1491">
        <v>1400407</v>
      </c>
      <c r="B1491" t="str">
        <f t="shared" si="23"/>
        <v>NORMANDIA, RR, Brasil</v>
      </c>
      <c r="C1491" s="4" t="str">
        <f>_xlfn.XLOOKUP(A1491,[1]!DadosGHD[CD_GEOCMU],[1]!DadosGHD[Região])</f>
        <v>NO</v>
      </c>
      <c r="D1491" s="4" t="str">
        <f>_xlfn.XLOOKUP(A1491,[1]!DadosGHD[CD_GEOCMU],[1]!DadosGHD[uf])</f>
        <v>RR</v>
      </c>
      <c r="E1491" s="5" t="str">
        <f>_xlfn.XLOOKUP(A1491,[1]!DadosGHD[CD_GEOCMU],[1]!DadosGHD[MUNICIPIO])</f>
        <v>NORMANDIA</v>
      </c>
      <c r="F1491" s="6">
        <v>33.741336822509801</v>
      </c>
      <c r="G1491" s="6">
        <v>33.777263641357401</v>
      </c>
      <c r="H1491" s="6">
        <v>33.811359405517599</v>
      </c>
      <c r="I1491" s="6">
        <v>28.9603061676025</v>
      </c>
      <c r="J1491" s="6">
        <v>28.973585128784201</v>
      </c>
      <c r="K1491" s="6">
        <v>28.999265670776399</v>
      </c>
      <c r="L1491" s="6">
        <v>26.2798957824707</v>
      </c>
    </row>
    <row r="1492" spans="1:12" x14ac:dyDescent="0.25">
      <c r="A1492">
        <v>2104404</v>
      </c>
      <c r="B1492" t="str">
        <f t="shared" si="23"/>
        <v>GONCALVES DIAS, MA, Brasil</v>
      </c>
      <c r="C1492" s="4" t="str">
        <f>_xlfn.XLOOKUP(A1492,[1]!DadosGHD[CD_GEOCMU],[1]!DadosGHD[Região])</f>
        <v>NE</v>
      </c>
      <c r="D1492" s="4" t="str">
        <f>_xlfn.XLOOKUP(A1492,[1]!DadosGHD[CD_GEOCMU],[1]!DadosGHD[uf])</f>
        <v>MA</v>
      </c>
      <c r="E1492" s="5" t="str">
        <f>_xlfn.XLOOKUP(A1492,[1]!DadosGHD[CD_GEOCMU],[1]!DadosGHD[MUNICIPIO])</f>
        <v>GONCALVES DIAS</v>
      </c>
      <c r="F1492" s="6">
        <v>33.741367340087898</v>
      </c>
      <c r="G1492" s="6">
        <v>33.812934875488303</v>
      </c>
      <c r="H1492" s="6">
        <v>33.858615875244098</v>
      </c>
      <c r="I1492" s="6">
        <v>33.8325805664063</v>
      </c>
      <c r="J1492" s="6">
        <v>33.827507019042997</v>
      </c>
      <c r="K1492" s="6">
        <v>33.859199523925803</v>
      </c>
      <c r="L1492" s="6">
        <v>26.287847518920898</v>
      </c>
    </row>
    <row r="1493" spans="1:12" x14ac:dyDescent="0.25">
      <c r="A1493">
        <v>2304103</v>
      </c>
      <c r="B1493" t="str">
        <f t="shared" si="23"/>
        <v>CRATEUS, CE, Brasil</v>
      </c>
      <c r="C1493" s="4" t="str">
        <f>_xlfn.XLOOKUP(A1493,[1]!DadosGHD[CD_GEOCMU],[1]!DadosGHD[Região])</f>
        <v>NE</v>
      </c>
      <c r="D1493" s="4" t="str">
        <f>_xlfn.XLOOKUP(A1493,[1]!DadosGHD[CD_GEOCMU],[1]!DadosGHD[uf])</f>
        <v>CE</v>
      </c>
      <c r="E1493" s="5" t="str">
        <f>_xlfn.XLOOKUP(A1493,[1]!DadosGHD[CD_GEOCMU],[1]!DadosGHD[MUNICIPIO])</f>
        <v>CRATEUS</v>
      </c>
      <c r="F1493" s="6">
        <v>33.741367340087898</v>
      </c>
      <c r="G1493" s="6">
        <v>38.706047058105497</v>
      </c>
      <c r="H1493" s="6">
        <v>38.785064697265597</v>
      </c>
      <c r="I1493" s="6">
        <v>38.789779663085902</v>
      </c>
      <c r="J1493" s="6">
        <v>38.823604583740199</v>
      </c>
      <c r="K1493" s="6">
        <v>38.878261566162102</v>
      </c>
      <c r="L1493" s="6">
        <v>39.594028472900398</v>
      </c>
    </row>
    <row r="1494" spans="1:12" x14ac:dyDescent="0.25">
      <c r="A1494">
        <v>2612109</v>
      </c>
      <c r="B1494" t="str">
        <f t="shared" si="23"/>
        <v>SALGADINHO, PE, Brasil</v>
      </c>
      <c r="C1494" s="4" t="str">
        <f>_xlfn.XLOOKUP(A1494,[1]!DadosGHD[CD_GEOCMU],[1]!DadosGHD[Região])</f>
        <v>NE</v>
      </c>
      <c r="D1494" s="4" t="str">
        <f>_xlfn.XLOOKUP(A1494,[1]!DadosGHD[CD_GEOCMU],[1]!DadosGHD[uf])</f>
        <v>PE</v>
      </c>
      <c r="E1494" s="5" t="str">
        <f>_xlfn.XLOOKUP(A1494,[1]!DadosGHD[CD_GEOCMU],[1]!DadosGHD[MUNICIPIO])</f>
        <v>SALGADINHO</v>
      </c>
      <c r="F1494" s="6">
        <v>33.741386413574197</v>
      </c>
      <c r="G1494" s="6">
        <v>33.775501251220703</v>
      </c>
      <c r="H1494" s="6">
        <v>33.813735961914098</v>
      </c>
      <c r="I1494" s="6">
        <v>33.790069580078097</v>
      </c>
      <c r="J1494" s="6">
        <v>28.9767360687256</v>
      </c>
      <c r="K1494" s="6">
        <v>29.002925872802699</v>
      </c>
      <c r="L1494" s="6">
        <v>26.300035476684599</v>
      </c>
    </row>
    <row r="1495" spans="1:12" x14ac:dyDescent="0.25">
      <c r="A1495">
        <v>2701357</v>
      </c>
      <c r="B1495" t="str">
        <f t="shared" si="23"/>
        <v>CAMPESTRE, AL, Brasil</v>
      </c>
      <c r="C1495" s="4" t="str">
        <f>_xlfn.XLOOKUP(A1495,[1]!DadosGHD[CD_GEOCMU],[1]!DadosGHD[Região])</f>
        <v>NE</v>
      </c>
      <c r="D1495" s="4" t="str">
        <f>_xlfn.XLOOKUP(A1495,[1]!DadosGHD[CD_GEOCMU],[1]!DadosGHD[uf])</f>
        <v>AL</v>
      </c>
      <c r="E1495" s="5" t="str">
        <f>_xlfn.XLOOKUP(A1495,[1]!DadosGHD[CD_GEOCMU],[1]!DadosGHD[MUNICIPIO])</f>
        <v>CAMPESTRE</v>
      </c>
      <c r="F1495" s="6">
        <v>33.741477966308601</v>
      </c>
      <c r="G1495" s="6">
        <v>33.792091369628899</v>
      </c>
      <c r="H1495" s="6">
        <v>33.8410034179688</v>
      </c>
      <c r="I1495" s="6">
        <v>33.8699760437012</v>
      </c>
      <c r="J1495" s="6">
        <v>33.881134033203097</v>
      </c>
      <c r="K1495" s="6">
        <v>33.9008979797363</v>
      </c>
      <c r="L1495" s="6">
        <v>35.112113952636697</v>
      </c>
    </row>
    <row r="1496" spans="1:12" x14ac:dyDescent="0.25">
      <c r="A1496">
        <v>2103000</v>
      </c>
      <c r="B1496" t="str">
        <f t="shared" si="23"/>
        <v>CAXIAS, MA, Brasil</v>
      </c>
      <c r="C1496" s="4" t="str">
        <f>_xlfn.XLOOKUP(A1496,[1]!DadosGHD[CD_GEOCMU],[1]!DadosGHD[Região])</f>
        <v>NE</v>
      </c>
      <c r="D1496" s="4" t="str">
        <f>_xlfn.XLOOKUP(A1496,[1]!DadosGHD[CD_GEOCMU],[1]!DadosGHD[uf])</f>
        <v>MA</v>
      </c>
      <c r="E1496" s="5" t="str">
        <f>_xlfn.XLOOKUP(A1496,[1]!DadosGHD[CD_GEOCMU],[1]!DadosGHD[MUNICIPIO])</f>
        <v>CAXIAS</v>
      </c>
      <c r="F1496" s="6">
        <v>33.7415161132813</v>
      </c>
      <c r="G1496" s="6">
        <v>33.804443359375</v>
      </c>
      <c r="H1496" s="6">
        <v>33.85791015625</v>
      </c>
      <c r="I1496" s="6">
        <v>33.835742950439503</v>
      </c>
      <c r="J1496" s="6">
        <v>33.845352172851598</v>
      </c>
      <c r="K1496" s="6">
        <v>33.866401672363303</v>
      </c>
      <c r="L1496" s="6">
        <v>30.720211029052699</v>
      </c>
    </row>
    <row r="1497" spans="1:12" x14ac:dyDescent="0.25">
      <c r="A1497">
        <v>2207504</v>
      </c>
      <c r="B1497" t="str">
        <f t="shared" si="23"/>
        <v>PALMEIRAIS, PI, Brasil</v>
      </c>
      <c r="C1497" s="4" t="str">
        <f>_xlfn.XLOOKUP(A1497,[1]!DadosGHD[CD_GEOCMU],[1]!DadosGHD[Região])</f>
        <v>NE</v>
      </c>
      <c r="D1497" s="4" t="str">
        <f>_xlfn.XLOOKUP(A1497,[1]!DadosGHD[CD_GEOCMU],[1]!DadosGHD[uf])</f>
        <v>PI</v>
      </c>
      <c r="E1497" s="5" t="str">
        <f>_xlfn.XLOOKUP(A1497,[1]!DadosGHD[CD_GEOCMU],[1]!DadosGHD[MUNICIPIO])</f>
        <v>PALMEIRAIS</v>
      </c>
      <c r="F1497" s="6">
        <v>33.741626739502003</v>
      </c>
      <c r="G1497" s="6">
        <v>33.790779113769503</v>
      </c>
      <c r="H1497" s="6">
        <v>33.833324432373097</v>
      </c>
      <c r="I1497" s="6">
        <v>33.812999725341797</v>
      </c>
      <c r="J1497" s="6">
        <v>28.978086471557599</v>
      </c>
      <c r="K1497" s="6">
        <v>28.999677658081101</v>
      </c>
      <c r="L1497" s="6">
        <v>26.283819198608398</v>
      </c>
    </row>
    <row r="1498" spans="1:12" x14ac:dyDescent="0.25">
      <c r="A1498">
        <v>2202000</v>
      </c>
      <c r="B1498" t="str">
        <f t="shared" si="23"/>
        <v>BURITI DOS LOPES, PI, Brasil</v>
      </c>
      <c r="C1498" s="4" t="str">
        <f>_xlfn.XLOOKUP(A1498,[1]!DadosGHD[CD_GEOCMU],[1]!DadosGHD[Região])</f>
        <v>NE</v>
      </c>
      <c r="D1498" s="4" t="str">
        <f>_xlfn.XLOOKUP(A1498,[1]!DadosGHD[CD_GEOCMU],[1]!DadosGHD[uf])</f>
        <v>PI</v>
      </c>
      <c r="E1498" s="5" t="str">
        <f>_xlfn.XLOOKUP(A1498,[1]!DadosGHD[CD_GEOCMU],[1]!DadosGHD[MUNICIPIO])</f>
        <v>BURITI DOS LOPES</v>
      </c>
      <c r="F1498" s="6">
        <v>33.741653442382798</v>
      </c>
      <c r="G1498" s="6">
        <v>33.820991516113303</v>
      </c>
      <c r="H1498" s="6">
        <v>38.7576293945313</v>
      </c>
      <c r="I1498" s="6">
        <v>38.71630859375</v>
      </c>
      <c r="J1498" s="6">
        <v>38.762126922607401</v>
      </c>
      <c r="K1498" s="6">
        <v>33.929824829101598</v>
      </c>
      <c r="L1498" s="6">
        <v>35.140739440917997</v>
      </c>
    </row>
    <row r="1499" spans="1:12" x14ac:dyDescent="0.25">
      <c r="A1499">
        <v>2702306</v>
      </c>
      <c r="B1499" t="str">
        <f t="shared" si="23"/>
        <v>CORURIPE, AL, Brasil</v>
      </c>
      <c r="C1499" s="4" t="str">
        <f>_xlfn.XLOOKUP(A1499,[1]!DadosGHD[CD_GEOCMU],[1]!DadosGHD[Região])</f>
        <v>NE</v>
      </c>
      <c r="D1499" s="4" t="str">
        <f>_xlfn.XLOOKUP(A1499,[1]!DadosGHD[CD_GEOCMU],[1]!DadosGHD[uf])</f>
        <v>AL</v>
      </c>
      <c r="E1499" s="5" t="str">
        <f>_xlfn.XLOOKUP(A1499,[1]!DadosGHD[CD_GEOCMU],[1]!DadosGHD[MUNICIPIO])</f>
        <v>CORURIPE</v>
      </c>
      <c r="F1499" s="6">
        <v>33.741683959960902</v>
      </c>
      <c r="G1499" s="6">
        <v>33.791511535644503</v>
      </c>
      <c r="H1499" s="6">
        <v>33.836666107177699</v>
      </c>
      <c r="I1499" s="6">
        <v>33.809616088867202</v>
      </c>
      <c r="J1499" s="6">
        <v>33.838066101074197</v>
      </c>
      <c r="K1499" s="6">
        <v>33.863979339599602</v>
      </c>
      <c r="L1499" s="6">
        <v>30.691343307495099</v>
      </c>
    </row>
    <row r="1500" spans="1:12" x14ac:dyDescent="0.25">
      <c r="A1500">
        <v>2413359</v>
      </c>
      <c r="B1500" t="str">
        <f t="shared" si="23"/>
        <v>SERRA DO MEL, RN, Brasil</v>
      </c>
      <c r="C1500" s="4" t="str">
        <f>_xlfn.XLOOKUP(A1500,[1]!DadosGHD[CD_GEOCMU],[1]!DadosGHD[Região])</f>
        <v>NE</v>
      </c>
      <c r="D1500" s="4" t="str">
        <f>_xlfn.XLOOKUP(A1500,[1]!DadosGHD[CD_GEOCMU],[1]!DadosGHD[uf])</f>
        <v>RN</v>
      </c>
      <c r="E1500" s="5" t="str">
        <f>_xlfn.XLOOKUP(A1500,[1]!DadosGHD[CD_GEOCMU],[1]!DadosGHD[MUNICIPIO])</f>
        <v>SERRA DO MEL</v>
      </c>
      <c r="F1500" s="6">
        <v>33.741722106933601</v>
      </c>
      <c r="G1500" s="6">
        <v>33.805633544921903</v>
      </c>
      <c r="H1500" s="6">
        <v>33.841487884521499</v>
      </c>
      <c r="I1500" s="6">
        <v>33.826053619384801</v>
      </c>
      <c r="J1500" s="6">
        <v>33.866786956787102</v>
      </c>
      <c r="K1500" s="6">
        <v>33.886028289794901</v>
      </c>
      <c r="L1500" s="6">
        <v>30.692966461181602</v>
      </c>
    </row>
    <row r="1501" spans="1:12" x14ac:dyDescent="0.25">
      <c r="A1501">
        <v>2611705</v>
      </c>
      <c r="B1501" t="str">
        <f t="shared" si="23"/>
        <v>RIACHO DAS ALMAS, PE, Brasil</v>
      </c>
      <c r="C1501" s="4" t="str">
        <f>_xlfn.XLOOKUP(A1501,[1]!DadosGHD[CD_GEOCMU],[1]!DadosGHD[Região])</f>
        <v>NE</v>
      </c>
      <c r="D1501" s="4" t="str">
        <f>_xlfn.XLOOKUP(A1501,[1]!DadosGHD[CD_GEOCMU],[1]!DadosGHD[uf])</f>
        <v>PE</v>
      </c>
      <c r="E1501" s="5" t="str">
        <f>_xlfn.XLOOKUP(A1501,[1]!DadosGHD[CD_GEOCMU],[1]!DadosGHD[MUNICIPIO])</f>
        <v>RIACHO DAS ALMAS</v>
      </c>
      <c r="F1501" s="6">
        <v>33.741851806640597</v>
      </c>
      <c r="G1501" s="6">
        <v>28.939756393432599</v>
      </c>
      <c r="H1501" s="6">
        <v>28.955417633056602</v>
      </c>
      <c r="I1501" s="6">
        <v>28.9435329437256</v>
      </c>
      <c r="J1501" s="6">
        <v>33.827407836914098</v>
      </c>
      <c r="K1501" s="6">
        <v>33.877155303955099</v>
      </c>
      <c r="L1501" s="6">
        <v>35.143791198730497</v>
      </c>
    </row>
    <row r="1502" spans="1:12" x14ac:dyDescent="0.25">
      <c r="A1502">
        <v>2513604</v>
      </c>
      <c r="B1502" t="str">
        <f t="shared" si="23"/>
        <v>SANTANA DOS GARROTES, PB, Brasil</v>
      </c>
      <c r="C1502" s="4" t="str">
        <f>_xlfn.XLOOKUP(A1502,[1]!DadosGHD[CD_GEOCMU],[1]!DadosGHD[Região])</f>
        <v>NE</v>
      </c>
      <c r="D1502" s="4" t="str">
        <f>_xlfn.XLOOKUP(A1502,[1]!DadosGHD[CD_GEOCMU],[1]!DadosGHD[uf])</f>
        <v>PB</v>
      </c>
      <c r="E1502" s="5" t="str">
        <f>_xlfn.XLOOKUP(A1502,[1]!DadosGHD[CD_GEOCMU],[1]!DadosGHD[MUNICIPIO])</f>
        <v>SANTANA DOS GARROTES</v>
      </c>
      <c r="F1502" s="6">
        <v>33.741874694824197</v>
      </c>
      <c r="G1502" s="6">
        <v>33.791358947753899</v>
      </c>
      <c r="H1502" s="6">
        <v>33.827114105224602</v>
      </c>
      <c r="I1502" s="6">
        <v>33.805328369140597</v>
      </c>
      <c r="J1502" s="6">
        <v>33.823368072509801</v>
      </c>
      <c r="K1502" s="6">
        <v>33.858283996582003</v>
      </c>
      <c r="L1502" s="6">
        <v>26.290407180786101</v>
      </c>
    </row>
    <row r="1503" spans="1:12" x14ac:dyDescent="0.25">
      <c r="A1503">
        <v>2704906</v>
      </c>
      <c r="B1503" t="str">
        <f t="shared" si="23"/>
        <v>MAR VERMELHO, AL, Brasil</v>
      </c>
      <c r="C1503" s="4" t="str">
        <f>_xlfn.XLOOKUP(A1503,[1]!DadosGHD[CD_GEOCMU],[1]!DadosGHD[Região])</f>
        <v>NE</v>
      </c>
      <c r="D1503" s="4" t="str">
        <f>_xlfn.XLOOKUP(A1503,[1]!DadosGHD[CD_GEOCMU],[1]!DadosGHD[uf])</f>
        <v>AL</v>
      </c>
      <c r="E1503" s="5" t="str">
        <f>_xlfn.XLOOKUP(A1503,[1]!DadosGHD[CD_GEOCMU],[1]!DadosGHD[MUNICIPIO])</f>
        <v>MAR VERMELHO</v>
      </c>
      <c r="F1503" s="6">
        <v>33.741985321044901</v>
      </c>
      <c r="G1503" s="6">
        <v>28.907878875732401</v>
      </c>
      <c r="H1503" s="6">
        <v>28.942651748657202</v>
      </c>
      <c r="I1503" s="6">
        <v>28.953474044799801</v>
      </c>
      <c r="J1503" s="6">
        <v>28.9679870605469</v>
      </c>
      <c r="K1503" s="6">
        <v>28.9686679840088</v>
      </c>
      <c r="L1503" s="6">
        <v>26.2798957824707</v>
      </c>
    </row>
    <row r="1504" spans="1:12" x14ac:dyDescent="0.25">
      <c r="A1504">
        <v>2107902</v>
      </c>
      <c r="B1504" t="str">
        <f t="shared" si="23"/>
        <v>PASSAGEM FRANCA, MA, Brasil</v>
      </c>
      <c r="C1504" s="4" t="str">
        <f>_xlfn.XLOOKUP(A1504,[1]!DadosGHD[CD_GEOCMU],[1]!DadosGHD[Região])</f>
        <v>NE</v>
      </c>
      <c r="D1504" s="4" t="str">
        <f>_xlfn.XLOOKUP(A1504,[1]!DadosGHD[CD_GEOCMU],[1]!DadosGHD[uf])</f>
        <v>MA</v>
      </c>
      <c r="E1504" s="5" t="str">
        <f>_xlfn.XLOOKUP(A1504,[1]!DadosGHD[CD_GEOCMU],[1]!DadosGHD[MUNICIPIO])</f>
        <v>PASSAGEM FRANCA</v>
      </c>
      <c r="F1504" s="6">
        <v>33.741989135742202</v>
      </c>
      <c r="G1504" s="6">
        <v>33.795036315917997</v>
      </c>
      <c r="H1504" s="6">
        <v>33.829322814941399</v>
      </c>
      <c r="I1504" s="6">
        <v>33.809398651123097</v>
      </c>
      <c r="J1504" s="6">
        <v>33.849098205566399</v>
      </c>
      <c r="K1504" s="6">
        <v>33.922229766845703</v>
      </c>
      <c r="L1504" s="6">
        <v>26.283763885498001</v>
      </c>
    </row>
    <row r="1505" spans="1:12" x14ac:dyDescent="0.25">
      <c r="A1505">
        <v>2804003</v>
      </c>
      <c r="B1505" t="str">
        <f t="shared" si="23"/>
        <v>MARUIM, SE, Brasil</v>
      </c>
      <c r="C1505" s="4" t="str">
        <f>_xlfn.XLOOKUP(A1505,[1]!DadosGHD[CD_GEOCMU],[1]!DadosGHD[Região])</f>
        <v>NE</v>
      </c>
      <c r="D1505" s="4" t="str">
        <f>_xlfn.XLOOKUP(A1505,[1]!DadosGHD[CD_GEOCMU],[1]!DadosGHD[uf])</f>
        <v>SE</v>
      </c>
      <c r="E1505" s="5" t="str">
        <f>_xlfn.XLOOKUP(A1505,[1]!DadosGHD[CD_GEOCMU],[1]!DadosGHD[MUNICIPIO])</f>
        <v>MARUIM</v>
      </c>
      <c r="F1505" s="6">
        <v>33.742042541503899</v>
      </c>
      <c r="G1505" s="6">
        <v>33.809558868408203</v>
      </c>
      <c r="H1505" s="6">
        <v>33.851818084716797</v>
      </c>
      <c r="I1505" s="6">
        <v>33.8357963562012</v>
      </c>
      <c r="J1505" s="6">
        <v>33.861949920654297</v>
      </c>
      <c r="K1505" s="6">
        <v>33.902503967285199</v>
      </c>
      <c r="L1505" s="6">
        <v>35.131385803222699</v>
      </c>
    </row>
    <row r="1506" spans="1:12" x14ac:dyDescent="0.25">
      <c r="A1506">
        <v>1505304</v>
      </c>
      <c r="B1506" t="str">
        <f t="shared" si="23"/>
        <v>ORIXIMINA, PA, Brasil</v>
      </c>
      <c r="C1506" s="4" t="str">
        <f>_xlfn.XLOOKUP(A1506,[1]!DadosGHD[CD_GEOCMU],[1]!DadosGHD[Região])</f>
        <v>NO</v>
      </c>
      <c r="D1506" s="4" t="str">
        <f>_xlfn.XLOOKUP(A1506,[1]!DadosGHD[CD_GEOCMU],[1]!DadosGHD[uf])</f>
        <v>PA</v>
      </c>
      <c r="E1506" s="5" t="str">
        <f>_xlfn.XLOOKUP(A1506,[1]!DadosGHD[CD_GEOCMU],[1]!DadosGHD[MUNICIPIO])</f>
        <v>ORIXIMINA</v>
      </c>
      <c r="F1506" s="6">
        <v>33.742073059082003</v>
      </c>
      <c r="G1506" s="6">
        <v>33.810337066650398</v>
      </c>
      <c r="H1506" s="6">
        <v>33.844375610351598</v>
      </c>
      <c r="I1506" s="6">
        <v>33.825218200683601</v>
      </c>
      <c r="J1506" s="6">
        <v>33.8410453796387</v>
      </c>
      <c r="K1506" s="6">
        <v>33.870807647705099</v>
      </c>
      <c r="L1506" s="6">
        <v>26.2960529327393</v>
      </c>
    </row>
    <row r="1507" spans="1:12" x14ac:dyDescent="0.25">
      <c r="A1507">
        <v>2901957</v>
      </c>
      <c r="B1507" t="str">
        <f t="shared" si="23"/>
        <v>APUAREMA, BA, Brasil</v>
      </c>
      <c r="C1507" s="4" t="str">
        <f>_xlfn.XLOOKUP(A1507,[1]!DadosGHD[CD_GEOCMU],[1]!DadosGHD[Região])</f>
        <v>NE</v>
      </c>
      <c r="D1507" s="4" t="str">
        <f>_xlfn.XLOOKUP(A1507,[1]!DadosGHD[CD_GEOCMU],[1]!DadosGHD[uf])</f>
        <v>BA</v>
      </c>
      <c r="E1507" s="5" t="str">
        <f>_xlfn.XLOOKUP(A1507,[1]!DadosGHD[CD_GEOCMU],[1]!DadosGHD[MUNICIPIO])</f>
        <v>APUAREMA</v>
      </c>
      <c r="F1507" s="6">
        <v>33.742095947265597</v>
      </c>
      <c r="G1507" s="6">
        <v>33.7937622070313</v>
      </c>
      <c r="H1507" s="6">
        <v>33.8360786437988</v>
      </c>
      <c r="I1507" s="6">
        <v>33.814884185791001</v>
      </c>
      <c r="J1507" s="6">
        <v>33.827239990234403</v>
      </c>
      <c r="K1507" s="6">
        <v>33.855545043945298</v>
      </c>
      <c r="L1507" s="6">
        <v>26.286613464355501</v>
      </c>
    </row>
    <row r="1508" spans="1:12" x14ac:dyDescent="0.25">
      <c r="A1508">
        <v>5213772</v>
      </c>
      <c r="B1508" t="str">
        <f t="shared" si="23"/>
        <v>MONTIVIDIU DO NORTE, GO, Brasil</v>
      </c>
      <c r="C1508" s="4" t="str">
        <f>_xlfn.XLOOKUP(A1508,[1]!DadosGHD[CD_GEOCMU],[1]!DadosGHD[Região])</f>
        <v>CO</v>
      </c>
      <c r="D1508" s="4" t="str">
        <f>_xlfn.XLOOKUP(A1508,[1]!DadosGHD[CD_GEOCMU],[1]!DadosGHD[uf])</f>
        <v>GO</v>
      </c>
      <c r="E1508" s="5" t="str">
        <f>_xlfn.XLOOKUP(A1508,[1]!DadosGHD[CD_GEOCMU],[1]!DadosGHD[MUNICIPIO])</f>
        <v>MONTIVIDIU DO NORTE</v>
      </c>
      <c r="F1508" s="6">
        <v>33.742233276367202</v>
      </c>
      <c r="G1508" s="6">
        <v>33.828193664550803</v>
      </c>
      <c r="H1508" s="6">
        <v>33.888950347900398</v>
      </c>
      <c r="I1508" s="6">
        <v>38.725421905517599</v>
      </c>
      <c r="J1508" s="6">
        <v>38.752738952636697</v>
      </c>
      <c r="K1508" s="6">
        <v>33.866744995117202</v>
      </c>
      <c r="L1508" s="6">
        <v>26.297288894653299</v>
      </c>
    </row>
    <row r="1509" spans="1:12" x14ac:dyDescent="0.25">
      <c r="A1509">
        <v>2101301</v>
      </c>
      <c r="B1509" t="str">
        <f t="shared" si="23"/>
        <v>BACURI, MA, Brasil</v>
      </c>
      <c r="C1509" s="4" t="str">
        <f>_xlfn.XLOOKUP(A1509,[1]!DadosGHD[CD_GEOCMU],[1]!DadosGHD[Região])</f>
        <v>NE</v>
      </c>
      <c r="D1509" s="4" t="str">
        <f>_xlfn.XLOOKUP(A1509,[1]!DadosGHD[CD_GEOCMU],[1]!DadosGHD[uf])</f>
        <v>MA</v>
      </c>
      <c r="E1509" s="5" t="str">
        <f>_xlfn.XLOOKUP(A1509,[1]!DadosGHD[CD_GEOCMU],[1]!DadosGHD[MUNICIPIO])</f>
        <v>BACURI</v>
      </c>
      <c r="F1509" s="6">
        <v>33.742244720458999</v>
      </c>
      <c r="G1509" s="6">
        <v>33.797847747802699</v>
      </c>
      <c r="H1509" s="6">
        <v>33.8410034179688</v>
      </c>
      <c r="I1509" s="6">
        <v>33.8150444030762</v>
      </c>
      <c r="J1509" s="6">
        <v>33.809688568115199</v>
      </c>
      <c r="K1509" s="6">
        <v>29.0066318511963</v>
      </c>
      <c r="L1509" s="6">
        <v>26.286470413208001</v>
      </c>
    </row>
    <row r="1510" spans="1:12" x14ac:dyDescent="0.25">
      <c r="A1510">
        <v>3102852</v>
      </c>
      <c r="B1510" t="str">
        <f t="shared" si="23"/>
        <v>ANGELANDIA, MG, Brasil</v>
      </c>
      <c r="C1510" s="4" t="str">
        <f>_xlfn.XLOOKUP(A1510,[1]!DadosGHD[CD_GEOCMU],[1]!DadosGHD[Região])</f>
        <v>SD</v>
      </c>
      <c r="D1510" s="4" t="str">
        <f>_xlfn.XLOOKUP(A1510,[1]!DadosGHD[CD_GEOCMU],[1]!DadosGHD[uf])</f>
        <v>MG</v>
      </c>
      <c r="E1510" s="5" t="str">
        <f>_xlfn.XLOOKUP(A1510,[1]!DadosGHD[CD_GEOCMU],[1]!DadosGHD[MUNICIPIO])</f>
        <v>ANGELANDIA</v>
      </c>
      <c r="F1510" s="6">
        <v>33.742347717285199</v>
      </c>
      <c r="G1510" s="6">
        <v>33.808414459228501</v>
      </c>
      <c r="H1510" s="6">
        <v>33.855075836181598</v>
      </c>
      <c r="I1510" s="6">
        <v>33.838523864746101</v>
      </c>
      <c r="J1510" s="6">
        <v>33.860626220703097</v>
      </c>
      <c r="K1510" s="6">
        <v>33.883171081542997</v>
      </c>
      <c r="L1510" s="6">
        <v>35.125911712646499</v>
      </c>
    </row>
    <row r="1511" spans="1:12" x14ac:dyDescent="0.25">
      <c r="A1511">
        <v>3101805</v>
      </c>
      <c r="B1511" t="str">
        <f t="shared" si="23"/>
        <v>ALPERCATA, MG, Brasil</v>
      </c>
      <c r="C1511" s="4" t="str">
        <f>_xlfn.XLOOKUP(A1511,[1]!DadosGHD[CD_GEOCMU],[1]!DadosGHD[Região])</f>
        <v>SD</v>
      </c>
      <c r="D1511" s="4" t="str">
        <f>_xlfn.XLOOKUP(A1511,[1]!DadosGHD[CD_GEOCMU],[1]!DadosGHD[uf])</f>
        <v>MG</v>
      </c>
      <c r="E1511" s="5" t="str">
        <f>_xlfn.XLOOKUP(A1511,[1]!DadosGHD[CD_GEOCMU],[1]!DadosGHD[MUNICIPIO])</f>
        <v>ALPERCATA</v>
      </c>
      <c r="F1511" s="6">
        <v>33.742446899414098</v>
      </c>
      <c r="G1511" s="6">
        <v>33.822547912597699</v>
      </c>
      <c r="H1511" s="6">
        <v>38.774681091308601</v>
      </c>
      <c r="I1511" s="6">
        <v>38.740951538085902</v>
      </c>
      <c r="J1511" s="6">
        <v>33.825466156005902</v>
      </c>
      <c r="K1511" s="6">
        <v>38.789226531982401</v>
      </c>
      <c r="L1511" s="6">
        <v>39.563873291015597</v>
      </c>
    </row>
    <row r="1512" spans="1:12" x14ac:dyDescent="0.25">
      <c r="A1512">
        <v>2312304</v>
      </c>
      <c r="B1512" t="str">
        <f t="shared" si="23"/>
        <v>SAO BENEDITO, CE, Brasil</v>
      </c>
      <c r="C1512" s="4" t="str">
        <f>_xlfn.XLOOKUP(A1512,[1]!DadosGHD[CD_GEOCMU],[1]!DadosGHD[Região])</f>
        <v>NE</v>
      </c>
      <c r="D1512" s="4" t="str">
        <f>_xlfn.XLOOKUP(A1512,[1]!DadosGHD[CD_GEOCMU],[1]!DadosGHD[uf])</f>
        <v>CE</v>
      </c>
      <c r="E1512" s="5" t="str">
        <f>_xlfn.XLOOKUP(A1512,[1]!DadosGHD[CD_GEOCMU],[1]!DadosGHD[MUNICIPIO])</f>
        <v>SAO BENEDITO</v>
      </c>
      <c r="F1512" s="6">
        <v>33.742641448974602</v>
      </c>
      <c r="G1512" s="6">
        <v>33.826709747314503</v>
      </c>
      <c r="H1512" s="6">
        <v>33.884078979492202</v>
      </c>
      <c r="I1512" s="6">
        <v>38.722854614257798</v>
      </c>
      <c r="J1512" s="6">
        <v>38.797744750976598</v>
      </c>
      <c r="K1512" s="6">
        <v>38.847614288330099</v>
      </c>
      <c r="L1512" s="6">
        <v>35.150058746337898</v>
      </c>
    </row>
    <row r="1513" spans="1:12" x14ac:dyDescent="0.25">
      <c r="A1513">
        <v>2929602</v>
      </c>
      <c r="B1513" t="str">
        <f t="shared" si="23"/>
        <v>SAPEACU, BA, Brasil</v>
      </c>
      <c r="C1513" s="4" t="str">
        <f>_xlfn.XLOOKUP(A1513,[1]!DadosGHD[CD_GEOCMU],[1]!DadosGHD[Região])</f>
        <v>NE</v>
      </c>
      <c r="D1513" s="4" t="str">
        <f>_xlfn.XLOOKUP(A1513,[1]!DadosGHD[CD_GEOCMU],[1]!DadosGHD[uf])</f>
        <v>BA</v>
      </c>
      <c r="E1513" s="5" t="str">
        <f>_xlfn.XLOOKUP(A1513,[1]!DadosGHD[CD_GEOCMU],[1]!DadosGHD[MUNICIPIO])</f>
        <v>SAPEACU</v>
      </c>
      <c r="F1513" s="6">
        <v>33.742725372314503</v>
      </c>
      <c r="G1513" s="6">
        <v>33.818996429443402</v>
      </c>
      <c r="H1513" s="6">
        <v>33.887794494628899</v>
      </c>
      <c r="I1513" s="6">
        <v>33.8630561828613</v>
      </c>
      <c r="J1513" s="6">
        <v>33.880451202392599</v>
      </c>
      <c r="K1513" s="6">
        <v>38.792804718017599</v>
      </c>
      <c r="L1513" s="6">
        <v>35.135574340820298</v>
      </c>
    </row>
    <row r="1514" spans="1:12" x14ac:dyDescent="0.25">
      <c r="A1514">
        <v>1400605</v>
      </c>
      <c r="B1514" t="str">
        <f t="shared" si="23"/>
        <v>SAO LUIZ, RR, Brasil</v>
      </c>
      <c r="C1514" s="4" t="str">
        <f>_xlfn.XLOOKUP(A1514,[1]!DadosGHD[CD_GEOCMU],[1]!DadosGHD[Região])</f>
        <v>NO</v>
      </c>
      <c r="D1514" s="4" t="str">
        <f>_xlfn.XLOOKUP(A1514,[1]!DadosGHD[CD_GEOCMU],[1]!DadosGHD[uf])</f>
        <v>RR</v>
      </c>
      <c r="E1514" s="5" t="str">
        <f>_xlfn.XLOOKUP(A1514,[1]!DadosGHD[CD_GEOCMU],[1]!DadosGHD[MUNICIPIO])</f>
        <v>SAO LUIZ</v>
      </c>
      <c r="F1514" s="6">
        <v>33.742782592773402</v>
      </c>
      <c r="G1514" s="6">
        <v>33.791126251220703</v>
      </c>
      <c r="H1514" s="6">
        <v>33.821620941162102</v>
      </c>
      <c r="I1514" s="6">
        <v>33.7945365905762</v>
      </c>
      <c r="J1514" s="6">
        <v>33.811779022216797</v>
      </c>
      <c r="K1514" s="6">
        <v>33.842689514160199</v>
      </c>
      <c r="L1514" s="6">
        <v>26.291934967041001</v>
      </c>
    </row>
    <row r="1515" spans="1:12" x14ac:dyDescent="0.25">
      <c r="A1515">
        <v>2914208</v>
      </c>
      <c r="B1515" t="str">
        <f t="shared" si="23"/>
        <v>IRAJUBA, BA, Brasil</v>
      </c>
      <c r="C1515" s="4" t="str">
        <f>_xlfn.XLOOKUP(A1515,[1]!DadosGHD[CD_GEOCMU],[1]!DadosGHD[Região])</f>
        <v>NE</v>
      </c>
      <c r="D1515" s="4" t="str">
        <f>_xlfn.XLOOKUP(A1515,[1]!DadosGHD[CD_GEOCMU],[1]!DadosGHD[uf])</f>
        <v>BA</v>
      </c>
      <c r="E1515" s="5" t="str">
        <f>_xlfn.XLOOKUP(A1515,[1]!DadosGHD[CD_GEOCMU],[1]!DadosGHD[MUNICIPIO])</f>
        <v>IRAJUBA</v>
      </c>
      <c r="F1515" s="6">
        <v>33.742912292480497</v>
      </c>
      <c r="G1515" s="6">
        <v>33.842597961425803</v>
      </c>
      <c r="H1515" s="6">
        <v>38.751354217529297</v>
      </c>
      <c r="I1515" s="6">
        <v>33.833938598632798</v>
      </c>
      <c r="J1515" s="6">
        <v>33.865226745605497</v>
      </c>
      <c r="K1515" s="6">
        <v>48.851287841796903</v>
      </c>
      <c r="L1515" s="6">
        <v>57.5469779968262</v>
      </c>
    </row>
    <row r="1516" spans="1:12" x14ac:dyDescent="0.25">
      <c r="A1516">
        <v>2905503</v>
      </c>
      <c r="B1516" t="str">
        <f t="shared" si="23"/>
        <v>CALDEIRAO GRANDE, BA, Brasil</v>
      </c>
      <c r="C1516" s="4" t="str">
        <f>_xlfn.XLOOKUP(A1516,[1]!DadosGHD[CD_GEOCMU],[1]!DadosGHD[Região])</f>
        <v>NE</v>
      </c>
      <c r="D1516" s="4" t="str">
        <f>_xlfn.XLOOKUP(A1516,[1]!DadosGHD[CD_GEOCMU],[1]!DadosGHD[uf])</f>
        <v>BA</v>
      </c>
      <c r="E1516" s="5" t="str">
        <f>_xlfn.XLOOKUP(A1516,[1]!DadosGHD[CD_GEOCMU],[1]!DadosGHD[MUNICIPIO])</f>
        <v>CALDEIRAO GRANDE</v>
      </c>
      <c r="F1516" s="6">
        <v>33.742912292480497</v>
      </c>
      <c r="G1516" s="6">
        <v>33.792160034179702</v>
      </c>
      <c r="H1516" s="6">
        <v>28.9606418609619</v>
      </c>
      <c r="I1516" s="6">
        <v>28.945884704589801</v>
      </c>
      <c r="J1516" s="6">
        <v>28.9645290374756</v>
      </c>
      <c r="K1516" s="6">
        <v>33.8532104492188</v>
      </c>
      <c r="L1516" s="6">
        <v>39.559207916259801</v>
      </c>
    </row>
    <row r="1517" spans="1:12" x14ac:dyDescent="0.25">
      <c r="A1517">
        <v>4103958</v>
      </c>
      <c r="B1517" t="str">
        <f t="shared" si="23"/>
        <v>CAMPINA DO SIMAO, PR, Brasil</v>
      </c>
      <c r="C1517" s="4" t="str">
        <f>_xlfn.XLOOKUP(A1517,[1]!DadosGHD[CD_GEOCMU],[1]!DadosGHD[Região])</f>
        <v>SL</v>
      </c>
      <c r="D1517" s="4" t="str">
        <f>_xlfn.XLOOKUP(A1517,[1]!DadosGHD[CD_GEOCMU],[1]!DadosGHD[uf])</f>
        <v>PR</v>
      </c>
      <c r="E1517" s="5" t="str">
        <f>_xlfn.XLOOKUP(A1517,[1]!DadosGHD[CD_GEOCMU],[1]!DadosGHD[MUNICIPIO])</f>
        <v>CAMPINA DO SIMAO</v>
      </c>
      <c r="F1517" s="6">
        <v>33.742912292480497</v>
      </c>
      <c r="G1517" s="6">
        <v>43.656246185302699</v>
      </c>
      <c r="H1517" s="6">
        <v>43.710811614990199</v>
      </c>
      <c r="I1517" s="6">
        <v>28.925045013427699</v>
      </c>
      <c r="J1517" s="6">
        <v>28.9409065246582</v>
      </c>
      <c r="K1517" s="6">
        <v>28.9686679840088</v>
      </c>
      <c r="L1517" s="6">
        <v>30.7118434906006</v>
      </c>
    </row>
    <row r="1518" spans="1:12" x14ac:dyDescent="0.25">
      <c r="A1518">
        <v>2303501</v>
      </c>
      <c r="B1518" t="str">
        <f t="shared" si="23"/>
        <v>CASCAVEL, CE, Brasil</v>
      </c>
      <c r="C1518" s="4" t="str">
        <f>_xlfn.XLOOKUP(A1518,[1]!DadosGHD[CD_GEOCMU],[1]!DadosGHD[Região])</f>
        <v>NE</v>
      </c>
      <c r="D1518" s="4" t="str">
        <f>_xlfn.XLOOKUP(A1518,[1]!DadosGHD[CD_GEOCMU],[1]!DadosGHD[uf])</f>
        <v>CE</v>
      </c>
      <c r="E1518" s="5" t="str">
        <f>_xlfn.XLOOKUP(A1518,[1]!DadosGHD[CD_GEOCMU],[1]!DadosGHD[MUNICIPIO])</f>
        <v>CASCAVEL</v>
      </c>
      <c r="F1518" s="6">
        <v>33.742946624755902</v>
      </c>
      <c r="G1518" s="6">
        <v>33.8143310546875</v>
      </c>
      <c r="H1518" s="6">
        <v>33.866241455078097</v>
      </c>
      <c r="I1518" s="6">
        <v>33.820838928222699</v>
      </c>
      <c r="J1518" s="6">
        <v>38.785057067871101</v>
      </c>
      <c r="K1518" s="6">
        <v>38.870948791503899</v>
      </c>
      <c r="L1518" s="6">
        <v>44.063426971435597</v>
      </c>
    </row>
    <row r="1519" spans="1:12" x14ac:dyDescent="0.25">
      <c r="A1519">
        <v>2304509</v>
      </c>
      <c r="B1519" t="str">
        <f t="shared" si="23"/>
        <v>FRECHEIRINHA, CE, Brasil</v>
      </c>
      <c r="C1519" s="4" t="str">
        <f>_xlfn.XLOOKUP(A1519,[1]!DadosGHD[CD_GEOCMU],[1]!DadosGHD[Região])</f>
        <v>NE</v>
      </c>
      <c r="D1519" s="4" t="str">
        <f>_xlfn.XLOOKUP(A1519,[1]!DadosGHD[CD_GEOCMU],[1]!DadosGHD[uf])</f>
        <v>CE</v>
      </c>
      <c r="E1519" s="5" t="str">
        <f>_xlfn.XLOOKUP(A1519,[1]!DadosGHD[CD_GEOCMU],[1]!DadosGHD[MUNICIPIO])</f>
        <v>FRECHEIRINHA</v>
      </c>
      <c r="F1519" s="6">
        <v>33.7434272766113</v>
      </c>
      <c r="G1519" s="6">
        <v>33.842937469482401</v>
      </c>
      <c r="H1519" s="6">
        <v>38.748039245605497</v>
      </c>
      <c r="I1519" s="6">
        <v>33.874755859375</v>
      </c>
      <c r="J1519" s="6">
        <v>33.871116638183601</v>
      </c>
      <c r="K1519" s="6">
        <v>33.931472778320298</v>
      </c>
      <c r="L1519" s="6">
        <v>35.159835815429702</v>
      </c>
    </row>
    <row r="1520" spans="1:12" x14ac:dyDescent="0.25">
      <c r="A1520">
        <v>2707800</v>
      </c>
      <c r="B1520" t="str">
        <f t="shared" si="23"/>
        <v>ROTEIRO, AL, Brasil</v>
      </c>
      <c r="C1520" s="4" t="str">
        <f>_xlfn.XLOOKUP(A1520,[1]!DadosGHD[CD_GEOCMU],[1]!DadosGHD[Região])</f>
        <v>NE</v>
      </c>
      <c r="D1520" s="4" t="str">
        <f>_xlfn.XLOOKUP(A1520,[1]!DadosGHD[CD_GEOCMU],[1]!DadosGHD[uf])</f>
        <v>AL</v>
      </c>
      <c r="E1520" s="5" t="str">
        <f>_xlfn.XLOOKUP(A1520,[1]!DadosGHD[CD_GEOCMU],[1]!DadosGHD[MUNICIPIO])</f>
        <v>ROTEIRO</v>
      </c>
      <c r="F1520" s="6">
        <v>33.743667602539098</v>
      </c>
      <c r="G1520" s="6">
        <v>33.793537139892599</v>
      </c>
      <c r="H1520" s="6">
        <v>33.865745544433601</v>
      </c>
      <c r="I1520" s="6">
        <v>38.7618598937988</v>
      </c>
      <c r="J1520" s="6">
        <v>38.751365661621101</v>
      </c>
      <c r="K1520" s="6">
        <v>33.890720367431598</v>
      </c>
      <c r="L1520" s="6">
        <v>26.288043975830099</v>
      </c>
    </row>
    <row r="1521" spans="1:12" x14ac:dyDescent="0.25">
      <c r="A1521">
        <v>2700201</v>
      </c>
      <c r="B1521" t="str">
        <f t="shared" si="23"/>
        <v>ANADIA, AL, Brasil</v>
      </c>
      <c r="C1521" s="4" t="str">
        <f>_xlfn.XLOOKUP(A1521,[1]!DadosGHD[CD_GEOCMU],[1]!DadosGHD[Região])</f>
        <v>NE</v>
      </c>
      <c r="D1521" s="4" t="str">
        <f>_xlfn.XLOOKUP(A1521,[1]!DadosGHD[CD_GEOCMU],[1]!DadosGHD[uf])</f>
        <v>AL</v>
      </c>
      <c r="E1521" s="5" t="str">
        <f>_xlfn.XLOOKUP(A1521,[1]!DadosGHD[CD_GEOCMU],[1]!DadosGHD[MUNICIPIO])</f>
        <v>ANADIA</v>
      </c>
      <c r="F1521" s="6">
        <v>33.743701934814503</v>
      </c>
      <c r="G1521" s="6">
        <v>33.810791015625</v>
      </c>
      <c r="H1521" s="6">
        <v>33.853588104248097</v>
      </c>
      <c r="I1521" s="6">
        <v>33.850803375244098</v>
      </c>
      <c r="J1521" s="6">
        <v>33.851242065429702</v>
      </c>
      <c r="K1521" s="6">
        <v>28.982471466064499</v>
      </c>
      <c r="L1521" s="6">
        <v>26.2798957824707</v>
      </c>
    </row>
    <row r="1522" spans="1:12" x14ac:dyDescent="0.25">
      <c r="A1522">
        <v>2700904</v>
      </c>
      <c r="B1522" t="str">
        <f t="shared" si="23"/>
        <v>BELO MONTE, AL, Brasil</v>
      </c>
      <c r="C1522" s="4" t="str">
        <f>_xlfn.XLOOKUP(A1522,[1]!DadosGHD[CD_GEOCMU],[1]!DadosGHD[Região])</f>
        <v>NE</v>
      </c>
      <c r="D1522" s="4" t="str">
        <f>_xlfn.XLOOKUP(A1522,[1]!DadosGHD[CD_GEOCMU],[1]!DadosGHD[uf])</f>
        <v>AL</v>
      </c>
      <c r="E1522" s="5" t="str">
        <f>_xlfn.XLOOKUP(A1522,[1]!DadosGHD[CD_GEOCMU],[1]!DadosGHD[MUNICIPIO])</f>
        <v>BELO MONTE</v>
      </c>
      <c r="F1522" s="6">
        <v>33.7437133789063</v>
      </c>
      <c r="G1522" s="6">
        <v>33.793148040771499</v>
      </c>
      <c r="H1522" s="6">
        <v>33.833263397216797</v>
      </c>
      <c r="I1522" s="6">
        <v>33.810585021972699</v>
      </c>
      <c r="J1522" s="6">
        <v>33.827823638916001</v>
      </c>
      <c r="K1522" s="6">
        <v>33.874576568603501</v>
      </c>
      <c r="L1522" s="6">
        <v>30.685518264770501</v>
      </c>
    </row>
    <row r="1523" spans="1:12" x14ac:dyDescent="0.25">
      <c r="A1523">
        <v>2606309</v>
      </c>
      <c r="B1523" t="str">
        <f t="shared" si="23"/>
        <v>GRANITO, PE, Brasil</v>
      </c>
      <c r="C1523" s="4" t="str">
        <f>_xlfn.XLOOKUP(A1523,[1]!DadosGHD[CD_GEOCMU],[1]!DadosGHD[Região])</f>
        <v>NE</v>
      </c>
      <c r="D1523" s="4" t="str">
        <f>_xlfn.XLOOKUP(A1523,[1]!DadosGHD[CD_GEOCMU],[1]!DadosGHD[uf])</f>
        <v>PE</v>
      </c>
      <c r="E1523" s="5" t="str">
        <f>_xlfn.XLOOKUP(A1523,[1]!DadosGHD[CD_GEOCMU],[1]!DadosGHD[MUNICIPIO])</f>
        <v>GRANITO</v>
      </c>
      <c r="F1523" s="6">
        <v>33.743759155273402</v>
      </c>
      <c r="G1523" s="6">
        <v>33.798511505127003</v>
      </c>
      <c r="H1523" s="6">
        <v>33.838714599609403</v>
      </c>
      <c r="I1523" s="6">
        <v>33.810970306396499</v>
      </c>
      <c r="J1523" s="6">
        <v>33.828968048095703</v>
      </c>
      <c r="K1523" s="6">
        <v>33.860450744628899</v>
      </c>
      <c r="L1523" s="6">
        <v>26.291519165039102</v>
      </c>
    </row>
    <row r="1524" spans="1:12" x14ac:dyDescent="0.25">
      <c r="A1524">
        <v>1713601</v>
      </c>
      <c r="B1524" t="str">
        <f t="shared" si="23"/>
        <v>MONTE DO CARMO, TO, Brasil</v>
      </c>
      <c r="C1524" s="4" t="str">
        <f>_xlfn.XLOOKUP(A1524,[1]!DadosGHD[CD_GEOCMU],[1]!DadosGHD[Região])</f>
        <v>NO</v>
      </c>
      <c r="D1524" s="4" t="str">
        <f>_xlfn.XLOOKUP(A1524,[1]!DadosGHD[CD_GEOCMU],[1]!DadosGHD[uf])</f>
        <v>TO</v>
      </c>
      <c r="E1524" s="5" t="str">
        <f>_xlfn.XLOOKUP(A1524,[1]!DadosGHD[CD_GEOCMU],[1]!DadosGHD[MUNICIPIO])</f>
        <v>MONTE DO CARMO</v>
      </c>
      <c r="F1524" s="6">
        <v>33.743995666503899</v>
      </c>
      <c r="G1524" s="6">
        <v>33.795070648193402</v>
      </c>
      <c r="H1524" s="6">
        <v>33.8301811218262</v>
      </c>
      <c r="I1524" s="6">
        <v>33.8027153015137</v>
      </c>
      <c r="J1524" s="6">
        <v>33.820911407470703</v>
      </c>
      <c r="K1524" s="6">
        <v>33.844844818115199</v>
      </c>
      <c r="L1524" s="6">
        <v>26.296669006347699</v>
      </c>
    </row>
    <row r="1525" spans="1:12" x14ac:dyDescent="0.25">
      <c r="A1525">
        <v>5200258</v>
      </c>
      <c r="B1525" t="str">
        <f t="shared" si="23"/>
        <v>AGUAS LINDAS DE GOIAS, GO, Brasil</v>
      </c>
      <c r="C1525" s="4" t="str">
        <f>_xlfn.XLOOKUP(A1525,[1]!DadosGHD[CD_GEOCMU],[1]!DadosGHD[Região])</f>
        <v>CO</v>
      </c>
      <c r="D1525" s="4" t="str">
        <f>_xlfn.XLOOKUP(A1525,[1]!DadosGHD[CD_GEOCMU],[1]!DadosGHD[uf])</f>
        <v>GO</v>
      </c>
      <c r="E1525" s="5" t="str">
        <f>_xlfn.XLOOKUP(A1525,[1]!DadosGHD[CD_GEOCMU],[1]!DadosGHD[MUNICIPIO])</f>
        <v>AGUAS LINDAS DE GOIAS</v>
      </c>
      <c r="F1525" s="6">
        <v>33.744224548339801</v>
      </c>
      <c r="G1525" s="6">
        <v>33.834037780761697</v>
      </c>
      <c r="H1525" s="6">
        <v>33.880306243896499</v>
      </c>
      <c r="I1525" s="6">
        <v>33.860034942627003</v>
      </c>
      <c r="J1525" s="6">
        <v>38.739295959472699</v>
      </c>
      <c r="K1525" s="6">
        <v>38.819293975830099</v>
      </c>
      <c r="L1525" s="6">
        <v>35.142787933349602</v>
      </c>
    </row>
    <row r="1526" spans="1:12" x14ac:dyDescent="0.25">
      <c r="A1526">
        <v>2922755</v>
      </c>
      <c r="B1526" t="str">
        <f t="shared" si="23"/>
        <v>NOVA IBIA, BA, Brasil</v>
      </c>
      <c r="C1526" s="4" t="str">
        <f>_xlfn.XLOOKUP(A1526,[1]!DadosGHD[CD_GEOCMU],[1]!DadosGHD[Região])</f>
        <v>NE</v>
      </c>
      <c r="D1526" s="4" t="str">
        <f>_xlfn.XLOOKUP(A1526,[1]!DadosGHD[CD_GEOCMU],[1]!DadosGHD[uf])</f>
        <v>BA</v>
      </c>
      <c r="E1526" s="5" t="str">
        <f>_xlfn.XLOOKUP(A1526,[1]!DadosGHD[CD_GEOCMU],[1]!DadosGHD[MUNICIPIO])</f>
        <v>NOVA IBIA</v>
      </c>
      <c r="F1526" s="6">
        <v>33.744258880615199</v>
      </c>
      <c r="G1526" s="6">
        <v>33.790683746337898</v>
      </c>
      <c r="H1526" s="6">
        <v>33.834381103515597</v>
      </c>
      <c r="I1526" s="6">
        <v>33.812526702880902</v>
      </c>
      <c r="J1526" s="6">
        <v>33.830509185791001</v>
      </c>
      <c r="K1526" s="6">
        <v>33.8628959655762</v>
      </c>
      <c r="L1526" s="6">
        <v>26.282814025878899</v>
      </c>
    </row>
    <row r="1527" spans="1:12" x14ac:dyDescent="0.25">
      <c r="A1527">
        <v>2930774</v>
      </c>
      <c r="B1527" t="str">
        <f t="shared" si="23"/>
        <v>SOBRADINHO, BA, Brasil</v>
      </c>
      <c r="C1527" s="4" t="str">
        <f>_xlfn.XLOOKUP(A1527,[1]!DadosGHD[CD_GEOCMU],[1]!DadosGHD[Região])</f>
        <v>NE</v>
      </c>
      <c r="D1527" s="4" t="str">
        <f>_xlfn.XLOOKUP(A1527,[1]!DadosGHD[CD_GEOCMU],[1]!DadosGHD[uf])</f>
        <v>BA</v>
      </c>
      <c r="E1527" s="5" t="str">
        <f>_xlfn.XLOOKUP(A1527,[1]!DadosGHD[CD_GEOCMU],[1]!DadosGHD[MUNICIPIO])</f>
        <v>SOBRADINHO</v>
      </c>
      <c r="F1527" s="6">
        <v>33.744274139404297</v>
      </c>
      <c r="G1527" s="6">
        <v>33.786167144775398</v>
      </c>
      <c r="H1527" s="6">
        <v>38.741371154785199</v>
      </c>
      <c r="I1527" s="6">
        <v>38.746898651123097</v>
      </c>
      <c r="J1527" s="6">
        <v>33.830474853515597</v>
      </c>
      <c r="K1527" s="6">
        <v>33.846939086914098</v>
      </c>
      <c r="L1527" s="6">
        <v>26.287002563476602</v>
      </c>
    </row>
    <row r="1528" spans="1:12" x14ac:dyDescent="0.25">
      <c r="A1528">
        <v>3130556</v>
      </c>
      <c r="B1528" t="str">
        <f t="shared" si="23"/>
        <v>IMBE DE MINAS, MG, Brasil</v>
      </c>
      <c r="C1528" s="4" t="str">
        <f>_xlfn.XLOOKUP(A1528,[1]!DadosGHD[CD_GEOCMU],[1]!DadosGHD[Região])</f>
        <v>SD</v>
      </c>
      <c r="D1528" s="4" t="str">
        <f>_xlfn.XLOOKUP(A1528,[1]!DadosGHD[CD_GEOCMU],[1]!DadosGHD[uf])</f>
        <v>MG</v>
      </c>
      <c r="E1528" s="5" t="str">
        <f>_xlfn.XLOOKUP(A1528,[1]!DadosGHD[CD_GEOCMU],[1]!DadosGHD[MUNICIPIO])</f>
        <v>IMBE DE MINAS</v>
      </c>
      <c r="F1528" s="6">
        <v>33.744361877441399</v>
      </c>
      <c r="G1528" s="6">
        <v>33.791500091552699</v>
      </c>
      <c r="H1528" s="6">
        <v>33.830451965332003</v>
      </c>
      <c r="I1528" s="6">
        <v>33.813606262207003</v>
      </c>
      <c r="J1528" s="6">
        <v>38.762393951416001</v>
      </c>
      <c r="K1528" s="6">
        <v>38.823570251464801</v>
      </c>
      <c r="L1528" s="6">
        <v>30.717666625976602</v>
      </c>
    </row>
    <row r="1529" spans="1:12" x14ac:dyDescent="0.25">
      <c r="A1529">
        <v>2917300</v>
      </c>
      <c r="B1529" t="str">
        <f t="shared" si="23"/>
        <v>ITUBERA, BA, Brasil</v>
      </c>
      <c r="C1529" s="4" t="str">
        <f>_xlfn.XLOOKUP(A1529,[1]!DadosGHD[CD_GEOCMU],[1]!DadosGHD[Região])</f>
        <v>NE</v>
      </c>
      <c r="D1529" s="4" t="str">
        <f>_xlfn.XLOOKUP(A1529,[1]!DadosGHD[CD_GEOCMU],[1]!DadosGHD[uf])</f>
        <v>BA</v>
      </c>
      <c r="E1529" s="5" t="str">
        <f>_xlfn.XLOOKUP(A1529,[1]!DadosGHD[CD_GEOCMU],[1]!DadosGHD[MUNICIPIO])</f>
        <v>ITUBERA</v>
      </c>
      <c r="F1529" s="6">
        <v>33.744441986083999</v>
      </c>
      <c r="G1529" s="6">
        <v>33.798835754394503</v>
      </c>
      <c r="H1529" s="6">
        <v>33.854831695556598</v>
      </c>
      <c r="I1529" s="6">
        <v>33.846134185791001</v>
      </c>
      <c r="J1529" s="6">
        <v>33.855659484863303</v>
      </c>
      <c r="K1529" s="6">
        <v>33.8916625976563</v>
      </c>
      <c r="L1529" s="6">
        <v>30.707151412963899</v>
      </c>
    </row>
    <row r="1530" spans="1:12" x14ac:dyDescent="0.25">
      <c r="A1530">
        <v>2606804</v>
      </c>
      <c r="B1530" t="str">
        <f t="shared" si="23"/>
        <v>IGARASSU, PE, Brasil</v>
      </c>
      <c r="C1530" s="4" t="str">
        <f>_xlfn.XLOOKUP(A1530,[1]!DadosGHD[CD_GEOCMU],[1]!DadosGHD[Região])</f>
        <v>NE</v>
      </c>
      <c r="D1530" s="4" t="str">
        <f>_xlfn.XLOOKUP(A1530,[1]!DadosGHD[CD_GEOCMU],[1]!DadosGHD[uf])</f>
        <v>PE</v>
      </c>
      <c r="E1530" s="5" t="str">
        <f>_xlfn.XLOOKUP(A1530,[1]!DadosGHD[CD_GEOCMU],[1]!DadosGHD[MUNICIPIO])</f>
        <v>IGARASSU</v>
      </c>
      <c r="F1530" s="6">
        <v>33.744556427002003</v>
      </c>
      <c r="G1530" s="6">
        <v>33.783962249755902</v>
      </c>
      <c r="H1530" s="6">
        <v>33.817699432373097</v>
      </c>
      <c r="I1530" s="6">
        <v>33.796539306640597</v>
      </c>
      <c r="J1530" s="6">
        <v>33.828205108642599</v>
      </c>
      <c r="K1530" s="6">
        <v>33.863559722900398</v>
      </c>
      <c r="L1530" s="6">
        <v>30.6985054016113</v>
      </c>
    </row>
    <row r="1531" spans="1:12" x14ac:dyDescent="0.25">
      <c r="A1531">
        <v>2502805</v>
      </c>
      <c r="B1531" t="str">
        <f t="shared" si="23"/>
        <v>BREJO DO CRUZ, PB, Brasil</v>
      </c>
      <c r="C1531" s="4" t="str">
        <f>_xlfn.XLOOKUP(A1531,[1]!DadosGHD[CD_GEOCMU],[1]!DadosGHD[Região])</f>
        <v>NE</v>
      </c>
      <c r="D1531" s="4" t="str">
        <f>_xlfn.XLOOKUP(A1531,[1]!DadosGHD[CD_GEOCMU],[1]!DadosGHD[uf])</f>
        <v>PB</v>
      </c>
      <c r="E1531" s="5" t="str">
        <f>_xlfn.XLOOKUP(A1531,[1]!DadosGHD[CD_GEOCMU],[1]!DadosGHD[MUNICIPIO])</f>
        <v>BREJO DO CRUZ</v>
      </c>
      <c r="F1531" s="6">
        <v>33.744632720947301</v>
      </c>
      <c r="G1531" s="6">
        <v>33.802947998046903</v>
      </c>
      <c r="H1531" s="6">
        <v>33.847427368164098</v>
      </c>
      <c r="I1531" s="6">
        <v>33.837028503417997</v>
      </c>
      <c r="J1531" s="6">
        <v>33.846961975097699</v>
      </c>
      <c r="K1531" s="6">
        <v>33.863147735595703</v>
      </c>
      <c r="L1531" s="6">
        <v>26.287277221679702</v>
      </c>
    </row>
    <row r="1532" spans="1:12" x14ac:dyDescent="0.25">
      <c r="A1532">
        <v>2504504</v>
      </c>
      <c r="B1532" t="str">
        <f t="shared" si="23"/>
        <v>CONDADO, PB, Brasil</v>
      </c>
      <c r="C1532" s="4" t="str">
        <f>_xlfn.XLOOKUP(A1532,[1]!DadosGHD[CD_GEOCMU],[1]!DadosGHD[Região])</f>
        <v>NE</v>
      </c>
      <c r="D1532" s="4" t="str">
        <f>_xlfn.XLOOKUP(A1532,[1]!DadosGHD[CD_GEOCMU],[1]!DadosGHD[uf])</f>
        <v>PB</v>
      </c>
      <c r="E1532" s="5" t="str">
        <f>_xlfn.XLOOKUP(A1532,[1]!DadosGHD[CD_GEOCMU],[1]!DadosGHD[MUNICIPIO])</f>
        <v>CONDADO</v>
      </c>
      <c r="F1532" s="6">
        <v>33.744693756103501</v>
      </c>
      <c r="G1532" s="6">
        <v>33.793891906738303</v>
      </c>
      <c r="H1532" s="6">
        <v>33.834072113037102</v>
      </c>
      <c r="I1532" s="6">
        <v>33.811435699462898</v>
      </c>
      <c r="J1532" s="6">
        <v>33.828704833984403</v>
      </c>
      <c r="K1532" s="6">
        <v>38.806053161621101</v>
      </c>
      <c r="L1532" s="6">
        <v>39.593093872070298</v>
      </c>
    </row>
    <row r="1533" spans="1:12" x14ac:dyDescent="0.25">
      <c r="A1533">
        <v>2310902</v>
      </c>
      <c r="B1533" t="str">
        <f t="shared" si="23"/>
        <v>PIQUET CARNEIRO, CE, Brasil</v>
      </c>
      <c r="C1533" s="4" t="str">
        <f>_xlfn.XLOOKUP(A1533,[1]!DadosGHD[CD_GEOCMU],[1]!DadosGHD[Região])</f>
        <v>NE</v>
      </c>
      <c r="D1533" s="4" t="str">
        <f>_xlfn.XLOOKUP(A1533,[1]!DadosGHD[CD_GEOCMU],[1]!DadosGHD[uf])</f>
        <v>CE</v>
      </c>
      <c r="E1533" s="5" t="str">
        <f>_xlfn.XLOOKUP(A1533,[1]!DadosGHD[CD_GEOCMU],[1]!DadosGHD[MUNICIPIO])</f>
        <v>PIQUET CARNEIRO</v>
      </c>
      <c r="F1533" s="6">
        <v>33.7447700500488</v>
      </c>
      <c r="G1533" s="6">
        <v>33.792945861816399</v>
      </c>
      <c r="H1533" s="6">
        <v>33.831630706787102</v>
      </c>
      <c r="I1533" s="6">
        <v>33.854034423828097</v>
      </c>
      <c r="J1533" s="6">
        <v>33.888336181640597</v>
      </c>
      <c r="K1533" s="6">
        <v>33.912216186523402</v>
      </c>
      <c r="L1533" s="6">
        <v>30.699241638183601</v>
      </c>
    </row>
    <row r="1534" spans="1:12" x14ac:dyDescent="0.25">
      <c r="A1534">
        <v>3535101</v>
      </c>
      <c r="B1534" t="str">
        <f t="shared" si="23"/>
        <v>PALMARES PAULISTA, SP, Brasil</v>
      </c>
      <c r="C1534" s="4" t="str">
        <f>_xlfn.XLOOKUP(A1534,[1]!DadosGHD[CD_GEOCMU],[1]!DadosGHD[Região])</f>
        <v>SD</v>
      </c>
      <c r="D1534" s="4" t="str">
        <f>_xlfn.XLOOKUP(A1534,[1]!DadosGHD[CD_GEOCMU],[1]!DadosGHD[uf])</f>
        <v>SP</v>
      </c>
      <c r="E1534" s="5" t="str">
        <f>_xlfn.XLOOKUP(A1534,[1]!DadosGHD[CD_GEOCMU],[1]!DadosGHD[MUNICIPIO])</f>
        <v>PALMARES PAULISTA</v>
      </c>
      <c r="F1534" s="6">
        <v>33.744888305664098</v>
      </c>
      <c r="G1534" s="6">
        <v>33.820362091064503</v>
      </c>
      <c r="H1534" s="6">
        <v>33.853687286377003</v>
      </c>
      <c r="I1534" s="6">
        <v>33.8341064453125</v>
      </c>
      <c r="J1534" s="6">
        <v>33.855438232421903</v>
      </c>
      <c r="K1534" s="6">
        <v>33.866588592529297</v>
      </c>
      <c r="L1534" s="6">
        <v>35.132907867431598</v>
      </c>
    </row>
    <row r="1535" spans="1:12" x14ac:dyDescent="0.25">
      <c r="A1535">
        <v>2930303</v>
      </c>
      <c r="B1535" t="str">
        <f t="shared" si="23"/>
        <v>SERRA DOURADA, BA, Brasil</v>
      </c>
      <c r="C1535" s="4" t="str">
        <f>_xlfn.XLOOKUP(A1535,[1]!DadosGHD[CD_GEOCMU],[1]!DadosGHD[Região])</f>
        <v>NE</v>
      </c>
      <c r="D1535" s="4" t="str">
        <f>_xlfn.XLOOKUP(A1535,[1]!DadosGHD[CD_GEOCMU],[1]!DadosGHD[uf])</f>
        <v>BA</v>
      </c>
      <c r="E1535" s="5" t="str">
        <f>_xlfn.XLOOKUP(A1535,[1]!DadosGHD[CD_GEOCMU],[1]!DadosGHD[MUNICIPIO])</f>
        <v>SERRA DOURADA</v>
      </c>
      <c r="F1535" s="6">
        <v>33.745002746582003</v>
      </c>
      <c r="G1535" s="6">
        <v>33.816978454589801</v>
      </c>
      <c r="H1535" s="6">
        <v>33.888542175292997</v>
      </c>
      <c r="I1535" s="6">
        <v>38.728908538818402</v>
      </c>
      <c r="J1535" s="6">
        <v>38.764324188232401</v>
      </c>
      <c r="K1535" s="6">
        <v>38.803459167480497</v>
      </c>
      <c r="L1535" s="6">
        <v>39.568641662597699</v>
      </c>
    </row>
    <row r="1536" spans="1:12" x14ac:dyDescent="0.25">
      <c r="A1536">
        <v>2914000</v>
      </c>
      <c r="B1536" t="str">
        <f t="shared" si="23"/>
        <v>IPIRA, BA, Brasil</v>
      </c>
      <c r="C1536" s="4" t="str">
        <f>_xlfn.XLOOKUP(A1536,[1]!DadosGHD[CD_GEOCMU],[1]!DadosGHD[Região])</f>
        <v>NE</v>
      </c>
      <c r="D1536" s="4" t="str">
        <f>_xlfn.XLOOKUP(A1536,[1]!DadosGHD[CD_GEOCMU],[1]!DadosGHD[uf])</f>
        <v>BA</v>
      </c>
      <c r="E1536" s="5" t="str">
        <f>_xlfn.XLOOKUP(A1536,[1]!DadosGHD[CD_GEOCMU],[1]!DadosGHD[MUNICIPIO])</f>
        <v>IPIRA</v>
      </c>
      <c r="F1536" s="6">
        <v>33.745075225830099</v>
      </c>
      <c r="G1536" s="6">
        <v>33.827362060546903</v>
      </c>
      <c r="H1536" s="6">
        <v>38.746467590332003</v>
      </c>
      <c r="I1536" s="6">
        <v>38.716682434082003</v>
      </c>
      <c r="J1536" s="6">
        <v>33.877475738525398</v>
      </c>
      <c r="K1536" s="6">
        <v>33.920543670654297</v>
      </c>
      <c r="L1536" s="6">
        <v>35.1463623046875</v>
      </c>
    </row>
    <row r="1537" spans="1:12" x14ac:dyDescent="0.25">
      <c r="A1537">
        <v>2608701</v>
      </c>
      <c r="B1537" t="str">
        <f t="shared" si="23"/>
        <v>LAGOA DOS GATOS, PE, Brasil</v>
      </c>
      <c r="C1537" s="4" t="str">
        <f>_xlfn.XLOOKUP(A1537,[1]!DadosGHD[CD_GEOCMU],[1]!DadosGHD[Região])</f>
        <v>NE</v>
      </c>
      <c r="D1537" s="4" t="str">
        <f>_xlfn.XLOOKUP(A1537,[1]!DadosGHD[CD_GEOCMU],[1]!DadosGHD[uf])</f>
        <v>PE</v>
      </c>
      <c r="E1537" s="5" t="str">
        <f>_xlfn.XLOOKUP(A1537,[1]!DadosGHD[CD_GEOCMU],[1]!DadosGHD[MUNICIPIO])</f>
        <v>LAGOA DOS GATOS</v>
      </c>
      <c r="F1537" s="6">
        <v>33.745113372802699</v>
      </c>
      <c r="G1537" s="6">
        <v>33.842613220214801</v>
      </c>
      <c r="H1537" s="6">
        <v>33.885505676269503</v>
      </c>
      <c r="I1537" s="6">
        <v>33.860187530517599</v>
      </c>
      <c r="J1537" s="6">
        <v>33.875617980957003</v>
      </c>
      <c r="K1537" s="6">
        <v>33.900169372558601</v>
      </c>
      <c r="L1537" s="6">
        <v>35.137989044189503</v>
      </c>
    </row>
    <row r="1538" spans="1:12" x14ac:dyDescent="0.25">
      <c r="A1538">
        <v>2604502</v>
      </c>
      <c r="B1538" t="str">
        <f t="shared" si="23"/>
        <v>CHA GRANDE, PE, Brasil</v>
      </c>
      <c r="C1538" s="4" t="str">
        <f>_xlfn.XLOOKUP(A1538,[1]!DadosGHD[CD_GEOCMU],[1]!DadosGHD[Região])</f>
        <v>NE</v>
      </c>
      <c r="D1538" s="4" t="str">
        <f>_xlfn.XLOOKUP(A1538,[1]!DadosGHD[CD_GEOCMU],[1]!DadosGHD[uf])</f>
        <v>PE</v>
      </c>
      <c r="E1538" s="5" t="str">
        <f>_xlfn.XLOOKUP(A1538,[1]!DadosGHD[CD_GEOCMU],[1]!DadosGHD[MUNICIPIO])</f>
        <v>CHA GRANDE</v>
      </c>
      <c r="F1538" s="6">
        <v>33.745151519775398</v>
      </c>
      <c r="G1538" s="6">
        <v>33.814216613769503</v>
      </c>
      <c r="H1538" s="6">
        <v>33.8182563781738</v>
      </c>
      <c r="I1538" s="6">
        <v>33.812843322753899</v>
      </c>
      <c r="J1538" s="6">
        <v>33.866222381591797</v>
      </c>
      <c r="K1538" s="6">
        <v>38.818077087402301</v>
      </c>
      <c r="L1538" s="6">
        <v>39.564918518066399</v>
      </c>
    </row>
    <row r="1539" spans="1:12" x14ac:dyDescent="0.25">
      <c r="A1539">
        <v>2918605</v>
      </c>
      <c r="B1539" t="str">
        <f t="shared" si="23"/>
        <v>JUSSIAPE, BA, Brasil</v>
      </c>
      <c r="C1539" s="4" t="str">
        <f>_xlfn.XLOOKUP(A1539,[1]!DadosGHD[CD_GEOCMU],[1]!DadosGHD[Região])</f>
        <v>NE</v>
      </c>
      <c r="D1539" s="4" t="str">
        <f>_xlfn.XLOOKUP(A1539,[1]!DadosGHD[CD_GEOCMU],[1]!DadosGHD[uf])</f>
        <v>BA</v>
      </c>
      <c r="E1539" s="5" t="str">
        <f>_xlfn.XLOOKUP(A1539,[1]!DadosGHD[CD_GEOCMU],[1]!DadosGHD[MUNICIPIO])</f>
        <v>JUSSIAPE</v>
      </c>
      <c r="F1539" s="6">
        <v>33.745510101318402</v>
      </c>
      <c r="G1539" s="6">
        <v>33.795639038085902</v>
      </c>
      <c r="H1539" s="6">
        <v>38.820583343505902</v>
      </c>
      <c r="I1539" s="6">
        <v>38.742115020752003</v>
      </c>
      <c r="J1539" s="6">
        <v>38.759586334228501</v>
      </c>
      <c r="K1539" s="6">
        <v>33.923057556152301</v>
      </c>
      <c r="L1539" s="6">
        <v>35.120105743408203</v>
      </c>
    </row>
    <row r="1540" spans="1:12" x14ac:dyDescent="0.25">
      <c r="A1540">
        <v>2708006</v>
      </c>
      <c r="B1540" t="str">
        <f t="shared" ref="B1540:B1603" si="24">_xlfn.CONCAT(E1540, ", ", D1540, ", Brasil")</f>
        <v>SANTANA DO IPANEMA, AL, Brasil</v>
      </c>
      <c r="C1540" s="4" t="str">
        <f>_xlfn.XLOOKUP(A1540,[1]!DadosGHD[CD_GEOCMU],[1]!DadosGHD[Região])</f>
        <v>NE</v>
      </c>
      <c r="D1540" s="4" t="str">
        <f>_xlfn.XLOOKUP(A1540,[1]!DadosGHD[CD_GEOCMU],[1]!DadosGHD[uf])</f>
        <v>AL</v>
      </c>
      <c r="E1540" s="5" t="str">
        <f>_xlfn.XLOOKUP(A1540,[1]!DadosGHD[CD_GEOCMU],[1]!DadosGHD[MUNICIPIO])</f>
        <v>SANTANA DO IPANEMA</v>
      </c>
      <c r="F1540" s="6">
        <v>33.745658874511697</v>
      </c>
      <c r="G1540" s="6">
        <v>38.702526092529297</v>
      </c>
      <c r="H1540" s="6">
        <v>33.8819580078125</v>
      </c>
      <c r="I1540" s="6">
        <v>33.862751007080099</v>
      </c>
      <c r="J1540" s="6">
        <v>33.8740844726563</v>
      </c>
      <c r="K1540" s="6">
        <v>33.915679931640597</v>
      </c>
      <c r="L1540" s="6">
        <v>30.698295593261701</v>
      </c>
    </row>
    <row r="1541" spans="1:12" x14ac:dyDescent="0.25">
      <c r="A1541">
        <v>2312809</v>
      </c>
      <c r="B1541" t="str">
        <f t="shared" si="24"/>
        <v>SENADOR SA, CE, Brasil</v>
      </c>
      <c r="C1541" s="4" t="str">
        <f>_xlfn.XLOOKUP(A1541,[1]!DadosGHD[CD_GEOCMU],[1]!DadosGHD[Região])</f>
        <v>NE</v>
      </c>
      <c r="D1541" s="4" t="str">
        <f>_xlfn.XLOOKUP(A1541,[1]!DadosGHD[CD_GEOCMU],[1]!DadosGHD[uf])</f>
        <v>CE</v>
      </c>
      <c r="E1541" s="5" t="str">
        <f>_xlfn.XLOOKUP(A1541,[1]!DadosGHD[CD_GEOCMU],[1]!DadosGHD[MUNICIPIO])</f>
        <v>SENADOR SA</v>
      </c>
      <c r="F1541" s="6">
        <v>33.745811462402301</v>
      </c>
      <c r="G1541" s="6">
        <v>33.794021606445298</v>
      </c>
      <c r="H1541" s="6">
        <v>33.828216552734403</v>
      </c>
      <c r="I1541" s="6">
        <v>33.8016357421875</v>
      </c>
      <c r="J1541" s="6">
        <v>33.820114135742202</v>
      </c>
      <c r="K1541" s="6">
        <v>33.865207672119098</v>
      </c>
      <c r="L1541" s="6">
        <v>26.298692703247099</v>
      </c>
    </row>
    <row r="1542" spans="1:12" x14ac:dyDescent="0.25">
      <c r="A1542">
        <v>3165909</v>
      </c>
      <c r="B1542" t="str">
        <f t="shared" si="24"/>
        <v>SENADOR MODESTINO GONCALVES, MG, Brasil</v>
      </c>
      <c r="C1542" s="4" t="str">
        <f>_xlfn.XLOOKUP(A1542,[1]!DadosGHD[CD_GEOCMU],[1]!DadosGHD[Região])</f>
        <v>SD</v>
      </c>
      <c r="D1542" s="4" t="str">
        <f>_xlfn.XLOOKUP(A1542,[1]!DadosGHD[CD_GEOCMU],[1]!DadosGHD[uf])</f>
        <v>MG</v>
      </c>
      <c r="E1542" s="5" t="str">
        <f>_xlfn.XLOOKUP(A1542,[1]!DadosGHD[CD_GEOCMU],[1]!DadosGHD[MUNICIPIO])</f>
        <v>SENADOR MODESTINO GONCALVES</v>
      </c>
      <c r="F1542" s="6">
        <v>33.745941162109403</v>
      </c>
      <c r="G1542" s="6">
        <v>33.833778381347699</v>
      </c>
      <c r="H1542" s="6">
        <v>28.942651748657202</v>
      </c>
      <c r="I1542" s="6">
        <v>28.925045013427699</v>
      </c>
      <c r="J1542" s="6">
        <v>28.9409065246582</v>
      </c>
      <c r="K1542" s="6">
        <v>28.997486114501999</v>
      </c>
      <c r="L1542" s="6">
        <v>53.031097412109403</v>
      </c>
    </row>
    <row r="1543" spans="1:12" x14ac:dyDescent="0.25">
      <c r="A1543">
        <v>2301257</v>
      </c>
      <c r="B1543" t="str">
        <f t="shared" si="24"/>
        <v>ARARENDA, CE, Brasil</v>
      </c>
      <c r="C1543" s="4" t="str">
        <f>_xlfn.XLOOKUP(A1543,[1]!DadosGHD[CD_GEOCMU],[1]!DadosGHD[Região])</f>
        <v>NE</v>
      </c>
      <c r="D1543" s="4" t="str">
        <f>_xlfn.XLOOKUP(A1543,[1]!DadosGHD[CD_GEOCMU],[1]!DadosGHD[uf])</f>
        <v>CE</v>
      </c>
      <c r="E1543" s="5" t="str">
        <f>_xlfn.XLOOKUP(A1543,[1]!DadosGHD[CD_GEOCMU],[1]!DadosGHD[MUNICIPIO])</f>
        <v>ARARENDA</v>
      </c>
      <c r="F1543" s="6">
        <v>33.745956420898402</v>
      </c>
      <c r="G1543" s="6">
        <v>33.787612915039098</v>
      </c>
      <c r="H1543" s="6">
        <v>33.823760986328097</v>
      </c>
      <c r="I1543" s="6">
        <v>33.81884765625</v>
      </c>
      <c r="J1543" s="6">
        <v>38.757492065429702</v>
      </c>
      <c r="K1543" s="6">
        <v>38.790660858154297</v>
      </c>
      <c r="L1543" s="6">
        <v>39.575119018554702</v>
      </c>
    </row>
    <row r="1544" spans="1:12" x14ac:dyDescent="0.25">
      <c r="A1544">
        <v>3120870</v>
      </c>
      <c r="B1544" t="str">
        <f t="shared" si="24"/>
        <v>CURRAL DE DENTRO, MG, Brasil</v>
      </c>
      <c r="C1544" s="4" t="str">
        <f>_xlfn.XLOOKUP(A1544,[1]!DadosGHD[CD_GEOCMU],[1]!DadosGHD[Região])</f>
        <v>SD</v>
      </c>
      <c r="D1544" s="4" t="str">
        <f>_xlfn.XLOOKUP(A1544,[1]!DadosGHD[CD_GEOCMU],[1]!DadosGHD[uf])</f>
        <v>MG</v>
      </c>
      <c r="E1544" s="5" t="str">
        <f>_xlfn.XLOOKUP(A1544,[1]!DadosGHD[CD_GEOCMU],[1]!DadosGHD[MUNICIPIO])</f>
        <v>CURRAL DE DENTRO</v>
      </c>
      <c r="F1544" s="6">
        <v>33.745956420898402</v>
      </c>
      <c r="G1544" s="6">
        <v>33.7966918945313</v>
      </c>
      <c r="H1544" s="6">
        <v>33.832820892333999</v>
      </c>
      <c r="I1544" s="6">
        <v>33.803585052490199</v>
      </c>
      <c r="J1544" s="6">
        <v>33.813228607177699</v>
      </c>
      <c r="K1544" s="6">
        <v>33.870182037353501</v>
      </c>
      <c r="L1544" s="6">
        <v>30.722946166992202</v>
      </c>
    </row>
    <row r="1545" spans="1:12" x14ac:dyDescent="0.25">
      <c r="A1545">
        <v>2402303</v>
      </c>
      <c r="B1545" t="str">
        <f t="shared" si="24"/>
        <v>CARAUBAS, RN, Brasil</v>
      </c>
      <c r="C1545" s="4" t="str">
        <f>_xlfn.XLOOKUP(A1545,[1]!DadosGHD[CD_GEOCMU],[1]!DadosGHD[Região])</f>
        <v>NE</v>
      </c>
      <c r="D1545" s="4" t="str">
        <f>_xlfn.XLOOKUP(A1545,[1]!DadosGHD[CD_GEOCMU],[1]!DadosGHD[uf])</f>
        <v>RN</v>
      </c>
      <c r="E1545" s="5" t="str">
        <f>_xlfn.XLOOKUP(A1545,[1]!DadosGHD[CD_GEOCMU],[1]!DadosGHD[MUNICIPIO])</f>
        <v>CARAUBAS</v>
      </c>
      <c r="F1545" s="6">
        <v>33.746078491210902</v>
      </c>
      <c r="G1545" s="6">
        <v>33.841781616210902</v>
      </c>
      <c r="H1545" s="6">
        <v>38.762718200683601</v>
      </c>
      <c r="I1545" s="6">
        <v>38.730720520019503</v>
      </c>
      <c r="J1545" s="6">
        <v>38.756965637207003</v>
      </c>
      <c r="K1545" s="6">
        <v>38.817817687988303</v>
      </c>
      <c r="L1545" s="6">
        <v>39.589797973632798</v>
      </c>
    </row>
    <row r="1546" spans="1:12" x14ac:dyDescent="0.25">
      <c r="A1546">
        <v>2605806</v>
      </c>
      <c r="B1546" t="str">
        <f t="shared" si="24"/>
        <v>FREI MIGUELINHO, PE, Brasil</v>
      </c>
      <c r="C1546" s="4" t="str">
        <f>_xlfn.XLOOKUP(A1546,[1]!DadosGHD[CD_GEOCMU],[1]!DadosGHD[Região])</f>
        <v>NE</v>
      </c>
      <c r="D1546" s="4" t="str">
        <f>_xlfn.XLOOKUP(A1546,[1]!DadosGHD[CD_GEOCMU],[1]!DadosGHD[uf])</f>
        <v>PE</v>
      </c>
      <c r="E1546" s="5" t="str">
        <f>_xlfn.XLOOKUP(A1546,[1]!DadosGHD[CD_GEOCMU],[1]!DadosGHD[MUNICIPIO])</f>
        <v>FREI MIGUELINHO</v>
      </c>
      <c r="F1546" s="6">
        <v>33.74609375</v>
      </c>
      <c r="G1546" s="6">
        <v>33.780971527099602</v>
      </c>
      <c r="H1546" s="6">
        <v>28.94460105896</v>
      </c>
      <c r="I1546" s="6">
        <v>28.925523757934599</v>
      </c>
      <c r="J1546" s="6">
        <v>28.9409065246582</v>
      </c>
      <c r="K1546" s="6">
        <v>29.0059204101563</v>
      </c>
      <c r="L1546" s="6">
        <v>35.116973876953097</v>
      </c>
    </row>
    <row r="1547" spans="1:12" x14ac:dyDescent="0.25">
      <c r="A1547">
        <v>2412807</v>
      </c>
      <c r="B1547" t="str">
        <f t="shared" si="24"/>
        <v>SAO RAFAEL, RN, Brasil</v>
      </c>
      <c r="C1547" s="4" t="str">
        <f>_xlfn.XLOOKUP(A1547,[1]!DadosGHD[CD_GEOCMU],[1]!DadosGHD[Região])</f>
        <v>NE</v>
      </c>
      <c r="D1547" s="4" t="str">
        <f>_xlfn.XLOOKUP(A1547,[1]!DadosGHD[CD_GEOCMU],[1]!DadosGHD[uf])</f>
        <v>RN</v>
      </c>
      <c r="E1547" s="5" t="str">
        <f>_xlfn.XLOOKUP(A1547,[1]!DadosGHD[CD_GEOCMU],[1]!DadosGHD[MUNICIPIO])</f>
        <v>SAO RAFAEL</v>
      </c>
      <c r="F1547" s="6">
        <v>33.7461547851563</v>
      </c>
      <c r="G1547" s="6">
        <v>33.836662292480497</v>
      </c>
      <c r="H1547" s="6">
        <v>33.872928619384801</v>
      </c>
      <c r="I1547" s="6">
        <v>33.8480415344238</v>
      </c>
      <c r="J1547" s="6">
        <v>33.876194000244098</v>
      </c>
      <c r="K1547" s="6">
        <v>43.759933471679702</v>
      </c>
      <c r="L1547" s="6">
        <v>44.053050994873097</v>
      </c>
    </row>
    <row r="1548" spans="1:12" x14ac:dyDescent="0.25">
      <c r="A1548">
        <v>2202703</v>
      </c>
      <c r="B1548" t="str">
        <f t="shared" si="24"/>
        <v>COCAL, PI, Brasil</v>
      </c>
      <c r="C1548" s="4" t="str">
        <f>_xlfn.XLOOKUP(A1548,[1]!DadosGHD[CD_GEOCMU],[1]!DadosGHD[Região])</f>
        <v>NE</v>
      </c>
      <c r="D1548" s="4" t="str">
        <f>_xlfn.XLOOKUP(A1548,[1]!DadosGHD[CD_GEOCMU],[1]!DadosGHD[uf])</f>
        <v>PI</v>
      </c>
      <c r="E1548" s="5" t="str">
        <f>_xlfn.XLOOKUP(A1548,[1]!DadosGHD[CD_GEOCMU],[1]!DadosGHD[MUNICIPIO])</f>
        <v>COCAL</v>
      </c>
      <c r="F1548" s="6">
        <v>33.746231079101598</v>
      </c>
      <c r="G1548" s="6">
        <v>33.805877685546903</v>
      </c>
      <c r="H1548" s="6">
        <v>33.839874267578097</v>
      </c>
      <c r="I1548" s="6">
        <v>33.815074920654297</v>
      </c>
      <c r="J1548" s="6">
        <v>33.835803985595703</v>
      </c>
      <c r="K1548" s="6">
        <v>33.865077972412102</v>
      </c>
      <c r="L1548" s="6">
        <v>26.282598495483398</v>
      </c>
    </row>
    <row r="1549" spans="1:12" x14ac:dyDescent="0.25">
      <c r="A1549">
        <v>2706406</v>
      </c>
      <c r="B1549" t="str">
        <f t="shared" si="24"/>
        <v>PAO DE ACUCAR, AL, Brasil</v>
      </c>
      <c r="C1549" s="4" t="str">
        <f>_xlfn.XLOOKUP(A1549,[1]!DadosGHD[CD_GEOCMU],[1]!DadosGHD[Região])</f>
        <v>NE</v>
      </c>
      <c r="D1549" s="4" t="str">
        <f>_xlfn.XLOOKUP(A1549,[1]!DadosGHD[CD_GEOCMU],[1]!DadosGHD[uf])</f>
        <v>AL</v>
      </c>
      <c r="E1549" s="5" t="str">
        <f>_xlfn.XLOOKUP(A1549,[1]!DadosGHD[CD_GEOCMU],[1]!DadosGHD[MUNICIPIO])</f>
        <v>PAO DE ACUCAR</v>
      </c>
      <c r="F1549" s="6">
        <v>33.746456146240199</v>
      </c>
      <c r="G1549" s="6">
        <v>33.805675506591797</v>
      </c>
      <c r="H1549" s="6">
        <v>33.8475151062012</v>
      </c>
      <c r="I1549" s="6">
        <v>33.827503204345703</v>
      </c>
      <c r="J1549" s="6">
        <v>33.844123840332003</v>
      </c>
      <c r="K1549" s="6">
        <v>33.872745513916001</v>
      </c>
      <c r="L1549" s="6">
        <v>26.285596847534201</v>
      </c>
    </row>
    <row r="1550" spans="1:12" x14ac:dyDescent="0.25">
      <c r="A1550">
        <v>2104677</v>
      </c>
      <c r="B1550" t="str">
        <f t="shared" si="24"/>
        <v>GOVERNADOR NUNES FREIRE, MA, Brasil</v>
      </c>
      <c r="C1550" s="4" t="str">
        <f>_xlfn.XLOOKUP(A1550,[1]!DadosGHD[CD_GEOCMU],[1]!DadosGHD[Região])</f>
        <v>NE</v>
      </c>
      <c r="D1550" s="4" t="str">
        <f>_xlfn.XLOOKUP(A1550,[1]!DadosGHD[CD_GEOCMU],[1]!DadosGHD[uf])</f>
        <v>MA</v>
      </c>
      <c r="E1550" s="5" t="str">
        <f>_xlfn.XLOOKUP(A1550,[1]!DadosGHD[CD_GEOCMU],[1]!DadosGHD[MUNICIPIO])</f>
        <v>GOVERNADOR NUNES FREIRE</v>
      </c>
      <c r="F1550" s="6">
        <v>33.746490478515597</v>
      </c>
      <c r="G1550" s="6">
        <v>33.805130004882798</v>
      </c>
      <c r="H1550" s="6">
        <v>33.8471069335938</v>
      </c>
      <c r="I1550" s="6">
        <v>33.831039428710902</v>
      </c>
      <c r="J1550" s="6">
        <v>33.848129272460902</v>
      </c>
      <c r="K1550" s="6">
        <v>33.877586364746101</v>
      </c>
      <c r="L1550" s="6">
        <v>26.287778854370099</v>
      </c>
    </row>
    <row r="1551" spans="1:12" x14ac:dyDescent="0.25">
      <c r="A1551">
        <v>2515302</v>
      </c>
      <c r="B1551" t="str">
        <f t="shared" si="24"/>
        <v>SAPE, PB, Brasil</v>
      </c>
      <c r="C1551" s="4" t="str">
        <f>_xlfn.XLOOKUP(A1551,[1]!DadosGHD[CD_GEOCMU],[1]!DadosGHD[Região])</f>
        <v>NE</v>
      </c>
      <c r="D1551" s="4" t="str">
        <f>_xlfn.XLOOKUP(A1551,[1]!DadosGHD[CD_GEOCMU],[1]!DadosGHD[uf])</f>
        <v>PB</v>
      </c>
      <c r="E1551" s="5" t="str">
        <f>_xlfn.XLOOKUP(A1551,[1]!DadosGHD[CD_GEOCMU],[1]!DadosGHD[MUNICIPIO])</f>
        <v>SAPE</v>
      </c>
      <c r="F1551" s="6">
        <v>33.746536254882798</v>
      </c>
      <c r="G1551" s="6">
        <v>33.819107055664098</v>
      </c>
      <c r="H1551" s="6">
        <v>38.745037078857401</v>
      </c>
      <c r="I1551" s="6">
        <v>38.746025085449197</v>
      </c>
      <c r="J1551" s="6">
        <v>38.809314727783203</v>
      </c>
      <c r="K1551" s="6">
        <v>33.890918731689503</v>
      </c>
      <c r="L1551" s="6">
        <v>26.2944660186768</v>
      </c>
    </row>
    <row r="1552" spans="1:12" x14ac:dyDescent="0.25">
      <c r="A1552">
        <v>2907509</v>
      </c>
      <c r="B1552" t="str">
        <f t="shared" si="24"/>
        <v>CATU, BA, Brasil</v>
      </c>
      <c r="C1552" s="4" t="str">
        <f>_xlfn.XLOOKUP(A1552,[1]!DadosGHD[CD_GEOCMU],[1]!DadosGHD[Região])</f>
        <v>NE</v>
      </c>
      <c r="D1552" s="4" t="str">
        <f>_xlfn.XLOOKUP(A1552,[1]!DadosGHD[CD_GEOCMU],[1]!DadosGHD[uf])</f>
        <v>BA</v>
      </c>
      <c r="E1552" s="5" t="str">
        <f>_xlfn.XLOOKUP(A1552,[1]!DadosGHD[CD_GEOCMU],[1]!DadosGHD[MUNICIPIO])</f>
        <v>CATU</v>
      </c>
      <c r="F1552" s="6">
        <v>33.746559143066399</v>
      </c>
      <c r="G1552" s="6">
        <v>33.822113037109403</v>
      </c>
      <c r="H1552" s="6">
        <v>33.862674713134801</v>
      </c>
      <c r="I1552" s="6">
        <v>33.865470886230497</v>
      </c>
      <c r="J1552" s="6">
        <v>38.746879577636697</v>
      </c>
      <c r="K1552" s="6">
        <v>38.796974182128899</v>
      </c>
      <c r="L1552" s="6">
        <v>39.565761566162102</v>
      </c>
    </row>
    <row r="1553" spans="1:12" x14ac:dyDescent="0.25">
      <c r="A1553">
        <v>2504801</v>
      </c>
      <c r="B1553" t="str">
        <f t="shared" si="24"/>
        <v>COREMAS, PB, Brasil</v>
      </c>
      <c r="C1553" s="4" t="str">
        <f>_xlfn.XLOOKUP(A1553,[1]!DadosGHD[CD_GEOCMU],[1]!DadosGHD[Região])</f>
        <v>NE</v>
      </c>
      <c r="D1553" s="4" t="str">
        <f>_xlfn.XLOOKUP(A1553,[1]!DadosGHD[CD_GEOCMU],[1]!DadosGHD[uf])</f>
        <v>PB</v>
      </c>
      <c r="E1553" s="5" t="str">
        <f>_xlfn.XLOOKUP(A1553,[1]!DadosGHD[CD_GEOCMU],[1]!DadosGHD[MUNICIPIO])</f>
        <v>COREMAS</v>
      </c>
      <c r="F1553" s="6">
        <v>33.746559143066399</v>
      </c>
      <c r="G1553" s="6">
        <v>33.799789428710902</v>
      </c>
      <c r="H1553" s="6">
        <v>33.838737487792997</v>
      </c>
      <c r="I1553" s="6">
        <v>33.870132446289098</v>
      </c>
      <c r="J1553" s="6">
        <v>33.869430541992202</v>
      </c>
      <c r="K1553" s="6">
        <v>33.888309478759801</v>
      </c>
      <c r="L1553" s="6">
        <v>30.690443038940401</v>
      </c>
    </row>
    <row r="1554" spans="1:12" x14ac:dyDescent="0.25">
      <c r="A1554">
        <v>2509909</v>
      </c>
      <c r="B1554" t="str">
        <f t="shared" si="24"/>
        <v>NATUBA, PB, Brasil</v>
      </c>
      <c r="C1554" s="4" t="str">
        <f>_xlfn.XLOOKUP(A1554,[1]!DadosGHD[CD_GEOCMU],[1]!DadosGHD[Região])</f>
        <v>NE</v>
      </c>
      <c r="D1554" s="4" t="str">
        <f>_xlfn.XLOOKUP(A1554,[1]!DadosGHD[CD_GEOCMU],[1]!DadosGHD[uf])</f>
        <v>PB</v>
      </c>
      <c r="E1554" s="5" t="str">
        <f>_xlfn.XLOOKUP(A1554,[1]!DadosGHD[CD_GEOCMU],[1]!DadosGHD[MUNICIPIO])</f>
        <v>NATUBA</v>
      </c>
      <c r="F1554" s="6">
        <v>33.746852874755902</v>
      </c>
      <c r="G1554" s="6">
        <v>33.792926788330099</v>
      </c>
      <c r="H1554" s="6">
        <v>33.851181030273402</v>
      </c>
      <c r="I1554" s="6">
        <v>33.826541900634801</v>
      </c>
      <c r="J1554" s="6">
        <v>33.809947967529297</v>
      </c>
      <c r="K1554" s="6">
        <v>33.843574523925803</v>
      </c>
      <c r="L1554" s="6">
        <v>30.691022872924801</v>
      </c>
    </row>
    <row r="1555" spans="1:12" x14ac:dyDescent="0.25">
      <c r="A1555">
        <v>2902658</v>
      </c>
      <c r="B1555" t="str">
        <f t="shared" si="24"/>
        <v>BANZAE, BA, Brasil</v>
      </c>
      <c r="C1555" s="4" t="str">
        <f>_xlfn.XLOOKUP(A1555,[1]!DadosGHD[CD_GEOCMU],[1]!DadosGHD[Região])</f>
        <v>NE</v>
      </c>
      <c r="D1555" s="4" t="str">
        <f>_xlfn.XLOOKUP(A1555,[1]!DadosGHD[CD_GEOCMU],[1]!DadosGHD[uf])</f>
        <v>BA</v>
      </c>
      <c r="E1555" s="5" t="str">
        <f>_xlfn.XLOOKUP(A1555,[1]!DadosGHD[CD_GEOCMU],[1]!DadosGHD[MUNICIPIO])</f>
        <v>BANZAE</v>
      </c>
      <c r="F1555" s="6">
        <v>33.746868133544901</v>
      </c>
      <c r="G1555" s="6">
        <v>33.795677185058601</v>
      </c>
      <c r="H1555" s="6">
        <v>33.835643768310597</v>
      </c>
      <c r="I1555" s="6">
        <v>33.8121147155762</v>
      </c>
      <c r="J1555" s="6">
        <v>33.829357147216797</v>
      </c>
      <c r="K1555" s="6">
        <v>33.861011505127003</v>
      </c>
      <c r="L1555" s="6">
        <v>26.295951843261701</v>
      </c>
    </row>
    <row r="1556" spans="1:12" x14ac:dyDescent="0.25">
      <c r="A1556">
        <v>2919306</v>
      </c>
      <c r="B1556" t="str">
        <f t="shared" si="24"/>
        <v>LENCOIS, BA, Brasil</v>
      </c>
      <c r="C1556" s="4" t="str">
        <f>_xlfn.XLOOKUP(A1556,[1]!DadosGHD[CD_GEOCMU],[1]!DadosGHD[Região])</f>
        <v>NE</v>
      </c>
      <c r="D1556" s="4" t="str">
        <f>_xlfn.XLOOKUP(A1556,[1]!DadosGHD[CD_GEOCMU],[1]!DadosGHD[uf])</f>
        <v>BA</v>
      </c>
      <c r="E1556" s="5" t="str">
        <f>_xlfn.XLOOKUP(A1556,[1]!DadosGHD[CD_GEOCMU],[1]!DadosGHD[MUNICIPIO])</f>
        <v>LENCOIS</v>
      </c>
      <c r="F1556" s="6">
        <v>33.746917724609403</v>
      </c>
      <c r="G1556" s="6">
        <v>33.836467742919901</v>
      </c>
      <c r="H1556" s="6">
        <v>33.886383056640597</v>
      </c>
      <c r="I1556" s="6">
        <v>38.7486763000488</v>
      </c>
      <c r="J1556" s="6">
        <v>38.756191253662102</v>
      </c>
      <c r="K1556" s="6">
        <v>38.784664154052699</v>
      </c>
      <c r="L1556" s="6">
        <v>35.117874145507798</v>
      </c>
    </row>
    <row r="1557" spans="1:12" x14ac:dyDescent="0.25">
      <c r="A1557">
        <v>4305371</v>
      </c>
      <c r="B1557" t="str">
        <f t="shared" si="24"/>
        <v>CHARRUA, RS, Brasil</v>
      </c>
      <c r="C1557" s="4" t="str">
        <f>_xlfn.XLOOKUP(A1557,[1]!DadosGHD[CD_GEOCMU],[1]!DadosGHD[Região])</f>
        <v>SL</v>
      </c>
      <c r="D1557" s="4" t="str">
        <f>_xlfn.XLOOKUP(A1557,[1]!DadosGHD[CD_GEOCMU],[1]!DadosGHD[uf])</f>
        <v>RS</v>
      </c>
      <c r="E1557" s="5" t="str">
        <f>_xlfn.XLOOKUP(A1557,[1]!DadosGHD[CD_GEOCMU],[1]!DadosGHD[MUNICIPIO])</f>
        <v>CHARRUA</v>
      </c>
      <c r="F1557" s="6">
        <v>33.746917724609403</v>
      </c>
      <c r="G1557" s="6">
        <v>43.692737579345703</v>
      </c>
      <c r="H1557" s="6">
        <v>43.777408599853501</v>
      </c>
      <c r="I1557" s="6">
        <v>43.772228240966797</v>
      </c>
      <c r="J1557" s="6">
        <v>43.807689666748097</v>
      </c>
      <c r="K1557" s="6">
        <v>43.865188598632798</v>
      </c>
      <c r="L1557" s="6">
        <v>35.125522613525398</v>
      </c>
    </row>
    <row r="1558" spans="1:12" x14ac:dyDescent="0.25">
      <c r="A1558">
        <v>1702901</v>
      </c>
      <c r="B1558" t="str">
        <f t="shared" si="24"/>
        <v>AXIXA DO TOCANTINS, TO, Brasil</v>
      </c>
      <c r="C1558" s="4" t="str">
        <f>_xlfn.XLOOKUP(A1558,[1]!DadosGHD[CD_GEOCMU],[1]!DadosGHD[Região])</f>
        <v>NO</v>
      </c>
      <c r="D1558" s="4" t="str">
        <f>_xlfn.XLOOKUP(A1558,[1]!DadosGHD[CD_GEOCMU],[1]!DadosGHD[uf])</f>
        <v>TO</v>
      </c>
      <c r="E1558" s="5" t="str">
        <f>_xlfn.XLOOKUP(A1558,[1]!DadosGHD[CD_GEOCMU],[1]!DadosGHD[MUNICIPIO])</f>
        <v>AXIXA DO TOCANTINS</v>
      </c>
      <c r="F1558" s="6">
        <v>33.746917724609403</v>
      </c>
      <c r="G1558" s="6">
        <v>33.773902893066399</v>
      </c>
      <c r="H1558" s="6">
        <v>33.810905456542997</v>
      </c>
      <c r="I1558" s="6">
        <v>28.955520629882798</v>
      </c>
      <c r="J1558" s="6">
        <v>28.968774795532202</v>
      </c>
      <c r="K1558" s="6">
        <v>28.998762130737301</v>
      </c>
      <c r="L1558" s="6">
        <v>26.2798957824707</v>
      </c>
    </row>
    <row r="1559" spans="1:12" x14ac:dyDescent="0.25">
      <c r="A1559">
        <v>5219753</v>
      </c>
      <c r="B1559" t="str">
        <f t="shared" si="24"/>
        <v>SANTO ANTONIO DO DESCOBERTO, GO, Brasil</v>
      </c>
      <c r="C1559" s="4" t="str">
        <f>_xlfn.XLOOKUP(A1559,[1]!DadosGHD[CD_GEOCMU],[1]!DadosGHD[Região])</f>
        <v>CO</v>
      </c>
      <c r="D1559" s="4" t="str">
        <f>_xlfn.XLOOKUP(A1559,[1]!DadosGHD[CD_GEOCMU],[1]!DadosGHD[uf])</f>
        <v>GO</v>
      </c>
      <c r="E1559" s="5" t="str">
        <f>_xlfn.XLOOKUP(A1559,[1]!DadosGHD[CD_GEOCMU],[1]!DadosGHD[MUNICIPIO])</f>
        <v>SANTO ANTONIO DO DESCOBERTO</v>
      </c>
      <c r="F1559" s="6">
        <v>33.746917724609403</v>
      </c>
      <c r="G1559" s="6">
        <v>33.830673217773402</v>
      </c>
      <c r="H1559" s="6">
        <v>33.873897552490199</v>
      </c>
      <c r="I1559" s="6">
        <v>33.856559753417997</v>
      </c>
      <c r="J1559" s="6">
        <v>33.825859069824197</v>
      </c>
      <c r="K1559" s="6">
        <v>33.8665962219238</v>
      </c>
      <c r="L1559" s="6">
        <v>35.1250190734863</v>
      </c>
    </row>
    <row r="1560" spans="1:12" x14ac:dyDescent="0.25">
      <c r="A1560">
        <v>3150000</v>
      </c>
      <c r="B1560" t="str">
        <f t="shared" si="24"/>
        <v>PESCADOR, MG, Brasil</v>
      </c>
      <c r="C1560" s="4" t="str">
        <f>_xlfn.XLOOKUP(A1560,[1]!DadosGHD[CD_GEOCMU],[1]!DadosGHD[Região])</f>
        <v>SD</v>
      </c>
      <c r="D1560" s="4" t="str">
        <f>_xlfn.XLOOKUP(A1560,[1]!DadosGHD[CD_GEOCMU],[1]!DadosGHD[uf])</f>
        <v>MG</v>
      </c>
      <c r="E1560" s="5" t="str">
        <f>_xlfn.XLOOKUP(A1560,[1]!DadosGHD[CD_GEOCMU],[1]!DadosGHD[MUNICIPIO])</f>
        <v>PESCADOR</v>
      </c>
      <c r="F1560" s="6">
        <v>33.7469673156738</v>
      </c>
      <c r="G1560" s="6">
        <v>38.723587036132798</v>
      </c>
      <c r="H1560" s="6">
        <v>38.765560150146499</v>
      </c>
      <c r="I1560" s="6">
        <v>38.739387512207003</v>
      </c>
      <c r="J1560" s="6">
        <v>38.782768249511697</v>
      </c>
      <c r="K1560" s="6">
        <v>38.820243835449197</v>
      </c>
      <c r="L1560" s="6">
        <v>35.141933441162102</v>
      </c>
    </row>
    <row r="1561" spans="1:12" x14ac:dyDescent="0.25">
      <c r="A1561">
        <v>2200301</v>
      </c>
      <c r="B1561" t="str">
        <f t="shared" si="24"/>
        <v>ALTO LONGA, PI, Brasil</v>
      </c>
      <c r="C1561" s="4" t="str">
        <f>_xlfn.XLOOKUP(A1561,[1]!DadosGHD[CD_GEOCMU],[1]!DadosGHD[Região])</f>
        <v>NE</v>
      </c>
      <c r="D1561" s="4" t="str">
        <f>_xlfn.XLOOKUP(A1561,[1]!DadosGHD[CD_GEOCMU],[1]!DadosGHD[uf])</f>
        <v>PI</v>
      </c>
      <c r="E1561" s="5" t="str">
        <f>_xlfn.XLOOKUP(A1561,[1]!DadosGHD[CD_GEOCMU],[1]!DadosGHD[MUNICIPIO])</f>
        <v>ALTO LONGA</v>
      </c>
      <c r="F1561" s="6">
        <v>33.747112274169901</v>
      </c>
      <c r="G1561" s="6">
        <v>33.794216156005902</v>
      </c>
      <c r="H1561" s="6">
        <v>33.827297210693402</v>
      </c>
      <c r="I1561" s="6">
        <v>33.803501129150398</v>
      </c>
      <c r="J1561" s="6">
        <v>28.973983764648398</v>
      </c>
      <c r="K1561" s="6">
        <v>33.843276977539098</v>
      </c>
      <c r="L1561" s="6">
        <v>26.286046981811499</v>
      </c>
    </row>
    <row r="1562" spans="1:12" x14ac:dyDescent="0.25">
      <c r="A1562">
        <v>2907608</v>
      </c>
      <c r="B1562" t="str">
        <f t="shared" si="24"/>
        <v>CENTRAL, BA, Brasil</v>
      </c>
      <c r="C1562" s="4" t="str">
        <f>_xlfn.XLOOKUP(A1562,[1]!DadosGHD[CD_GEOCMU],[1]!DadosGHD[Região])</f>
        <v>NE</v>
      </c>
      <c r="D1562" s="4" t="str">
        <f>_xlfn.XLOOKUP(A1562,[1]!DadosGHD[CD_GEOCMU],[1]!DadosGHD[uf])</f>
        <v>BA</v>
      </c>
      <c r="E1562" s="5" t="str">
        <f>_xlfn.XLOOKUP(A1562,[1]!DadosGHD[CD_GEOCMU],[1]!DadosGHD[MUNICIPIO])</f>
        <v>CENTRAL</v>
      </c>
      <c r="F1562" s="6">
        <v>33.747371673583999</v>
      </c>
      <c r="G1562" s="6">
        <v>38.746849060058601</v>
      </c>
      <c r="H1562" s="6">
        <v>38.829444885253899</v>
      </c>
      <c r="I1562" s="6">
        <v>38.798961639404297</v>
      </c>
      <c r="J1562" s="6">
        <v>33.874656677246101</v>
      </c>
      <c r="K1562" s="6">
        <v>28.987604141235401</v>
      </c>
      <c r="L1562" s="6">
        <v>26.2895317077637</v>
      </c>
    </row>
    <row r="1563" spans="1:12" x14ac:dyDescent="0.25">
      <c r="A1563">
        <v>2917409</v>
      </c>
      <c r="B1563" t="str">
        <f t="shared" si="24"/>
        <v>JACARACI, BA, Brasil</v>
      </c>
      <c r="C1563" s="4" t="str">
        <f>_xlfn.XLOOKUP(A1563,[1]!DadosGHD[CD_GEOCMU],[1]!DadosGHD[Região])</f>
        <v>NE</v>
      </c>
      <c r="D1563" s="4" t="str">
        <f>_xlfn.XLOOKUP(A1563,[1]!DadosGHD[CD_GEOCMU],[1]!DadosGHD[uf])</f>
        <v>BA</v>
      </c>
      <c r="E1563" s="5" t="str">
        <f>_xlfn.XLOOKUP(A1563,[1]!DadosGHD[CD_GEOCMU],[1]!DadosGHD[MUNICIPIO])</f>
        <v>JACARACI</v>
      </c>
      <c r="F1563" s="6">
        <v>33.747520446777301</v>
      </c>
      <c r="G1563" s="6">
        <v>33.803604125976598</v>
      </c>
      <c r="H1563" s="6">
        <v>33.862098693847699</v>
      </c>
      <c r="I1563" s="6">
        <v>33.860870361328097</v>
      </c>
      <c r="J1563" s="6">
        <v>33.8550415039063</v>
      </c>
      <c r="K1563" s="6">
        <v>33.910579681396499</v>
      </c>
      <c r="L1563" s="6">
        <v>30.710067749023398</v>
      </c>
    </row>
    <row r="1564" spans="1:12" x14ac:dyDescent="0.25">
      <c r="A1564">
        <v>2931103</v>
      </c>
      <c r="B1564" t="str">
        <f t="shared" si="24"/>
        <v>TANQUINHO, BA, Brasil</v>
      </c>
      <c r="C1564" s="4" t="str">
        <f>_xlfn.XLOOKUP(A1564,[1]!DadosGHD[CD_GEOCMU],[1]!DadosGHD[Região])</f>
        <v>NE</v>
      </c>
      <c r="D1564" s="4" t="str">
        <f>_xlfn.XLOOKUP(A1564,[1]!DadosGHD[CD_GEOCMU],[1]!DadosGHD[uf])</f>
        <v>BA</v>
      </c>
      <c r="E1564" s="5" t="str">
        <f>_xlfn.XLOOKUP(A1564,[1]!DadosGHD[CD_GEOCMU],[1]!DadosGHD[MUNICIPIO])</f>
        <v>TANQUINHO</v>
      </c>
      <c r="F1564" s="6">
        <v>33.747665405273402</v>
      </c>
      <c r="G1564" s="6">
        <v>33.775348663330099</v>
      </c>
      <c r="H1564" s="6">
        <v>33.824897766113303</v>
      </c>
      <c r="I1564" s="6">
        <v>33.804008483886697</v>
      </c>
      <c r="J1564" s="6">
        <v>33.823375701904297</v>
      </c>
      <c r="K1564" s="6">
        <v>28.9686679840088</v>
      </c>
      <c r="L1564" s="6">
        <v>26.2798957824707</v>
      </c>
    </row>
    <row r="1565" spans="1:12" x14ac:dyDescent="0.25">
      <c r="A1565">
        <v>2511103</v>
      </c>
      <c r="B1565" t="str">
        <f t="shared" si="24"/>
        <v>PEDRA LAVRADA, PB, Brasil</v>
      </c>
      <c r="C1565" s="4" t="str">
        <f>_xlfn.XLOOKUP(A1565,[1]!DadosGHD[CD_GEOCMU],[1]!DadosGHD[Região])</f>
        <v>NE</v>
      </c>
      <c r="D1565" s="4" t="str">
        <f>_xlfn.XLOOKUP(A1565,[1]!DadosGHD[CD_GEOCMU],[1]!DadosGHD[uf])</f>
        <v>PB</v>
      </c>
      <c r="E1565" s="5" t="str">
        <f>_xlfn.XLOOKUP(A1565,[1]!DadosGHD[CD_GEOCMU],[1]!DadosGHD[MUNICIPIO])</f>
        <v>PEDRA LAVRADA</v>
      </c>
      <c r="F1565" s="6">
        <v>33.747795104980497</v>
      </c>
      <c r="G1565" s="6">
        <v>33.803928375244098</v>
      </c>
      <c r="H1565" s="6">
        <v>33.8348197937012</v>
      </c>
      <c r="I1565" s="6">
        <v>33.800052642822301</v>
      </c>
      <c r="J1565" s="6">
        <v>33.8205757141113</v>
      </c>
      <c r="K1565" s="6">
        <v>38.7890434265137</v>
      </c>
      <c r="L1565" s="6">
        <v>39.572872161865199</v>
      </c>
    </row>
    <row r="1566" spans="1:12" x14ac:dyDescent="0.25">
      <c r="A1566">
        <v>2308203</v>
      </c>
      <c r="B1566" t="str">
        <f t="shared" si="24"/>
        <v>MERUOCA, CE, Brasil</v>
      </c>
      <c r="C1566" s="4" t="str">
        <f>_xlfn.XLOOKUP(A1566,[1]!DadosGHD[CD_GEOCMU],[1]!DadosGHD[Região])</f>
        <v>NE</v>
      </c>
      <c r="D1566" s="4" t="str">
        <f>_xlfn.XLOOKUP(A1566,[1]!DadosGHD[CD_GEOCMU],[1]!DadosGHD[uf])</f>
        <v>CE</v>
      </c>
      <c r="E1566" s="5" t="str">
        <f>_xlfn.XLOOKUP(A1566,[1]!DadosGHD[CD_GEOCMU],[1]!DadosGHD[MUNICIPIO])</f>
        <v>MERUOCA</v>
      </c>
      <c r="F1566" s="6">
        <v>33.748001098632798</v>
      </c>
      <c r="G1566" s="6">
        <v>33.792839050292997</v>
      </c>
      <c r="H1566" s="6">
        <v>33.829540252685597</v>
      </c>
      <c r="I1566" s="6">
        <v>33.802661895752003</v>
      </c>
      <c r="J1566" s="6">
        <v>38.770313262939503</v>
      </c>
      <c r="K1566" s="6">
        <v>38.810855865478501</v>
      </c>
      <c r="L1566" s="6">
        <v>35.144283294677699</v>
      </c>
    </row>
    <row r="1567" spans="1:12" x14ac:dyDescent="0.25">
      <c r="A1567">
        <v>4310538</v>
      </c>
      <c r="B1567" t="str">
        <f t="shared" si="24"/>
        <v>ITAARA, RS, Brasil</v>
      </c>
      <c r="C1567" s="4" t="str">
        <f>_xlfn.XLOOKUP(A1567,[1]!DadosGHD[CD_GEOCMU],[1]!DadosGHD[Região])</f>
        <v>SL</v>
      </c>
      <c r="D1567" s="4" t="str">
        <f>_xlfn.XLOOKUP(A1567,[1]!DadosGHD[CD_GEOCMU],[1]!DadosGHD[uf])</f>
        <v>RS</v>
      </c>
      <c r="E1567" s="5" t="str">
        <f>_xlfn.XLOOKUP(A1567,[1]!DadosGHD[CD_GEOCMU],[1]!DadosGHD[MUNICIPIO])</f>
        <v>ITAARA</v>
      </c>
      <c r="F1567" s="6">
        <v>33.748184204101598</v>
      </c>
      <c r="G1567" s="6">
        <v>38.776237487792997</v>
      </c>
      <c r="H1567" s="6">
        <v>38.808673858642599</v>
      </c>
      <c r="I1567" s="6">
        <v>43.6841430664063</v>
      </c>
      <c r="J1567" s="6">
        <v>43.743442535400398</v>
      </c>
      <c r="K1567" s="6">
        <v>43.828449249267599</v>
      </c>
      <c r="L1567" s="6">
        <v>48.507808685302699</v>
      </c>
    </row>
    <row r="1568" spans="1:12" x14ac:dyDescent="0.25">
      <c r="A1568">
        <v>2513208</v>
      </c>
      <c r="B1568" t="str">
        <f t="shared" si="24"/>
        <v>SANTA CRUZ, PB, Brasil</v>
      </c>
      <c r="C1568" s="4" t="str">
        <f>_xlfn.XLOOKUP(A1568,[1]!DadosGHD[CD_GEOCMU],[1]!DadosGHD[Região])</f>
        <v>NE</v>
      </c>
      <c r="D1568" s="4" t="str">
        <f>_xlfn.XLOOKUP(A1568,[1]!DadosGHD[CD_GEOCMU],[1]!DadosGHD[uf])</f>
        <v>PB</v>
      </c>
      <c r="E1568" s="5" t="str">
        <f>_xlfn.XLOOKUP(A1568,[1]!DadosGHD[CD_GEOCMU],[1]!DadosGHD[MUNICIPIO])</f>
        <v>SANTA CRUZ</v>
      </c>
      <c r="F1568" s="6">
        <v>33.7484741210938</v>
      </c>
      <c r="G1568" s="6">
        <v>33.798053741455099</v>
      </c>
      <c r="H1568" s="6">
        <v>33.8387641906738</v>
      </c>
      <c r="I1568" s="6">
        <v>33.858909606933601</v>
      </c>
      <c r="J1568" s="6">
        <v>33.880199432373097</v>
      </c>
      <c r="K1568" s="6">
        <v>33.911323547363303</v>
      </c>
      <c r="L1568" s="6">
        <v>30.719333648681602</v>
      </c>
    </row>
    <row r="1569" spans="1:12" x14ac:dyDescent="0.25">
      <c r="A1569">
        <v>2100550</v>
      </c>
      <c r="B1569" t="str">
        <f t="shared" si="24"/>
        <v>AMAPA DO MARANHAO, MA, Brasil</v>
      </c>
      <c r="C1569" s="4" t="str">
        <f>_xlfn.XLOOKUP(A1569,[1]!DadosGHD[CD_GEOCMU],[1]!DadosGHD[Região])</f>
        <v>NE</v>
      </c>
      <c r="D1569" s="4" t="str">
        <f>_xlfn.XLOOKUP(A1569,[1]!DadosGHD[CD_GEOCMU],[1]!DadosGHD[uf])</f>
        <v>MA</v>
      </c>
      <c r="E1569" s="5" t="str">
        <f>_xlfn.XLOOKUP(A1569,[1]!DadosGHD[CD_GEOCMU],[1]!DadosGHD[MUNICIPIO])</f>
        <v>AMAPA DO MARANHAO</v>
      </c>
      <c r="F1569" s="6">
        <v>33.748500823974602</v>
      </c>
      <c r="G1569" s="6">
        <v>33.794143676757798</v>
      </c>
      <c r="H1569" s="6">
        <v>33.8307914733887</v>
      </c>
      <c r="I1569" s="6">
        <v>33.816967010498097</v>
      </c>
      <c r="J1569" s="6">
        <v>33.857048034667997</v>
      </c>
      <c r="K1569" s="6">
        <v>33.883251190185597</v>
      </c>
      <c r="L1569" s="6">
        <v>26.285800933837901</v>
      </c>
    </row>
    <row r="1570" spans="1:12" x14ac:dyDescent="0.25">
      <c r="A1570">
        <v>2805109</v>
      </c>
      <c r="B1570" t="str">
        <f t="shared" si="24"/>
        <v>PEDRINHAS, SE, Brasil</v>
      </c>
      <c r="C1570" s="4" t="str">
        <f>_xlfn.XLOOKUP(A1570,[1]!DadosGHD[CD_GEOCMU],[1]!DadosGHD[Região])</f>
        <v>NE</v>
      </c>
      <c r="D1570" s="4" t="str">
        <f>_xlfn.XLOOKUP(A1570,[1]!DadosGHD[CD_GEOCMU],[1]!DadosGHD[uf])</f>
        <v>SE</v>
      </c>
      <c r="E1570" s="5" t="str">
        <f>_xlfn.XLOOKUP(A1570,[1]!DadosGHD[CD_GEOCMU],[1]!DadosGHD[MUNICIPIO])</f>
        <v>PEDRINHAS</v>
      </c>
      <c r="F1570" s="6">
        <v>33.748508453369098</v>
      </c>
      <c r="G1570" s="6">
        <v>33.845241546630902</v>
      </c>
      <c r="H1570" s="6">
        <v>38.758625030517599</v>
      </c>
      <c r="I1570" s="6">
        <v>43.706932067871101</v>
      </c>
      <c r="J1570" s="6">
        <v>48.804771423339801</v>
      </c>
      <c r="K1570" s="6">
        <v>48.851284027099602</v>
      </c>
      <c r="L1570" s="6">
        <v>57.552474975585902</v>
      </c>
    </row>
    <row r="1571" spans="1:12" x14ac:dyDescent="0.25">
      <c r="A1571">
        <v>3164209</v>
      </c>
      <c r="B1571" t="str">
        <f t="shared" si="24"/>
        <v>SAO ROMAO, MG, Brasil</v>
      </c>
      <c r="C1571" s="4" t="str">
        <f>_xlfn.XLOOKUP(A1571,[1]!DadosGHD[CD_GEOCMU],[1]!DadosGHD[Região])</f>
        <v>SD</v>
      </c>
      <c r="D1571" s="4" t="str">
        <f>_xlfn.XLOOKUP(A1571,[1]!DadosGHD[CD_GEOCMU],[1]!DadosGHD[uf])</f>
        <v>MG</v>
      </c>
      <c r="E1571" s="5" t="str">
        <f>_xlfn.XLOOKUP(A1571,[1]!DadosGHD[CD_GEOCMU],[1]!DadosGHD[MUNICIPIO])</f>
        <v>SAO ROMAO</v>
      </c>
      <c r="F1571" s="6">
        <v>33.7485542297363</v>
      </c>
      <c r="G1571" s="6">
        <v>33.8164253234863</v>
      </c>
      <c r="H1571" s="6">
        <v>28.9600639343262</v>
      </c>
      <c r="I1571" s="6">
        <v>33.828662872314503</v>
      </c>
      <c r="J1571" s="6">
        <v>33.837062835693402</v>
      </c>
      <c r="K1571" s="6">
        <v>33.904891967773402</v>
      </c>
      <c r="L1571" s="6">
        <v>30.700904846191399</v>
      </c>
    </row>
    <row r="1572" spans="1:12" x14ac:dyDescent="0.25">
      <c r="A1572">
        <v>4102752</v>
      </c>
      <c r="B1572" t="str">
        <f t="shared" si="24"/>
        <v>BELA VISTA DA CAROBA, PR, Brasil</v>
      </c>
      <c r="C1572" s="4" t="str">
        <f>_xlfn.XLOOKUP(A1572,[1]!DadosGHD[CD_GEOCMU],[1]!DadosGHD[Região])</f>
        <v>SL</v>
      </c>
      <c r="D1572" s="4" t="str">
        <f>_xlfn.XLOOKUP(A1572,[1]!DadosGHD[CD_GEOCMU],[1]!DadosGHD[uf])</f>
        <v>PR</v>
      </c>
      <c r="E1572" s="5" t="str">
        <f>_xlfn.XLOOKUP(A1572,[1]!DadosGHD[CD_GEOCMU],[1]!DadosGHD[MUNICIPIO])</f>
        <v>BELA VISTA DA CAROBA</v>
      </c>
      <c r="F1572" s="6">
        <v>33.748645782470703</v>
      </c>
      <c r="G1572" s="6">
        <v>43.669361114502003</v>
      </c>
      <c r="H1572" s="6">
        <v>33.893733978271499</v>
      </c>
      <c r="I1572" s="6">
        <v>43.735317230224602</v>
      </c>
      <c r="J1572" s="6">
        <v>48.717609405517599</v>
      </c>
      <c r="K1572" s="6">
        <v>48.764842987060597</v>
      </c>
      <c r="L1572" s="6">
        <v>39.598922729492202</v>
      </c>
    </row>
    <row r="1573" spans="1:12" x14ac:dyDescent="0.25">
      <c r="A1573">
        <v>3135902</v>
      </c>
      <c r="B1573" t="str">
        <f t="shared" si="24"/>
        <v>JESUANIA, MG, Brasil</v>
      </c>
      <c r="C1573" s="4" t="str">
        <f>_xlfn.XLOOKUP(A1573,[1]!DadosGHD[CD_GEOCMU],[1]!DadosGHD[Região])</f>
        <v>SD</v>
      </c>
      <c r="D1573" s="4" t="str">
        <f>_xlfn.XLOOKUP(A1573,[1]!DadosGHD[CD_GEOCMU],[1]!DadosGHD[uf])</f>
        <v>MG</v>
      </c>
      <c r="E1573" s="5" t="str">
        <f>_xlfn.XLOOKUP(A1573,[1]!DadosGHD[CD_GEOCMU],[1]!DadosGHD[MUNICIPIO])</f>
        <v>JESUANIA</v>
      </c>
      <c r="F1573" s="6">
        <v>33.748809814453097</v>
      </c>
      <c r="G1573" s="6">
        <v>33.834144592285199</v>
      </c>
      <c r="H1573" s="6">
        <v>33.852428436279297</v>
      </c>
      <c r="I1573" s="6">
        <v>33.824329376220703</v>
      </c>
      <c r="J1573" s="6">
        <v>33.845790863037102</v>
      </c>
      <c r="K1573" s="6">
        <v>33.930412292480497</v>
      </c>
      <c r="L1573" s="6">
        <v>30.714170455932599</v>
      </c>
    </row>
    <row r="1574" spans="1:12" x14ac:dyDescent="0.25">
      <c r="A1574">
        <v>4300455</v>
      </c>
      <c r="B1574" t="str">
        <f t="shared" si="24"/>
        <v>ALEGRIA, RS, Brasil</v>
      </c>
      <c r="C1574" s="4" t="str">
        <f>_xlfn.XLOOKUP(A1574,[1]!DadosGHD[CD_GEOCMU],[1]!DadosGHD[Região])</f>
        <v>SL</v>
      </c>
      <c r="D1574" s="4" t="str">
        <f>_xlfn.XLOOKUP(A1574,[1]!DadosGHD[CD_GEOCMU],[1]!DadosGHD[uf])</f>
        <v>RS</v>
      </c>
      <c r="E1574" s="5" t="str">
        <f>_xlfn.XLOOKUP(A1574,[1]!DadosGHD[CD_GEOCMU],[1]!DadosGHD[MUNICIPIO])</f>
        <v>ALEGRIA</v>
      </c>
      <c r="F1574" s="6">
        <v>33.748836517333999</v>
      </c>
      <c r="G1574" s="6">
        <v>43.678535461425803</v>
      </c>
      <c r="H1574" s="6">
        <v>43.781646728515597</v>
      </c>
      <c r="I1574" s="6">
        <v>43.760658264160199</v>
      </c>
      <c r="J1574" s="6">
        <v>43.7901802062988</v>
      </c>
      <c r="K1574" s="6">
        <v>48.835189819335902</v>
      </c>
      <c r="L1574" s="6">
        <v>44.017520904541001</v>
      </c>
    </row>
    <row r="1575" spans="1:12" x14ac:dyDescent="0.25">
      <c r="A1575">
        <v>2932606</v>
      </c>
      <c r="B1575" t="str">
        <f t="shared" si="24"/>
        <v>URANDI, BA, Brasil</v>
      </c>
      <c r="C1575" s="4" t="str">
        <f>_xlfn.XLOOKUP(A1575,[1]!DadosGHD[CD_GEOCMU],[1]!DadosGHD[Região])</f>
        <v>NE</v>
      </c>
      <c r="D1575" s="4" t="str">
        <f>_xlfn.XLOOKUP(A1575,[1]!DadosGHD[CD_GEOCMU],[1]!DadosGHD[uf])</f>
        <v>BA</v>
      </c>
      <c r="E1575" s="5" t="str">
        <f>_xlfn.XLOOKUP(A1575,[1]!DadosGHD[CD_GEOCMU],[1]!DadosGHD[MUNICIPIO])</f>
        <v>URANDI</v>
      </c>
      <c r="F1575" s="6">
        <v>33.749031066894503</v>
      </c>
      <c r="G1575" s="6">
        <v>33.807838439941399</v>
      </c>
      <c r="H1575" s="6">
        <v>38.753269195556598</v>
      </c>
      <c r="I1575" s="6">
        <v>33.851539611816399</v>
      </c>
      <c r="J1575" s="6">
        <v>33.816688537597699</v>
      </c>
      <c r="K1575" s="6">
        <v>33.868507385253899</v>
      </c>
      <c r="L1575" s="6">
        <v>26.2879524230957</v>
      </c>
    </row>
    <row r="1576" spans="1:12" x14ac:dyDescent="0.25">
      <c r="A1576">
        <v>4323754</v>
      </c>
      <c r="B1576" t="str">
        <f t="shared" si="24"/>
        <v>VITORIA DAS MISSOES, RS, Brasil</v>
      </c>
      <c r="C1576" s="4" t="str">
        <f>_xlfn.XLOOKUP(A1576,[1]!DadosGHD[CD_GEOCMU],[1]!DadosGHD[Região])</f>
        <v>SL</v>
      </c>
      <c r="D1576" s="4" t="str">
        <f>_xlfn.XLOOKUP(A1576,[1]!DadosGHD[CD_GEOCMU],[1]!DadosGHD[uf])</f>
        <v>RS</v>
      </c>
      <c r="E1576" s="5" t="str">
        <f>_xlfn.XLOOKUP(A1576,[1]!DadosGHD[CD_GEOCMU],[1]!DadosGHD[MUNICIPIO])</f>
        <v>VITORIA DAS MISSOES</v>
      </c>
      <c r="F1576" s="6">
        <v>33.749374389648402</v>
      </c>
      <c r="G1576" s="6">
        <v>43.699748992919901</v>
      </c>
      <c r="H1576" s="6">
        <v>43.821121215820298</v>
      </c>
      <c r="I1576" s="6">
        <v>48.771419525146499</v>
      </c>
      <c r="J1576" s="6">
        <v>48.818748474121101</v>
      </c>
      <c r="K1576" s="6">
        <v>48.9115600585938</v>
      </c>
      <c r="L1576" s="6">
        <v>48.533828735351598</v>
      </c>
    </row>
    <row r="1577" spans="1:12" x14ac:dyDescent="0.25">
      <c r="A1577">
        <v>2923407</v>
      </c>
      <c r="B1577" t="str">
        <f t="shared" si="24"/>
        <v>PALMAS DE MONTE ALTO, BA, Brasil</v>
      </c>
      <c r="C1577" s="4" t="str">
        <f>_xlfn.XLOOKUP(A1577,[1]!DadosGHD[CD_GEOCMU],[1]!DadosGHD[Região])</f>
        <v>NE</v>
      </c>
      <c r="D1577" s="4" t="str">
        <f>_xlfn.XLOOKUP(A1577,[1]!DadosGHD[CD_GEOCMU],[1]!DadosGHD[uf])</f>
        <v>BA</v>
      </c>
      <c r="E1577" s="5" t="str">
        <f>_xlfn.XLOOKUP(A1577,[1]!DadosGHD[CD_GEOCMU],[1]!DadosGHD[MUNICIPIO])</f>
        <v>PALMAS DE MONTE ALTO</v>
      </c>
      <c r="F1577" s="6">
        <v>33.749397277832003</v>
      </c>
      <c r="G1577" s="6">
        <v>33.799068450927699</v>
      </c>
      <c r="H1577" s="6">
        <v>33.8498344421387</v>
      </c>
      <c r="I1577" s="6">
        <v>33.8280220031738</v>
      </c>
      <c r="J1577" s="6">
        <v>33.8427925109863</v>
      </c>
      <c r="K1577" s="6">
        <v>33.856571197509801</v>
      </c>
      <c r="L1577" s="6">
        <v>30.698040008544901</v>
      </c>
    </row>
    <row r="1578" spans="1:12" x14ac:dyDescent="0.25">
      <c r="A1578">
        <v>2611533</v>
      </c>
      <c r="B1578" t="str">
        <f t="shared" si="24"/>
        <v>QUIXABA, PE, Brasil</v>
      </c>
      <c r="C1578" s="4" t="str">
        <f>_xlfn.XLOOKUP(A1578,[1]!DadosGHD[CD_GEOCMU],[1]!DadosGHD[Região])</f>
        <v>NE</v>
      </c>
      <c r="D1578" s="4" t="str">
        <f>_xlfn.XLOOKUP(A1578,[1]!DadosGHD[CD_GEOCMU],[1]!DadosGHD[uf])</f>
        <v>PE</v>
      </c>
      <c r="E1578" s="5" t="str">
        <f>_xlfn.XLOOKUP(A1578,[1]!DadosGHD[CD_GEOCMU],[1]!DadosGHD[MUNICIPIO])</f>
        <v>QUIXABA</v>
      </c>
      <c r="F1578" s="6">
        <v>33.7496147155762</v>
      </c>
      <c r="G1578" s="6">
        <v>33.800304412841797</v>
      </c>
      <c r="H1578" s="6">
        <v>33.845130920410199</v>
      </c>
      <c r="I1578" s="6">
        <v>33.8297309875488</v>
      </c>
      <c r="J1578" s="6">
        <v>33.840476989746101</v>
      </c>
      <c r="K1578" s="6">
        <v>33.908935546875</v>
      </c>
      <c r="L1578" s="6">
        <v>30.705415725708001</v>
      </c>
    </row>
    <row r="1579" spans="1:12" x14ac:dyDescent="0.25">
      <c r="A1579">
        <v>2114007</v>
      </c>
      <c r="B1579" t="str">
        <f t="shared" si="24"/>
        <v>ZE DOCA, MA, Brasil</v>
      </c>
      <c r="C1579" s="4" t="str">
        <f>_xlfn.XLOOKUP(A1579,[1]!DadosGHD[CD_GEOCMU],[1]!DadosGHD[Região])</f>
        <v>NE</v>
      </c>
      <c r="D1579" s="4" t="str">
        <f>_xlfn.XLOOKUP(A1579,[1]!DadosGHD[CD_GEOCMU],[1]!DadosGHD[uf])</f>
        <v>MA</v>
      </c>
      <c r="E1579" s="5" t="str">
        <f>_xlfn.XLOOKUP(A1579,[1]!DadosGHD[CD_GEOCMU],[1]!DadosGHD[MUNICIPIO])</f>
        <v>ZE DOCA</v>
      </c>
      <c r="F1579" s="6">
        <v>33.749679565429702</v>
      </c>
      <c r="G1579" s="6">
        <v>33.8146362304688</v>
      </c>
      <c r="H1579" s="6">
        <v>33.841526031494098</v>
      </c>
      <c r="I1579" s="6">
        <v>33.81396484375</v>
      </c>
      <c r="J1579" s="6">
        <v>33.836254119873097</v>
      </c>
      <c r="K1579" s="6">
        <v>33.867172241210902</v>
      </c>
      <c r="L1579" s="6">
        <v>35.1283569335938</v>
      </c>
    </row>
    <row r="1580" spans="1:12" x14ac:dyDescent="0.25">
      <c r="A1580">
        <v>2913408</v>
      </c>
      <c r="B1580" t="str">
        <f t="shared" si="24"/>
        <v>IGAPORA, BA, Brasil</v>
      </c>
      <c r="C1580" s="4" t="str">
        <f>_xlfn.XLOOKUP(A1580,[1]!DadosGHD[CD_GEOCMU],[1]!DadosGHD[Região])</f>
        <v>NE</v>
      </c>
      <c r="D1580" s="4" t="str">
        <f>_xlfn.XLOOKUP(A1580,[1]!DadosGHD[CD_GEOCMU],[1]!DadosGHD[uf])</f>
        <v>BA</v>
      </c>
      <c r="E1580" s="5" t="str">
        <f>_xlfn.XLOOKUP(A1580,[1]!DadosGHD[CD_GEOCMU],[1]!DadosGHD[MUNICIPIO])</f>
        <v>IGAPORA</v>
      </c>
      <c r="F1580" s="6">
        <v>33.749721527099602</v>
      </c>
      <c r="G1580" s="6">
        <v>33.8385620117188</v>
      </c>
      <c r="H1580" s="6">
        <v>33.880931854248097</v>
      </c>
      <c r="I1580" s="6">
        <v>33.848396301269503</v>
      </c>
      <c r="J1580" s="6">
        <v>33.831527709960902</v>
      </c>
      <c r="K1580" s="6">
        <v>33.863792419433601</v>
      </c>
      <c r="L1580" s="6">
        <v>26.2966003417969</v>
      </c>
    </row>
    <row r="1581" spans="1:12" x14ac:dyDescent="0.25">
      <c r="A1581">
        <v>2706448</v>
      </c>
      <c r="B1581" t="str">
        <f t="shared" si="24"/>
        <v>PARIPUEIRA, AL, Brasil</v>
      </c>
      <c r="C1581" s="4" t="str">
        <f>_xlfn.XLOOKUP(A1581,[1]!DadosGHD[CD_GEOCMU],[1]!DadosGHD[Região])</f>
        <v>NE</v>
      </c>
      <c r="D1581" s="4" t="str">
        <f>_xlfn.XLOOKUP(A1581,[1]!DadosGHD[CD_GEOCMU],[1]!DadosGHD[uf])</f>
        <v>AL</v>
      </c>
      <c r="E1581" s="5" t="str">
        <f>_xlfn.XLOOKUP(A1581,[1]!DadosGHD[CD_GEOCMU],[1]!DadosGHD[MUNICIPIO])</f>
        <v>PARIPUEIRA</v>
      </c>
      <c r="F1581" s="6">
        <v>33.7497749328613</v>
      </c>
      <c r="G1581" s="6">
        <v>33.790027618408203</v>
      </c>
      <c r="H1581" s="6">
        <v>33.8233451843262</v>
      </c>
      <c r="I1581" s="6">
        <v>33.809284210205099</v>
      </c>
      <c r="J1581" s="6">
        <v>28.967679977416999</v>
      </c>
      <c r="K1581" s="6">
        <v>29.003496170043899</v>
      </c>
      <c r="L1581" s="6">
        <v>30.708869934081999</v>
      </c>
    </row>
    <row r="1582" spans="1:12" x14ac:dyDescent="0.25">
      <c r="A1582">
        <v>1200427</v>
      </c>
      <c r="B1582" t="str">
        <f t="shared" si="24"/>
        <v>RODRIGUES ALVES, AC, Brasil</v>
      </c>
      <c r="C1582" s="4" t="str">
        <f>_xlfn.XLOOKUP(A1582,[1]!DadosGHD[CD_GEOCMU],[1]!DadosGHD[Região])</f>
        <v>NO</v>
      </c>
      <c r="D1582" s="4" t="str">
        <f>_xlfn.XLOOKUP(A1582,[1]!DadosGHD[CD_GEOCMU],[1]!DadosGHD[uf])</f>
        <v>AC</v>
      </c>
      <c r="E1582" s="5" t="str">
        <f>_xlfn.XLOOKUP(A1582,[1]!DadosGHD[CD_GEOCMU],[1]!DadosGHD[MUNICIPIO])</f>
        <v>RODRIGUES ALVES</v>
      </c>
      <c r="F1582" s="6">
        <v>33.749782562255902</v>
      </c>
      <c r="G1582" s="6">
        <v>33.7911186218262</v>
      </c>
      <c r="H1582" s="6">
        <v>33.826942443847699</v>
      </c>
      <c r="I1582" s="6">
        <v>33.800022125244098</v>
      </c>
      <c r="J1582" s="6">
        <v>33.8123168945313</v>
      </c>
      <c r="K1582" s="6">
        <v>33.842479705810597</v>
      </c>
      <c r="L1582" s="6">
        <v>26.2940769195557</v>
      </c>
    </row>
    <row r="1583" spans="1:12" x14ac:dyDescent="0.25">
      <c r="A1583">
        <v>4309951</v>
      </c>
      <c r="B1583" t="str">
        <f t="shared" si="24"/>
        <v>IBIRAPUITA, RS, Brasil</v>
      </c>
      <c r="C1583" s="4" t="str">
        <f>_xlfn.XLOOKUP(A1583,[1]!DadosGHD[CD_GEOCMU],[1]!DadosGHD[Região])</f>
        <v>SL</v>
      </c>
      <c r="D1583" s="4" t="str">
        <f>_xlfn.XLOOKUP(A1583,[1]!DadosGHD[CD_GEOCMU],[1]!DadosGHD[uf])</f>
        <v>RS</v>
      </c>
      <c r="E1583" s="5" t="str">
        <f>_xlfn.XLOOKUP(A1583,[1]!DadosGHD[CD_GEOCMU],[1]!DadosGHD[MUNICIPIO])</f>
        <v>IBIRAPUITA</v>
      </c>
      <c r="F1583" s="6">
        <v>33.749889373779297</v>
      </c>
      <c r="G1583" s="6">
        <v>43.674152374267599</v>
      </c>
      <c r="H1583" s="6">
        <v>43.749641418457003</v>
      </c>
      <c r="I1583" s="6">
        <v>43.7298774719238</v>
      </c>
      <c r="J1583" s="6">
        <v>43.750205993652301</v>
      </c>
      <c r="K1583" s="6">
        <v>43.778385162353501</v>
      </c>
      <c r="L1583" s="6">
        <v>30.715845108032202</v>
      </c>
    </row>
    <row r="1584" spans="1:12" x14ac:dyDescent="0.25">
      <c r="A1584">
        <v>2308351</v>
      </c>
      <c r="B1584" t="str">
        <f t="shared" si="24"/>
        <v>MILHA, CE, Brasil</v>
      </c>
      <c r="C1584" s="4" t="str">
        <f>_xlfn.XLOOKUP(A1584,[1]!DadosGHD[CD_GEOCMU],[1]!DadosGHD[Região])</f>
        <v>NE</v>
      </c>
      <c r="D1584" s="4" t="str">
        <f>_xlfn.XLOOKUP(A1584,[1]!DadosGHD[CD_GEOCMU],[1]!DadosGHD[uf])</f>
        <v>CE</v>
      </c>
      <c r="E1584" s="5" t="str">
        <f>_xlfn.XLOOKUP(A1584,[1]!DadosGHD[CD_GEOCMU],[1]!DadosGHD[MUNICIPIO])</f>
        <v>MILHA</v>
      </c>
      <c r="F1584" s="6">
        <v>33.749916076660199</v>
      </c>
      <c r="G1584" s="6">
        <v>33.842884063720703</v>
      </c>
      <c r="H1584" s="6">
        <v>33.883396148681598</v>
      </c>
      <c r="I1584" s="6">
        <v>33.857738494873097</v>
      </c>
      <c r="J1584" s="6">
        <v>33.850975036621101</v>
      </c>
      <c r="K1584" s="6">
        <v>33.899944305419901</v>
      </c>
      <c r="L1584" s="6">
        <v>30.695972442626999</v>
      </c>
    </row>
    <row r="1585" spans="1:12" x14ac:dyDescent="0.25">
      <c r="A1585">
        <v>2205409</v>
      </c>
      <c r="B1585" t="str">
        <f t="shared" si="24"/>
        <v>JOAQUIM PIRES, PI, Brasil</v>
      </c>
      <c r="C1585" s="4" t="str">
        <f>_xlfn.XLOOKUP(A1585,[1]!DadosGHD[CD_GEOCMU],[1]!DadosGHD[Região])</f>
        <v>NE</v>
      </c>
      <c r="D1585" s="4" t="str">
        <f>_xlfn.XLOOKUP(A1585,[1]!DadosGHD[CD_GEOCMU],[1]!DadosGHD[uf])</f>
        <v>PI</v>
      </c>
      <c r="E1585" s="5" t="str">
        <f>_xlfn.XLOOKUP(A1585,[1]!DadosGHD[CD_GEOCMU],[1]!DadosGHD[MUNICIPIO])</f>
        <v>JOAQUIM PIRES</v>
      </c>
      <c r="F1585" s="6">
        <v>33.749958038330099</v>
      </c>
      <c r="G1585" s="6">
        <v>33.809825897216797</v>
      </c>
      <c r="H1585" s="6">
        <v>33.854995727539098</v>
      </c>
      <c r="I1585" s="6">
        <v>33.8359375</v>
      </c>
      <c r="J1585" s="6">
        <v>33.8488159179688</v>
      </c>
      <c r="K1585" s="6">
        <v>33.891513824462898</v>
      </c>
      <c r="L1585" s="6">
        <v>26.293348312377901</v>
      </c>
    </row>
    <row r="1586" spans="1:12" x14ac:dyDescent="0.25">
      <c r="A1586">
        <v>1507458</v>
      </c>
      <c r="B1586" t="str">
        <f t="shared" si="24"/>
        <v>SAO GERALDO DO ARAGUAIA, PA, Brasil</v>
      </c>
      <c r="C1586" s="4" t="str">
        <f>_xlfn.XLOOKUP(A1586,[1]!DadosGHD[CD_GEOCMU],[1]!DadosGHD[Região])</f>
        <v>NO</v>
      </c>
      <c r="D1586" s="4" t="str">
        <f>_xlfn.XLOOKUP(A1586,[1]!DadosGHD[CD_GEOCMU],[1]!DadosGHD[uf])</f>
        <v>PA</v>
      </c>
      <c r="E1586" s="5" t="str">
        <f>_xlfn.XLOOKUP(A1586,[1]!DadosGHD[CD_GEOCMU],[1]!DadosGHD[MUNICIPIO])</f>
        <v>SAO GERALDO DO ARAGUAIA</v>
      </c>
      <c r="F1586" s="6">
        <v>33.750083923339801</v>
      </c>
      <c r="G1586" s="6">
        <v>33.8116455078125</v>
      </c>
      <c r="H1586" s="6">
        <v>33.849082946777301</v>
      </c>
      <c r="I1586" s="6">
        <v>33.826572418212898</v>
      </c>
      <c r="J1586" s="6">
        <v>33.837242126464801</v>
      </c>
      <c r="K1586" s="6">
        <v>33.889915466308601</v>
      </c>
      <c r="L1586" s="6">
        <v>26.288640975952202</v>
      </c>
    </row>
    <row r="1587" spans="1:12" x14ac:dyDescent="0.25">
      <c r="A1587">
        <v>2605202</v>
      </c>
      <c r="B1587" t="str">
        <f t="shared" si="24"/>
        <v>ESCADA, PE, Brasil</v>
      </c>
      <c r="C1587" s="4" t="str">
        <f>_xlfn.XLOOKUP(A1587,[1]!DadosGHD[CD_GEOCMU],[1]!DadosGHD[Região])</f>
        <v>NE</v>
      </c>
      <c r="D1587" s="4" t="str">
        <f>_xlfn.XLOOKUP(A1587,[1]!DadosGHD[CD_GEOCMU],[1]!DadosGHD[uf])</f>
        <v>PE</v>
      </c>
      <c r="E1587" s="5" t="str">
        <f>_xlfn.XLOOKUP(A1587,[1]!DadosGHD[CD_GEOCMU],[1]!DadosGHD[MUNICIPIO])</f>
        <v>ESCADA</v>
      </c>
      <c r="F1587" s="6">
        <v>33.750129699707003</v>
      </c>
      <c r="G1587" s="6">
        <v>33.802391052246101</v>
      </c>
      <c r="H1587" s="6">
        <v>33.843273162841797</v>
      </c>
      <c r="I1587" s="6">
        <v>33.829425811767599</v>
      </c>
      <c r="J1587" s="6">
        <v>33.865516662597699</v>
      </c>
      <c r="K1587" s="6">
        <v>33.926155090332003</v>
      </c>
      <c r="L1587" s="6">
        <v>35.1518363952637</v>
      </c>
    </row>
    <row r="1588" spans="1:12" x14ac:dyDescent="0.25">
      <c r="A1588">
        <v>2925501</v>
      </c>
      <c r="B1588" t="str">
        <f t="shared" si="24"/>
        <v>PRADO, BA, Brasil</v>
      </c>
      <c r="C1588" s="4" t="str">
        <f>_xlfn.XLOOKUP(A1588,[1]!DadosGHD[CD_GEOCMU],[1]!DadosGHD[Região])</f>
        <v>NE</v>
      </c>
      <c r="D1588" s="4" t="str">
        <f>_xlfn.XLOOKUP(A1588,[1]!DadosGHD[CD_GEOCMU],[1]!DadosGHD[uf])</f>
        <v>BA</v>
      </c>
      <c r="E1588" s="5" t="str">
        <f>_xlfn.XLOOKUP(A1588,[1]!DadosGHD[CD_GEOCMU],[1]!DadosGHD[MUNICIPIO])</f>
        <v>PRADO</v>
      </c>
      <c r="F1588" s="6">
        <v>33.750194549560597</v>
      </c>
      <c r="G1588" s="6">
        <v>33.828815460205099</v>
      </c>
      <c r="H1588" s="6">
        <v>33.878978729248097</v>
      </c>
      <c r="I1588" s="6">
        <v>33.864200592041001</v>
      </c>
      <c r="J1588" s="6">
        <v>33.880294799804702</v>
      </c>
      <c r="K1588" s="6">
        <v>33.927146911621101</v>
      </c>
      <c r="L1588" s="6">
        <v>35.150825500488303</v>
      </c>
    </row>
    <row r="1589" spans="1:12" x14ac:dyDescent="0.25">
      <c r="A1589">
        <v>2907558</v>
      </c>
      <c r="B1589" t="str">
        <f t="shared" si="24"/>
        <v>CATURAMA, BA, Brasil</v>
      </c>
      <c r="C1589" s="4" t="str">
        <f>_xlfn.XLOOKUP(A1589,[1]!DadosGHD[CD_GEOCMU],[1]!DadosGHD[Região])</f>
        <v>NE</v>
      </c>
      <c r="D1589" s="4" t="str">
        <f>_xlfn.XLOOKUP(A1589,[1]!DadosGHD[CD_GEOCMU],[1]!DadosGHD[uf])</f>
        <v>BA</v>
      </c>
      <c r="E1589" s="5" t="str">
        <f>_xlfn.XLOOKUP(A1589,[1]!DadosGHD[CD_GEOCMU],[1]!DadosGHD[MUNICIPIO])</f>
        <v>CATURAMA</v>
      </c>
      <c r="F1589" s="6">
        <v>33.750240325927699</v>
      </c>
      <c r="G1589" s="6">
        <v>33.817253112792997</v>
      </c>
      <c r="H1589" s="6">
        <v>33.8298530578613</v>
      </c>
      <c r="I1589" s="6">
        <v>33.805854797363303</v>
      </c>
      <c r="J1589" s="6">
        <v>33.866905212402301</v>
      </c>
      <c r="K1589" s="6">
        <v>33.901298522949197</v>
      </c>
      <c r="L1589" s="6">
        <v>30.712364196777301</v>
      </c>
    </row>
    <row r="1590" spans="1:12" x14ac:dyDescent="0.25">
      <c r="A1590">
        <v>2203354</v>
      </c>
      <c r="B1590" t="str">
        <f t="shared" si="24"/>
        <v>DIRCEU ARCOVERDE, PI, Brasil</v>
      </c>
      <c r="C1590" s="4" t="str">
        <f>_xlfn.XLOOKUP(A1590,[1]!DadosGHD[CD_GEOCMU],[1]!DadosGHD[Região])</f>
        <v>NE</v>
      </c>
      <c r="D1590" s="4" t="str">
        <f>_xlfn.XLOOKUP(A1590,[1]!DadosGHD[CD_GEOCMU],[1]!DadosGHD[uf])</f>
        <v>PI</v>
      </c>
      <c r="E1590" s="5" t="str">
        <f>_xlfn.XLOOKUP(A1590,[1]!DadosGHD[CD_GEOCMU],[1]!DadosGHD[MUNICIPIO])</f>
        <v>DIRCEU ARCOVERDE</v>
      </c>
      <c r="F1590" s="6">
        <v>33.750240325927699</v>
      </c>
      <c r="G1590" s="6">
        <v>33.800701141357401</v>
      </c>
      <c r="H1590" s="6">
        <v>33.833797454833999</v>
      </c>
      <c r="I1590" s="6">
        <v>33.818683624267599</v>
      </c>
      <c r="J1590" s="6">
        <v>33.8628959655762</v>
      </c>
      <c r="K1590" s="6">
        <v>33.8878173828125</v>
      </c>
      <c r="L1590" s="6">
        <v>35.125282287597699</v>
      </c>
    </row>
    <row r="1591" spans="1:12" x14ac:dyDescent="0.25">
      <c r="A1591">
        <v>2203701</v>
      </c>
      <c r="B1591" t="str">
        <f t="shared" si="24"/>
        <v>ESPERANTINA, PI, Brasil</v>
      </c>
      <c r="C1591" s="4" t="str">
        <f>_xlfn.XLOOKUP(A1591,[1]!DadosGHD[CD_GEOCMU],[1]!DadosGHD[Região])</f>
        <v>NE</v>
      </c>
      <c r="D1591" s="4" t="str">
        <f>_xlfn.XLOOKUP(A1591,[1]!DadosGHD[CD_GEOCMU],[1]!DadosGHD[uf])</f>
        <v>PI</v>
      </c>
      <c r="E1591" s="5" t="str">
        <f>_xlfn.XLOOKUP(A1591,[1]!DadosGHD[CD_GEOCMU],[1]!DadosGHD[MUNICIPIO])</f>
        <v>ESPERANTINA</v>
      </c>
      <c r="F1591" s="6">
        <v>33.7502632141113</v>
      </c>
      <c r="G1591" s="6">
        <v>33.825267791748097</v>
      </c>
      <c r="H1591" s="6">
        <v>33.863193511962898</v>
      </c>
      <c r="I1591" s="6">
        <v>33.853733062744098</v>
      </c>
      <c r="J1591" s="6">
        <v>33.876834869384801</v>
      </c>
      <c r="K1591" s="6">
        <v>38.835853576660199</v>
      </c>
      <c r="L1591" s="6">
        <v>39.580474853515597</v>
      </c>
    </row>
    <row r="1592" spans="1:12" x14ac:dyDescent="0.25">
      <c r="A1592">
        <v>4201950</v>
      </c>
      <c r="B1592" t="str">
        <f t="shared" si="24"/>
        <v>BALNEARIO ARROIO DO SILVA, SC, Brasil</v>
      </c>
      <c r="C1592" s="4" t="str">
        <f>_xlfn.XLOOKUP(A1592,[1]!DadosGHD[CD_GEOCMU],[1]!DadosGHD[Região])</f>
        <v>SL</v>
      </c>
      <c r="D1592" s="4" t="str">
        <f>_xlfn.XLOOKUP(A1592,[1]!DadosGHD[CD_GEOCMU],[1]!DadosGHD[uf])</f>
        <v>SC</v>
      </c>
      <c r="E1592" s="5" t="str">
        <f>_xlfn.XLOOKUP(A1592,[1]!DadosGHD[CD_GEOCMU],[1]!DadosGHD[MUNICIPIO])</f>
        <v>BALNEARIO ARROIO DO SILVA</v>
      </c>
      <c r="F1592" s="6">
        <v>33.750289916992202</v>
      </c>
      <c r="G1592" s="6">
        <v>38.767189025878899</v>
      </c>
      <c r="H1592" s="6">
        <v>43.732208251953097</v>
      </c>
      <c r="I1592" s="6">
        <v>43.680747985839801</v>
      </c>
      <c r="J1592" s="6">
        <v>43.8215942382813</v>
      </c>
      <c r="K1592" s="6">
        <v>48.780715942382798</v>
      </c>
      <c r="L1592" s="6">
        <v>57.520557403564503</v>
      </c>
    </row>
    <row r="1593" spans="1:12" x14ac:dyDescent="0.25">
      <c r="A1593">
        <v>2501203</v>
      </c>
      <c r="B1593" t="str">
        <f t="shared" si="24"/>
        <v>AREIAL, PB, Brasil</v>
      </c>
      <c r="C1593" s="4" t="str">
        <f>_xlfn.XLOOKUP(A1593,[1]!DadosGHD[CD_GEOCMU],[1]!DadosGHD[Região])</f>
        <v>NE</v>
      </c>
      <c r="D1593" s="4" t="str">
        <f>_xlfn.XLOOKUP(A1593,[1]!DadosGHD[CD_GEOCMU],[1]!DadosGHD[uf])</f>
        <v>PB</v>
      </c>
      <c r="E1593" s="5" t="str">
        <f>_xlfn.XLOOKUP(A1593,[1]!DadosGHD[CD_GEOCMU],[1]!DadosGHD[MUNICIPIO])</f>
        <v>AREIAL</v>
      </c>
      <c r="F1593" s="6">
        <v>33.750335693359403</v>
      </c>
      <c r="G1593" s="6">
        <v>33.797264099121101</v>
      </c>
      <c r="H1593" s="6">
        <v>33.861419677734403</v>
      </c>
      <c r="I1593" s="6">
        <v>33.869098663330099</v>
      </c>
      <c r="J1593" s="6">
        <v>38.745594024658203</v>
      </c>
      <c r="K1593" s="6">
        <v>33.883842468261697</v>
      </c>
      <c r="L1593" s="6">
        <v>35.130867004394503</v>
      </c>
    </row>
    <row r="1594" spans="1:12" x14ac:dyDescent="0.25">
      <c r="A1594">
        <v>2309508</v>
      </c>
      <c r="B1594" t="str">
        <f t="shared" si="24"/>
        <v>OROS, CE, Brasil</v>
      </c>
      <c r="C1594" s="4" t="str">
        <f>_xlfn.XLOOKUP(A1594,[1]!DadosGHD[CD_GEOCMU],[1]!DadosGHD[Região])</f>
        <v>NE</v>
      </c>
      <c r="D1594" s="4" t="str">
        <f>_xlfn.XLOOKUP(A1594,[1]!DadosGHD[CD_GEOCMU],[1]!DadosGHD[uf])</f>
        <v>CE</v>
      </c>
      <c r="E1594" s="5" t="str">
        <f>_xlfn.XLOOKUP(A1594,[1]!DadosGHD[CD_GEOCMU],[1]!DadosGHD[MUNICIPIO])</f>
        <v>OROS</v>
      </c>
      <c r="F1594" s="6">
        <v>33.750400543212898</v>
      </c>
      <c r="G1594" s="6">
        <v>38.692550659179702</v>
      </c>
      <c r="H1594" s="6">
        <v>38.769340515136697</v>
      </c>
      <c r="I1594" s="6">
        <v>38.796718597412102</v>
      </c>
      <c r="J1594" s="6">
        <v>38.815158843994098</v>
      </c>
      <c r="K1594" s="6">
        <v>38.860389709472699</v>
      </c>
      <c r="L1594" s="6">
        <v>44.0300483703613</v>
      </c>
    </row>
    <row r="1595" spans="1:12" x14ac:dyDescent="0.25">
      <c r="A1595">
        <v>3171600</v>
      </c>
      <c r="B1595" t="str">
        <f t="shared" si="24"/>
        <v>VIRGEM DA LAPA, MG, Brasil</v>
      </c>
      <c r="C1595" s="4" t="str">
        <f>_xlfn.XLOOKUP(A1595,[1]!DadosGHD[CD_GEOCMU],[1]!DadosGHD[Região])</f>
        <v>SD</v>
      </c>
      <c r="D1595" s="4" t="str">
        <f>_xlfn.XLOOKUP(A1595,[1]!DadosGHD[CD_GEOCMU],[1]!DadosGHD[uf])</f>
        <v>MG</v>
      </c>
      <c r="E1595" s="5" t="str">
        <f>_xlfn.XLOOKUP(A1595,[1]!DadosGHD[CD_GEOCMU],[1]!DadosGHD[MUNICIPIO])</f>
        <v>VIRGEM DA LAPA</v>
      </c>
      <c r="F1595" s="6">
        <v>33.750411987304702</v>
      </c>
      <c r="G1595" s="6">
        <v>38.712631225585902</v>
      </c>
      <c r="H1595" s="6">
        <v>38.759693145752003</v>
      </c>
      <c r="I1595" s="6">
        <v>38.728004455566399</v>
      </c>
      <c r="J1595" s="6">
        <v>33.889930725097699</v>
      </c>
      <c r="K1595" s="6">
        <v>38.784400939941399</v>
      </c>
      <c r="L1595" s="6">
        <v>30.7223110198975</v>
      </c>
    </row>
    <row r="1596" spans="1:12" x14ac:dyDescent="0.25">
      <c r="A1596">
        <v>2709301</v>
      </c>
      <c r="B1596" t="str">
        <f t="shared" si="24"/>
        <v>UNIAO DOS PALMARES, AL, Brasil</v>
      </c>
      <c r="C1596" s="4" t="str">
        <f>_xlfn.XLOOKUP(A1596,[1]!DadosGHD[CD_GEOCMU],[1]!DadosGHD[Região])</f>
        <v>NE</v>
      </c>
      <c r="D1596" s="4" t="str">
        <f>_xlfn.XLOOKUP(A1596,[1]!DadosGHD[CD_GEOCMU],[1]!DadosGHD[uf])</f>
        <v>AL</v>
      </c>
      <c r="E1596" s="5" t="str">
        <f>_xlfn.XLOOKUP(A1596,[1]!DadosGHD[CD_GEOCMU],[1]!DadosGHD[MUNICIPIO])</f>
        <v>UNIAO DOS PALMARES</v>
      </c>
      <c r="F1596" s="6">
        <v>33.750457763671903</v>
      </c>
      <c r="G1596" s="6">
        <v>33.822277069091797</v>
      </c>
      <c r="H1596" s="6">
        <v>33.8627738952637</v>
      </c>
      <c r="I1596" s="6">
        <v>33.820072174072301</v>
      </c>
      <c r="J1596" s="6">
        <v>33.856269836425803</v>
      </c>
      <c r="K1596" s="6">
        <v>33.866439819335902</v>
      </c>
      <c r="L1596" s="6">
        <v>30.696729660034201</v>
      </c>
    </row>
    <row r="1597" spans="1:12" x14ac:dyDescent="0.25">
      <c r="A1597">
        <v>2404853</v>
      </c>
      <c r="B1597" t="str">
        <f t="shared" si="24"/>
        <v>ITAJA, RN, Brasil</v>
      </c>
      <c r="C1597" s="4" t="str">
        <f>_xlfn.XLOOKUP(A1597,[1]!DadosGHD[CD_GEOCMU],[1]!DadosGHD[Região])</f>
        <v>NE</v>
      </c>
      <c r="D1597" s="4" t="str">
        <f>_xlfn.XLOOKUP(A1597,[1]!DadosGHD[CD_GEOCMU],[1]!DadosGHD[uf])</f>
        <v>RN</v>
      </c>
      <c r="E1597" s="5" t="str">
        <f>_xlfn.XLOOKUP(A1597,[1]!DadosGHD[CD_GEOCMU],[1]!DadosGHD[MUNICIPIO])</f>
        <v>ITAJA</v>
      </c>
      <c r="F1597" s="6">
        <v>33.750461578369098</v>
      </c>
      <c r="G1597" s="6">
        <v>38.723682403564503</v>
      </c>
      <c r="H1597" s="6">
        <v>33.871425628662102</v>
      </c>
      <c r="I1597" s="6">
        <v>33.8204345703125</v>
      </c>
      <c r="J1597" s="6">
        <v>33.814674377441399</v>
      </c>
      <c r="K1597" s="6">
        <v>33.845821380615199</v>
      </c>
      <c r="L1597" s="6">
        <v>26.285402297973601</v>
      </c>
    </row>
    <row r="1598" spans="1:12" x14ac:dyDescent="0.25">
      <c r="A1598">
        <v>2922904</v>
      </c>
      <c r="B1598" t="str">
        <f t="shared" si="24"/>
        <v>NOVA SOURE, BA, Brasil</v>
      </c>
      <c r="C1598" s="4" t="str">
        <f>_xlfn.XLOOKUP(A1598,[1]!DadosGHD[CD_GEOCMU],[1]!DadosGHD[Região])</f>
        <v>NE</v>
      </c>
      <c r="D1598" s="4" t="str">
        <f>_xlfn.XLOOKUP(A1598,[1]!DadosGHD[CD_GEOCMU],[1]!DadosGHD[uf])</f>
        <v>BA</v>
      </c>
      <c r="E1598" s="5" t="str">
        <f>_xlfn.XLOOKUP(A1598,[1]!DadosGHD[CD_GEOCMU],[1]!DadosGHD[MUNICIPIO])</f>
        <v>NOVA SOURE</v>
      </c>
      <c r="F1598" s="6">
        <v>33.750553131103501</v>
      </c>
      <c r="G1598" s="6">
        <v>33.810184478759801</v>
      </c>
      <c r="H1598" s="6">
        <v>33.857498168945298</v>
      </c>
      <c r="I1598" s="6">
        <v>33.8225288391113</v>
      </c>
      <c r="J1598" s="6">
        <v>33.832813262939503</v>
      </c>
      <c r="K1598" s="6">
        <v>33.857200622558601</v>
      </c>
      <c r="L1598" s="6">
        <v>26.285142898559599</v>
      </c>
    </row>
    <row r="1599" spans="1:12" x14ac:dyDescent="0.25">
      <c r="A1599">
        <v>2605004</v>
      </c>
      <c r="B1599" t="str">
        <f t="shared" si="24"/>
        <v>CUPIRA, PE, Brasil</v>
      </c>
      <c r="C1599" s="4" t="str">
        <f>_xlfn.XLOOKUP(A1599,[1]!DadosGHD[CD_GEOCMU],[1]!DadosGHD[Região])</f>
        <v>NE</v>
      </c>
      <c r="D1599" s="4" t="str">
        <f>_xlfn.XLOOKUP(A1599,[1]!DadosGHD[CD_GEOCMU],[1]!DadosGHD[uf])</f>
        <v>PE</v>
      </c>
      <c r="E1599" s="5" t="str">
        <f>_xlfn.XLOOKUP(A1599,[1]!DadosGHD[CD_GEOCMU],[1]!DadosGHD[MUNICIPIO])</f>
        <v>CUPIRA</v>
      </c>
      <c r="F1599" s="6">
        <v>33.750755310058601</v>
      </c>
      <c r="G1599" s="6">
        <v>33.810749053955099</v>
      </c>
      <c r="H1599" s="6">
        <v>33.875907897949197</v>
      </c>
      <c r="I1599" s="6">
        <v>33.850872039794901</v>
      </c>
      <c r="J1599" s="6">
        <v>33.841381072998097</v>
      </c>
      <c r="K1599" s="6">
        <v>33.857826232910199</v>
      </c>
      <c r="L1599" s="6">
        <v>30.705247879028299</v>
      </c>
    </row>
    <row r="1600" spans="1:12" x14ac:dyDescent="0.25">
      <c r="A1600">
        <v>2312106</v>
      </c>
      <c r="B1600" t="str">
        <f t="shared" si="24"/>
        <v>SANTANA DO CARIRI, CE, Brasil</v>
      </c>
      <c r="C1600" s="4" t="str">
        <f>_xlfn.XLOOKUP(A1600,[1]!DadosGHD[CD_GEOCMU],[1]!DadosGHD[Região])</f>
        <v>NE</v>
      </c>
      <c r="D1600" s="4" t="str">
        <f>_xlfn.XLOOKUP(A1600,[1]!DadosGHD[CD_GEOCMU],[1]!DadosGHD[uf])</f>
        <v>CE</v>
      </c>
      <c r="E1600" s="5" t="str">
        <f>_xlfn.XLOOKUP(A1600,[1]!DadosGHD[CD_GEOCMU],[1]!DadosGHD[MUNICIPIO])</f>
        <v>SANTANA DO CARIRI</v>
      </c>
      <c r="F1600" s="6">
        <v>33.750789642333999</v>
      </c>
      <c r="G1600" s="6">
        <v>33.809146881103501</v>
      </c>
      <c r="H1600" s="6">
        <v>33.841934204101598</v>
      </c>
      <c r="I1600" s="6">
        <v>33.813220977783203</v>
      </c>
      <c r="J1600" s="6">
        <v>33.883132934570298</v>
      </c>
      <c r="K1600" s="6">
        <v>28.991283416748001</v>
      </c>
      <c r="L1600" s="6">
        <v>26.2798957824707</v>
      </c>
    </row>
    <row r="1601" spans="1:12" x14ac:dyDescent="0.25">
      <c r="A1601">
        <v>2204659</v>
      </c>
      <c r="B1601" t="str">
        <f t="shared" si="24"/>
        <v>ILHA GRANDE, PI, Brasil</v>
      </c>
      <c r="C1601" s="4" t="str">
        <f>_xlfn.XLOOKUP(A1601,[1]!DadosGHD[CD_GEOCMU],[1]!DadosGHD[Região])</f>
        <v>NE</v>
      </c>
      <c r="D1601" s="4" t="str">
        <f>_xlfn.XLOOKUP(A1601,[1]!DadosGHD[CD_GEOCMU],[1]!DadosGHD[uf])</f>
        <v>PI</v>
      </c>
      <c r="E1601" s="5" t="str">
        <f>_xlfn.XLOOKUP(A1601,[1]!DadosGHD[CD_GEOCMU],[1]!DadosGHD[MUNICIPIO])</f>
        <v>ILHA GRANDE</v>
      </c>
      <c r="F1601" s="6">
        <v>33.7509155273438</v>
      </c>
      <c r="G1601" s="6">
        <v>33.819648742675803</v>
      </c>
      <c r="H1601" s="6">
        <v>33.8516845703125</v>
      </c>
      <c r="I1601" s="6">
        <v>33.831893920898402</v>
      </c>
      <c r="J1601" s="6">
        <v>33.861534118652301</v>
      </c>
      <c r="K1601" s="6">
        <v>29.006074905395501</v>
      </c>
      <c r="L1601" s="6">
        <v>30.711858749389702</v>
      </c>
    </row>
    <row r="1602" spans="1:12" x14ac:dyDescent="0.25">
      <c r="A1602">
        <v>2205573</v>
      </c>
      <c r="B1602" t="str">
        <f t="shared" si="24"/>
        <v>LAGOA DE SAO FRANCISCO, PI, Brasil</v>
      </c>
      <c r="C1602" s="4" t="str">
        <f>_xlfn.XLOOKUP(A1602,[1]!DadosGHD[CD_GEOCMU],[1]!DadosGHD[Região])</f>
        <v>NE</v>
      </c>
      <c r="D1602" s="4" t="str">
        <f>_xlfn.XLOOKUP(A1602,[1]!DadosGHD[CD_GEOCMU],[1]!DadosGHD[uf])</f>
        <v>PI</v>
      </c>
      <c r="E1602" s="5" t="str">
        <f>_xlfn.XLOOKUP(A1602,[1]!DadosGHD[CD_GEOCMU],[1]!DadosGHD[MUNICIPIO])</f>
        <v>LAGOA DE SAO FRANCISCO</v>
      </c>
      <c r="F1602" s="6">
        <v>33.750919342041001</v>
      </c>
      <c r="G1602" s="6">
        <v>33.808681488037102</v>
      </c>
      <c r="H1602" s="6">
        <v>33.841236114502003</v>
      </c>
      <c r="I1602" s="6">
        <v>33.811912536621101</v>
      </c>
      <c r="J1602" s="6">
        <v>33.848159790039098</v>
      </c>
      <c r="K1602" s="6">
        <v>33.922946929931598</v>
      </c>
      <c r="L1602" s="6">
        <v>30.720945358276399</v>
      </c>
    </row>
    <row r="1603" spans="1:12" x14ac:dyDescent="0.25">
      <c r="A1603">
        <v>3161502</v>
      </c>
      <c r="B1603" t="str">
        <f t="shared" si="24"/>
        <v>SAO GERALDO, MG, Brasil</v>
      </c>
      <c r="C1603" s="4" t="str">
        <f>_xlfn.XLOOKUP(A1603,[1]!DadosGHD[CD_GEOCMU],[1]!DadosGHD[Região])</f>
        <v>SD</v>
      </c>
      <c r="D1603" s="4" t="str">
        <f>_xlfn.XLOOKUP(A1603,[1]!DadosGHD[CD_GEOCMU],[1]!DadosGHD[uf])</f>
        <v>MG</v>
      </c>
      <c r="E1603" s="5" t="str">
        <f>_xlfn.XLOOKUP(A1603,[1]!DadosGHD[CD_GEOCMU],[1]!DadosGHD[MUNICIPIO])</f>
        <v>SAO GERALDO</v>
      </c>
      <c r="F1603" s="6">
        <v>33.751045227050803</v>
      </c>
      <c r="G1603" s="6">
        <v>33.797107696533203</v>
      </c>
      <c r="H1603" s="6">
        <v>33.829952239990199</v>
      </c>
      <c r="I1603" s="6">
        <v>33.809974670410199</v>
      </c>
      <c r="J1603" s="6">
        <v>33.814929962158203</v>
      </c>
      <c r="K1603" s="6">
        <v>28.9838542938232</v>
      </c>
      <c r="L1603" s="6">
        <v>39.576534271240199</v>
      </c>
    </row>
    <row r="1604" spans="1:12" x14ac:dyDescent="0.25">
      <c r="A1604">
        <v>3149952</v>
      </c>
      <c r="B1604" t="str">
        <f t="shared" ref="B1604:B1667" si="25">_xlfn.CONCAT(E1604, ", ", D1604, ", Brasil")</f>
        <v>PERIQUITO, MG, Brasil</v>
      </c>
      <c r="C1604" s="4" t="str">
        <f>_xlfn.XLOOKUP(A1604,[1]!DadosGHD[CD_GEOCMU],[1]!DadosGHD[Região])</f>
        <v>SD</v>
      </c>
      <c r="D1604" s="4" t="str">
        <f>_xlfn.XLOOKUP(A1604,[1]!DadosGHD[CD_GEOCMU],[1]!DadosGHD[uf])</f>
        <v>MG</v>
      </c>
      <c r="E1604" s="5" t="str">
        <f>_xlfn.XLOOKUP(A1604,[1]!DadosGHD[CD_GEOCMU],[1]!DadosGHD[MUNICIPIO])</f>
        <v>PERIQUITO</v>
      </c>
      <c r="F1604" s="6">
        <v>33.751148223877003</v>
      </c>
      <c r="G1604" s="6">
        <v>33.804973602294901</v>
      </c>
      <c r="H1604" s="6">
        <v>33.843902587890597</v>
      </c>
      <c r="I1604" s="6">
        <v>33.8134765625</v>
      </c>
      <c r="J1604" s="6">
        <v>33.838798522949197</v>
      </c>
      <c r="K1604" s="6">
        <v>33.868419647216797</v>
      </c>
      <c r="L1604" s="6">
        <v>30.702459335327202</v>
      </c>
    </row>
    <row r="1605" spans="1:12" x14ac:dyDescent="0.25">
      <c r="A1605">
        <v>3148756</v>
      </c>
      <c r="B1605" t="str">
        <f t="shared" si="25"/>
        <v>PEDRA BONITA, MG, Brasil</v>
      </c>
      <c r="C1605" s="4" t="str">
        <f>_xlfn.XLOOKUP(A1605,[1]!DadosGHD[CD_GEOCMU],[1]!DadosGHD[Região])</f>
        <v>SD</v>
      </c>
      <c r="D1605" s="4" t="str">
        <f>_xlfn.XLOOKUP(A1605,[1]!DadosGHD[CD_GEOCMU],[1]!DadosGHD[uf])</f>
        <v>MG</v>
      </c>
      <c r="E1605" s="5" t="str">
        <f>_xlfn.XLOOKUP(A1605,[1]!DadosGHD[CD_GEOCMU],[1]!DadosGHD[MUNICIPIO])</f>
        <v>PEDRA BONITA</v>
      </c>
      <c r="F1605" s="6">
        <v>33.751270294189503</v>
      </c>
      <c r="G1605" s="6">
        <v>33.797859191894503</v>
      </c>
      <c r="H1605" s="6">
        <v>33.836254119873097</v>
      </c>
      <c r="I1605" s="6">
        <v>33.814075469970703</v>
      </c>
      <c r="J1605" s="6">
        <v>33.843063354492202</v>
      </c>
      <c r="K1605" s="6">
        <v>33.865493774414098</v>
      </c>
      <c r="L1605" s="6">
        <v>30.706745147705099</v>
      </c>
    </row>
    <row r="1606" spans="1:12" x14ac:dyDescent="0.25">
      <c r="A1606">
        <v>2900306</v>
      </c>
      <c r="B1606" t="str">
        <f t="shared" si="25"/>
        <v>ACAJUTIBA, BA, Brasil</v>
      </c>
      <c r="C1606" s="4" t="str">
        <f>_xlfn.XLOOKUP(A1606,[1]!DadosGHD[CD_GEOCMU],[1]!DadosGHD[Região])</f>
        <v>NE</v>
      </c>
      <c r="D1606" s="4" t="str">
        <f>_xlfn.XLOOKUP(A1606,[1]!DadosGHD[CD_GEOCMU],[1]!DadosGHD[uf])</f>
        <v>BA</v>
      </c>
      <c r="E1606" s="5" t="str">
        <f>_xlfn.XLOOKUP(A1606,[1]!DadosGHD[CD_GEOCMU],[1]!DadosGHD[MUNICIPIO])</f>
        <v>ACAJUTIBA</v>
      </c>
      <c r="F1606" s="6">
        <v>33.751392364502003</v>
      </c>
      <c r="G1606" s="6">
        <v>33.840259552002003</v>
      </c>
      <c r="H1606" s="6">
        <v>33.882236480712898</v>
      </c>
      <c r="I1606" s="6">
        <v>33.861034393310597</v>
      </c>
      <c r="J1606" s="6">
        <v>33.8925170898438</v>
      </c>
      <c r="K1606" s="6">
        <v>38.790458679199197</v>
      </c>
      <c r="L1606" s="6">
        <v>35.117099761962898</v>
      </c>
    </row>
    <row r="1607" spans="1:12" x14ac:dyDescent="0.25">
      <c r="A1607">
        <v>2500908</v>
      </c>
      <c r="B1607" t="str">
        <f t="shared" si="25"/>
        <v>ARARA, PB, Brasil</v>
      </c>
      <c r="C1607" s="4" t="str">
        <f>_xlfn.XLOOKUP(A1607,[1]!DadosGHD[CD_GEOCMU],[1]!DadosGHD[Região])</f>
        <v>NE</v>
      </c>
      <c r="D1607" s="4" t="str">
        <f>_xlfn.XLOOKUP(A1607,[1]!DadosGHD[CD_GEOCMU],[1]!DadosGHD[uf])</f>
        <v>PB</v>
      </c>
      <c r="E1607" s="5" t="str">
        <f>_xlfn.XLOOKUP(A1607,[1]!DadosGHD[CD_GEOCMU],[1]!DadosGHD[MUNICIPIO])</f>
        <v>ARARA</v>
      </c>
      <c r="F1607" s="6">
        <v>33.751583099365199</v>
      </c>
      <c r="G1607" s="6">
        <v>33.821529388427699</v>
      </c>
      <c r="H1607" s="6">
        <v>33.875087738037102</v>
      </c>
      <c r="I1607" s="6">
        <v>33.825088500976598</v>
      </c>
      <c r="J1607" s="6">
        <v>33.835514068603501</v>
      </c>
      <c r="K1607" s="6">
        <v>33.878021240234403</v>
      </c>
      <c r="L1607" s="6">
        <v>35.127067565917997</v>
      </c>
    </row>
    <row r="1608" spans="1:12" x14ac:dyDescent="0.25">
      <c r="A1608">
        <v>2932408</v>
      </c>
      <c r="B1608" t="str">
        <f t="shared" si="25"/>
        <v>UIBAI, BA, Brasil</v>
      </c>
      <c r="C1608" s="4" t="str">
        <f>_xlfn.XLOOKUP(A1608,[1]!DadosGHD[CD_GEOCMU],[1]!DadosGHD[Região])</f>
        <v>NE</v>
      </c>
      <c r="D1608" s="4" t="str">
        <f>_xlfn.XLOOKUP(A1608,[1]!DadosGHD[CD_GEOCMU],[1]!DadosGHD[uf])</f>
        <v>BA</v>
      </c>
      <c r="E1608" s="5" t="str">
        <f>_xlfn.XLOOKUP(A1608,[1]!DadosGHD[CD_GEOCMU],[1]!DadosGHD[MUNICIPIO])</f>
        <v>UIBAI</v>
      </c>
      <c r="F1608" s="6">
        <v>33.751583099365199</v>
      </c>
      <c r="G1608" s="6">
        <v>33.803035736083999</v>
      </c>
      <c r="H1608" s="6">
        <v>33.843482971191399</v>
      </c>
      <c r="I1608" s="6">
        <v>33.817501068115199</v>
      </c>
      <c r="J1608" s="6">
        <v>33.865333557128899</v>
      </c>
      <c r="K1608" s="6">
        <v>33.901935577392599</v>
      </c>
      <c r="L1608" s="6">
        <v>35.150199890136697</v>
      </c>
    </row>
    <row r="1609" spans="1:12" x14ac:dyDescent="0.25">
      <c r="A1609">
        <v>2933604</v>
      </c>
      <c r="B1609" t="str">
        <f t="shared" si="25"/>
        <v>XIQUE-XIQUE, BA, Brasil</v>
      </c>
      <c r="C1609" s="4" t="str">
        <f>_xlfn.XLOOKUP(A1609,[1]!DadosGHD[CD_GEOCMU],[1]!DadosGHD[Região])</f>
        <v>NE</v>
      </c>
      <c r="D1609" s="4" t="str">
        <f>_xlfn.XLOOKUP(A1609,[1]!DadosGHD[CD_GEOCMU],[1]!DadosGHD[uf])</f>
        <v>BA</v>
      </c>
      <c r="E1609" s="5" t="str">
        <f>_xlfn.XLOOKUP(A1609,[1]!DadosGHD[CD_GEOCMU],[1]!DadosGHD[MUNICIPIO])</f>
        <v>XIQUE-XIQUE</v>
      </c>
      <c r="F1609" s="6">
        <v>33.751617431640597</v>
      </c>
      <c r="G1609" s="6">
        <v>33.831718444824197</v>
      </c>
      <c r="H1609" s="6">
        <v>33.875759124755902</v>
      </c>
      <c r="I1609" s="6">
        <v>33.850543975830099</v>
      </c>
      <c r="J1609" s="6">
        <v>38.742385864257798</v>
      </c>
      <c r="K1609" s="6">
        <v>38.795196533203097</v>
      </c>
      <c r="L1609" s="6">
        <v>35.141067504882798</v>
      </c>
    </row>
    <row r="1610" spans="1:12" x14ac:dyDescent="0.25">
      <c r="A1610">
        <v>1722081</v>
      </c>
      <c r="B1610" t="str">
        <f t="shared" si="25"/>
        <v>WANDERLANDIA, TO, Brasil</v>
      </c>
      <c r="C1610" s="4" t="str">
        <f>_xlfn.XLOOKUP(A1610,[1]!DadosGHD[CD_GEOCMU],[1]!DadosGHD[Região])</f>
        <v>NO</v>
      </c>
      <c r="D1610" s="4" t="str">
        <f>_xlfn.XLOOKUP(A1610,[1]!DadosGHD[CD_GEOCMU],[1]!DadosGHD[uf])</f>
        <v>TO</v>
      </c>
      <c r="E1610" s="5" t="str">
        <f>_xlfn.XLOOKUP(A1610,[1]!DadosGHD[CD_GEOCMU],[1]!DadosGHD[MUNICIPIO])</f>
        <v>WANDERLANDIA</v>
      </c>
      <c r="F1610" s="6">
        <v>33.751632690429702</v>
      </c>
      <c r="G1610" s="6">
        <v>33.819271087646499</v>
      </c>
      <c r="H1610" s="6">
        <v>33.8537406921387</v>
      </c>
      <c r="I1610" s="6">
        <v>28.9573650360107</v>
      </c>
      <c r="J1610" s="6">
        <v>28.9718208312988</v>
      </c>
      <c r="K1610" s="6">
        <v>28.988357543945298</v>
      </c>
      <c r="L1610" s="6">
        <v>26.2798957824707</v>
      </c>
    </row>
    <row r="1611" spans="1:12" x14ac:dyDescent="0.25">
      <c r="A1611">
        <v>2925105</v>
      </c>
      <c r="B1611" t="str">
        <f t="shared" si="25"/>
        <v>POCOES, BA, Brasil</v>
      </c>
      <c r="C1611" s="4" t="str">
        <f>_xlfn.XLOOKUP(A1611,[1]!DadosGHD[CD_GEOCMU],[1]!DadosGHD[Região])</f>
        <v>NE</v>
      </c>
      <c r="D1611" s="4" t="str">
        <f>_xlfn.XLOOKUP(A1611,[1]!DadosGHD[CD_GEOCMU],[1]!DadosGHD[uf])</f>
        <v>BA</v>
      </c>
      <c r="E1611" s="5" t="str">
        <f>_xlfn.XLOOKUP(A1611,[1]!DadosGHD[CD_GEOCMU],[1]!DadosGHD[MUNICIPIO])</f>
        <v>POCOES</v>
      </c>
      <c r="F1611" s="6">
        <v>33.7517280578613</v>
      </c>
      <c r="G1611" s="6">
        <v>33.8351020812988</v>
      </c>
      <c r="H1611" s="6">
        <v>33.882522583007798</v>
      </c>
      <c r="I1611" s="6">
        <v>33.857574462890597</v>
      </c>
      <c r="J1611" s="6">
        <v>33.868015289306598</v>
      </c>
      <c r="K1611" s="6">
        <v>33.902332305908203</v>
      </c>
      <c r="L1611" s="6">
        <v>30.701278686523398</v>
      </c>
    </row>
    <row r="1612" spans="1:12" x14ac:dyDescent="0.25">
      <c r="A1612">
        <v>2210409</v>
      </c>
      <c r="B1612" t="str">
        <f t="shared" si="25"/>
        <v>SAO MIGUEL DO TAPUIO, PI, Brasil</v>
      </c>
      <c r="C1612" s="4" t="str">
        <f>_xlfn.XLOOKUP(A1612,[1]!DadosGHD[CD_GEOCMU],[1]!DadosGHD[Região])</f>
        <v>NE</v>
      </c>
      <c r="D1612" s="4" t="str">
        <f>_xlfn.XLOOKUP(A1612,[1]!DadosGHD[CD_GEOCMU],[1]!DadosGHD[uf])</f>
        <v>PI</v>
      </c>
      <c r="E1612" s="5" t="str">
        <f>_xlfn.XLOOKUP(A1612,[1]!DadosGHD[CD_GEOCMU],[1]!DadosGHD[MUNICIPIO])</f>
        <v>SAO MIGUEL DO TAPUIO</v>
      </c>
      <c r="F1612" s="6">
        <v>33.751754760742202</v>
      </c>
      <c r="G1612" s="6">
        <v>33.810153961181598</v>
      </c>
      <c r="H1612" s="6">
        <v>28.978878021240199</v>
      </c>
      <c r="I1612" s="6">
        <v>28.959215164184599</v>
      </c>
      <c r="J1612" s="6">
        <v>28.975009918212901</v>
      </c>
      <c r="K1612" s="6">
        <v>29.003002166748001</v>
      </c>
      <c r="L1612" s="6">
        <v>26.281875610351602</v>
      </c>
    </row>
    <row r="1613" spans="1:12" x14ac:dyDescent="0.25">
      <c r="A1613">
        <v>2708709</v>
      </c>
      <c r="B1613" t="str">
        <f t="shared" si="25"/>
        <v>SAO MIGUEL DOS MILAGRES, AL, Brasil</v>
      </c>
      <c r="C1613" s="4" t="str">
        <f>_xlfn.XLOOKUP(A1613,[1]!DadosGHD[CD_GEOCMU],[1]!DadosGHD[Região])</f>
        <v>NE</v>
      </c>
      <c r="D1613" s="4" t="str">
        <f>_xlfn.XLOOKUP(A1613,[1]!DadosGHD[CD_GEOCMU],[1]!DadosGHD[uf])</f>
        <v>AL</v>
      </c>
      <c r="E1613" s="5" t="str">
        <f>_xlfn.XLOOKUP(A1613,[1]!DadosGHD[CD_GEOCMU],[1]!DadosGHD[MUNICIPIO])</f>
        <v>SAO MIGUEL DOS MILAGRES</v>
      </c>
      <c r="F1613" s="6">
        <v>33.751865386962898</v>
      </c>
      <c r="G1613" s="6">
        <v>33.803401947021499</v>
      </c>
      <c r="H1613" s="6">
        <v>33.841709136962898</v>
      </c>
      <c r="I1613" s="6">
        <v>38.720096588134801</v>
      </c>
      <c r="J1613" s="6">
        <v>38.805831909179702</v>
      </c>
      <c r="K1613" s="6">
        <v>33.842201232910199</v>
      </c>
      <c r="L1613" s="6">
        <v>26.281999588012699</v>
      </c>
    </row>
    <row r="1614" spans="1:12" x14ac:dyDescent="0.25">
      <c r="A1614">
        <v>1400704</v>
      </c>
      <c r="B1614" t="str">
        <f t="shared" si="25"/>
        <v>UIRAMUTA, RR, Brasil</v>
      </c>
      <c r="C1614" s="4" t="str">
        <f>_xlfn.XLOOKUP(A1614,[1]!DadosGHD[CD_GEOCMU],[1]!DadosGHD[Região])</f>
        <v>NO</v>
      </c>
      <c r="D1614" s="4" t="str">
        <f>_xlfn.XLOOKUP(A1614,[1]!DadosGHD[CD_GEOCMU],[1]!DadosGHD[uf])</f>
        <v>RR</v>
      </c>
      <c r="E1614" s="5" t="str">
        <f>_xlfn.XLOOKUP(A1614,[1]!DadosGHD[CD_GEOCMU],[1]!DadosGHD[MUNICIPIO])</f>
        <v>UIRAMUTA</v>
      </c>
      <c r="F1614" s="6">
        <v>33.751899719238303</v>
      </c>
      <c r="G1614" s="6">
        <v>33.784172058105497</v>
      </c>
      <c r="H1614" s="6">
        <v>33.817802429199197</v>
      </c>
      <c r="I1614" s="6">
        <v>33.793228149414098</v>
      </c>
      <c r="J1614" s="6">
        <v>28.978757858276399</v>
      </c>
      <c r="K1614" s="6">
        <v>33.8438529968262</v>
      </c>
      <c r="L1614" s="6">
        <v>26.2798957824707</v>
      </c>
    </row>
    <row r="1615" spans="1:12" x14ac:dyDescent="0.25">
      <c r="A1615">
        <v>2915403</v>
      </c>
      <c r="B1615" t="str">
        <f t="shared" si="25"/>
        <v>ITAJU DO COLONIA, BA, Brasil</v>
      </c>
      <c r="C1615" s="4" t="str">
        <f>_xlfn.XLOOKUP(A1615,[1]!DadosGHD[CD_GEOCMU],[1]!DadosGHD[Região])</f>
        <v>NE</v>
      </c>
      <c r="D1615" s="4" t="str">
        <f>_xlfn.XLOOKUP(A1615,[1]!DadosGHD[CD_GEOCMU],[1]!DadosGHD[uf])</f>
        <v>BA</v>
      </c>
      <c r="E1615" s="5" t="str">
        <f>_xlfn.XLOOKUP(A1615,[1]!DadosGHD[CD_GEOCMU],[1]!DadosGHD[MUNICIPIO])</f>
        <v>ITAJU DO COLONIA</v>
      </c>
      <c r="F1615" s="6">
        <v>33.751911163330099</v>
      </c>
      <c r="G1615" s="6">
        <v>33.801300048828097</v>
      </c>
      <c r="H1615" s="6">
        <v>33.848770141601598</v>
      </c>
      <c r="I1615" s="6">
        <v>33.825748443603501</v>
      </c>
      <c r="J1615" s="6">
        <v>33.845054626464801</v>
      </c>
      <c r="K1615" s="6">
        <v>33.872287750244098</v>
      </c>
      <c r="L1615" s="6">
        <v>26.2906169891357</v>
      </c>
    </row>
    <row r="1616" spans="1:12" x14ac:dyDescent="0.25">
      <c r="A1616">
        <v>2608503</v>
      </c>
      <c r="B1616" t="str">
        <f t="shared" si="25"/>
        <v>LAGOA DE ITAENGA, PE, Brasil</v>
      </c>
      <c r="C1616" s="4" t="str">
        <f>_xlfn.XLOOKUP(A1616,[1]!DadosGHD[CD_GEOCMU],[1]!DadosGHD[Região])</f>
        <v>NE</v>
      </c>
      <c r="D1616" s="4" t="str">
        <f>_xlfn.XLOOKUP(A1616,[1]!DadosGHD[CD_GEOCMU],[1]!DadosGHD[uf])</f>
        <v>PE</v>
      </c>
      <c r="E1616" s="5" t="str">
        <f>_xlfn.XLOOKUP(A1616,[1]!DadosGHD[CD_GEOCMU],[1]!DadosGHD[MUNICIPIO])</f>
        <v>LAGOA DE ITAENGA</v>
      </c>
      <c r="F1616" s="6">
        <v>33.751914978027301</v>
      </c>
      <c r="G1616" s="6">
        <v>33.774684906005902</v>
      </c>
      <c r="H1616" s="6">
        <v>33.818824768066399</v>
      </c>
      <c r="I1616" s="6">
        <v>33.801658630371101</v>
      </c>
      <c r="J1616" s="6">
        <v>33.817054748535199</v>
      </c>
      <c r="K1616" s="6">
        <v>33.854476928710902</v>
      </c>
      <c r="L1616" s="6">
        <v>26.2850227355957</v>
      </c>
    </row>
    <row r="1617" spans="1:12" x14ac:dyDescent="0.25">
      <c r="A1617">
        <v>2106409</v>
      </c>
      <c r="B1617" t="str">
        <f t="shared" si="25"/>
        <v>MATA ROMA, MA, Brasil</v>
      </c>
      <c r="C1617" s="4" t="str">
        <f>_xlfn.XLOOKUP(A1617,[1]!DadosGHD[CD_GEOCMU],[1]!DadosGHD[Região])</f>
        <v>NE</v>
      </c>
      <c r="D1617" s="4" t="str">
        <f>_xlfn.XLOOKUP(A1617,[1]!DadosGHD[CD_GEOCMU],[1]!DadosGHD[uf])</f>
        <v>MA</v>
      </c>
      <c r="E1617" s="5" t="str">
        <f>_xlfn.XLOOKUP(A1617,[1]!DadosGHD[CD_GEOCMU],[1]!DadosGHD[MUNICIPIO])</f>
        <v>MATA ROMA</v>
      </c>
      <c r="F1617" s="6">
        <v>33.751998901367202</v>
      </c>
      <c r="G1617" s="6">
        <v>33.790607452392599</v>
      </c>
      <c r="H1617" s="6">
        <v>33.829368591308601</v>
      </c>
      <c r="I1617" s="6">
        <v>28.9510402679443</v>
      </c>
      <c r="J1617" s="6">
        <v>28.9522190093994</v>
      </c>
      <c r="K1617" s="6">
        <v>28.9686679840088</v>
      </c>
      <c r="L1617" s="6">
        <v>26.2798957824707</v>
      </c>
    </row>
    <row r="1618" spans="1:12" x14ac:dyDescent="0.25">
      <c r="A1618">
        <v>2804805</v>
      </c>
      <c r="B1618" t="str">
        <f t="shared" si="25"/>
        <v>NOSSA SENHORA DO SOCORRO, SE, Brasil</v>
      </c>
      <c r="C1618" s="4" t="str">
        <f>_xlfn.XLOOKUP(A1618,[1]!DadosGHD[CD_GEOCMU],[1]!DadosGHD[Região])</f>
        <v>NE</v>
      </c>
      <c r="D1618" s="4" t="str">
        <f>_xlfn.XLOOKUP(A1618,[1]!DadosGHD[CD_GEOCMU],[1]!DadosGHD[uf])</f>
        <v>SE</v>
      </c>
      <c r="E1618" s="5" t="str">
        <f>_xlfn.XLOOKUP(A1618,[1]!DadosGHD[CD_GEOCMU],[1]!DadosGHD[MUNICIPIO])</f>
        <v>NOSSA SENHORA DO SOCORRO</v>
      </c>
      <c r="F1618" s="6">
        <v>33.751998901367202</v>
      </c>
      <c r="G1618" s="6">
        <v>33.842094421386697</v>
      </c>
      <c r="H1618" s="6">
        <v>33.892059326171903</v>
      </c>
      <c r="I1618" s="6">
        <v>38.714317321777301</v>
      </c>
      <c r="J1618" s="6">
        <v>38.760490417480497</v>
      </c>
      <c r="K1618" s="6">
        <v>38.835079193115199</v>
      </c>
      <c r="L1618" s="6">
        <v>39.599147796630902</v>
      </c>
    </row>
    <row r="1619" spans="1:12" x14ac:dyDescent="0.25">
      <c r="A1619">
        <v>1101807</v>
      </c>
      <c r="B1619" t="str">
        <f t="shared" si="25"/>
        <v>VALE DO PARAISO, RO, Brasil</v>
      </c>
      <c r="C1619" s="4" t="str">
        <f>_xlfn.XLOOKUP(A1619,[1]!DadosGHD[CD_GEOCMU],[1]!DadosGHD[Região])</f>
        <v>NO</v>
      </c>
      <c r="D1619" s="4" t="str">
        <f>_xlfn.XLOOKUP(A1619,[1]!DadosGHD[CD_GEOCMU],[1]!DadosGHD[uf])</f>
        <v>RO</v>
      </c>
      <c r="E1619" s="5" t="str">
        <f>_xlfn.XLOOKUP(A1619,[1]!DadosGHD[CD_GEOCMU],[1]!DadosGHD[MUNICIPIO])</f>
        <v>VALE DO PARAISO</v>
      </c>
      <c r="F1619" s="6">
        <v>33.752071380615199</v>
      </c>
      <c r="G1619" s="6">
        <v>38.723533630371101</v>
      </c>
      <c r="H1619" s="6">
        <v>43.817924499511697</v>
      </c>
      <c r="I1619" s="6">
        <v>43.7887153625488</v>
      </c>
      <c r="J1619" s="6">
        <v>43.787971496582003</v>
      </c>
      <c r="K1619" s="6">
        <v>43.834667205810597</v>
      </c>
      <c r="L1619" s="6">
        <v>39.561603546142599</v>
      </c>
    </row>
    <row r="1620" spans="1:12" x14ac:dyDescent="0.25">
      <c r="A1620">
        <v>2502904</v>
      </c>
      <c r="B1620" t="str">
        <f t="shared" si="25"/>
        <v>BREJO DOS SANTOS, PB, Brasil</v>
      </c>
      <c r="C1620" s="4" t="str">
        <f>_xlfn.XLOOKUP(A1620,[1]!DadosGHD[CD_GEOCMU],[1]!DadosGHD[Região])</f>
        <v>NE</v>
      </c>
      <c r="D1620" s="4" t="str">
        <f>_xlfn.XLOOKUP(A1620,[1]!DadosGHD[CD_GEOCMU],[1]!DadosGHD[uf])</f>
        <v>PB</v>
      </c>
      <c r="E1620" s="5" t="str">
        <f>_xlfn.XLOOKUP(A1620,[1]!DadosGHD[CD_GEOCMU],[1]!DadosGHD[MUNICIPIO])</f>
        <v>BREJO DOS SANTOS</v>
      </c>
      <c r="F1620" s="6">
        <v>33.7520942687988</v>
      </c>
      <c r="G1620" s="6">
        <v>33.801464080810597</v>
      </c>
      <c r="H1620" s="6">
        <v>33.838127136230497</v>
      </c>
      <c r="I1620" s="6">
        <v>33.831512451171903</v>
      </c>
      <c r="J1620" s="6">
        <v>33.882720947265597</v>
      </c>
      <c r="K1620" s="6">
        <v>38.801769256591797</v>
      </c>
      <c r="L1620" s="6">
        <v>35.134063720703097</v>
      </c>
    </row>
    <row r="1621" spans="1:12" x14ac:dyDescent="0.25">
      <c r="A1621">
        <v>3162708</v>
      </c>
      <c r="B1621" t="str">
        <f t="shared" si="25"/>
        <v>SAO JOAO DO PARAISO, MG, Brasil</v>
      </c>
      <c r="C1621" s="4" t="str">
        <f>_xlfn.XLOOKUP(A1621,[1]!DadosGHD[CD_GEOCMU],[1]!DadosGHD[Região])</f>
        <v>SD</v>
      </c>
      <c r="D1621" s="4" t="str">
        <f>_xlfn.XLOOKUP(A1621,[1]!DadosGHD[CD_GEOCMU],[1]!DadosGHD[uf])</f>
        <v>MG</v>
      </c>
      <c r="E1621" s="5" t="str">
        <f>_xlfn.XLOOKUP(A1621,[1]!DadosGHD[CD_GEOCMU],[1]!DadosGHD[MUNICIPIO])</f>
        <v>SAO JOAO DO PARAISO</v>
      </c>
      <c r="F1621" s="6">
        <v>33.752140045166001</v>
      </c>
      <c r="G1621" s="6">
        <v>33.835056304931598</v>
      </c>
      <c r="H1621" s="6">
        <v>33.870712280273402</v>
      </c>
      <c r="I1621" s="6">
        <v>33.8480415344238</v>
      </c>
      <c r="J1621" s="6">
        <v>33.879764556884801</v>
      </c>
      <c r="K1621" s="6">
        <v>33.905166625976598</v>
      </c>
      <c r="L1621" s="6">
        <v>35.125839233398402</v>
      </c>
    </row>
    <row r="1622" spans="1:12" x14ac:dyDescent="0.25">
      <c r="A1622">
        <v>3305752</v>
      </c>
      <c r="B1622" t="str">
        <f t="shared" si="25"/>
        <v>TANGUA, RJ, Brasil</v>
      </c>
      <c r="C1622" s="4" t="str">
        <f>_xlfn.XLOOKUP(A1622,[1]!DadosGHD[CD_GEOCMU],[1]!DadosGHD[Região])</f>
        <v>SD</v>
      </c>
      <c r="D1622" s="4" t="str">
        <f>_xlfn.XLOOKUP(A1622,[1]!DadosGHD[CD_GEOCMU],[1]!DadosGHD[uf])</f>
        <v>RJ</v>
      </c>
      <c r="E1622" s="5" t="str">
        <f>_xlfn.XLOOKUP(A1622,[1]!DadosGHD[CD_GEOCMU],[1]!DadosGHD[MUNICIPIO])</f>
        <v>TANGUA</v>
      </c>
      <c r="F1622" s="6">
        <v>33.752399444580099</v>
      </c>
      <c r="G1622" s="6">
        <v>33.8179931640625</v>
      </c>
      <c r="H1622" s="6">
        <v>33.893959045410199</v>
      </c>
      <c r="I1622" s="6">
        <v>38.726402282714801</v>
      </c>
      <c r="J1622" s="6">
        <v>38.797828674316399</v>
      </c>
      <c r="K1622" s="6">
        <v>43.777069091796903</v>
      </c>
      <c r="L1622" s="6">
        <v>48.525676727294901</v>
      </c>
    </row>
    <row r="1623" spans="1:12" x14ac:dyDescent="0.25">
      <c r="A1623">
        <v>2100105</v>
      </c>
      <c r="B1623" t="str">
        <f t="shared" si="25"/>
        <v>AFONSO CUNHA, MA, Brasil</v>
      </c>
      <c r="C1623" s="4" t="str">
        <f>_xlfn.XLOOKUP(A1623,[1]!DadosGHD[CD_GEOCMU],[1]!DadosGHD[Região])</f>
        <v>NE</v>
      </c>
      <c r="D1623" s="4" t="str">
        <f>_xlfn.XLOOKUP(A1623,[1]!DadosGHD[CD_GEOCMU],[1]!DadosGHD[uf])</f>
        <v>MA</v>
      </c>
      <c r="E1623" s="5" t="str">
        <f>_xlfn.XLOOKUP(A1623,[1]!DadosGHD[CD_GEOCMU],[1]!DadosGHD[MUNICIPIO])</f>
        <v>AFONSO CUNHA</v>
      </c>
      <c r="F1623" s="6">
        <v>33.752468109130902</v>
      </c>
      <c r="G1623" s="6">
        <v>33.798789978027301</v>
      </c>
      <c r="H1623" s="6">
        <v>33.843051910400398</v>
      </c>
      <c r="I1623" s="6">
        <v>33.814891815185597</v>
      </c>
      <c r="J1623" s="6">
        <v>33.835205078125</v>
      </c>
      <c r="K1623" s="6">
        <v>33.872570037841797</v>
      </c>
      <c r="L1623" s="6">
        <v>26.298841476440401</v>
      </c>
    </row>
    <row r="1624" spans="1:12" x14ac:dyDescent="0.25">
      <c r="A1624">
        <v>4309753</v>
      </c>
      <c r="B1624" t="str">
        <f t="shared" si="25"/>
        <v>IBARAMA, RS, Brasil</v>
      </c>
      <c r="C1624" s="4" t="str">
        <f>_xlfn.XLOOKUP(A1624,[1]!DadosGHD[CD_GEOCMU],[1]!DadosGHD[Região])</f>
        <v>SL</v>
      </c>
      <c r="D1624" s="4" t="str">
        <f>_xlfn.XLOOKUP(A1624,[1]!DadosGHD[CD_GEOCMU],[1]!DadosGHD[uf])</f>
        <v>RS</v>
      </c>
      <c r="E1624" s="5" t="str">
        <f>_xlfn.XLOOKUP(A1624,[1]!DadosGHD[CD_GEOCMU],[1]!DadosGHD[MUNICIPIO])</f>
        <v>IBARAMA</v>
      </c>
      <c r="F1624" s="6">
        <v>33.7525634765625</v>
      </c>
      <c r="G1624" s="6">
        <v>43.656688690185597</v>
      </c>
      <c r="H1624" s="6">
        <v>43.735530853271499</v>
      </c>
      <c r="I1624" s="6">
        <v>43.714923858642599</v>
      </c>
      <c r="J1624" s="6">
        <v>43.742874145507798</v>
      </c>
      <c r="K1624" s="6">
        <v>43.780647277832003</v>
      </c>
      <c r="L1624" s="6">
        <v>35.149803161621101</v>
      </c>
    </row>
    <row r="1625" spans="1:12" x14ac:dyDescent="0.25">
      <c r="A1625">
        <v>2608800</v>
      </c>
      <c r="B1625" t="str">
        <f t="shared" si="25"/>
        <v>LAJEDO, PE, Brasil</v>
      </c>
      <c r="C1625" s="4" t="str">
        <f>_xlfn.XLOOKUP(A1625,[1]!DadosGHD[CD_GEOCMU],[1]!DadosGHD[Região])</f>
        <v>NE</v>
      </c>
      <c r="D1625" s="4" t="str">
        <f>_xlfn.XLOOKUP(A1625,[1]!DadosGHD[CD_GEOCMU],[1]!DadosGHD[uf])</f>
        <v>PE</v>
      </c>
      <c r="E1625" s="5" t="str">
        <f>_xlfn.XLOOKUP(A1625,[1]!DadosGHD[CD_GEOCMU],[1]!DadosGHD[MUNICIPIO])</f>
        <v>LAJEDO</v>
      </c>
      <c r="F1625" s="6">
        <v>33.752605438232401</v>
      </c>
      <c r="G1625" s="6">
        <v>33.842559814453097</v>
      </c>
      <c r="H1625" s="6">
        <v>33.885257720947301</v>
      </c>
      <c r="I1625" s="6">
        <v>33.865848541259801</v>
      </c>
      <c r="J1625" s="6">
        <v>38.739402770996101</v>
      </c>
      <c r="K1625" s="6">
        <v>43.762020111083999</v>
      </c>
      <c r="L1625" s="6">
        <v>39.601127624511697</v>
      </c>
    </row>
    <row r="1626" spans="1:12" x14ac:dyDescent="0.25">
      <c r="A1626">
        <v>2104651</v>
      </c>
      <c r="B1626" t="str">
        <f t="shared" si="25"/>
        <v>GOVERNADOR NEWTON BELLO, MA, Brasil</v>
      </c>
      <c r="C1626" s="4" t="str">
        <f>_xlfn.XLOOKUP(A1626,[1]!DadosGHD[CD_GEOCMU],[1]!DadosGHD[Região])</f>
        <v>NE</v>
      </c>
      <c r="D1626" s="4" t="str">
        <f>_xlfn.XLOOKUP(A1626,[1]!DadosGHD[CD_GEOCMU],[1]!DadosGHD[uf])</f>
        <v>MA</v>
      </c>
      <c r="E1626" s="5" t="str">
        <f>_xlfn.XLOOKUP(A1626,[1]!DadosGHD[CD_GEOCMU],[1]!DadosGHD[MUNICIPIO])</f>
        <v>GOVERNADOR NEWTON BELLO</v>
      </c>
      <c r="F1626" s="6">
        <v>33.752613067627003</v>
      </c>
      <c r="G1626" s="6">
        <v>33.787467956542997</v>
      </c>
      <c r="H1626" s="6">
        <v>33.825412750244098</v>
      </c>
      <c r="I1626" s="6">
        <v>33.804283142089801</v>
      </c>
      <c r="J1626" s="6">
        <v>28.973388671875</v>
      </c>
      <c r="K1626" s="6">
        <v>29.006219863891602</v>
      </c>
      <c r="L1626" s="6">
        <v>30.687271118164102</v>
      </c>
    </row>
    <row r="1627" spans="1:12" x14ac:dyDescent="0.25">
      <c r="A1627">
        <v>2510402</v>
      </c>
      <c r="B1627" t="str">
        <f t="shared" si="25"/>
        <v>OLHO D'AGUA, PB, Brasil</v>
      </c>
      <c r="C1627" s="4" t="str">
        <f>_xlfn.XLOOKUP(A1627,[1]!DadosGHD[CD_GEOCMU],[1]!DadosGHD[Região])</f>
        <v>NE</v>
      </c>
      <c r="D1627" s="4" t="str">
        <f>_xlfn.XLOOKUP(A1627,[1]!DadosGHD[CD_GEOCMU],[1]!DadosGHD[uf])</f>
        <v>PB</v>
      </c>
      <c r="E1627" s="5" t="str">
        <f>_xlfn.XLOOKUP(A1627,[1]!DadosGHD[CD_GEOCMU],[1]!DadosGHD[MUNICIPIO])</f>
        <v>OLHO D'AGUA</v>
      </c>
      <c r="F1627" s="6">
        <v>33.752620697021499</v>
      </c>
      <c r="G1627" s="6">
        <v>33.802597045898402</v>
      </c>
      <c r="H1627" s="6">
        <v>33.837867736816399</v>
      </c>
      <c r="I1627" s="6">
        <v>33.843357086181598</v>
      </c>
      <c r="J1627" s="6">
        <v>33.858062744140597</v>
      </c>
      <c r="K1627" s="6">
        <v>33.884082794189503</v>
      </c>
      <c r="L1627" s="6">
        <v>26.298500061035199</v>
      </c>
    </row>
    <row r="1628" spans="1:12" x14ac:dyDescent="0.25">
      <c r="A1628">
        <v>2610103</v>
      </c>
      <c r="B1628" t="str">
        <f t="shared" si="25"/>
        <v>PALMEIRINA, PE, Brasil</v>
      </c>
      <c r="C1628" s="4" t="str">
        <f>_xlfn.XLOOKUP(A1628,[1]!DadosGHD[CD_GEOCMU],[1]!DadosGHD[Região])</f>
        <v>NE</v>
      </c>
      <c r="D1628" s="4" t="str">
        <f>_xlfn.XLOOKUP(A1628,[1]!DadosGHD[CD_GEOCMU],[1]!DadosGHD[uf])</f>
        <v>PE</v>
      </c>
      <c r="E1628" s="5" t="str">
        <f>_xlfn.XLOOKUP(A1628,[1]!DadosGHD[CD_GEOCMU],[1]!DadosGHD[MUNICIPIO])</f>
        <v>PALMEIRINA</v>
      </c>
      <c r="F1628" s="6">
        <v>33.752693176269503</v>
      </c>
      <c r="G1628" s="6">
        <v>33.8192138671875</v>
      </c>
      <c r="H1628" s="6">
        <v>33.829246520996101</v>
      </c>
      <c r="I1628" s="6">
        <v>28.955572128295898</v>
      </c>
      <c r="J1628" s="6">
        <v>28.9409065246582</v>
      </c>
      <c r="K1628" s="6">
        <v>28.9686679840088</v>
      </c>
      <c r="L1628" s="6">
        <v>26.283248901367202</v>
      </c>
    </row>
    <row r="1629" spans="1:12" x14ac:dyDescent="0.25">
      <c r="A1629">
        <v>2108603</v>
      </c>
      <c r="B1629" t="str">
        <f t="shared" si="25"/>
        <v>PINHEIRO, MA, Brasil</v>
      </c>
      <c r="C1629" s="4" t="str">
        <f>_xlfn.XLOOKUP(A1629,[1]!DadosGHD[CD_GEOCMU],[1]!DadosGHD[Região])</f>
        <v>NE</v>
      </c>
      <c r="D1629" s="4" t="str">
        <f>_xlfn.XLOOKUP(A1629,[1]!DadosGHD[CD_GEOCMU],[1]!DadosGHD[uf])</f>
        <v>MA</v>
      </c>
      <c r="E1629" s="5" t="str">
        <f>_xlfn.XLOOKUP(A1629,[1]!DadosGHD[CD_GEOCMU],[1]!DadosGHD[MUNICIPIO])</f>
        <v>PINHEIRO</v>
      </c>
      <c r="F1629" s="6">
        <v>33.752754211425803</v>
      </c>
      <c r="G1629" s="6">
        <v>33.823497772216797</v>
      </c>
      <c r="H1629" s="6">
        <v>33.862224578857401</v>
      </c>
      <c r="I1629" s="6">
        <v>33.837776184082003</v>
      </c>
      <c r="J1629" s="6">
        <v>33.849220275878899</v>
      </c>
      <c r="K1629" s="6">
        <v>33.887321472167997</v>
      </c>
      <c r="L1629" s="6">
        <v>26.2852993011475</v>
      </c>
    </row>
    <row r="1630" spans="1:12" x14ac:dyDescent="0.25">
      <c r="A1630">
        <v>3159704</v>
      </c>
      <c r="B1630" t="str">
        <f t="shared" si="25"/>
        <v>SANTA ROSA DA SERRA, MG, Brasil</v>
      </c>
      <c r="C1630" s="4" t="str">
        <f>_xlfn.XLOOKUP(A1630,[1]!DadosGHD[CD_GEOCMU],[1]!DadosGHD[Região])</f>
        <v>SD</v>
      </c>
      <c r="D1630" s="4" t="str">
        <f>_xlfn.XLOOKUP(A1630,[1]!DadosGHD[CD_GEOCMU],[1]!DadosGHD[uf])</f>
        <v>MG</v>
      </c>
      <c r="E1630" s="5" t="str">
        <f>_xlfn.XLOOKUP(A1630,[1]!DadosGHD[CD_GEOCMU],[1]!DadosGHD[MUNICIPIO])</f>
        <v>SANTA ROSA DA SERRA</v>
      </c>
      <c r="F1630" s="6">
        <v>33.752899169921903</v>
      </c>
      <c r="G1630" s="6">
        <v>38.771251678466797</v>
      </c>
      <c r="H1630" s="6">
        <v>38.819301605224602</v>
      </c>
      <c r="I1630" s="6">
        <v>38.781906127929702</v>
      </c>
      <c r="J1630" s="6">
        <v>38.799766540527301</v>
      </c>
      <c r="K1630" s="6">
        <v>38.889217376708999</v>
      </c>
      <c r="L1630" s="6">
        <v>39.5729789733887</v>
      </c>
    </row>
    <row r="1631" spans="1:12" x14ac:dyDescent="0.25">
      <c r="A1631">
        <v>1600154</v>
      </c>
      <c r="B1631" t="str">
        <f t="shared" si="25"/>
        <v>PEDRA BRANCA DO AMAPARI, AP, Brasil</v>
      </c>
      <c r="C1631" s="4" t="str">
        <f>_xlfn.XLOOKUP(A1631,[1]!DadosGHD[CD_GEOCMU],[1]!DadosGHD[Região])</f>
        <v>NO</v>
      </c>
      <c r="D1631" s="4" t="str">
        <f>_xlfn.XLOOKUP(A1631,[1]!DadosGHD[CD_GEOCMU],[1]!DadosGHD[uf])</f>
        <v>AP</v>
      </c>
      <c r="E1631" s="5" t="str">
        <f>_xlfn.XLOOKUP(A1631,[1]!DadosGHD[CD_GEOCMU],[1]!DadosGHD[MUNICIPIO])</f>
        <v>PEDRA BRANCA DO AMAPARI</v>
      </c>
      <c r="F1631" s="6">
        <v>33.753063201904297</v>
      </c>
      <c r="G1631" s="6">
        <v>33.795742034912102</v>
      </c>
      <c r="H1631" s="6">
        <v>33.829109191894503</v>
      </c>
      <c r="I1631" s="6">
        <v>33.811981201171903</v>
      </c>
      <c r="J1631" s="6">
        <v>33.853794097900398</v>
      </c>
      <c r="K1631" s="6">
        <v>33.877849578857401</v>
      </c>
      <c r="L1631" s="6">
        <v>30.705696105956999</v>
      </c>
    </row>
    <row r="1632" spans="1:12" x14ac:dyDescent="0.25">
      <c r="A1632">
        <v>2932002</v>
      </c>
      <c r="B1632" t="str">
        <f t="shared" si="25"/>
        <v>UAUA, BA, Brasil</v>
      </c>
      <c r="C1632" s="4" t="str">
        <f>_xlfn.XLOOKUP(A1632,[1]!DadosGHD[CD_GEOCMU],[1]!DadosGHD[Região])</f>
        <v>NE</v>
      </c>
      <c r="D1632" s="4" t="str">
        <f>_xlfn.XLOOKUP(A1632,[1]!DadosGHD[CD_GEOCMU],[1]!DadosGHD[uf])</f>
        <v>BA</v>
      </c>
      <c r="E1632" s="5" t="str">
        <f>_xlfn.XLOOKUP(A1632,[1]!DadosGHD[CD_GEOCMU],[1]!DadosGHD[MUNICIPIO])</f>
        <v>UAUA</v>
      </c>
      <c r="F1632" s="6">
        <v>33.753067016601598</v>
      </c>
      <c r="G1632" s="6">
        <v>33.806362152099602</v>
      </c>
      <c r="H1632" s="6">
        <v>33.844612121582003</v>
      </c>
      <c r="I1632" s="6">
        <v>33.819129943847699</v>
      </c>
      <c r="J1632" s="6">
        <v>33.828590393066399</v>
      </c>
      <c r="K1632" s="6">
        <v>33.905933380127003</v>
      </c>
      <c r="L1632" s="6">
        <v>30.711103439331101</v>
      </c>
    </row>
    <row r="1633" spans="1:12" x14ac:dyDescent="0.25">
      <c r="A1633">
        <v>2413508</v>
      </c>
      <c r="B1633" t="str">
        <f t="shared" si="25"/>
        <v>SERRINHA, RN, Brasil</v>
      </c>
      <c r="C1633" s="4" t="str">
        <f>_xlfn.XLOOKUP(A1633,[1]!DadosGHD[CD_GEOCMU],[1]!DadosGHD[Região])</f>
        <v>NE</v>
      </c>
      <c r="D1633" s="4" t="str">
        <f>_xlfn.XLOOKUP(A1633,[1]!DadosGHD[CD_GEOCMU],[1]!DadosGHD[uf])</f>
        <v>RN</v>
      </c>
      <c r="E1633" s="5" t="str">
        <f>_xlfn.XLOOKUP(A1633,[1]!DadosGHD[CD_GEOCMU],[1]!DadosGHD[MUNICIPIO])</f>
        <v>SERRINHA</v>
      </c>
      <c r="F1633" s="6">
        <v>33.753173828125</v>
      </c>
      <c r="G1633" s="6">
        <v>33.802898406982401</v>
      </c>
      <c r="H1633" s="6">
        <v>33.850166320800803</v>
      </c>
      <c r="I1633" s="6">
        <v>33.819850921630902</v>
      </c>
      <c r="J1633" s="6">
        <v>33.837631225585902</v>
      </c>
      <c r="K1633" s="6">
        <v>33.870285034179702</v>
      </c>
      <c r="L1633" s="6">
        <v>30.7174377441406</v>
      </c>
    </row>
    <row r="1634" spans="1:12" x14ac:dyDescent="0.25">
      <c r="A1634">
        <v>1301852</v>
      </c>
      <c r="B1634" t="str">
        <f t="shared" si="25"/>
        <v>IRANDUBA, AM, Brasil</v>
      </c>
      <c r="C1634" s="4" t="str">
        <f>_xlfn.XLOOKUP(A1634,[1]!DadosGHD[CD_GEOCMU],[1]!DadosGHD[Região])</f>
        <v>NO</v>
      </c>
      <c r="D1634" s="4" t="str">
        <f>_xlfn.XLOOKUP(A1634,[1]!DadosGHD[CD_GEOCMU],[1]!DadosGHD[uf])</f>
        <v>AM</v>
      </c>
      <c r="E1634" s="5" t="str">
        <f>_xlfn.XLOOKUP(A1634,[1]!DadosGHD[CD_GEOCMU],[1]!DadosGHD[MUNICIPIO])</f>
        <v>IRANDUBA</v>
      </c>
      <c r="F1634" s="6">
        <v>33.753284454345703</v>
      </c>
      <c r="G1634" s="6">
        <v>33.814517974853501</v>
      </c>
      <c r="H1634" s="6">
        <v>33.855106353759801</v>
      </c>
      <c r="I1634" s="6">
        <v>33.829322814941399</v>
      </c>
      <c r="J1634" s="6">
        <v>33.840675354003899</v>
      </c>
      <c r="K1634" s="6">
        <v>33.841941833496101</v>
      </c>
      <c r="L1634" s="6">
        <v>26.2842807769775</v>
      </c>
    </row>
    <row r="1635" spans="1:12" x14ac:dyDescent="0.25">
      <c r="A1635">
        <v>2904704</v>
      </c>
      <c r="B1635" t="str">
        <f t="shared" si="25"/>
        <v>BUERAREMA, BA, Brasil</v>
      </c>
      <c r="C1635" s="4" t="str">
        <f>_xlfn.XLOOKUP(A1635,[1]!DadosGHD[CD_GEOCMU],[1]!DadosGHD[Região])</f>
        <v>NE</v>
      </c>
      <c r="D1635" s="4" t="str">
        <f>_xlfn.XLOOKUP(A1635,[1]!DadosGHD[CD_GEOCMU],[1]!DadosGHD[uf])</f>
        <v>BA</v>
      </c>
      <c r="E1635" s="5" t="str">
        <f>_xlfn.XLOOKUP(A1635,[1]!DadosGHD[CD_GEOCMU],[1]!DadosGHD[MUNICIPIO])</f>
        <v>BUERAREMA</v>
      </c>
      <c r="F1635" s="6">
        <v>33.753307342529297</v>
      </c>
      <c r="G1635" s="6">
        <v>33.817020416259801</v>
      </c>
      <c r="H1635" s="6">
        <v>33.865371704101598</v>
      </c>
      <c r="I1635" s="6">
        <v>33.841991424560597</v>
      </c>
      <c r="J1635" s="6">
        <v>33.864711761474602</v>
      </c>
      <c r="K1635" s="6">
        <v>33.905548095703097</v>
      </c>
      <c r="L1635" s="6">
        <v>39.598129272460902</v>
      </c>
    </row>
    <row r="1636" spans="1:12" x14ac:dyDescent="0.25">
      <c r="A1636">
        <v>2803609</v>
      </c>
      <c r="B1636" t="str">
        <f t="shared" si="25"/>
        <v>LARANJEIRAS, SE, Brasil</v>
      </c>
      <c r="C1636" s="4" t="str">
        <f>_xlfn.XLOOKUP(A1636,[1]!DadosGHD[CD_GEOCMU],[1]!DadosGHD[Região])</f>
        <v>NE</v>
      </c>
      <c r="D1636" s="4" t="str">
        <f>_xlfn.XLOOKUP(A1636,[1]!DadosGHD[CD_GEOCMU],[1]!DadosGHD[uf])</f>
        <v>SE</v>
      </c>
      <c r="E1636" s="5" t="str">
        <f>_xlfn.XLOOKUP(A1636,[1]!DadosGHD[CD_GEOCMU],[1]!DadosGHD[MUNICIPIO])</f>
        <v>LARANJEIRAS</v>
      </c>
      <c r="F1636" s="6">
        <v>33.753582000732401</v>
      </c>
      <c r="G1636" s="6">
        <v>38.692958831787102</v>
      </c>
      <c r="H1636" s="6">
        <v>38.7410278320313</v>
      </c>
      <c r="I1636" s="6">
        <v>38.726860046386697</v>
      </c>
      <c r="J1636" s="6">
        <v>38.813358306884801</v>
      </c>
      <c r="K1636" s="6">
        <v>38.868385314941399</v>
      </c>
      <c r="L1636" s="6">
        <v>39.601753234863303</v>
      </c>
    </row>
    <row r="1637" spans="1:12" x14ac:dyDescent="0.25">
      <c r="A1637">
        <v>2609105</v>
      </c>
      <c r="B1637" t="str">
        <f t="shared" si="25"/>
        <v>MACHADOS, PE, Brasil</v>
      </c>
      <c r="C1637" s="4" t="str">
        <f>_xlfn.XLOOKUP(A1637,[1]!DadosGHD[CD_GEOCMU],[1]!DadosGHD[Região])</f>
        <v>NE</v>
      </c>
      <c r="D1637" s="4" t="str">
        <f>_xlfn.XLOOKUP(A1637,[1]!DadosGHD[CD_GEOCMU],[1]!DadosGHD[uf])</f>
        <v>PE</v>
      </c>
      <c r="E1637" s="5" t="str">
        <f>_xlfn.XLOOKUP(A1637,[1]!DadosGHD[CD_GEOCMU],[1]!DadosGHD[MUNICIPIO])</f>
        <v>MACHADOS</v>
      </c>
      <c r="F1637" s="6">
        <v>33.753868103027301</v>
      </c>
      <c r="G1637" s="6">
        <v>33.806758880615199</v>
      </c>
      <c r="H1637" s="6">
        <v>33.820003509521499</v>
      </c>
      <c r="I1637" s="6">
        <v>33.805328369140597</v>
      </c>
      <c r="J1637" s="6">
        <v>33.823215484619098</v>
      </c>
      <c r="K1637" s="6">
        <v>29.006553649902301</v>
      </c>
      <c r="L1637" s="6">
        <v>26.2828674316406</v>
      </c>
    </row>
    <row r="1638" spans="1:12" x14ac:dyDescent="0.25">
      <c r="A1638">
        <v>4303202</v>
      </c>
      <c r="B1638" t="str">
        <f t="shared" si="25"/>
        <v>CACIQUE DOBLE, RS, Brasil</v>
      </c>
      <c r="C1638" s="4" t="str">
        <f>_xlfn.XLOOKUP(A1638,[1]!DadosGHD[CD_GEOCMU],[1]!DadosGHD[Região])</f>
        <v>SL</v>
      </c>
      <c r="D1638" s="4" t="str">
        <f>_xlfn.XLOOKUP(A1638,[1]!DadosGHD[CD_GEOCMU],[1]!DadosGHD[uf])</f>
        <v>RS</v>
      </c>
      <c r="E1638" s="5" t="str">
        <f>_xlfn.XLOOKUP(A1638,[1]!DadosGHD[CD_GEOCMU],[1]!DadosGHD[MUNICIPIO])</f>
        <v>CACIQUE DOBLE</v>
      </c>
      <c r="F1638" s="6">
        <v>33.753921508789098</v>
      </c>
      <c r="G1638" s="6">
        <v>43.666664123535199</v>
      </c>
      <c r="H1638" s="6">
        <v>48.754795074462898</v>
      </c>
      <c r="I1638" s="6">
        <v>53.735305786132798</v>
      </c>
      <c r="J1638" s="6">
        <v>53.795009613037102</v>
      </c>
      <c r="K1638" s="6">
        <v>48.879314422607401</v>
      </c>
      <c r="L1638" s="6">
        <v>53.0121879577637</v>
      </c>
    </row>
    <row r="1639" spans="1:12" x14ac:dyDescent="0.25">
      <c r="A1639">
        <v>2313906</v>
      </c>
      <c r="B1639" t="str">
        <f t="shared" si="25"/>
        <v>URUOCA, CE, Brasil</v>
      </c>
      <c r="C1639" s="4" t="str">
        <f>_xlfn.XLOOKUP(A1639,[1]!DadosGHD[CD_GEOCMU],[1]!DadosGHD[Região])</f>
        <v>NE</v>
      </c>
      <c r="D1639" s="4" t="str">
        <f>_xlfn.XLOOKUP(A1639,[1]!DadosGHD[CD_GEOCMU],[1]!DadosGHD[uf])</f>
        <v>CE</v>
      </c>
      <c r="E1639" s="5" t="str">
        <f>_xlfn.XLOOKUP(A1639,[1]!DadosGHD[CD_GEOCMU],[1]!DadosGHD[MUNICIPIO])</f>
        <v>URUOCA</v>
      </c>
      <c r="F1639" s="6">
        <v>33.7539672851563</v>
      </c>
      <c r="G1639" s="6">
        <v>33.803634643554702</v>
      </c>
      <c r="H1639" s="6">
        <v>33.843528747558601</v>
      </c>
      <c r="I1639" s="6">
        <v>33.817378997802699</v>
      </c>
      <c r="J1639" s="6">
        <v>33.829593658447301</v>
      </c>
      <c r="K1639" s="6">
        <v>33.869735717773402</v>
      </c>
      <c r="L1639" s="6">
        <v>30.685302734375</v>
      </c>
    </row>
    <row r="1640" spans="1:12" x14ac:dyDescent="0.25">
      <c r="A1640">
        <v>3150802</v>
      </c>
      <c r="B1640" t="str">
        <f t="shared" si="25"/>
        <v>PIRANGA, MG, Brasil</v>
      </c>
      <c r="C1640" s="4" t="str">
        <f>_xlfn.XLOOKUP(A1640,[1]!DadosGHD[CD_GEOCMU],[1]!DadosGHD[Região])</f>
        <v>SD</v>
      </c>
      <c r="D1640" s="4" t="str">
        <f>_xlfn.XLOOKUP(A1640,[1]!DadosGHD[CD_GEOCMU],[1]!DadosGHD[uf])</f>
        <v>MG</v>
      </c>
      <c r="E1640" s="5" t="str">
        <f>_xlfn.XLOOKUP(A1640,[1]!DadosGHD[CD_GEOCMU],[1]!DadosGHD[MUNICIPIO])</f>
        <v>PIRANGA</v>
      </c>
      <c r="F1640" s="6">
        <v>33.753990173339801</v>
      </c>
      <c r="G1640" s="6">
        <v>33.805892944335902</v>
      </c>
      <c r="H1640" s="6">
        <v>33.872344970703097</v>
      </c>
      <c r="I1640" s="6">
        <v>33.850627899169901</v>
      </c>
      <c r="J1640" s="6">
        <v>33.866073608398402</v>
      </c>
      <c r="K1640" s="6">
        <v>33.918468475341797</v>
      </c>
      <c r="L1640" s="6">
        <v>30.721437454223601</v>
      </c>
    </row>
    <row r="1641" spans="1:12" x14ac:dyDescent="0.25">
      <c r="A1641">
        <v>2807501</v>
      </c>
      <c r="B1641" t="str">
        <f t="shared" si="25"/>
        <v>TOMAR DO GERU, SE, Brasil</v>
      </c>
      <c r="C1641" s="4" t="str">
        <f>_xlfn.XLOOKUP(A1641,[1]!DadosGHD[CD_GEOCMU],[1]!DadosGHD[Região])</f>
        <v>NE</v>
      </c>
      <c r="D1641" s="4" t="str">
        <f>_xlfn.XLOOKUP(A1641,[1]!DadosGHD[CD_GEOCMU],[1]!DadosGHD[uf])</f>
        <v>SE</v>
      </c>
      <c r="E1641" s="5" t="str">
        <f>_xlfn.XLOOKUP(A1641,[1]!DadosGHD[CD_GEOCMU],[1]!DadosGHD[MUNICIPIO])</f>
        <v>TOMAR DO GERU</v>
      </c>
      <c r="F1641" s="6">
        <v>33.754035949707003</v>
      </c>
      <c r="G1641" s="6">
        <v>33.837196350097699</v>
      </c>
      <c r="H1641" s="6">
        <v>33.870441436767599</v>
      </c>
      <c r="I1641" s="6">
        <v>33.840850830078097</v>
      </c>
      <c r="J1641" s="6">
        <v>33.855827331542997</v>
      </c>
      <c r="K1641" s="6">
        <v>33.844963073730497</v>
      </c>
      <c r="L1641" s="6">
        <v>30.704774856567401</v>
      </c>
    </row>
    <row r="1642" spans="1:12" x14ac:dyDescent="0.25">
      <c r="A1642">
        <v>2607604</v>
      </c>
      <c r="B1642" t="str">
        <f t="shared" si="25"/>
        <v>ILHA DE ITAMARACA, PE, Brasil</v>
      </c>
      <c r="C1642" s="4" t="str">
        <f>_xlfn.XLOOKUP(A1642,[1]!DadosGHD[CD_GEOCMU],[1]!DadosGHD[Região])</f>
        <v>NE</v>
      </c>
      <c r="D1642" s="4" t="str">
        <f>_xlfn.XLOOKUP(A1642,[1]!DadosGHD[CD_GEOCMU],[1]!DadosGHD[uf])</f>
        <v>PE</v>
      </c>
      <c r="E1642" s="5" t="str">
        <f>_xlfn.XLOOKUP(A1642,[1]!DadosGHD[CD_GEOCMU],[1]!DadosGHD[MUNICIPIO])</f>
        <v>ILHA DE ITAMARACA</v>
      </c>
      <c r="F1642" s="6">
        <v>33.754055023193402</v>
      </c>
      <c r="G1642" s="6">
        <v>33.811634063720703</v>
      </c>
      <c r="H1642" s="6">
        <v>33.886936187744098</v>
      </c>
      <c r="I1642" s="6">
        <v>38.715415954589801</v>
      </c>
      <c r="J1642" s="6">
        <v>33.8946533203125</v>
      </c>
      <c r="K1642" s="6">
        <v>38.844455718994098</v>
      </c>
      <c r="L1642" s="6">
        <v>39.612686157226598</v>
      </c>
    </row>
    <row r="1643" spans="1:12" x14ac:dyDescent="0.25">
      <c r="A1643">
        <v>2206704</v>
      </c>
      <c r="B1643" t="str">
        <f t="shared" si="25"/>
        <v>NAZARE DO PIAUI, PI, Brasil</v>
      </c>
      <c r="C1643" s="4" t="str">
        <f>_xlfn.XLOOKUP(A1643,[1]!DadosGHD[CD_GEOCMU],[1]!DadosGHD[Região])</f>
        <v>NE</v>
      </c>
      <c r="D1643" s="4" t="str">
        <f>_xlfn.XLOOKUP(A1643,[1]!DadosGHD[CD_GEOCMU],[1]!DadosGHD[uf])</f>
        <v>PI</v>
      </c>
      <c r="E1643" s="5" t="str">
        <f>_xlfn.XLOOKUP(A1643,[1]!DadosGHD[CD_GEOCMU],[1]!DadosGHD[MUNICIPIO])</f>
        <v>NAZARE DO PIAUI</v>
      </c>
      <c r="F1643" s="6">
        <v>33.754199981689503</v>
      </c>
      <c r="G1643" s="6">
        <v>33.798988342285199</v>
      </c>
      <c r="H1643" s="6">
        <v>33.826828002929702</v>
      </c>
      <c r="I1643" s="6">
        <v>33.8008003234863</v>
      </c>
      <c r="J1643" s="6">
        <v>33.841995239257798</v>
      </c>
      <c r="K1643" s="6">
        <v>38.789131164550803</v>
      </c>
      <c r="L1643" s="6">
        <v>35.142562866210902</v>
      </c>
    </row>
    <row r="1644" spans="1:12" x14ac:dyDescent="0.25">
      <c r="A1644">
        <v>2611804</v>
      </c>
      <c r="B1644" t="str">
        <f t="shared" si="25"/>
        <v>RIBEIRAO, PE, Brasil</v>
      </c>
      <c r="C1644" s="4" t="str">
        <f>_xlfn.XLOOKUP(A1644,[1]!DadosGHD[CD_GEOCMU],[1]!DadosGHD[Região])</f>
        <v>NE</v>
      </c>
      <c r="D1644" s="4" t="str">
        <f>_xlfn.XLOOKUP(A1644,[1]!DadosGHD[CD_GEOCMU],[1]!DadosGHD[uf])</f>
        <v>PE</v>
      </c>
      <c r="E1644" s="5" t="str">
        <f>_xlfn.XLOOKUP(A1644,[1]!DadosGHD[CD_GEOCMU],[1]!DadosGHD[MUNICIPIO])</f>
        <v>RIBEIRAO</v>
      </c>
      <c r="F1644" s="6">
        <v>33.754222869873097</v>
      </c>
      <c r="G1644" s="6">
        <v>33.812644958496101</v>
      </c>
      <c r="H1644" s="6">
        <v>33.8637886047363</v>
      </c>
      <c r="I1644" s="6">
        <v>33.849128723144503</v>
      </c>
      <c r="J1644" s="6">
        <v>33.833568572998097</v>
      </c>
      <c r="K1644" s="6">
        <v>33.865226745605497</v>
      </c>
      <c r="L1644" s="6">
        <v>35.119014739990199</v>
      </c>
    </row>
    <row r="1645" spans="1:12" x14ac:dyDescent="0.25">
      <c r="A1645">
        <v>2908903</v>
      </c>
      <c r="B1645" t="str">
        <f t="shared" si="25"/>
        <v>CORACAO DE MARIA, BA, Brasil</v>
      </c>
      <c r="C1645" s="4" t="str">
        <f>_xlfn.XLOOKUP(A1645,[1]!DadosGHD[CD_GEOCMU],[1]!DadosGHD[Região])</f>
        <v>NE</v>
      </c>
      <c r="D1645" s="4" t="str">
        <f>_xlfn.XLOOKUP(A1645,[1]!DadosGHD[CD_GEOCMU],[1]!DadosGHD[uf])</f>
        <v>BA</v>
      </c>
      <c r="E1645" s="5" t="str">
        <f>_xlfn.XLOOKUP(A1645,[1]!DadosGHD[CD_GEOCMU],[1]!DadosGHD[MUNICIPIO])</f>
        <v>CORACAO DE MARIA</v>
      </c>
      <c r="F1645" s="6">
        <v>33.7542915344238</v>
      </c>
      <c r="G1645" s="6">
        <v>33.807506561279297</v>
      </c>
      <c r="H1645" s="6">
        <v>33.8357124328613</v>
      </c>
      <c r="I1645" s="6">
        <v>33.8179931640625</v>
      </c>
      <c r="J1645" s="6">
        <v>38.750667572021499</v>
      </c>
      <c r="K1645" s="6">
        <v>33.927722930908203</v>
      </c>
      <c r="L1645" s="6">
        <v>35.155025482177699</v>
      </c>
    </row>
    <row r="1646" spans="1:12" x14ac:dyDescent="0.25">
      <c r="A1646">
        <v>2928208</v>
      </c>
      <c r="B1646" t="str">
        <f t="shared" si="25"/>
        <v>SANTANA, BA, Brasil</v>
      </c>
      <c r="C1646" s="4" t="str">
        <f>_xlfn.XLOOKUP(A1646,[1]!DadosGHD[CD_GEOCMU],[1]!DadosGHD[Região])</f>
        <v>NE</v>
      </c>
      <c r="D1646" s="4" t="str">
        <f>_xlfn.XLOOKUP(A1646,[1]!DadosGHD[CD_GEOCMU],[1]!DadosGHD[uf])</f>
        <v>BA</v>
      </c>
      <c r="E1646" s="5" t="str">
        <f>_xlfn.XLOOKUP(A1646,[1]!DadosGHD[CD_GEOCMU],[1]!DadosGHD[MUNICIPIO])</f>
        <v>SANTANA</v>
      </c>
      <c r="F1646" s="6">
        <v>33.754356384277301</v>
      </c>
      <c r="G1646" s="6">
        <v>33.816650390625</v>
      </c>
      <c r="H1646" s="6">
        <v>33.8849067687988</v>
      </c>
      <c r="I1646" s="6">
        <v>33.835426330566399</v>
      </c>
      <c r="J1646" s="6">
        <v>33.873035430908203</v>
      </c>
      <c r="K1646" s="6">
        <v>33.915199279785199</v>
      </c>
      <c r="L1646" s="6">
        <v>30.712884902954102</v>
      </c>
    </row>
    <row r="1647" spans="1:12" x14ac:dyDescent="0.25">
      <c r="A1647">
        <v>2405108</v>
      </c>
      <c r="B1647" t="str">
        <f t="shared" si="25"/>
        <v>JANDAIRA, RN, Brasil</v>
      </c>
      <c r="C1647" s="4" t="str">
        <f>_xlfn.XLOOKUP(A1647,[1]!DadosGHD[CD_GEOCMU],[1]!DadosGHD[Região])</f>
        <v>NE</v>
      </c>
      <c r="D1647" s="4" t="str">
        <f>_xlfn.XLOOKUP(A1647,[1]!DadosGHD[CD_GEOCMU],[1]!DadosGHD[uf])</f>
        <v>RN</v>
      </c>
      <c r="E1647" s="5" t="str">
        <f>_xlfn.XLOOKUP(A1647,[1]!DadosGHD[CD_GEOCMU],[1]!DadosGHD[MUNICIPIO])</f>
        <v>JANDAIRA</v>
      </c>
      <c r="F1647" s="6">
        <v>33.754402160644503</v>
      </c>
      <c r="G1647" s="6">
        <v>33.818935394287102</v>
      </c>
      <c r="H1647" s="6">
        <v>33.859485626220703</v>
      </c>
      <c r="I1647" s="6">
        <v>33.828968048095703</v>
      </c>
      <c r="J1647" s="6">
        <v>33.848178863525398</v>
      </c>
      <c r="K1647" s="6">
        <v>38.820625305175803</v>
      </c>
      <c r="L1647" s="6">
        <v>39.589275360107401</v>
      </c>
    </row>
    <row r="1648" spans="1:12" x14ac:dyDescent="0.25">
      <c r="A1648">
        <v>2200400</v>
      </c>
      <c r="B1648" t="str">
        <f t="shared" si="25"/>
        <v>ALTOS, PI, Brasil</v>
      </c>
      <c r="C1648" s="4" t="str">
        <f>_xlfn.XLOOKUP(A1648,[1]!DadosGHD[CD_GEOCMU],[1]!DadosGHD[Região])</f>
        <v>NE</v>
      </c>
      <c r="D1648" s="4" t="str">
        <f>_xlfn.XLOOKUP(A1648,[1]!DadosGHD[CD_GEOCMU],[1]!DadosGHD[uf])</f>
        <v>PI</v>
      </c>
      <c r="E1648" s="5" t="str">
        <f>_xlfn.XLOOKUP(A1648,[1]!DadosGHD[CD_GEOCMU],[1]!DadosGHD[MUNICIPIO])</f>
        <v>ALTOS</v>
      </c>
      <c r="F1648" s="6">
        <v>33.754428863525398</v>
      </c>
      <c r="G1648" s="6">
        <v>33.832542419433601</v>
      </c>
      <c r="H1648" s="6">
        <v>33.877590179443402</v>
      </c>
      <c r="I1648" s="6">
        <v>38.718132019042997</v>
      </c>
      <c r="J1648" s="6">
        <v>38.740673065185597</v>
      </c>
      <c r="K1648" s="6">
        <v>38.847988128662102</v>
      </c>
      <c r="L1648" s="6">
        <v>35.124382019042997</v>
      </c>
    </row>
    <row r="1649" spans="1:12" x14ac:dyDescent="0.25">
      <c r="A1649">
        <v>2704500</v>
      </c>
      <c r="B1649" t="str">
        <f t="shared" si="25"/>
        <v>MARAGOGI, AL, Brasil</v>
      </c>
      <c r="C1649" s="4" t="str">
        <f>_xlfn.XLOOKUP(A1649,[1]!DadosGHD[CD_GEOCMU],[1]!DadosGHD[Região])</f>
        <v>NE</v>
      </c>
      <c r="D1649" s="4" t="str">
        <f>_xlfn.XLOOKUP(A1649,[1]!DadosGHD[CD_GEOCMU],[1]!DadosGHD[uf])</f>
        <v>AL</v>
      </c>
      <c r="E1649" s="5" t="str">
        <f>_xlfn.XLOOKUP(A1649,[1]!DadosGHD[CD_GEOCMU],[1]!DadosGHD[MUNICIPIO])</f>
        <v>MARAGOGI</v>
      </c>
      <c r="F1649" s="6">
        <v>33.754615783691399</v>
      </c>
      <c r="G1649" s="6">
        <v>33.809127807617202</v>
      </c>
      <c r="H1649" s="6">
        <v>33.881561279296903</v>
      </c>
      <c r="I1649" s="6">
        <v>33.832393646240199</v>
      </c>
      <c r="J1649" s="6">
        <v>33.837162017822301</v>
      </c>
      <c r="K1649" s="6">
        <v>38.794357299804702</v>
      </c>
      <c r="L1649" s="6">
        <v>39.565097808837898</v>
      </c>
    </row>
    <row r="1650" spans="1:12" x14ac:dyDescent="0.25">
      <c r="A1650">
        <v>2313955</v>
      </c>
      <c r="B1650" t="str">
        <f t="shared" si="25"/>
        <v>VARJOTA, CE, Brasil</v>
      </c>
      <c r="C1650" s="4" t="str">
        <f>_xlfn.XLOOKUP(A1650,[1]!DadosGHD[CD_GEOCMU],[1]!DadosGHD[Região])</f>
        <v>NE</v>
      </c>
      <c r="D1650" s="4" t="str">
        <f>_xlfn.XLOOKUP(A1650,[1]!DadosGHD[CD_GEOCMU],[1]!DadosGHD[uf])</f>
        <v>CE</v>
      </c>
      <c r="E1650" s="5" t="str">
        <f>_xlfn.XLOOKUP(A1650,[1]!DadosGHD[CD_GEOCMU],[1]!DadosGHD[MUNICIPIO])</f>
        <v>VARJOTA</v>
      </c>
      <c r="F1650" s="6">
        <v>33.754661560058601</v>
      </c>
      <c r="G1650" s="6">
        <v>33.825313568115199</v>
      </c>
      <c r="H1650" s="6">
        <v>38.835613250732401</v>
      </c>
      <c r="I1650" s="6">
        <v>38.738632202148402</v>
      </c>
      <c r="J1650" s="6">
        <v>33.884944915771499</v>
      </c>
      <c r="K1650" s="6">
        <v>29.000013351440401</v>
      </c>
      <c r="L1650" s="6">
        <v>30.691591262817401</v>
      </c>
    </row>
    <row r="1651" spans="1:12" x14ac:dyDescent="0.25">
      <c r="A1651">
        <v>2311231</v>
      </c>
      <c r="B1651" t="str">
        <f t="shared" si="25"/>
        <v>POTIRETAMA, CE, Brasil</v>
      </c>
      <c r="C1651" s="4" t="str">
        <f>_xlfn.XLOOKUP(A1651,[1]!DadosGHD[CD_GEOCMU],[1]!DadosGHD[Região])</f>
        <v>NE</v>
      </c>
      <c r="D1651" s="4" t="str">
        <f>_xlfn.XLOOKUP(A1651,[1]!DadosGHD[CD_GEOCMU],[1]!DadosGHD[uf])</f>
        <v>CE</v>
      </c>
      <c r="E1651" s="5" t="str">
        <f>_xlfn.XLOOKUP(A1651,[1]!DadosGHD[CD_GEOCMU],[1]!DadosGHD[MUNICIPIO])</f>
        <v>POTIRETAMA</v>
      </c>
      <c r="F1651" s="6">
        <v>33.7547416687012</v>
      </c>
      <c r="G1651" s="6">
        <v>33.843296051025398</v>
      </c>
      <c r="H1651" s="6">
        <v>33.886280059814503</v>
      </c>
      <c r="I1651" s="6">
        <v>33.825355529785199</v>
      </c>
      <c r="J1651" s="6">
        <v>33.832607269287102</v>
      </c>
      <c r="K1651" s="6">
        <v>33.864025115966797</v>
      </c>
      <c r="L1651" s="6">
        <v>26.290042877197301</v>
      </c>
    </row>
    <row r="1652" spans="1:12" x14ac:dyDescent="0.25">
      <c r="A1652">
        <v>2103752</v>
      </c>
      <c r="B1652" t="str">
        <f t="shared" si="25"/>
        <v>DAVINOPOLIS, MA, Brasil</v>
      </c>
      <c r="C1652" s="4" t="str">
        <f>_xlfn.XLOOKUP(A1652,[1]!DadosGHD[CD_GEOCMU],[1]!DadosGHD[Região])</f>
        <v>NE</v>
      </c>
      <c r="D1652" s="4" t="str">
        <f>_xlfn.XLOOKUP(A1652,[1]!DadosGHD[CD_GEOCMU],[1]!DadosGHD[uf])</f>
        <v>MA</v>
      </c>
      <c r="E1652" s="5" t="str">
        <f>_xlfn.XLOOKUP(A1652,[1]!DadosGHD[CD_GEOCMU],[1]!DadosGHD[MUNICIPIO])</f>
        <v>DAVINOPOLIS</v>
      </c>
      <c r="F1652" s="6">
        <v>33.754829406738303</v>
      </c>
      <c r="G1652" s="6">
        <v>33.801578521728501</v>
      </c>
      <c r="H1652" s="6">
        <v>33.837608337402301</v>
      </c>
      <c r="I1652" s="6">
        <v>28.950670242309599</v>
      </c>
      <c r="J1652" s="6">
        <v>28.965534210205099</v>
      </c>
      <c r="K1652" s="6">
        <v>28.994421005248999</v>
      </c>
      <c r="L1652" s="6">
        <v>26.283168792724599</v>
      </c>
    </row>
    <row r="1653" spans="1:12" x14ac:dyDescent="0.25">
      <c r="A1653">
        <v>2301505</v>
      </c>
      <c r="B1653" t="str">
        <f t="shared" si="25"/>
        <v>ARNEIROZ, CE, Brasil</v>
      </c>
      <c r="C1653" s="4" t="str">
        <f>_xlfn.XLOOKUP(A1653,[1]!DadosGHD[CD_GEOCMU],[1]!DadosGHD[Região])</f>
        <v>NE</v>
      </c>
      <c r="D1653" s="4" t="str">
        <f>_xlfn.XLOOKUP(A1653,[1]!DadosGHD[CD_GEOCMU],[1]!DadosGHD[uf])</f>
        <v>CE</v>
      </c>
      <c r="E1653" s="5" t="str">
        <f>_xlfn.XLOOKUP(A1653,[1]!DadosGHD[CD_GEOCMU],[1]!DadosGHD[MUNICIPIO])</f>
        <v>ARNEIROZ</v>
      </c>
      <c r="F1653" s="6">
        <v>33.754840850830099</v>
      </c>
      <c r="G1653" s="6">
        <v>38.696449279785199</v>
      </c>
      <c r="H1653" s="6">
        <v>33.879833221435597</v>
      </c>
      <c r="I1653" s="6">
        <v>33.863491058349602</v>
      </c>
      <c r="J1653" s="6">
        <v>33.876121520996101</v>
      </c>
      <c r="K1653" s="6">
        <v>33.925121307373097</v>
      </c>
      <c r="L1653" s="6">
        <v>35.118568420410199</v>
      </c>
    </row>
    <row r="1654" spans="1:12" x14ac:dyDescent="0.25">
      <c r="A1654">
        <v>2515807</v>
      </c>
      <c r="B1654" t="str">
        <f t="shared" si="25"/>
        <v>SERRA REDONDA, PB, Brasil</v>
      </c>
      <c r="C1654" s="4" t="str">
        <f>_xlfn.XLOOKUP(A1654,[1]!DadosGHD[CD_GEOCMU],[1]!DadosGHD[Região])</f>
        <v>NE</v>
      </c>
      <c r="D1654" s="4" t="str">
        <f>_xlfn.XLOOKUP(A1654,[1]!DadosGHD[CD_GEOCMU],[1]!DadosGHD[uf])</f>
        <v>PB</v>
      </c>
      <c r="E1654" s="5" t="str">
        <f>_xlfn.XLOOKUP(A1654,[1]!DadosGHD[CD_GEOCMU],[1]!DadosGHD[MUNICIPIO])</f>
        <v>SERRA REDONDA</v>
      </c>
      <c r="F1654" s="6">
        <v>33.754909515380902</v>
      </c>
      <c r="G1654" s="6">
        <v>33.800918579101598</v>
      </c>
      <c r="H1654" s="6">
        <v>33.850215911865199</v>
      </c>
      <c r="I1654" s="6">
        <v>33.840049743652301</v>
      </c>
      <c r="J1654" s="6">
        <v>33.830890655517599</v>
      </c>
      <c r="K1654" s="6">
        <v>33.863151550292997</v>
      </c>
      <c r="L1654" s="6">
        <v>30.685451507568398</v>
      </c>
    </row>
    <row r="1655" spans="1:12" x14ac:dyDescent="0.25">
      <c r="A1655">
        <v>2109239</v>
      </c>
      <c r="B1655" t="str">
        <f t="shared" si="25"/>
        <v>PRESIDENTE MEDICI, MA, Brasil</v>
      </c>
      <c r="C1655" s="4" t="str">
        <f>_xlfn.XLOOKUP(A1655,[1]!DadosGHD[CD_GEOCMU],[1]!DadosGHD[Região])</f>
        <v>NE</v>
      </c>
      <c r="D1655" s="4" t="str">
        <f>_xlfn.XLOOKUP(A1655,[1]!DadosGHD[CD_GEOCMU],[1]!DadosGHD[uf])</f>
        <v>MA</v>
      </c>
      <c r="E1655" s="5" t="str">
        <f>_xlfn.XLOOKUP(A1655,[1]!DadosGHD[CD_GEOCMU],[1]!DadosGHD[MUNICIPIO])</f>
        <v>PRESIDENTE MEDICI</v>
      </c>
      <c r="F1655" s="6">
        <v>33.754936218261697</v>
      </c>
      <c r="G1655" s="6">
        <v>33.800575256347699</v>
      </c>
      <c r="H1655" s="6">
        <v>33.836318969726598</v>
      </c>
      <c r="I1655" s="6">
        <v>33.805984497070298</v>
      </c>
      <c r="J1655" s="6">
        <v>33.822074890136697</v>
      </c>
      <c r="K1655" s="6">
        <v>33.869857788085902</v>
      </c>
      <c r="L1655" s="6">
        <v>30.707311630248999</v>
      </c>
    </row>
    <row r="1656" spans="1:12" x14ac:dyDescent="0.25">
      <c r="A1656">
        <v>3108503</v>
      </c>
      <c r="B1656" t="str">
        <f t="shared" si="25"/>
        <v>BOTUMIRIM, MG, Brasil</v>
      </c>
      <c r="C1656" s="4" t="str">
        <f>_xlfn.XLOOKUP(A1656,[1]!DadosGHD[CD_GEOCMU],[1]!DadosGHD[Região])</f>
        <v>SD</v>
      </c>
      <c r="D1656" s="4" t="str">
        <f>_xlfn.XLOOKUP(A1656,[1]!DadosGHD[CD_GEOCMU],[1]!DadosGHD[uf])</f>
        <v>MG</v>
      </c>
      <c r="E1656" s="5" t="str">
        <f>_xlfn.XLOOKUP(A1656,[1]!DadosGHD[CD_GEOCMU],[1]!DadosGHD[MUNICIPIO])</f>
        <v>BOTUMIRIM</v>
      </c>
      <c r="F1656" s="6">
        <v>33.754936218261697</v>
      </c>
      <c r="G1656" s="6">
        <v>33.797927856445298</v>
      </c>
      <c r="H1656" s="6">
        <v>33.8688774108887</v>
      </c>
      <c r="I1656" s="6">
        <v>33.842300415039098</v>
      </c>
      <c r="J1656" s="6">
        <v>33.869785308837898</v>
      </c>
      <c r="K1656" s="6">
        <v>33.895847320556598</v>
      </c>
      <c r="L1656" s="6">
        <v>30.6996669769287</v>
      </c>
    </row>
    <row r="1657" spans="1:12" x14ac:dyDescent="0.25">
      <c r="A1657">
        <v>2513158</v>
      </c>
      <c r="B1657" t="str">
        <f t="shared" si="25"/>
        <v>SANTA CECILIA, PB, Brasil</v>
      </c>
      <c r="C1657" s="4" t="str">
        <f>_xlfn.XLOOKUP(A1657,[1]!DadosGHD[CD_GEOCMU],[1]!DadosGHD[Região])</f>
        <v>NE</v>
      </c>
      <c r="D1657" s="4" t="str">
        <f>_xlfn.XLOOKUP(A1657,[1]!DadosGHD[CD_GEOCMU],[1]!DadosGHD[uf])</f>
        <v>PB</v>
      </c>
      <c r="E1657" s="5" t="str">
        <f>_xlfn.XLOOKUP(A1657,[1]!DadosGHD[CD_GEOCMU],[1]!DadosGHD[MUNICIPIO])</f>
        <v>SANTA CECILIA</v>
      </c>
      <c r="F1657" s="6">
        <v>33.754955291748097</v>
      </c>
      <c r="G1657" s="6">
        <v>33.809864044189503</v>
      </c>
      <c r="H1657" s="6">
        <v>33.8463134765625</v>
      </c>
      <c r="I1657" s="6">
        <v>33.822837829589801</v>
      </c>
      <c r="J1657" s="6">
        <v>33.830738067627003</v>
      </c>
      <c r="K1657" s="6">
        <v>33.873958587646499</v>
      </c>
      <c r="L1657" s="6">
        <v>30.7125854492188</v>
      </c>
    </row>
    <row r="1658" spans="1:12" x14ac:dyDescent="0.25">
      <c r="A1658">
        <v>2209708</v>
      </c>
      <c r="B1658" t="str">
        <f t="shared" si="25"/>
        <v>SAO FRANCISCO DO PIAUI, PI, Brasil</v>
      </c>
      <c r="C1658" s="4" t="str">
        <f>_xlfn.XLOOKUP(A1658,[1]!DadosGHD[CD_GEOCMU],[1]!DadosGHD[Região])</f>
        <v>NE</v>
      </c>
      <c r="D1658" s="4" t="str">
        <f>_xlfn.XLOOKUP(A1658,[1]!DadosGHD[CD_GEOCMU],[1]!DadosGHD[uf])</f>
        <v>PI</v>
      </c>
      <c r="E1658" s="5" t="str">
        <f>_xlfn.XLOOKUP(A1658,[1]!DadosGHD[CD_GEOCMU],[1]!DadosGHD[MUNICIPIO])</f>
        <v>SAO FRANCISCO DO PIAUI</v>
      </c>
      <c r="F1658" s="6">
        <v>33.755039215087898</v>
      </c>
      <c r="G1658" s="6">
        <v>33.802089691162102</v>
      </c>
      <c r="H1658" s="6">
        <v>33.838287353515597</v>
      </c>
      <c r="I1658" s="6">
        <v>33.815818786621101</v>
      </c>
      <c r="J1658" s="6">
        <v>33.832916259765597</v>
      </c>
      <c r="K1658" s="6">
        <v>33.918060302734403</v>
      </c>
      <c r="L1658" s="6">
        <v>30.702592849731399</v>
      </c>
    </row>
    <row r="1659" spans="1:12" x14ac:dyDescent="0.25">
      <c r="A1659">
        <v>2913309</v>
      </c>
      <c r="B1659" t="str">
        <f t="shared" si="25"/>
        <v>ICHU, BA, Brasil</v>
      </c>
      <c r="C1659" s="4" t="str">
        <f>_xlfn.XLOOKUP(A1659,[1]!DadosGHD[CD_GEOCMU],[1]!DadosGHD[Região])</f>
        <v>NE</v>
      </c>
      <c r="D1659" s="4" t="str">
        <f>_xlfn.XLOOKUP(A1659,[1]!DadosGHD[CD_GEOCMU],[1]!DadosGHD[uf])</f>
        <v>BA</v>
      </c>
      <c r="E1659" s="5" t="str">
        <f>_xlfn.XLOOKUP(A1659,[1]!DadosGHD[CD_GEOCMU],[1]!DadosGHD[MUNICIPIO])</f>
        <v>ICHU</v>
      </c>
      <c r="F1659" s="6">
        <v>33.755046844482401</v>
      </c>
      <c r="G1659" s="6">
        <v>38.721279144287102</v>
      </c>
      <c r="H1659" s="6">
        <v>38.773094177246101</v>
      </c>
      <c r="I1659" s="6">
        <v>38.744625091552699</v>
      </c>
      <c r="J1659" s="6">
        <v>38.787406921386697</v>
      </c>
      <c r="K1659" s="6">
        <v>38.843032836914098</v>
      </c>
      <c r="L1659" s="6">
        <v>35.127567291259801</v>
      </c>
    </row>
    <row r="1660" spans="1:12" x14ac:dyDescent="0.25">
      <c r="A1660">
        <v>3170909</v>
      </c>
      <c r="B1660" t="str">
        <f t="shared" si="25"/>
        <v>VARZELANDIA, MG, Brasil</v>
      </c>
      <c r="C1660" s="4" t="str">
        <f>_xlfn.XLOOKUP(A1660,[1]!DadosGHD[CD_GEOCMU],[1]!DadosGHD[Região])</f>
        <v>SD</v>
      </c>
      <c r="D1660" s="4" t="str">
        <f>_xlfn.XLOOKUP(A1660,[1]!DadosGHD[CD_GEOCMU],[1]!DadosGHD[uf])</f>
        <v>MG</v>
      </c>
      <c r="E1660" s="5" t="str">
        <f>_xlfn.XLOOKUP(A1660,[1]!DadosGHD[CD_GEOCMU],[1]!DadosGHD[MUNICIPIO])</f>
        <v>VARZELANDIA</v>
      </c>
      <c r="F1660" s="6">
        <v>33.755062103271499</v>
      </c>
      <c r="G1660" s="6">
        <v>33.831802368164098</v>
      </c>
      <c r="H1660" s="6">
        <v>33.884998321533203</v>
      </c>
      <c r="I1660" s="6">
        <v>33.846054077148402</v>
      </c>
      <c r="J1660" s="6">
        <v>33.861198425292997</v>
      </c>
      <c r="K1660" s="6">
        <v>33.898181915283203</v>
      </c>
      <c r="L1660" s="6">
        <v>30.698539733886701</v>
      </c>
    </row>
    <row r="1661" spans="1:12" x14ac:dyDescent="0.25">
      <c r="A1661">
        <v>2930907</v>
      </c>
      <c r="B1661" t="str">
        <f t="shared" si="25"/>
        <v>TABOCAS DO BREJO VELHO, BA, Brasil</v>
      </c>
      <c r="C1661" s="4" t="str">
        <f>_xlfn.XLOOKUP(A1661,[1]!DadosGHD[CD_GEOCMU],[1]!DadosGHD[Região])</f>
        <v>NE</v>
      </c>
      <c r="D1661" s="4" t="str">
        <f>_xlfn.XLOOKUP(A1661,[1]!DadosGHD[CD_GEOCMU],[1]!DadosGHD[uf])</f>
        <v>BA</v>
      </c>
      <c r="E1661" s="5" t="str">
        <f>_xlfn.XLOOKUP(A1661,[1]!DadosGHD[CD_GEOCMU],[1]!DadosGHD[MUNICIPIO])</f>
        <v>TABOCAS DO BREJO VELHO</v>
      </c>
      <c r="F1661" s="6">
        <v>33.755165100097699</v>
      </c>
      <c r="G1661" s="6">
        <v>28.939691543579102</v>
      </c>
      <c r="H1661" s="6">
        <v>33.8412475585938</v>
      </c>
      <c r="I1661" s="6">
        <v>33.8186225891113</v>
      </c>
      <c r="J1661" s="6">
        <v>33.815811157226598</v>
      </c>
      <c r="K1661" s="6">
        <v>33.848224639892599</v>
      </c>
      <c r="L1661" s="6">
        <v>26.291999816894499</v>
      </c>
    </row>
    <row r="1662" spans="1:12" x14ac:dyDescent="0.25">
      <c r="A1662">
        <v>2310803</v>
      </c>
      <c r="B1662" t="str">
        <f t="shared" si="25"/>
        <v>PEREIRO, CE, Brasil</v>
      </c>
      <c r="C1662" s="4" t="str">
        <f>_xlfn.XLOOKUP(A1662,[1]!DadosGHD[CD_GEOCMU],[1]!DadosGHD[Região])</f>
        <v>NE</v>
      </c>
      <c r="D1662" s="4" t="str">
        <f>_xlfn.XLOOKUP(A1662,[1]!DadosGHD[CD_GEOCMU],[1]!DadosGHD[uf])</f>
        <v>CE</v>
      </c>
      <c r="E1662" s="5" t="str">
        <f>_xlfn.XLOOKUP(A1662,[1]!DadosGHD[CD_GEOCMU],[1]!DadosGHD[MUNICIPIO])</f>
        <v>PEREIRO</v>
      </c>
      <c r="F1662" s="6">
        <v>33.755378723144503</v>
      </c>
      <c r="G1662" s="6">
        <v>38.7577934265137</v>
      </c>
      <c r="H1662" s="6">
        <v>38.840534210205099</v>
      </c>
      <c r="I1662" s="6">
        <v>43.705490112304702</v>
      </c>
      <c r="J1662" s="6">
        <v>38.812919616699197</v>
      </c>
      <c r="K1662" s="6">
        <v>38.8775634765625</v>
      </c>
      <c r="L1662" s="6">
        <v>44.015785217285199</v>
      </c>
    </row>
    <row r="1663" spans="1:12" x14ac:dyDescent="0.25">
      <c r="A1663">
        <v>2802403</v>
      </c>
      <c r="B1663" t="str">
        <f t="shared" si="25"/>
        <v>GARARU, SE, Brasil</v>
      </c>
      <c r="C1663" s="4" t="str">
        <f>_xlfn.XLOOKUP(A1663,[1]!DadosGHD[CD_GEOCMU],[1]!DadosGHD[Região])</f>
        <v>NE</v>
      </c>
      <c r="D1663" s="4" t="str">
        <f>_xlfn.XLOOKUP(A1663,[1]!DadosGHD[CD_GEOCMU],[1]!DadosGHD[uf])</f>
        <v>SE</v>
      </c>
      <c r="E1663" s="5" t="str">
        <f>_xlfn.XLOOKUP(A1663,[1]!DadosGHD[CD_GEOCMU],[1]!DadosGHD[MUNICIPIO])</f>
        <v>GARARU</v>
      </c>
      <c r="F1663" s="6">
        <v>33.755409240722699</v>
      </c>
      <c r="G1663" s="6">
        <v>33.815582275390597</v>
      </c>
      <c r="H1663" s="6">
        <v>33.8434448242188</v>
      </c>
      <c r="I1663" s="6">
        <v>33.820632934570298</v>
      </c>
      <c r="J1663" s="6">
        <v>33.835319519042997</v>
      </c>
      <c r="K1663" s="6">
        <v>33.899826049804702</v>
      </c>
      <c r="L1663" s="6">
        <v>30.720615386962901</v>
      </c>
    </row>
    <row r="1664" spans="1:12" x14ac:dyDescent="0.25">
      <c r="A1664">
        <v>1506906</v>
      </c>
      <c r="B1664" t="str">
        <f t="shared" si="25"/>
        <v>SANTAREM NOVO, PA, Brasil</v>
      </c>
      <c r="C1664" s="4" t="str">
        <f>_xlfn.XLOOKUP(A1664,[1]!DadosGHD[CD_GEOCMU],[1]!DadosGHD[Região])</f>
        <v>NO</v>
      </c>
      <c r="D1664" s="4" t="str">
        <f>_xlfn.XLOOKUP(A1664,[1]!DadosGHD[CD_GEOCMU],[1]!DadosGHD[uf])</f>
        <v>PA</v>
      </c>
      <c r="E1664" s="5" t="str">
        <f>_xlfn.XLOOKUP(A1664,[1]!DadosGHD[CD_GEOCMU],[1]!DadosGHD[MUNICIPIO])</f>
        <v>SANTAREM NOVO</v>
      </c>
      <c r="F1664" s="6">
        <v>33.755462646484403</v>
      </c>
      <c r="G1664" s="6">
        <v>33.808151245117202</v>
      </c>
      <c r="H1664" s="6">
        <v>33.834262847900398</v>
      </c>
      <c r="I1664" s="6">
        <v>33.814254760742202</v>
      </c>
      <c r="J1664" s="6">
        <v>33.831340789794901</v>
      </c>
      <c r="K1664" s="6">
        <v>38.808475494384801</v>
      </c>
      <c r="L1664" s="6">
        <v>30.713047027587901</v>
      </c>
    </row>
    <row r="1665" spans="1:12" x14ac:dyDescent="0.25">
      <c r="A1665">
        <v>2412005</v>
      </c>
      <c r="B1665" t="str">
        <f t="shared" si="25"/>
        <v>SAO GONCALO DO AMARANTE, RN, Brasil</v>
      </c>
      <c r="C1665" s="4" t="str">
        <f>_xlfn.XLOOKUP(A1665,[1]!DadosGHD[CD_GEOCMU],[1]!DadosGHD[Região])</f>
        <v>NE</v>
      </c>
      <c r="D1665" s="4" t="str">
        <f>_xlfn.XLOOKUP(A1665,[1]!DadosGHD[CD_GEOCMU],[1]!DadosGHD[uf])</f>
        <v>RN</v>
      </c>
      <c r="E1665" s="5" t="str">
        <f>_xlfn.XLOOKUP(A1665,[1]!DadosGHD[CD_GEOCMU],[1]!DadosGHD[MUNICIPIO])</f>
        <v>SAO GONCALO DO AMARANTE</v>
      </c>
      <c r="F1665" s="6">
        <v>33.755462646484403</v>
      </c>
      <c r="G1665" s="6">
        <v>33.842662811279297</v>
      </c>
      <c r="H1665" s="6">
        <v>38.756107330322301</v>
      </c>
      <c r="I1665" s="6">
        <v>38.752635955810597</v>
      </c>
      <c r="J1665" s="6">
        <v>38.841243743896499</v>
      </c>
      <c r="K1665" s="6">
        <v>43.799560546875</v>
      </c>
      <c r="L1665" s="6">
        <v>44.056915283203097</v>
      </c>
    </row>
    <row r="1666" spans="1:12" x14ac:dyDescent="0.25">
      <c r="A1666">
        <v>3202256</v>
      </c>
      <c r="B1666" t="str">
        <f t="shared" si="25"/>
        <v>GOVERNADOR LINDENBERG, ES, Brasil</v>
      </c>
      <c r="C1666" s="4" t="str">
        <f>_xlfn.XLOOKUP(A1666,[1]!DadosGHD[CD_GEOCMU],[1]!DadosGHD[Região])</f>
        <v>SD</v>
      </c>
      <c r="D1666" s="4" t="str">
        <f>_xlfn.XLOOKUP(A1666,[1]!DadosGHD[CD_GEOCMU],[1]!DadosGHD[uf])</f>
        <v>ES</v>
      </c>
      <c r="E1666" s="5" t="str">
        <f>_xlfn.XLOOKUP(A1666,[1]!DadosGHD[CD_GEOCMU],[1]!DadosGHD[MUNICIPIO])</f>
        <v>GOVERNADOR LINDENBERG</v>
      </c>
      <c r="F1666" s="6">
        <v>33.755542755127003</v>
      </c>
      <c r="G1666" s="6">
        <v>38.739513397216797</v>
      </c>
      <c r="H1666" s="6">
        <v>38.786312103271499</v>
      </c>
      <c r="I1666" s="6">
        <v>38.767158508300803</v>
      </c>
      <c r="J1666" s="6">
        <v>38.772926330566399</v>
      </c>
      <c r="K1666" s="6">
        <v>38.791576385498097</v>
      </c>
      <c r="L1666" s="6">
        <v>30.7152919769287</v>
      </c>
    </row>
    <row r="1667" spans="1:12" x14ac:dyDescent="0.25">
      <c r="A1667">
        <v>2601904</v>
      </c>
      <c r="B1667" t="str">
        <f t="shared" si="25"/>
        <v>BEZERROS, PE, Brasil</v>
      </c>
      <c r="C1667" s="4" t="str">
        <f>_xlfn.XLOOKUP(A1667,[1]!DadosGHD[CD_GEOCMU],[1]!DadosGHD[Região])</f>
        <v>NE</v>
      </c>
      <c r="D1667" s="4" t="str">
        <f>_xlfn.XLOOKUP(A1667,[1]!DadosGHD[CD_GEOCMU],[1]!DadosGHD[uf])</f>
        <v>PE</v>
      </c>
      <c r="E1667" s="5" t="str">
        <f>_xlfn.XLOOKUP(A1667,[1]!DadosGHD[CD_GEOCMU],[1]!DadosGHD[MUNICIPIO])</f>
        <v>BEZERROS</v>
      </c>
      <c r="F1667" s="6">
        <v>33.7555541992188</v>
      </c>
      <c r="G1667" s="6">
        <v>33.821239471435597</v>
      </c>
      <c r="H1667" s="6">
        <v>33.876628875732401</v>
      </c>
      <c r="I1667" s="6">
        <v>38.7385864257813</v>
      </c>
      <c r="J1667" s="6">
        <v>38.801750183105497</v>
      </c>
      <c r="K1667" s="6">
        <v>38.878837585449197</v>
      </c>
      <c r="L1667" s="6">
        <v>39.597640991210902</v>
      </c>
    </row>
    <row r="1668" spans="1:12" x14ac:dyDescent="0.25">
      <c r="A1668">
        <v>1200302</v>
      </c>
      <c r="B1668" t="str">
        <f t="shared" ref="B1668:B1731" si="26">_xlfn.CONCAT(E1668, ", ", D1668, ", Brasil")</f>
        <v>FEIJO, AC, Brasil</v>
      </c>
      <c r="C1668" s="4" t="str">
        <f>_xlfn.XLOOKUP(A1668,[1]!DadosGHD[CD_GEOCMU],[1]!DadosGHD[Região])</f>
        <v>NO</v>
      </c>
      <c r="D1668" s="4" t="str">
        <f>_xlfn.XLOOKUP(A1668,[1]!DadosGHD[CD_GEOCMU],[1]!DadosGHD[uf])</f>
        <v>AC</v>
      </c>
      <c r="E1668" s="5" t="str">
        <f>_xlfn.XLOOKUP(A1668,[1]!DadosGHD[CD_GEOCMU],[1]!DadosGHD[MUNICIPIO])</f>
        <v>FEIJO</v>
      </c>
      <c r="F1668" s="6">
        <v>33.7556762695313</v>
      </c>
      <c r="G1668" s="6">
        <v>33.822513580322301</v>
      </c>
      <c r="H1668" s="6">
        <v>33.8579711914063</v>
      </c>
      <c r="I1668" s="6">
        <v>33.839405059814503</v>
      </c>
      <c r="J1668" s="6">
        <v>33.85302734375</v>
      </c>
      <c r="K1668" s="6">
        <v>33.879138946533203</v>
      </c>
      <c r="L1668" s="6">
        <v>26.295854568481399</v>
      </c>
    </row>
    <row r="1669" spans="1:12" x14ac:dyDescent="0.25">
      <c r="A1669">
        <v>2410207</v>
      </c>
      <c r="B1669" t="str">
        <f t="shared" si="26"/>
        <v>PORTALEGRE, RN, Brasil</v>
      </c>
      <c r="C1669" s="4" t="str">
        <f>_xlfn.XLOOKUP(A1669,[1]!DadosGHD[CD_GEOCMU],[1]!DadosGHD[Região])</f>
        <v>NE</v>
      </c>
      <c r="D1669" s="4" t="str">
        <f>_xlfn.XLOOKUP(A1669,[1]!DadosGHD[CD_GEOCMU],[1]!DadosGHD[uf])</f>
        <v>RN</v>
      </c>
      <c r="E1669" s="5" t="str">
        <f>_xlfn.XLOOKUP(A1669,[1]!DadosGHD[CD_GEOCMU],[1]!DadosGHD[MUNICIPIO])</f>
        <v>PORTALEGRE</v>
      </c>
      <c r="F1669" s="6">
        <v>33.755851745605497</v>
      </c>
      <c r="G1669" s="6">
        <v>33.807369232177699</v>
      </c>
      <c r="H1669" s="6">
        <v>33.862903594970703</v>
      </c>
      <c r="I1669" s="6">
        <v>38.763320922851598</v>
      </c>
      <c r="J1669" s="6">
        <v>33.890403747558601</v>
      </c>
      <c r="K1669" s="6">
        <v>38.878883361816399</v>
      </c>
      <c r="L1669" s="6">
        <v>44.022598266601598</v>
      </c>
    </row>
    <row r="1670" spans="1:12" x14ac:dyDescent="0.25">
      <c r="A1670">
        <v>2803005</v>
      </c>
      <c r="B1670" t="str">
        <f t="shared" si="26"/>
        <v>ITABAIANINHA, SE, Brasil</v>
      </c>
      <c r="C1670" s="4" t="str">
        <f>_xlfn.XLOOKUP(A1670,[1]!DadosGHD[CD_GEOCMU],[1]!DadosGHD[Região])</f>
        <v>NE</v>
      </c>
      <c r="D1670" s="4" t="str">
        <f>_xlfn.XLOOKUP(A1670,[1]!DadosGHD[CD_GEOCMU],[1]!DadosGHD[uf])</f>
        <v>SE</v>
      </c>
      <c r="E1670" s="5" t="str">
        <f>_xlfn.XLOOKUP(A1670,[1]!DadosGHD[CD_GEOCMU],[1]!DadosGHD[MUNICIPIO])</f>
        <v>ITABAIANINHA</v>
      </c>
      <c r="F1670" s="6">
        <v>33.755874633789098</v>
      </c>
      <c r="G1670" s="6">
        <v>33.8155326843262</v>
      </c>
      <c r="H1670" s="6">
        <v>33.867649078369098</v>
      </c>
      <c r="I1670" s="6">
        <v>33.8345947265625</v>
      </c>
      <c r="J1670" s="6">
        <v>33.850479125976598</v>
      </c>
      <c r="K1670" s="6">
        <v>33.8930854797363</v>
      </c>
      <c r="L1670" s="6">
        <v>26.2967319488525</v>
      </c>
    </row>
    <row r="1671" spans="1:12" x14ac:dyDescent="0.25">
      <c r="A1671">
        <v>3146255</v>
      </c>
      <c r="B1671" t="str">
        <f t="shared" si="26"/>
        <v>PADRE CARVALHO, MG, Brasil</v>
      </c>
      <c r="C1671" s="4" t="str">
        <f>_xlfn.XLOOKUP(A1671,[1]!DadosGHD[CD_GEOCMU],[1]!DadosGHD[Região])</f>
        <v>SD</v>
      </c>
      <c r="D1671" s="4" t="str">
        <f>_xlfn.XLOOKUP(A1671,[1]!DadosGHD[CD_GEOCMU],[1]!DadosGHD[uf])</f>
        <v>MG</v>
      </c>
      <c r="E1671" s="5" t="str">
        <f>_xlfn.XLOOKUP(A1671,[1]!DadosGHD[CD_GEOCMU],[1]!DadosGHD[MUNICIPIO])</f>
        <v>PADRE CARVALHO</v>
      </c>
      <c r="F1671" s="6">
        <v>33.755897521972699</v>
      </c>
      <c r="G1671" s="6">
        <v>33.801795959472699</v>
      </c>
      <c r="H1671" s="6">
        <v>33.840183258056598</v>
      </c>
      <c r="I1671" s="6">
        <v>33.816734313964801</v>
      </c>
      <c r="J1671" s="6">
        <v>33.832862854003899</v>
      </c>
      <c r="K1671" s="6">
        <v>33.8638305664063</v>
      </c>
      <c r="L1671" s="6">
        <v>26.294969558715799</v>
      </c>
    </row>
    <row r="1672" spans="1:12" x14ac:dyDescent="0.25">
      <c r="A1672">
        <v>2405603</v>
      </c>
      <c r="B1672" t="str">
        <f t="shared" si="26"/>
        <v>JARDIM DE PIRANHAS, RN, Brasil</v>
      </c>
      <c r="C1672" s="4" t="str">
        <f>_xlfn.XLOOKUP(A1672,[1]!DadosGHD[CD_GEOCMU],[1]!DadosGHD[Região])</f>
        <v>NE</v>
      </c>
      <c r="D1672" s="4" t="str">
        <f>_xlfn.XLOOKUP(A1672,[1]!DadosGHD[CD_GEOCMU],[1]!DadosGHD[uf])</f>
        <v>RN</v>
      </c>
      <c r="E1672" s="5" t="str">
        <f>_xlfn.XLOOKUP(A1672,[1]!DadosGHD[CD_GEOCMU],[1]!DadosGHD[MUNICIPIO])</f>
        <v>JARDIM DE PIRANHAS</v>
      </c>
      <c r="F1672" s="6">
        <v>33.756065368652301</v>
      </c>
      <c r="G1672" s="6">
        <v>33.806430816650398</v>
      </c>
      <c r="H1672" s="6">
        <v>33.864059448242202</v>
      </c>
      <c r="I1672" s="6">
        <v>33.843589782714801</v>
      </c>
      <c r="J1672" s="6">
        <v>33.8507270812988</v>
      </c>
      <c r="K1672" s="6">
        <v>38.785083770752003</v>
      </c>
      <c r="L1672" s="6">
        <v>35.1384887695313</v>
      </c>
    </row>
    <row r="1673" spans="1:12" x14ac:dyDescent="0.25">
      <c r="A1673">
        <v>4300034</v>
      </c>
      <c r="B1673" t="str">
        <f t="shared" si="26"/>
        <v>ACEGUA, RS, Brasil</v>
      </c>
      <c r="C1673" s="4" t="str">
        <f>_xlfn.XLOOKUP(A1673,[1]!DadosGHD[CD_GEOCMU],[1]!DadosGHD[Região])</f>
        <v>SL</v>
      </c>
      <c r="D1673" s="4" t="str">
        <f>_xlfn.XLOOKUP(A1673,[1]!DadosGHD[CD_GEOCMU],[1]!DadosGHD[uf])</f>
        <v>RS</v>
      </c>
      <c r="E1673" s="5" t="str">
        <f>_xlfn.XLOOKUP(A1673,[1]!DadosGHD[CD_GEOCMU],[1]!DadosGHD[MUNICIPIO])</f>
        <v>ACEGUA</v>
      </c>
      <c r="F1673" s="6">
        <v>33.756076812744098</v>
      </c>
      <c r="G1673" s="6">
        <v>43.6579780578613</v>
      </c>
      <c r="H1673" s="6">
        <v>43.719474792480497</v>
      </c>
      <c r="I1673" s="6">
        <v>43.752918243408203</v>
      </c>
      <c r="J1673" s="6">
        <v>43.719291687011697</v>
      </c>
      <c r="K1673" s="6">
        <v>43.765953063964801</v>
      </c>
      <c r="L1673" s="6">
        <v>44.021934509277301</v>
      </c>
    </row>
    <row r="1674" spans="1:12" x14ac:dyDescent="0.25">
      <c r="A1674">
        <v>2104800</v>
      </c>
      <c r="B1674" t="str">
        <f t="shared" si="26"/>
        <v>GRAJAU, MA, Brasil</v>
      </c>
      <c r="C1674" s="4" t="str">
        <f>_xlfn.XLOOKUP(A1674,[1]!DadosGHD[CD_GEOCMU],[1]!DadosGHD[Região])</f>
        <v>NE</v>
      </c>
      <c r="D1674" s="4" t="str">
        <f>_xlfn.XLOOKUP(A1674,[1]!DadosGHD[CD_GEOCMU],[1]!DadosGHD[uf])</f>
        <v>MA</v>
      </c>
      <c r="E1674" s="5" t="str">
        <f>_xlfn.XLOOKUP(A1674,[1]!DadosGHD[CD_GEOCMU],[1]!DadosGHD[MUNICIPIO])</f>
        <v>GRAJAU</v>
      </c>
      <c r="F1674" s="6">
        <v>33.756114959716797</v>
      </c>
      <c r="G1674" s="6">
        <v>33.824748992919901</v>
      </c>
      <c r="H1674" s="6">
        <v>33.859283447265597</v>
      </c>
      <c r="I1674" s="6">
        <v>33.831520080566399</v>
      </c>
      <c r="J1674" s="6">
        <v>33.851352691650398</v>
      </c>
      <c r="K1674" s="6">
        <v>33.910587310791001</v>
      </c>
      <c r="L1674" s="6">
        <v>35.1162300109863</v>
      </c>
    </row>
    <row r="1675" spans="1:12" x14ac:dyDescent="0.25">
      <c r="A1675">
        <v>2707107</v>
      </c>
      <c r="B1675" t="str">
        <f t="shared" si="26"/>
        <v>PIRANHAS, AL, Brasil</v>
      </c>
      <c r="C1675" s="4" t="str">
        <f>_xlfn.XLOOKUP(A1675,[1]!DadosGHD[CD_GEOCMU],[1]!DadosGHD[Região])</f>
        <v>NE</v>
      </c>
      <c r="D1675" s="4" t="str">
        <f>_xlfn.XLOOKUP(A1675,[1]!DadosGHD[CD_GEOCMU],[1]!DadosGHD[uf])</f>
        <v>AL</v>
      </c>
      <c r="E1675" s="5" t="str">
        <f>_xlfn.XLOOKUP(A1675,[1]!DadosGHD[CD_GEOCMU],[1]!DadosGHD[MUNICIPIO])</f>
        <v>PIRANHAS</v>
      </c>
      <c r="F1675" s="6">
        <v>33.756256103515597</v>
      </c>
      <c r="G1675" s="6">
        <v>33.801448822021499</v>
      </c>
      <c r="H1675" s="6">
        <v>33.846832275390597</v>
      </c>
      <c r="I1675" s="6">
        <v>33.827816009521499</v>
      </c>
      <c r="J1675" s="6">
        <v>33.857513427734403</v>
      </c>
      <c r="K1675" s="6">
        <v>33.881252288818402</v>
      </c>
      <c r="L1675" s="6">
        <v>30.6972541809082</v>
      </c>
    </row>
    <row r="1676" spans="1:12" x14ac:dyDescent="0.25">
      <c r="A1676">
        <v>2805604</v>
      </c>
      <c r="B1676" t="str">
        <f t="shared" si="26"/>
        <v>PORTO DA FOLHA, SE, Brasil</v>
      </c>
      <c r="C1676" s="4" t="str">
        <f>_xlfn.XLOOKUP(A1676,[1]!DadosGHD[CD_GEOCMU],[1]!DadosGHD[Região])</f>
        <v>NE</v>
      </c>
      <c r="D1676" s="4" t="str">
        <f>_xlfn.XLOOKUP(A1676,[1]!DadosGHD[CD_GEOCMU],[1]!DadosGHD[uf])</f>
        <v>SE</v>
      </c>
      <c r="E1676" s="5" t="str">
        <f>_xlfn.XLOOKUP(A1676,[1]!DadosGHD[CD_GEOCMU],[1]!DadosGHD[MUNICIPIO])</f>
        <v>PORTO DA FOLHA</v>
      </c>
      <c r="F1676" s="6">
        <v>33.756259918212898</v>
      </c>
      <c r="G1676" s="6">
        <v>33.817024230957003</v>
      </c>
      <c r="H1676" s="6">
        <v>33.874149322509801</v>
      </c>
      <c r="I1676" s="6">
        <v>33.827510833740199</v>
      </c>
      <c r="J1676" s="6">
        <v>33.836978912353501</v>
      </c>
      <c r="K1676" s="6">
        <v>33.865406036377003</v>
      </c>
      <c r="L1676" s="6">
        <v>26.289485931396499</v>
      </c>
    </row>
    <row r="1677" spans="1:12" x14ac:dyDescent="0.25">
      <c r="A1677">
        <v>1400050</v>
      </c>
      <c r="B1677" t="str">
        <f t="shared" si="26"/>
        <v>ALTO ALEGRE, RR, Brasil</v>
      </c>
      <c r="C1677" s="4" t="str">
        <f>_xlfn.XLOOKUP(A1677,[1]!DadosGHD[CD_GEOCMU],[1]!DadosGHD[Região])</f>
        <v>NO</v>
      </c>
      <c r="D1677" s="4" t="str">
        <f>_xlfn.XLOOKUP(A1677,[1]!DadosGHD[CD_GEOCMU],[1]!DadosGHD[uf])</f>
        <v>RR</v>
      </c>
      <c r="E1677" s="5" t="str">
        <f>_xlfn.XLOOKUP(A1677,[1]!DadosGHD[CD_GEOCMU],[1]!DadosGHD[MUNICIPIO])</f>
        <v>ALTO ALEGRE</v>
      </c>
      <c r="F1677" s="6">
        <v>33.756332397460902</v>
      </c>
      <c r="G1677" s="6">
        <v>33.808849334716797</v>
      </c>
      <c r="H1677" s="6">
        <v>33.849456787109403</v>
      </c>
      <c r="I1677" s="6">
        <v>33.827922821044901</v>
      </c>
      <c r="J1677" s="6">
        <v>33.846973419189503</v>
      </c>
      <c r="K1677" s="6">
        <v>33.862586975097699</v>
      </c>
      <c r="L1677" s="6">
        <v>26.2798957824707</v>
      </c>
    </row>
    <row r="1678" spans="1:12" x14ac:dyDescent="0.25">
      <c r="A1678">
        <v>2511608</v>
      </c>
      <c r="B1678" t="str">
        <f t="shared" si="26"/>
        <v>PILOES, PB, Brasil</v>
      </c>
      <c r="C1678" s="4" t="str">
        <f>_xlfn.XLOOKUP(A1678,[1]!DadosGHD[CD_GEOCMU],[1]!DadosGHD[Região])</f>
        <v>NE</v>
      </c>
      <c r="D1678" s="4" t="str">
        <f>_xlfn.XLOOKUP(A1678,[1]!DadosGHD[CD_GEOCMU],[1]!DadosGHD[uf])</f>
        <v>PB</v>
      </c>
      <c r="E1678" s="5" t="str">
        <f>_xlfn.XLOOKUP(A1678,[1]!DadosGHD[CD_GEOCMU],[1]!DadosGHD[MUNICIPIO])</f>
        <v>PILOES</v>
      </c>
      <c r="F1678" s="6">
        <v>33.756397247314503</v>
      </c>
      <c r="G1678" s="6">
        <v>33.805385589599602</v>
      </c>
      <c r="H1678" s="6">
        <v>33.843898773193402</v>
      </c>
      <c r="I1678" s="6">
        <v>33.833141326904297</v>
      </c>
      <c r="J1678" s="6">
        <v>33.8355522155762</v>
      </c>
      <c r="K1678" s="6">
        <v>33.8628959655762</v>
      </c>
      <c r="L1678" s="6">
        <v>26.286878585815401</v>
      </c>
    </row>
    <row r="1679" spans="1:12" x14ac:dyDescent="0.25">
      <c r="A1679">
        <v>2614857</v>
      </c>
      <c r="B1679" t="str">
        <f t="shared" si="26"/>
        <v>TAMANDARE, PE, Brasil</v>
      </c>
      <c r="C1679" s="4" t="str">
        <f>_xlfn.XLOOKUP(A1679,[1]!DadosGHD[CD_GEOCMU],[1]!DadosGHD[Região])</f>
        <v>NE</v>
      </c>
      <c r="D1679" s="4" t="str">
        <f>_xlfn.XLOOKUP(A1679,[1]!DadosGHD[CD_GEOCMU],[1]!DadosGHD[uf])</f>
        <v>PE</v>
      </c>
      <c r="E1679" s="5" t="str">
        <f>_xlfn.XLOOKUP(A1679,[1]!DadosGHD[CD_GEOCMU],[1]!DadosGHD[MUNICIPIO])</f>
        <v>TAMANDARE</v>
      </c>
      <c r="F1679" s="6">
        <v>33.756511688232401</v>
      </c>
      <c r="G1679" s="6">
        <v>33.829429626464801</v>
      </c>
      <c r="H1679" s="6">
        <v>33.8573608398438</v>
      </c>
      <c r="I1679" s="6">
        <v>33.841156005859403</v>
      </c>
      <c r="J1679" s="6">
        <v>38.742183685302699</v>
      </c>
      <c r="K1679" s="6">
        <v>43.776821136474602</v>
      </c>
      <c r="L1679" s="6">
        <v>48.525959014892599</v>
      </c>
    </row>
    <row r="1680" spans="1:12" x14ac:dyDescent="0.25">
      <c r="A1680">
        <v>4319356</v>
      </c>
      <c r="B1680" t="str">
        <f t="shared" si="26"/>
        <v>SAO PEDRO DA SERRA, RS, Brasil</v>
      </c>
      <c r="C1680" s="4" t="str">
        <f>_xlfn.XLOOKUP(A1680,[1]!DadosGHD[CD_GEOCMU],[1]!DadosGHD[Região])</f>
        <v>SL</v>
      </c>
      <c r="D1680" s="4" t="str">
        <f>_xlfn.XLOOKUP(A1680,[1]!DadosGHD[CD_GEOCMU],[1]!DadosGHD[uf])</f>
        <v>RS</v>
      </c>
      <c r="E1680" s="5" t="str">
        <f>_xlfn.XLOOKUP(A1680,[1]!DadosGHD[CD_GEOCMU],[1]!DadosGHD[MUNICIPIO])</f>
        <v>SAO PEDRO DA SERRA</v>
      </c>
      <c r="F1680" s="6">
        <v>33.756538391113303</v>
      </c>
      <c r="G1680" s="6">
        <v>43.749729156494098</v>
      </c>
      <c r="H1680" s="6">
        <v>48.738864898681598</v>
      </c>
      <c r="I1680" s="6">
        <v>48.769859313964801</v>
      </c>
      <c r="J1680" s="6">
        <v>43.812419891357401</v>
      </c>
      <c r="K1680" s="6">
        <v>43.845645904541001</v>
      </c>
      <c r="L1680" s="6">
        <v>39.563625335693402</v>
      </c>
    </row>
    <row r="1681" spans="1:12" x14ac:dyDescent="0.25">
      <c r="A1681">
        <v>4301875</v>
      </c>
      <c r="B1681" t="str">
        <f t="shared" si="26"/>
        <v>BARRA DO QUARAI, RS, Brasil</v>
      </c>
      <c r="C1681" s="4" t="str">
        <f>_xlfn.XLOOKUP(A1681,[1]!DadosGHD[CD_GEOCMU],[1]!DadosGHD[Região])</f>
        <v>SL</v>
      </c>
      <c r="D1681" s="4" t="str">
        <f>_xlfn.XLOOKUP(A1681,[1]!DadosGHD[CD_GEOCMU],[1]!DadosGHD[uf])</f>
        <v>RS</v>
      </c>
      <c r="E1681" s="5" t="str">
        <f>_xlfn.XLOOKUP(A1681,[1]!DadosGHD[CD_GEOCMU],[1]!DadosGHD[MUNICIPIO])</f>
        <v>BARRA DO QUARAI</v>
      </c>
      <c r="F1681" s="6">
        <v>33.756565093994098</v>
      </c>
      <c r="G1681" s="6">
        <v>38.698413848877003</v>
      </c>
      <c r="H1681" s="6">
        <v>38.755607604980497</v>
      </c>
      <c r="I1681" s="6">
        <v>38.730381011962898</v>
      </c>
      <c r="J1681" s="6">
        <v>38.791046142578097</v>
      </c>
      <c r="K1681" s="6">
        <v>38.826217651367202</v>
      </c>
      <c r="L1681" s="6">
        <v>39.576045989990199</v>
      </c>
    </row>
    <row r="1682" spans="1:12" x14ac:dyDescent="0.25">
      <c r="A1682">
        <v>2709103</v>
      </c>
      <c r="B1682" t="str">
        <f t="shared" si="26"/>
        <v>TAQUARANA, AL, Brasil</v>
      </c>
      <c r="C1682" s="4" t="str">
        <f>_xlfn.XLOOKUP(A1682,[1]!DadosGHD[CD_GEOCMU],[1]!DadosGHD[Região])</f>
        <v>NE</v>
      </c>
      <c r="D1682" s="4" t="str">
        <f>_xlfn.XLOOKUP(A1682,[1]!DadosGHD[CD_GEOCMU],[1]!DadosGHD[uf])</f>
        <v>AL</v>
      </c>
      <c r="E1682" s="5" t="str">
        <f>_xlfn.XLOOKUP(A1682,[1]!DadosGHD[CD_GEOCMU],[1]!DadosGHD[MUNICIPIO])</f>
        <v>TAQUARANA</v>
      </c>
      <c r="F1682" s="6">
        <v>33.756664276123097</v>
      </c>
      <c r="G1682" s="6">
        <v>33.825531005859403</v>
      </c>
      <c r="H1682" s="6">
        <v>33.889625549316399</v>
      </c>
      <c r="I1682" s="6">
        <v>33.858165740966797</v>
      </c>
      <c r="J1682" s="6">
        <v>33.845348358154297</v>
      </c>
      <c r="K1682" s="6">
        <v>33.905654907226598</v>
      </c>
      <c r="L1682" s="6">
        <v>35.125450134277301</v>
      </c>
    </row>
    <row r="1683" spans="1:12" x14ac:dyDescent="0.25">
      <c r="A1683">
        <v>2106201</v>
      </c>
      <c r="B1683" t="str">
        <f t="shared" si="26"/>
        <v>LUIS DOMINGUES, MA, Brasil</v>
      </c>
      <c r="C1683" s="4" t="str">
        <f>_xlfn.XLOOKUP(A1683,[1]!DadosGHD[CD_GEOCMU],[1]!DadosGHD[Região])</f>
        <v>NE</v>
      </c>
      <c r="D1683" s="4" t="str">
        <f>_xlfn.XLOOKUP(A1683,[1]!DadosGHD[CD_GEOCMU],[1]!DadosGHD[uf])</f>
        <v>MA</v>
      </c>
      <c r="E1683" s="5" t="str">
        <f>_xlfn.XLOOKUP(A1683,[1]!DadosGHD[CD_GEOCMU],[1]!DadosGHD[MUNICIPIO])</f>
        <v>LUIS DOMINGUES</v>
      </c>
      <c r="F1683" s="6">
        <v>33.756710052490199</v>
      </c>
      <c r="G1683" s="6">
        <v>33.800258636474602</v>
      </c>
      <c r="H1683" s="6">
        <v>33.837146759033203</v>
      </c>
      <c r="I1683" s="6">
        <v>33.8403129577637</v>
      </c>
      <c r="J1683" s="6">
        <v>38.7512016296387</v>
      </c>
      <c r="K1683" s="6">
        <v>33.866477966308601</v>
      </c>
      <c r="L1683" s="6">
        <v>30.6854953765869</v>
      </c>
    </row>
    <row r="1684" spans="1:12" x14ac:dyDescent="0.25">
      <c r="A1684">
        <v>1600204</v>
      </c>
      <c r="B1684" t="str">
        <f t="shared" si="26"/>
        <v>CALCOENE, AP, Brasil</v>
      </c>
      <c r="C1684" s="4" t="str">
        <f>_xlfn.XLOOKUP(A1684,[1]!DadosGHD[CD_GEOCMU],[1]!DadosGHD[Região])</f>
        <v>NO</v>
      </c>
      <c r="D1684" s="4" t="str">
        <f>_xlfn.XLOOKUP(A1684,[1]!DadosGHD[CD_GEOCMU],[1]!DadosGHD[uf])</f>
        <v>AP</v>
      </c>
      <c r="E1684" s="5" t="str">
        <f>_xlfn.XLOOKUP(A1684,[1]!DadosGHD[CD_GEOCMU],[1]!DadosGHD[MUNICIPIO])</f>
        <v>CALCOENE</v>
      </c>
      <c r="F1684" s="6">
        <v>33.756893157958999</v>
      </c>
      <c r="G1684" s="6">
        <v>33.812942504882798</v>
      </c>
      <c r="H1684" s="6">
        <v>33.840526580810597</v>
      </c>
      <c r="I1684" s="6">
        <v>33.8121337890625</v>
      </c>
      <c r="J1684" s="6">
        <v>33.848308563232401</v>
      </c>
      <c r="K1684" s="6">
        <v>28.992345809936499</v>
      </c>
      <c r="L1684" s="6">
        <v>30.712326049804702</v>
      </c>
    </row>
    <row r="1685" spans="1:12" x14ac:dyDescent="0.25">
      <c r="A1685">
        <v>2608404</v>
      </c>
      <c r="B1685" t="str">
        <f t="shared" si="26"/>
        <v>JUREMA, PE, Brasil</v>
      </c>
      <c r="C1685" s="4" t="str">
        <f>_xlfn.XLOOKUP(A1685,[1]!DadosGHD[CD_GEOCMU],[1]!DadosGHD[Região])</f>
        <v>NE</v>
      </c>
      <c r="D1685" s="4" t="str">
        <f>_xlfn.XLOOKUP(A1685,[1]!DadosGHD[CD_GEOCMU],[1]!DadosGHD[uf])</f>
        <v>PE</v>
      </c>
      <c r="E1685" s="5" t="str">
        <f>_xlfn.XLOOKUP(A1685,[1]!DadosGHD[CD_GEOCMU],[1]!DadosGHD[MUNICIPIO])</f>
        <v>JUREMA</v>
      </c>
      <c r="F1685" s="6">
        <v>33.756931304931598</v>
      </c>
      <c r="G1685" s="6">
        <v>33.810050964355497</v>
      </c>
      <c r="H1685" s="6">
        <v>33.844425201416001</v>
      </c>
      <c r="I1685" s="6">
        <v>33.836620330810597</v>
      </c>
      <c r="J1685" s="6">
        <v>33.848262786865199</v>
      </c>
      <c r="K1685" s="6">
        <v>33.886554718017599</v>
      </c>
      <c r="L1685" s="6">
        <v>35.116245269775398</v>
      </c>
    </row>
    <row r="1686" spans="1:12" x14ac:dyDescent="0.25">
      <c r="A1686">
        <v>3109402</v>
      </c>
      <c r="B1686" t="str">
        <f t="shared" si="26"/>
        <v>BURITIZEIRO, MG, Brasil</v>
      </c>
      <c r="C1686" s="4" t="str">
        <f>_xlfn.XLOOKUP(A1686,[1]!DadosGHD[CD_GEOCMU],[1]!DadosGHD[Região])</f>
        <v>SD</v>
      </c>
      <c r="D1686" s="4" t="str">
        <f>_xlfn.XLOOKUP(A1686,[1]!DadosGHD[CD_GEOCMU],[1]!DadosGHD[uf])</f>
        <v>MG</v>
      </c>
      <c r="E1686" s="5" t="str">
        <f>_xlfn.XLOOKUP(A1686,[1]!DadosGHD[CD_GEOCMU],[1]!DadosGHD[MUNICIPIO])</f>
        <v>BURITIZEIRO</v>
      </c>
      <c r="F1686" s="6">
        <v>33.757041931152301</v>
      </c>
      <c r="G1686" s="6">
        <v>33.828262329101598</v>
      </c>
      <c r="H1686" s="6">
        <v>33.876628875732401</v>
      </c>
      <c r="I1686" s="6">
        <v>33.869880676269503</v>
      </c>
      <c r="J1686" s="6">
        <v>33.894424438476598</v>
      </c>
      <c r="K1686" s="6">
        <v>33.922203063964801</v>
      </c>
      <c r="L1686" s="6">
        <v>44.074653625488303</v>
      </c>
    </row>
    <row r="1687" spans="1:12" x14ac:dyDescent="0.25">
      <c r="A1687">
        <v>5106265</v>
      </c>
      <c r="B1687" t="str">
        <f t="shared" si="26"/>
        <v>NOVO MUNDO, MT, Brasil</v>
      </c>
      <c r="C1687" s="4" t="str">
        <f>_xlfn.XLOOKUP(A1687,[1]!DadosGHD[CD_GEOCMU],[1]!DadosGHD[Região])</f>
        <v>CO</v>
      </c>
      <c r="D1687" s="4" t="str">
        <f>_xlfn.XLOOKUP(A1687,[1]!DadosGHD[CD_GEOCMU],[1]!DadosGHD[uf])</f>
        <v>MT</v>
      </c>
      <c r="E1687" s="5" t="str">
        <f>_xlfn.XLOOKUP(A1687,[1]!DadosGHD[CD_GEOCMU],[1]!DadosGHD[MUNICIPIO])</f>
        <v>NOVO MUNDO</v>
      </c>
      <c r="F1687" s="6">
        <v>33.7570991516113</v>
      </c>
      <c r="G1687" s="6">
        <v>38.731666564941399</v>
      </c>
      <c r="H1687" s="6">
        <v>38.755771636962898</v>
      </c>
      <c r="I1687" s="6">
        <v>33.873321533203097</v>
      </c>
      <c r="J1687" s="6">
        <v>33.8801078796387</v>
      </c>
      <c r="K1687" s="6">
        <v>33.884544372558601</v>
      </c>
      <c r="L1687" s="6">
        <v>30.7044486999512</v>
      </c>
    </row>
    <row r="1688" spans="1:12" x14ac:dyDescent="0.25">
      <c r="A1688">
        <v>4126207</v>
      </c>
      <c r="B1688" t="str">
        <f t="shared" si="26"/>
        <v>SAPOPEMA, PR, Brasil</v>
      </c>
      <c r="C1688" s="4" t="str">
        <f>_xlfn.XLOOKUP(A1688,[1]!DadosGHD[CD_GEOCMU],[1]!DadosGHD[Região])</f>
        <v>SL</v>
      </c>
      <c r="D1688" s="4" t="str">
        <f>_xlfn.XLOOKUP(A1688,[1]!DadosGHD[CD_GEOCMU],[1]!DadosGHD[uf])</f>
        <v>PR</v>
      </c>
      <c r="E1688" s="5" t="str">
        <f>_xlfn.XLOOKUP(A1688,[1]!DadosGHD[CD_GEOCMU],[1]!DadosGHD[MUNICIPIO])</f>
        <v>SAPOPEMA</v>
      </c>
      <c r="F1688" s="6">
        <v>33.757152557373097</v>
      </c>
      <c r="G1688" s="6">
        <v>33.819057464599602</v>
      </c>
      <c r="H1688" s="6">
        <v>38.802173614502003</v>
      </c>
      <c r="I1688" s="6">
        <v>38.788059234619098</v>
      </c>
      <c r="J1688" s="6">
        <v>38.784496307373097</v>
      </c>
      <c r="K1688" s="6">
        <v>38.824325561523402</v>
      </c>
      <c r="L1688" s="6">
        <v>35.145393371582003</v>
      </c>
    </row>
    <row r="1689" spans="1:12" x14ac:dyDescent="0.25">
      <c r="A1689">
        <v>2204303</v>
      </c>
      <c r="B1689" t="str">
        <f t="shared" si="26"/>
        <v>FRONTEIRAS, PI, Brasil</v>
      </c>
      <c r="C1689" s="4" t="str">
        <f>_xlfn.XLOOKUP(A1689,[1]!DadosGHD[CD_GEOCMU],[1]!DadosGHD[Região])</f>
        <v>NE</v>
      </c>
      <c r="D1689" s="4" t="str">
        <f>_xlfn.XLOOKUP(A1689,[1]!DadosGHD[CD_GEOCMU],[1]!DadosGHD[uf])</f>
        <v>PI</v>
      </c>
      <c r="E1689" s="5" t="str">
        <f>_xlfn.XLOOKUP(A1689,[1]!DadosGHD[CD_GEOCMU],[1]!DadosGHD[MUNICIPIO])</f>
        <v>FRONTEIRAS</v>
      </c>
      <c r="F1689" s="6">
        <v>33.757251739502003</v>
      </c>
      <c r="G1689" s="6">
        <v>33.8270454406738</v>
      </c>
      <c r="H1689" s="6">
        <v>33.855472564697301</v>
      </c>
      <c r="I1689" s="6">
        <v>33.832992553710902</v>
      </c>
      <c r="J1689" s="6">
        <v>43.774383544921903</v>
      </c>
      <c r="K1689" s="6">
        <v>38.802703857421903</v>
      </c>
      <c r="L1689" s="6">
        <v>39.5557250976563</v>
      </c>
    </row>
    <row r="1690" spans="1:12" x14ac:dyDescent="0.25">
      <c r="A1690">
        <v>2909307</v>
      </c>
      <c r="B1690" t="str">
        <f t="shared" si="26"/>
        <v>CORRENTINA, BA, Brasil</v>
      </c>
      <c r="C1690" s="4" t="str">
        <f>_xlfn.XLOOKUP(A1690,[1]!DadosGHD[CD_GEOCMU],[1]!DadosGHD[Região])</f>
        <v>NE</v>
      </c>
      <c r="D1690" s="4" t="str">
        <f>_xlfn.XLOOKUP(A1690,[1]!DadosGHD[CD_GEOCMU],[1]!DadosGHD[uf])</f>
        <v>BA</v>
      </c>
      <c r="E1690" s="5" t="str">
        <f>_xlfn.XLOOKUP(A1690,[1]!DadosGHD[CD_GEOCMU],[1]!DadosGHD[MUNICIPIO])</f>
        <v>CORRENTINA</v>
      </c>
      <c r="F1690" s="6">
        <v>33.757278442382798</v>
      </c>
      <c r="G1690" s="6">
        <v>33.8407592773438</v>
      </c>
      <c r="H1690" s="6">
        <v>33.886913299560597</v>
      </c>
      <c r="I1690" s="6">
        <v>33.845798492431598</v>
      </c>
      <c r="J1690" s="6">
        <v>33.876228332519503</v>
      </c>
      <c r="K1690" s="6">
        <v>38.791221618652301</v>
      </c>
      <c r="L1690" s="6">
        <v>26.292732238769499</v>
      </c>
    </row>
    <row r="1691" spans="1:12" x14ac:dyDescent="0.25">
      <c r="A1691">
        <v>2705507</v>
      </c>
      <c r="B1691" t="str">
        <f t="shared" si="26"/>
        <v>MURICI, AL, Brasil</v>
      </c>
      <c r="C1691" s="4" t="str">
        <f>_xlfn.XLOOKUP(A1691,[1]!DadosGHD[CD_GEOCMU],[1]!DadosGHD[Região])</f>
        <v>NE</v>
      </c>
      <c r="D1691" s="4" t="str">
        <f>_xlfn.XLOOKUP(A1691,[1]!DadosGHD[CD_GEOCMU],[1]!DadosGHD[uf])</f>
        <v>AL</v>
      </c>
      <c r="E1691" s="5" t="str">
        <f>_xlfn.XLOOKUP(A1691,[1]!DadosGHD[CD_GEOCMU],[1]!DadosGHD[MUNICIPIO])</f>
        <v>MURICI</v>
      </c>
      <c r="F1691" s="6">
        <v>33.757286071777301</v>
      </c>
      <c r="G1691" s="6">
        <v>38.686412811279297</v>
      </c>
      <c r="H1691" s="6">
        <v>33.862838745117202</v>
      </c>
      <c r="I1691" s="6">
        <v>33.840766906738303</v>
      </c>
      <c r="J1691" s="6">
        <v>33.864265441894503</v>
      </c>
      <c r="K1691" s="6">
        <v>33.884025573730497</v>
      </c>
      <c r="L1691" s="6">
        <v>26.296812057495099</v>
      </c>
    </row>
    <row r="1692" spans="1:12" x14ac:dyDescent="0.25">
      <c r="A1692">
        <v>2702405</v>
      </c>
      <c r="B1692" t="str">
        <f t="shared" si="26"/>
        <v>DELMIRO GOUVEIA, AL, Brasil</v>
      </c>
      <c r="C1692" s="4" t="str">
        <f>_xlfn.XLOOKUP(A1692,[1]!DadosGHD[CD_GEOCMU],[1]!DadosGHD[Região])</f>
        <v>NE</v>
      </c>
      <c r="D1692" s="4" t="str">
        <f>_xlfn.XLOOKUP(A1692,[1]!DadosGHD[CD_GEOCMU],[1]!DadosGHD[uf])</f>
        <v>AL</v>
      </c>
      <c r="E1692" s="5" t="str">
        <f>_xlfn.XLOOKUP(A1692,[1]!DadosGHD[CD_GEOCMU],[1]!DadosGHD[MUNICIPIO])</f>
        <v>DELMIRO GOUVEIA</v>
      </c>
      <c r="F1692" s="6">
        <v>33.7574653625488</v>
      </c>
      <c r="G1692" s="6">
        <v>33.841316223144503</v>
      </c>
      <c r="H1692" s="6">
        <v>33.896308898925803</v>
      </c>
      <c r="I1692" s="6">
        <v>38.745304107666001</v>
      </c>
      <c r="J1692" s="6">
        <v>38.740535736083999</v>
      </c>
      <c r="K1692" s="6">
        <v>38.8170776367188</v>
      </c>
      <c r="L1692" s="6">
        <v>35.136650085449197</v>
      </c>
    </row>
    <row r="1693" spans="1:12" x14ac:dyDescent="0.25">
      <c r="A1693">
        <v>2204204</v>
      </c>
      <c r="B1693" t="str">
        <f t="shared" si="26"/>
        <v>FRANCISCO SANTOS, PI, Brasil</v>
      </c>
      <c r="C1693" s="4" t="str">
        <f>_xlfn.XLOOKUP(A1693,[1]!DadosGHD[CD_GEOCMU],[1]!DadosGHD[Região])</f>
        <v>NE</v>
      </c>
      <c r="D1693" s="4" t="str">
        <f>_xlfn.XLOOKUP(A1693,[1]!DadosGHD[CD_GEOCMU],[1]!DadosGHD[uf])</f>
        <v>PI</v>
      </c>
      <c r="E1693" s="5" t="str">
        <f>_xlfn.XLOOKUP(A1693,[1]!DadosGHD[CD_GEOCMU],[1]!DadosGHD[MUNICIPIO])</f>
        <v>FRANCISCO SANTOS</v>
      </c>
      <c r="F1693" s="6">
        <v>33.757556915283203</v>
      </c>
      <c r="G1693" s="6">
        <v>33.770469665527301</v>
      </c>
      <c r="H1693" s="6">
        <v>33.819858551025398</v>
      </c>
      <c r="I1693" s="6">
        <v>33.8062553405762</v>
      </c>
      <c r="J1693" s="6">
        <v>33.864795684814503</v>
      </c>
      <c r="K1693" s="6">
        <v>33.921436309814503</v>
      </c>
      <c r="L1693" s="6">
        <v>39.570919036865199</v>
      </c>
    </row>
    <row r="1694" spans="1:12" x14ac:dyDescent="0.25">
      <c r="A1694">
        <v>2412559</v>
      </c>
      <c r="B1694" t="str">
        <f t="shared" si="26"/>
        <v>SAO MIGUEL DO GOSTOSO, RN, Brasil</v>
      </c>
      <c r="C1694" s="4" t="str">
        <f>_xlfn.XLOOKUP(A1694,[1]!DadosGHD[CD_GEOCMU],[1]!DadosGHD[Região])</f>
        <v>NE</v>
      </c>
      <c r="D1694" s="4" t="str">
        <f>_xlfn.XLOOKUP(A1694,[1]!DadosGHD[CD_GEOCMU],[1]!DadosGHD[uf])</f>
        <v>RN</v>
      </c>
      <c r="E1694" s="5" t="str">
        <f>_xlfn.XLOOKUP(A1694,[1]!DadosGHD[CD_GEOCMU],[1]!DadosGHD[MUNICIPIO])</f>
        <v>SAO MIGUEL DO GOSTOSO</v>
      </c>
      <c r="F1694" s="6">
        <v>33.757602691650398</v>
      </c>
      <c r="G1694" s="6">
        <v>33.796257019042997</v>
      </c>
      <c r="H1694" s="6">
        <v>33.837364196777301</v>
      </c>
      <c r="I1694" s="6">
        <v>33.811710357666001</v>
      </c>
      <c r="J1694" s="6">
        <v>33.887374877929702</v>
      </c>
      <c r="K1694" s="6">
        <v>28.987899780273398</v>
      </c>
      <c r="L1694" s="6">
        <v>26.2798957824707</v>
      </c>
    </row>
    <row r="1695" spans="1:12" x14ac:dyDescent="0.25">
      <c r="A1695">
        <v>2601003</v>
      </c>
      <c r="B1695" t="str">
        <f t="shared" si="26"/>
        <v>ANGELIM, PE, Brasil</v>
      </c>
      <c r="C1695" s="4" t="str">
        <f>_xlfn.XLOOKUP(A1695,[1]!DadosGHD[CD_GEOCMU],[1]!DadosGHD[Região])</f>
        <v>NE</v>
      </c>
      <c r="D1695" s="4" t="str">
        <f>_xlfn.XLOOKUP(A1695,[1]!DadosGHD[CD_GEOCMU],[1]!DadosGHD[uf])</f>
        <v>PE</v>
      </c>
      <c r="E1695" s="5" t="str">
        <f>_xlfn.XLOOKUP(A1695,[1]!DadosGHD[CD_GEOCMU],[1]!DadosGHD[MUNICIPIO])</f>
        <v>ANGELIM</v>
      </c>
      <c r="F1695" s="6">
        <v>33.757659912109403</v>
      </c>
      <c r="G1695" s="6">
        <v>33.811561584472699</v>
      </c>
      <c r="H1695" s="6">
        <v>33.8602294921875</v>
      </c>
      <c r="I1695" s="6">
        <v>33.842781066894503</v>
      </c>
      <c r="J1695" s="6">
        <v>33.825668334960902</v>
      </c>
      <c r="K1695" s="6">
        <v>33.851776123046903</v>
      </c>
      <c r="L1695" s="6">
        <v>30.698539733886701</v>
      </c>
    </row>
    <row r="1696" spans="1:12" x14ac:dyDescent="0.25">
      <c r="A1696">
        <v>1400233</v>
      </c>
      <c r="B1696" t="str">
        <f t="shared" si="26"/>
        <v>CAROEBE, RR, Brasil</v>
      </c>
      <c r="C1696" s="4" t="str">
        <f>_xlfn.XLOOKUP(A1696,[1]!DadosGHD[CD_GEOCMU],[1]!DadosGHD[Região])</f>
        <v>NO</v>
      </c>
      <c r="D1696" s="4" t="str">
        <f>_xlfn.XLOOKUP(A1696,[1]!DadosGHD[CD_GEOCMU],[1]!DadosGHD[uf])</f>
        <v>RR</v>
      </c>
      <c r="E1696" s="5" t="str">
        <f>_xlfn.XLOOKUP(A1696,[1]!DadosGHD[CD_GEOCMU],[1]!DadosGHD[MUNICIPIO])</f>
        <v>CAROEBE</v>
      </c>
      <c r="F1696" s="6">
        <v>33.7576713562012</v>
      </c>
      <c r="G1696" s="6">
        <v>33.789566040039098</v>
      </c>
      <c r="H1696" s="6">
        <v>33.821994781494098</v>
      </c>
      <c r="I1696" s="6">
        <v>33.796901702880902</v>
      </c>
      <c r="J1696" s="6">
        <v>28.961036682128899</v>
      </c>
      <c r="K1696" s="6">
        <v>28.986991882324201</v>
      </c>
      <c r="L1696" s="6">
        <v>26.2798957824707</v>
      </c>
    </row>
    <row r="1697" spans="1:12" x14ac:dyDescent="0.25">
      <c r="A1697">
        <v>2205201</v>
      </c>
      <c r="B1697" t="str">
        <f t="shared" si="26"/>
        <v>JAICOS, PI, Brasil</v>
      </c>
      <c r="C1697" s="4" t="str">
        <f>_xlfn.XLOOKUP(A1697,[1]!DadosGHD[CD_GEOCMU],[1]!DadosGHD[Região])</f>
        <v>NE</v>
      </c>
      <c r="D1697" s="4" t="str">
        <f>_xlfn.XLOOKUP(A1697,[1]!DadosGHD[CD_GEOCMU],[1]!DadosGHD[uf])</f>
        <v>PI</v>
      </c>
      <c r="E1697" s="5" t="str">
        <f>_xlfn.XLOOKUP(A1697,[1]!DadosGHD[CD_GEOCMU],[1]!DadosGHD[MUNICIPIO])</f>
        <v>JAICOS</v>
      </c>
      <c r="F1697" s="6">
        <v>33.7579154968262</v>
      </c>
      <c r="G1697" s="6">
        <v>33.813087463378899</v>
      </c>
      <c r="H1697" s="6">
        <v>33.833877563476598</v>
      </c>
      <c r="I1697" s="6">
        <v>33.791152954101598</v>
      </c>
      <c r="J1697" s="6">
        <v>33.823703765869098</v>
      </c>
      <c r="K1697" s="6">
        <v>33.849292755127003</v>
      </c>
      <c r="L1697" s="6">
        <v>30.702672958373999</v>
      </c>
    </row>
    <row r="1698" spans="1:12" x14ac:dyDescent="0.25">
      <c r="A1698">
        <v>4104055</v>
      </c>
      <c r="B1698" t="str">
        <f t="shared" si="26"/>
        <v>CAMPO BONITO, PR, Brasil</v>
      </c>
      <c r="C1698" s="4" t="str">
        <f>_xlfn.XLOOKUP(A1698,[1]!DadosGHD[CD_GEOCMU],[1]!DadosGHD[Região])</f>
        <v>SL</v>
      </c>
      <c r="D1698" s="4" t="str">
        <f>_xlfn.XLOOKUP(A1698,[1]!DadosGHD[CD_GEOCMU],[1]!DadosGHD[uf])</f>
        <v>PR</v>
      </c>
      <c r="E1698" s="5" t="str">
        <f>_xlfn.XLOOKUP(A1698,[1]!DadosGHD[CD_GEOCMU],[1]!DadosGHD[MUNICIPIO])</f>
        <v>CAMPO BONITO</v>
      </c>
      <c r="F1698" s="6">
        <v>33.757965087890597</v>
      </c>
      <c r="G1698" s="6">
        <v>43.672462463378899</v>
      </c>
      <c r="H1698" s="6">
        <v>43.747428894042997</v>
      </c>
      <c r="I1698" s="6">
        <v>38.768802642822301</v>
      </c>
      <c r="J1698" s="6">
        <v>48.717197418212898</v>
      </c>
      <c r="K1698" s="6">
        <v>48.785270690917997</v>
      </c>
      <c r="L1698" s="6">
        <v>39.596611022949197</v>
      </c>
    </row>
    <row r="1699" spans="1:12" x14ac:dyDescent="0.25">
      <c r="A1699">
        <v>2103505</v>
      </c>
      <c r="B1699" t="str">
        <f t="shared" si="26"/>
        <v>COLINAS, MA, Brasil</v>
      </c>
      <c r="C1699" s="4" t="str">
        <f>_xlfn.XLOOKUP(A1699,[1]!DadosGHD[CD_GEOCMU],[1]!DadosGHD[Região])</f>
        <v>NE</v>
      </c>
      <c r="D1699" s="4" t="str">
        <f>_xlfn.XLOOKUP(A1699,[1]!DadosGHD[CD_GEOCMU],[1]!DadosGHD[uf])</f>
        <v>MA</v>
      </c>
      <c r="E1699" s="5" t="str">
        <f>_xlfn.XLOOKUP(A1699,[1]!DadosGHD[CD_GEOCMU],[1]!DadosGHD[MUNICIPIO])</f>
        <v>COLINAS</v>
      </c>
      <c r="F1699" s="6">
        <v>33.758052825927699</v>
      </c>
      <c r="G1699" s="6">
        <v>33.792854309082003</v>
      </c>
      <c r="H1699" s="6">
        <v>33.858737945556598</v>
      </c>
      <c r="I1699" s="6">
        <v>33.837173461914098</v>
      </c>
      <c r="J1699" s="6">
        <v>33.854354858398402</v>
      </c>
      <c r="K1699" s="6">
        <v>33.9272651672363</v>
      </c>
      <c r="L1699" s="6">
        <v>35.121040344238303</v>
      </c>
    </row>
    <row r="1700" spans="1:12" x14ac:dyDescent="0.25">
      <c r="A1700">
        <v>1506807</v>
      </c>
      <c r="B1700" t="str">
        <f t="shared" si="26"/>
        <v>SANTAREM, PA, Brasil</v>
      </c>
      <c r="C1700" s="4" t="str">
        <f>_xlfn.XLOOKUP(A1700,[1]!DadosGHD[CD_GEOCMU],[1]!DadosGHD[Região])</f>
        <v>NO</v>
      </c>
      <c r="D1700" s="4" t="str">
        <f>_xlfn.XLOOKUP(A1700,[1]!DadosGHD[CD_GEOCMU],[1]!DadosGHD[uf])</f>
        <v>PA</v>
      </c>
      <c r="E1700" s="5" t="str">
        <f>_xlfn.XLOOKUP(A1700,[1]!DadosGHD[CD_GEOCMU],[1]!DadosGHD[MUNICIPIO])</f>
        <v>SANTAREM</v>
      </c>
      <c r="F1700" s="6">
        <v>33.758186340332003</v>
      </c>
      <c r="G1700" s="6">
        <v>33.8126411437988</v>
      </c>
      <c r="H1700" s="6">
        <v>33.856124877929702</v>
      </c>
      <c r="I1700" s="6">
        <v>33.831756591796903</v>
      </c>
      <c r="J1700" s="6">
        <v>33.878498077392599</v>
      </c>
      <c r="K1700" s="6">
        <v>38.812767028808601</v>
      </c>
      <c r="L1700" s="6">
        <v>30.703880310058601</v>
      </c>
    </row>
    <row r="1701" spans="1:12" x14ac:dyDescent="0.25">
      <c r="A1701">
        <v>3163300</v>
      </c>
      <c r="B1701" t="str">
        <f t="shared" si="26"/>
        <v>SAO JOSE DO DIVINO, MG, Brasil</v>
      </c>
      <c r="C1701" s="4" t="str">
        <f>_xlfn.XLOOKUP(A1701,[1]!DadosGHD[CD_GEOCMU],[1]!DadosGHD[Região])</f>
        <v>SD</v>
      </c>
      <c r="D1701" s="4" t="str">
        <f>_xlfn.XLOOKUP(A1701,[1]!DadosGHD[CD_GEOCMU],[1]!DadosGHD[uf])</f>
        <v>MG</v>
      </c>
      <c r="E1701" s="5" t="str">
        <f>_xlfn.XLOOKUP(A1701,[1]!DadosGHD[CD_GEOCMU],[1]!DadosGHD[MUNICIPIO])</f>
        <v>SAO JOSE DO DIVINO</v>
      </c>
      <c r="F1701" s="6">
        <v>33.758335113525398</v>
      </c>
      <c r="G1701" s="6">
        <v>38.698200225830099</v>
      </c>
      <c r="H1701" s="6">
        <v>38.758354187011697</v>
      </c>
      <c r="I1701" s="6">
        <v>38.760868072509801</v>
      </c>
      <c r="J1701" s="6">
        <v>38.781684875488303</v>
      </c>
      <c r="K1701" s="6">
        <v>38.821334838867202</v>
      </c>
      <c r="L1701" s="6">
        <v>39.5889892578125</v>
      </c>
    </row>
    <row r="1702" spans="1:12" x14ac:dyDescent="0.25">
      <c r="A1702">
        <v>2803104</v>
      </c>
      <c r="B1702" t="str">
        <f t="shared" si="26"/>
        <v>ITABI, SE, Brasil</v>
      </c>
      <c r="C1702" s="4" t="str">
        <f>_xlfn.XLOOKUP(A1702,[1]!DadosGHD[CD_GEOCMU],[1]!DadosGHD[Região])</f>
        <v>NE</v>
      </c>
      <c r="D1702" s="4" t="str">
        <f>_xlfn.XLOOKUP(A1702,[1]!DadosGHD[CD_GEOCMU],[1]!DadosGHD[uf])</f>
        <v>SE</v>
      </c>
      <c r="E1702" s="5" t="str">
        <f>_xlfn.XLOOKUP(A1702,[1]!DadosGHD[CD_GEOCMU],[1]!DadosGHD[MUNICIPIO])</f>
        <v>ITABI</v>
      </c>
      <c r="F1702" s="6">
        <v>33.758399963378899</v>
      </c>
      <c r="G1702" s="6">
        <v>33.840938568115199</v>
      </c>
      <c r="H1702" s="6">
        <v>33.865394592285199</v>
      </c>
      <c r="I1702" s="6">
        <v>33.873985290527301</v>
      </c>
      <c r="J1702" s="6">
        <v>33.846450805664098</v>
      </c>
      <c r="K1702" s="6">
        <v>38.807846069335902</v>
      </c>
      <c r="L1702" s="6">
        <v>35.143478393554702</v>
      </c>
    </row>
    <row r="1703" spans="1:12" x14ac:dyDescent="0.25">
      <c r="A1703">
        <v>2207207</v>
      </c>
      <c r="B1703" t="str">
        <f t="shared" si="26"/>
        <v>PADRE MARCOS, PI, Brasil</v>
      </c>
      <c r="C1703" s="4" t="str">
        <f>_xlfn.XLOOKUP(A1703,[1]!DadosGHD[CD_GEOCMU],[1]!DadosGHD[Região])</f>
        <v>NE</v>
      </c>
      <c r="D1703" s="4" t="str">
        <f>_xlfn.XLOOKUP(A1703,[1]!DadosGHD[CD_GEOCMU],[1]!DadosGHD[uf])</f>
        <v>PI</v>
      </c>
      <c r="E1703" s="5" t="str">
        <f>_xlfn.XLOOKUP(A1703,[1]!DadosGHD[CD_GEOCMU],[1]!DadosGHD[MUNICIPIO])</f>
        <v>PADRE MARCOS</v>
      </c>
      <c r="F1703" s="6">
        <v>33.758544921875</v>
      </c>
      <c r="G1703" s="6">
        <v>33.803642272949197</v>
      </c>
      <c r="H1703" s="6">
        <v>33.8359985351563</v>
      </c>
      <c r="I1703" s="6">
        <v>33.809257507324197</v>
      </c>
      <c r="J1703" s="6">
        <v>33.825145721435597</v>
      </c>
      <c r="K1703" s="6">
        <v>33.856800079345703</v>
      </c>
      <c r="L1703" s="6">
        <v>26.288427352905298</v>
      </c>
    </row>
    <row r="1704" spans="1:12" x14ac:dyDescent="0.25">
      <c r="A1704">
        <v>1506104</v>
      </c>
      <c r="B1704" t="str">
        <f t="shared" si="26"/>
        <v>PRIMAVERA, PA, Brasil</v>
      </c>
      <c r="C1704" s="4" t="str">
        <f>_xlfn.XLOOKUP(A1704,[1]!DadosGHD[CD_GEOCMU],[1]!DadosGHD[Região])</f>
        <v>NO</v>
      </c>
      <c r="D1704" s="4" t="str">
        <f>_xlfn.XLOOKUP(A1704,[1]!DadosGHD[CD_GEOCMU],[1]!DadosGHD[uf])</f>
        <v>PA</v>
      </c>
      <c r="E1704" s="5" t="str">
        <f>_xlfn.XLOOKUP(A1704,[1]!DadosGHD[CD_GEOCMU],[1]!DadosGHD[MUNICIPIO])</f>
        <v>PRIMAVERA</v>
      </c>
      <c r="F1704" s="6">
        <v>33.758640289306598</v>
      </c>
      <c r="G1704" s="6">
        <v>33.831348419189503</v>
      </c>
      <c r="H1704" s="6">
        <v>33.877979278564503</v>
      </c>
      <c r="I1704" s="6">
        <v>33.860946655273402</v>
      </c>
      <c r="J1704" s="6">
        <v>33.866703033447301</v>
      </c>
      <c r="K1704" s="6">
        <v>33.9153861999512</v>
      </c>
      <c r="L1704" s="6">
        <v>35.122795104980497</v>
      </c>
    </row>
    <row r="1705" spans="1:12" x14ac:dyDescent="0.25">
      <c r="A1705">
        <v>2900355</v>
      </c>
      <c r="B1705" t="str">
        <f t="shared" si="26"/>
        <v>ADUSTINA, BA, Brasil</v>
      </c>
      <c r="C1705" s="4" t="str">
        <f>_xlfn.XLOOKUP(A1705,[1]!DadosGHD[CD_GEOCMU],[1]!DadosGHD[Região])</f>
        <v>NE</v>
      </c>
      <c r="D1705" s="4" t="str">
        <f>_xlfn.XLOOKUP(A1705,[1]!DadosGHD[CD_GEOCMU],[1]!DadosGHD[uf])</f>
        <v>BA</v>
      </c>
      <c r="E1705" s="5" t="str">
        <f>_xlfn.XLOOKUP(A1705,[1]!DadosGHD[CD_GEOCMU],[1]!DadosGHD[MUNICIPIO])</f>
        <v>ADUSTINA</v>
      </c>
      <c r="F1705" s="6">
        <v>33.758724212646499</v>
      </c>
      <c r="G1705" s="6">
        <v>33.831092834472699</v>
      </c>
      <c r="H1705" s="6">
        <v>33.861904144287102</v>
      </c>
      <c r="I1705" s="6">
        <v>33.835559844970703</v>
      </c>
      <c r="J1705" s="6">
        <v>33.8536567687988</v>
      </c>
      <c r="K1705" s="6">
        <v>33.8937797546387</v>
      </c>
      <c r="L1705" s="6">
        <v>35.122840881347699</v>
      </c>
    </row>
    <row r="1706" spans="1:12" x14ac:dyDescent="0.25">
      <c r="A1706">
        <v>2509404</v>
      </c>
      <c r="B1706" t="str">
        <f t="shared" si="26"/>
        <v>MOGEIRO, PB, Brasil</v>
      </c>
      <c r="C1706" s="4" t="str">
        <f>_xlfn.XLOOKUP(A1706,[1]!DadosGHD[CD_GEOCMU],[1]!DadosGHD[Região])</f>
        <v>NE</v>
      </c>
      <c r="D1706" s="4" t="str">
        <f>_xlfn.XLOOKUP(A1706,[1]!DadosGHD[CD_GEOCMU],[1]!DadosGHD[uf])</f>
        <v>PB</v>
      </c>
      <c r="E1706" s="5" t="str">
        <f>_xlfn.XLOOKUP(A1706,[1]!DadosGHD[CD_GEOCMU],[1]!DadosGHD[MUNICIPIO])</f>
        <v>MOGEIRO</v>
      </c>
      <c r="F1706" s="6">
        <v>33.758754730224602</v>
      </c>
      <c r="G1706" s="6">
        <v>33.808269500732401</v>
      </c>
      <c r="H1706" s="6">
        <v>33.860797882080099</v>
      </c>
      <c r="I1706" s="6">
        <v>33.811012268066399</v>
      </c>
      <c r="J1706" s="6">
        <v>28.9763507843018</v>
      </c>
      <c r="K1706" s="6">
        <v>29.000085830688501</v>
      </c>
      <c r="L1706" s="6">
        <v>30.694774627685501</v>
      </c>
    </row>
    <row r="1707" spans="1:12" x14ac:dyDescent="0.25">
      <c r="A1707">
        <v>2402105</v>
      </c>
      <c r="B1707" t="str">
        <f t="shared" si="26"/>
        <v>CAMPO REDONDO, RN, Brasil</v>
      </c>
      <c r="C1707" s="4" t="str">
        <f>_xlfn.XLOOKUP(A1707,[1]!DadosGHD[CD_GEOCMU],[1]!DadosGHD[Região])</f>
        <v>NE</v>
      </c>
      <c r="D1707" s="4" t="str">
        <f>_xlfn.XLOOKUP(A1707,[1]!DadosGHD[CD_GEOCMU],[1]!DadosGHD[uf])</f>
        <v>RN</v>
      </c>
      <c r="E1707" s="5" t="str">
        <f>_xlfn.XLOOKUP(A1707,[1]!DadosGHD[CD_GEOCMU],[1]!DadosGHD[MUNICIPIO])</f>
        <v>CAMPO REDONDO</v>
      </c>
      <c r="F1707" s="6">
        <v>33.758804321289098</v>
      </c>
      <c r="G1707" s="6">
        <v>33.791652679443402</v>
      </c>
      <c r="H1707" s="6">
        <v>33.858547210693402</v>
      </c>
      <c r="I1707" s="6">
        <v>33.817676544189503</v>
      </c>
      <c r="J1707" s="6">
        <v>33.820259094238303</v>
      </c>
      <c r="K1707" s="6">
        <v>33.845058441162102</v>
      </c>
      <c r="L1707" s="6">
        <v>35.147834777832003</v>
      </c>
    </row>
    <row r="1708" spans="1:12" x14ac:dyDescent="0.25">
      <c r="A1708">
        <v>2505238</v>
      </c>
      <c r="B1708" t="str">
        <f t="shared" si="26"/>
        <v>CUITE DE MAMANGUAPE, PB, Brasil</v>
      </c>
      <c r="C1708" s="4" t="str">
        <f>_xlfn.XLOOKUP(A1708,[1]!DadosGHD[CD_GEOCMU],[1]!DadosGHD[Região])</f>
        <v>NE</v>
      </c>
      <c r="D1708" s="4" t="str">
        <f>_xlfn.XLOOKUP(A1708,[1]!DadosGHD[CD_GEOCMU],[1]!DadosGHD[uf])</f>
        <v>PB</v>
      </c>
      <c r="E1708" s="5" t="str">
        <f>_xlfn.XLOOKUP(A1708,[1]!DadosGHD[CD_GEOCMU],[1]!DadosGHD[MUNICIPIO])</f>
        <v>CUITE DE MAMANGUAPE</v>
      </c>
      <c r="F1708" s="6">
        <v>33.758914947509801</v>
      </c>
      <c r="G1708" s="6">
        <v>33.8058891296387</v>
      </c>
      <c r="H1708" s="6">
        <v>33.841987609863303</v>
      </c>
      <c r="I1708" s="6">
        <v>33.817543029785199</v>
      </c>
      <c r="J1708" s="6">
        <v>33.834102630615199</v>
      </c>
      <c r="K1708" s="6">
        <v>33.865779876708999</v>
      </c>
      <c r="L1708" s="6">
        <v>26.2888793945313</v>
      </c>
    </row>
    <row r="1709" spans="1:12" x14ac:dyDescent="0.25">
      <c r="A1709">
        <v>1718758</v>
      </c>
      <c r="B1709" t="str">
        <f t="shared" si="26"/>
        <v>RIO SONO, TO, Brasil</v>
      </c>
      <c r="C1709" s="4" t="str">
        <f>_xlfn.XLOOKUP(A1709,[1]!DadosGHD[CD_GEOCMU],[1]!DadosGHD[Região])</f>
        <v>NO</v>
      </c>
      <c r="D1709" s="4" t="str">
        <f>_xlfn.XLOOKUP(A1709,[1]!DadosGHD[CD_GEOCMU],[1]!DadosGHD[uf])</f>
        <v>TO</v>
      </c>
      <c r="E1709" s="5" t="str">
        <f>_xlfn.XLOOKUP(A1709,[1]!DadosGHD[CD_GEOCMU],[1]!DadosGHD[MUNICIPIO])</f>
        <v>RIO SONO</v>
      </c>
      <c r="F1709" s="6">
        <v>33.7589721679688</v>
      </c>
      <c r="G1709" s="6">
        <v>33.804836273193402</v>
      </c>
      <c r="H1709" s="6">
        <v>33.841278076171903</v>
      </c>
      <c r="I1709" s="6">
        <v>33.8171195983887</v>
      </c>
      <c r="J1709" s="6">
        <v>33.839122772216797</v>
      </c>
      <c r="K1709" s="6">
        <v>33.872600555419901</v>
      </c>
      <c r="L1709" s="6">
        <v>30.6956977844238</v>
      </c>
    </row>
    <row r="1710" spans="1:12" x14ac:dyDescent="0.25">
      <c r="A1710">
        <v>3129657</v>
      </c>
      <c r="B1710" t="str">
        <f t="shared" si="26"/>
        <v>IBIRACATU, MG, Brasil</v>
      </c>
      <c r="C1710" s="4" t="str">
        <f>_xlfn.XLOOKUP(A1710,[1]!DadosGHD[CD_GEOCMU],[1]!DadosGHD[Região])</f>
        <v>SD</v>
      </c>
      <c r="D1710" s="4" t="str">
        <f>_xlfn.XLOOKUP(A1710,[1]!DadosGHD[CD_GEOCMU],[1]!DadosGHD[uf])</f>
        <v>MG</v>
      </c>
      <c r="E1710" s="5" t="str">
        <f>_xlfn.XLOOKUP(A1710,[1]!DadosGHD[CD_GEOCMU],[1]!DadosGHD[MUNICIPIO])</f>
        <v>IBIRACATU</v>
      </c>
      <c r="F1710" s="6">
        <v>33.759002685546903</v>
      </c>
      <c r="G1710" s="6">
        <v>33.805492401123097</v>
      </c>
      <c r="H1710" s="6">
        <v>33.848014831542997</v>
      </c>
      <c r="I1710" s="6">
        <v>33.840850830078097</v>
      </c>
      <c r="J1710" s="6">
        <v>33.86376953125</v>
      </c>
      <c r="K1710" s="6">
        <v>33.900642395019503</v>
      </c>
      <c r="L1710" s="6">
        <v>26.295213699340799</v>
      </c>
    </row>
    <row r="1711" spans="1:12" x14ac:dyDescent="0.25">
      <c r="A1711">
        <v>2906709</v>
      </c>
      <c r="B1711" t="str">
        <f t="shared" si="26"/>
        <v>CANDIDO SALES, BA, Brasil</v>
      </c>
      <c r="C1711" s="4" t="str">
        <f>_xlfn.XLOOKUP(A1711,[1]!DadosGHD[CD_GEOCMU],[1]!DadosGHD[Região])</f>
        <v>NE</v>
      </c>
      <c r="D1711" s="4" t="str">
        <f>_xlfn.XLOOKUP(A1711,[1]!DadosGHD[CD_GEOCMU],[1]!DadosGHD[uf])</f>
        <v>BA</v>
      </c>
      <c r="E1711" s="5" t="str">
        <f>_xlfn.XLOOKUP(A1711,[1]!DadosGHD[CD_GEOCMU],[1]!DadosGHD[MUNICIPIO])</f>
        <v>CANDIDO SALES</v>
      </c>
      <c r="F1711" s="6">
        <v>33.759048461914098</v>
      </c>
      <c r="G1711" s="6">
        <v>33.821132659912102</v>
      </c>
      <c r="H1711" s="6">
        <v>33.866546630859403</v>
      </c>
      <c r="I1711" s="6">
        <v>33.858139038085902</v>
      </c>
      <c r="J1711" s="6">
        <v>33.848388671875</v>
      </c>
      <c r="K1711" s="6">
        <v>33.8566284179688</v>
      </c>
      <c r="L1711" s="6">
        <v>26.290479660034201</v>
      </c>
    </row>
    <row r="1712" spans="1:12" x14ac:dyDescent="0.25">
      <c r="A1712">
        <v>2509305</v>
      </c>
      <c r="B1712" t="str">
        <f t="shared" si="26"/>
        <v>MATARACA, PB, Brasil</v>
      </c>
      <c r="C1712" s="4" t="str">
        <f>_xlfn.XLOOKUP(A1712,[1]!DadosGHD[CD_GEOCMU],[1]!DadosGHD[Região])</f>
        <v>NE</v>
      </c>
      <c r="D1712" s="4" t="str">
        <f>_xlfn.XLOOKUP(A1712,[1]!DadosGHD[CD_GEOCMU],[1]!DadosGHD[uf])</f>
        <v>PB</v>
      </c>
      <c r="E1712" s="5" t="str">
        <f>_xlfn.XLOOKUP(A1712,[1]!DadosGHD[CD_GEOCMU],[1]!DadosGHD[MUNICIPIO])</f>
        <v>MATARACA</v>
      </c>
      <c r="F1712" s="6">
        <v>33.759243011474602</v>
      </c>
      <c r="G1712" s="6">
        <v>33.833976745605497</v>
      </c>
      <c r="H1712" s="6">
        <v>33.855808258056598</v>
      </c>
      <c r="I1712" s="6">
        <v>33.831691741943402</v>
      </c>
      <c r="J1712" s="6">
        <v>33.8722953796387</v>
      </c>
      <c r="K1712" s="6">
        <v>33.889541625976598</v>
      </c>
      <c r="L1712" s="6">
        <v>35.159996032714801</v>
      </c>
    </row>
    <row r="1713" spans="1:12" x14ac:dyDescent="0.25">
      <c r="A1713">
        <v>2931400</v>
      </c>
      <c r="B1713" t="str">
        <f t="shared" si="26"/>
        <v>TEODORO SAMPAIO, BA, Brasil</v>
      </c>
      <c r="C1713" s="4" t="str">
        <f>_xlfn.XLOOKUP(A1713,[1]!DadosGHD[CD_GEOCMU],[1]!DadosGHD[Região])</f>
        <v>NE</v>
      </c>
      <c r="D1713" s="4" t="str">
        <f>_xlfn.XLOOKUP(A1713,[1]!DadosGHD[CD_GEOCMU],[1]!DadosGHD[uf])</f>
        <v>BA</v>
      </c>
      <c r="E1713" s="5" t="str">
        <f>_xlfn.XLOOKUP(A1713,[1]!DadosGHD[CD_GEOCMU],[1]!DadosGHD[MUNICIPIO])</f>
        <v>TEODORO SAMPAIO</v>
      </c>
      <c r="F1713" s="6">
        <v>33.7592582702637</v>
      </c>
      <c r="G1713" s="6">
        <v>33.824802398681598</v>
      </c>
      <c r="H1713" s="6">
        <v>38.746997833252003</v>
      </c>
      <c r="I1713" s="6">
        <v>38.718177795410199</v>
      </c>
      <c r="J1713" s="6">
        <v>38.738983154296903</v>
      </c>
      <c r="K1713" s="6">
        <v>33.907711029052699</v>
      </c>
      <c r="L1713" s="6">
        <v>35.148040771484403</v>
      </c>
    </row>
    <row r="1714" spans="1:12" x14ac:dyDescent="0.25">
      <c r="A1714">
        <v>2505204</v>
      </c>
      <c r="B1714" t="str">
        <f t="shared" si="26"/>
        <v>CUITEGI, PB, Brasil</v>
      </c>
      <c r="C1714" s="4" t="str">
        <f>_xlfn.XLOOKUP(A1714,[1]!DadosGHD[CD_GEOCMU],[1]!DadosGHD[Região])</f>
        <v>NE</v>
      </c>
      <c r="D1714" s="4" t="str">
        <f>_xlfn.XLOOKUP(A1714,[1]!DadosGHD[CD_GEOCMU],[1]!DadosGHD[uf])</f>
        <v>PB</v>
      </c>
      <c r="E1714" s="5" t="str">
        <f>_xlfn.XLOOKUP(A1714,[1]!DadosGHD[CD_GEOCMU],[1]!DadosGHD[MUNICIPIO])</f>
        <v>CUITEGI</v>
      </c>
      <c r="F1714" s="6">
        <v>33.759365081787102</v>
      </c>
      <c r="G1714" s="6">
        <v>33.811443328857401</v>
      </c>
      <c r="H1714" s="6">
        <v>33.8423042297363</v>
      </c>
      <c r="I1714" s="6">
        <v>33.8089408874512</v>
      </c>
      <c r="J1714" s="6">
        <v>33.826740264892599</v>
      </c>
      <c r="K1714" s="6">
        <v>33.858936309814503</v>
      </c>
      <c r="L1714" s="6">
        <v>26.287174224853501</v>
      </c>
    </row>
    <row r="1715" spans="1:12" x14ac:dyDescent="0.25">
      <c r="A1715">
        <v>2802304</v>
      </c>
      <c r="B1715" t="str">
        <f t="shared" si="26"/>
        <v>FREI PAULO, SE, Brasil</v>
      </c>
      <c r="C1715" s="4" t="str">
        <f>_xlfn.XLOOKUP(A1715,[1]!DadosGHD[CD_GEOCMU],[1]!DadosGHD[Região])</f>
        <v>NE</v>
      </c>
      <c r="D1715" s="4" t="str">
        <f>_xlfn.XLOOKUP(A1715,[1]!DadosGHD[CD_GEOCMU],[1]!DadosGHD[uf])</f>
        <v>SE</v>
      </c>
      <c r="E1715" s="5" t="str">
        <f>_xlfn.XLOOKUP(A1715,[1]!DadosGHD[CD_GEOCMU],[1]!DadosGHD[MUNICIPIO])</f>
        <v>FREI PAULO</v>
      </c>
      <c r="F1715" s="6">
        <v>33.7593803405762</v>
      </c>
      <c r="G1715" s="6">
        <v>38.691535949707003</v>
      </c>
      <c r="H1715" s="6">
        <v>38.784881591796903</v>
      </c>
      <c r="I1715" s="6">
        <v>38.780952453613303</v>
      </c>
      <c r="J1715" s="6">
        <v>38.8012084960938</v>
      </c>
      <c r="K1715" s="6">
        <v>38.874610900878899</v>
      </c>
      <c r="L1715" s="6">
        <v>35.125572204589801</v>
      </c>
    </row>
    <row r="1716" spans="1:12" x14ac:dyDescent="0.25">
      <c r="A1716">
        <v>2707305</v>
      </c>
      <c r="B1716" t="str">
        <f t="shared" si="26"/>
        <v>PORTO CALVO, AL, Brasil</v>
      </c>
      <c r="C1716" s="4" t="str">
        <f>_xlfn.XLOOKUP(A1716,[1]!DadosGHD[CD_GEOCMU],[1]!DadosGHD[Região])</f>
        <v>NE</v>
      </c>
      <c r="D1716" s="4" t="str">
        <f>_xlfn.XLOOKUP(A1716,[1]!DadosGHD[CD_GEOCMU],[1]!DadosGHD[uf])</f>
        <v>AL</v>
      </c>
      <c r="E1716" s="5" t="str">
        <f>_xlfn.XLOOKUP(A1716,[1]!DadosGHD[CD_GEOCMU],[1]!DadosGHD[MUNICIPIO])</f>
        <v>PORTO CALVO</v>
      </c>
      <c r="F1716" s="6">
        <v>33.759536743164098</v>
      </c>
      <c r="G1716" s="6">
        <v>33.8179321289063</v>
      </c>
      <c r="H1716" s="6">
        <v>33.865520477294901</v>
      </c>
      <c r="I1716" s="6">
        <v>33.871063232421903</v>
      </c>
      <c r="J1716" s="6">
        <v>33.889492034912102</v>
      </c>
      <c r="K1716" s="6">
        <v>33.898773193359403</v>
      </c>
      <c r="L1716" s="6">
        <v>26.290363311767599</v>
      </c>
    </row>
    <row r="1717" spans="1:12" x14ac:dyDescent="0.25">
      <c r="A1717">
        <v>1501725</v>
      </c>
      <c r="B1717" t="str">
        <f t="shared" si="26"/>
        <v>BRASIL NOVO, PA, Brasil</v>
      </c>
      <c r="C1717" s="4" t="str">
        <f>_xlfn.XLOOKUP(A1717,[1]!DadosGHD[CD_GEOCMU],[1]!DadosGHD[Região])</f>
        <v>NO</v>
      </c>
      <c r="D1717" s="4" t="str">
        <f>_xlfn.XLOOKUP(A1717,[1]!DadosGHD[CD_GEOCMU],[1]!DadosGHD[uf])</f>
        <v>PA</v>
      </c>
      <c r="E1717" s="5" t="str">
        <f>_xlfn.XLOOKUP(A1717,[1]!DadosGHD[CD_GEOCMU],[1]!DadosGHD[MUNICIPIO])</f>
        <v>BRASIL NOVO</v>
      </c>
      <c r="F1717" s="6">
        <v>33.759555816650398</v>
      </c>
      <c r="G1717" s="6">
        <v>33.810558319091797</v>
      </c>
      <c r="H1717" s="6">
        <v>38.741291046142599</v>
      </c>
      <c r="I1717" s="6">
        <v>43.723388671875</v>
      </c>
      <c r="J1717" s="6">
        <v>48.737133026123097</v>
      </c>
      <c r="K1717" s="6">
        <v>43.861660003662102</v>
      </c>
      <c r="L1717" s="6">
        <v>30.704963684081999</v>
      </c>
    </row>
    <row r="1718" spans="1:12" x14ac:dyDescent="0.25">
      <c r="A1718">
        <v>4301859</v>
      </c>
      <c r="B1718" t="str">
        <f t="shared" si="26"/>
        <v>BARRA DO GUARITA, RS, Brasil</v>
      </c>
      <c r="C1718" s="4" t="str">
        <f>_xlfn.XLOOKUP(A1718,[1]!DadosGHD[CD_GEOCMU],[1]!DadosGHD[Região])</f>
        <v>SL</v>
      </c>
      <c r="D1718" s="4" t="str">
        <f>_xlfn.XLOOKUP(A1718,[1]!DadosGHD[CD_GEOCMU],[1]!DadosGHD[uf])</f>
        <v>RS</v>
      </c>
      <c r="E1718" s="5" t="str">
        <f>_xlfn.XLOOKUP(A1718,[1]!DadosGHD[CD_GEOCMU],[1]!DadosGHD[MUNICIPIO])</f>
        <v>BARRA DO GUARITA</v>
      </c>
      <c r="F1718" s="6">
        <v>33.759590148925803</v>
      </c>
      <c r="G1718" s="6">
        <v>38.772972106933601</v>
      </c>
      <c r="H1718" s="6">
        <v>38.8171997070313</v>
      </c>
      <c r="I1718" s="6">
        <v>38.800849914550803</v>
      </c>
      <c r="J1718" s="6">
        <v>43.780746459960902</v>
      </c>
      <c r="K1718" s="6">
        <v>48.875076293945298</v>
      </c>
      <c r="L1718" s="6">
        <v>52.983619689941399</v>
      </c>
    </row>
    <row r="1719" spans="1:12" x14ac:dyDescent="0.25">
      <c r="A1719">
        <v>2614501</v>
      </c>
      <c r="B1719" t="str">
        <f t="shared" si="26"/>
        <v>SURUBIM, PE, Brasil</v>
      </c>
      <c r="C1719" s="4" t="str">
        <f>_xlfn.XLOOKUP(A1719,[1]!DadosGHD[CD_GEOCMU],[1]!DadosGHD[Região])</f>
        <v>NE</v>
      </c>
      <c r="D1719" s="4" t="str">
        <f>_xlfn.XLOOKUP(A1719,[1]!DadosGHD[CD_GEOCMU],[1]!DadosGHD[uf])</f>
        <v>PE</v>
      </c>
      <c r="E1719" s="5" t="str">
        <f>_xlfn.XLOOKUP(A1719,[1]!DadosGHD[CD_GEOCMU],[1]!DadosGHD[MUNICIPIO])</f>
        <v>SURUBIM</v>
      </c>
      <c r="F1719" s="6">
        <v>33.759689331054702</v>
      </c>
      <c r="G1719" s="6">
        <v>33.829750061035199</v>
      </c>
      <c r="H1719" s="6">
        <v>33.869216918945298</v>
      </c>
      <c r="I1719" s="6">
        <v>38.721359252929702</v>
      </c>
      <c r="J1719" s="6">
        <v>38.746124267578097</v>
      </c>
      <c r="K1719" s="6">
        <v>33.919918060302699</v>
      </c>
      <c r="L1719" s="6">
        <v>35.114143371582003</v>
      </c>
    </row>
    <row r="1720" spans="1:12" x14ac:dyDescent="0.25">
      <c r="A1720">
        <v>5207535</v>
      </c>
      <c r="B1720" t="str">
        <f t="shared" si="26"/>
        <v>FAINA, GO, Brasil</v>
      </c>
      <c r="C1720" s="4" t="str">
        <f>_xlfn.XLOOKUP(A1720,[1]!DadosGHD[CD_GEOCMU],[1]!DadosGHD[Região])</f>
        <v>CO</v>
      </c>
      <c r="D1720" s="4" t="str">
        <f>_xlfn.XLOOKUP(A1720,[1]!DadosGHD[CD_GEOCMU],[1]!DadosGHD[uf])</f>
        <v>GO</v>
      </c>
      <c r="E1720" s="5" t="str">
        <f>_xlfn.XLOOKUP(A1720,[1]!DadosGHD[CD_GEOCMU],[1]!DadosGHD[MUNICIPIO])</f>
        <v>FAINA</v>
      </c>
      <c r="F1720" s="6">
        <v>33.759788513183601</v>
      </c>
      <c r="G1720" s="6">
        <v>38.733219146728501</v>
      </c>
      <c r="H1720" s="6">
        <v>38.791618347167997</v>
      </c>
      <c r="I1720" s="6">
        <v>38.794349670410199</v>
      </c>
      <c r="J1720" s="6">
        <v>38.825634002685597</v>
      </c>
      <c r="K1720" s="6">
        <v>38.880504608154297</v>
      </c>
      <c r="L1720" s="6">
        <v>35.119766235351598</v>
      </c>
    </row>
    <row r="1721" spans="1:12" x14ac:dyDescent="0.25">
      <c r="A1721">
        <v>2500601</v>
      </c>
      <c r="B1721" t="str">
        <f t="shared" si="26"/>
        <v>ALHANDRA, PB, Brasil</v>
      </c>
      <c r="C1721" s="4" t="str">
        <f>_xlfn.XLOOKUP(A1721,[1]!DadosGHD[CD_GEOCMU],[1]!DadosGHD[Região])</f>
        <v>NE</v>
      </c>
      <c r="D1721" s="4" t="str">
        <f>_xlfn.XLOOKUP(A1721,[1]!DadosGHD[CD_GEOCMU],[1]!DadosGHD[uf])</f>
        <v>PB</v>
      </c>
      <c r="E1721" s="5" t="str">
        <f>_xlfn.XLOOKUP(A1721,[1]!DadosGHD[CD_GEOCMU],[1]!DadosGHD[MUNICIPIO])</f>
        <v>ALHANDRA</v>
      </c>
      <c r="F1721" s="6">
        <v>33.759838104248097</v>
      </c>
      <c r="G1721" s="6">
        <v>33.808456420898402</v>
      </c>
      <c r="H1721" s="6">
        <v>38.747596740722699</v>
      </c>
      <c r="I1721" s="6">
        <v>38.731590270996101</v>
      </c>
      <c r="J1721" s="6">
        <v>38.748878479003899</v>
      </c>
      <c r="K1721" s="6">
        <v>33.885211944580099</v>
      </c>
      <c r="L1721" s="6">
        <v>26.2852687835693</v>
      </c>
    </row>
    <row r="1722" spans="1:12" x14ac:dyDescent="0.25">
      <c r="A1722">
        <v>2931905</v>
      </c>
      <c r="B1722" t="str">
        <f t="shared" si="26"/>
        <v>TUCANO, BA, Brasil</v>
      </c>
      <c r="C1722" s="4" t="str">
        <f>_xlfn.XLOOKUP(A1722,[1]!DadosGHD[CD_GEOCMU],[1]!DadosGHD[Região])</f>
        <v>NE</v>
      </c>
      <c r="D1722" s="4" t="str">
        <f>_xlfn.XLOOKUP(A1722,[1]!DadosGHD[CD_GEOCMU],[1]!DadosGHD[uf])</f>
        <v>BA</v>
      </c>
      <c r="E1722" s="5" t="str">
        <f>_xlfn.XLOOKUP(A1722,[1]!DadosGHD[CD_GEOCMU],[1]!DadosGHD[MUNICIPIO])</f>
        <v>TUCANO</v>
      </c>
      <c r="F1722" s="6">
        <v>33.759864807128899</v>
      </c>
      <c r="G1722" s="6">
        <v>33.811164855957003</v>
      </c>
      <c r="H1722" s="6">
        <v>33.864376068115199</v>
      </c>
      <c r="I1722" s="6">
        <v>38.715003967285199</v>
      </c>
      <c r="J1722" s="6">
        <v>38.752113342285199</v>
      </c>
      <c r="K1722" s="6">
        <v>38.803108215332003</v>
      </c>
      <c r="L1722" s="6">
        <v>35.123321533203097</v>
      </c>
    </row>
    <row r="1723" spans="1:12" x14ac:dyDescent="0.25">
      <c r="A1723">
        <v>2514503</v>
      </c>
      <c r="B1723" t="str">
        <f t="shared" si="26"/>
        <v>SAO JOSE DE PIRANHAS, PB, Brasil</v>
      </c>
      <c r="C1723" s="4" t="str">
        <f>_xlfn.XLOOKUP(A1723,[1]!DadosGHD[CD_GEOCMU],[1]!DadosGHD[Região])</f>
        <v>NE</v>
      </c>
      <c r="D1723" s="4" t="str">
        <f>_xlfn.XLOOKUP(A1723,[1]!DadosGHD[CD_GEOCMU],[1]!DadosGHD[uf])</f>
        <v>PB</v>
      </c>
      <c r="E1723" s="5" t="str">
        <f>_xlfn.XLOOKUP(A1723,[1]!DadosGHD[CD_GEOCMU],[1]!DadosGHD[MUNICIPIO])</f>
        <v>SAO JOSE DE PIRANHAS</v>
      </c>
      <c r="F1723" s="6">
        <v>33.759963989257798</v>
      </c>
      <c r="G1723" s="6">
        <v>33.836254119873097</v>
      </c>
      <c r="H1723" s="6">
        <v>38.764595031738303</v>
      </c>
      <c r="I1723" s="6">
        <v>38.738059997558601</v>
      </c>
      <c r="J1723" s="6">
        <v>33.893810272216797</v>
      </c>
      <c r="K1723" s="6">
        <v>33.914585113525398</v>
      </c>
      <c r="L1723" s="6">
        <v>30.701545715331999</v>
      </c>
    </row>
    <row r="1724" spans="1:12" x14ac:dyDescent="0.25">
      <c r="A1724">
        <v>2309102</v>
      </c>
      <c r="B1724" t="str">
        <f t="shared" si="26"/>
        <v>MULUNGU, CE, Brasil</v>
      </c>
      <c r="C1724" s="4" t="str">
        <f>_xlfn.XLOOKUP(A1724,[1]!DadosGHD[CD_GEOCMU],[1]!DadosGHD[Região])</f>
        <v>NE</v>
      </c>
      <c r="D1724" s="4" t="str">
        <f>_xlfn.XLOOKUP(A1724,[1]!DadosGHD[CD_GEOCMU],[1]!DadosGHD[uf])</f>
        <v>CE</v>
      </c>
      <c r="E1724" s="5" t="str">
        <f>_xlfn.XLOOKUP(A1724,[1]!DadosGHD[CD_GEOCMU],[1]!DadosGHD[MUNICIPIO])</f>
        <v>MULUNGU</v>
      </c>
      <c r="F1724" s="6">
        <v>33.760021209716797</v>
      </c>
      <c r="G1724" s="6">
        <v>33.799934387207003</v>
      </c>
      <c r="H1724" s="6">
        <v>33.837692260742202</v>
      </c>
      <c r="I1724" s="6">
        <v>33.838260650634801</v>
      </c>
      <c r="J1724" s="6">
        <v>33.870658874511697</v>
      </c>
      <c r="K1724" s="6">
        <v>33.898998260498097</v>
      </c>
      <c r="L1724" s="6">
        <v>26.2955112457275</v>
      </c>
    </row>
    <row r="1725" spans="1:12" x14ac:dyDescent="0.25">
      <c r="A1725">
        <v>2207777</v>
      </c>
      <c r="B1725" t="str">
        <f t="shared" si="26"/>
        <v>PATOS DO PIAUI, PI, Brasil</v>
      </c>
      <c r="C1725" s="4" t="str">
        <f>_xlfn.XLOOKUP(A1725,[1]!DadosGHD[CD_GEOCMU],[1]!DadosGHD[Região])</f>
        <v>NE</v>
      </c>
      <c r="D1725" s="4" t="str">
        <f>_xlfn.XLOOKUP(A1725,[1]!DadosGHD[CD_GEOCMU],[1]!DadosGHD[uf])</f>
        <v>PI</v>
      </c>
      <c r="E1725" s="5" t="str">
        <f>_xlfn.XLOOKUP(A1725,[1]!DadosGHD[CD_GEOCMU],[1]!DadosGHD[MUNICIPIO])</f>
        <v>PATOS DO PIAUI</v>
      </c>
      <c r="F1725" s="6">
        <v>33.760059356689503</v>
      </c>
      <c r="G1725" s="6">
        <v>33.804893493652301</v>
      </c>
      <c r="H1725" s="6">
        <v>33.839260101318402</v>
      </c>
      <c r="I1725" s="6">
        <v>33.816448211669901</v>
      </c>
      <c r="J1725" s="6">
        <v>33.845851898193402</v>
      </c>
      <c r="K1725" s="6">
        <v>29.002225875854499</v>
      </c>
      <c r="L1725" s="6">
        <v>30.710515975952202</v>
      </c>
    </row>
    <row r="1726" spans="1:12" x14ac:dyDescent="0.25">
      <c r="A1726">
        <v>2409308</v>
      </c>
      <c r="B1726" t="str">
        <f t="shared" si="26"/>
        <v>PATU, RN, Brasil</v>
      </c>
      <c r="C1726" s="4" t="str">
        <f>_xlfn.XLOOKUP(A1726,[1]!DadosGHD[CD_GEOCMU],[1]!DadosGHD[Região])</f>
        <v>NE</v>
      </c>
      <c r="D1726" s="4" t="str">
        <f>_xlfn.XLOOKUP(A1726,[1]!DadosGHD[CD_GEOCMU],[1]!DadosGHD[uf])</f>
        <v>RN</v>
      </c>
      <c r="E1726" s="5" t="str">
        <f>_xlfn.XLOOKUP(A1726,[1]!DadosGHD[CD_GEOCMU],[1]!DadosGHD[MUNICIPIO])</f>
        <v>PATU</v>
      </c>
      <c r="F1726" s="6">
        <v>33.760108947753899</v>
      </c>
      <c r="G1726" s="6">
        <v>33.827407836914098</v>
      </c>
      <c r="H1726" s="6">
        <v>33.857173919677699</v>
      </c>
      <c r="I1726" s="6">
        <v>33.859481811523402</v>
      </c>
      <c r="J1726" s="6">
        <v>33.8463745117188</v>
      </c>
      <c r="K1726" s="6">
        <v>38.873157501220703</v>
      </c>
      <c r="L1726" s="6">
        <v>39.569694519042997</v>
      </c>
    </row>
    <row r="1727" spans="1:12" x14ac:dyDescent="0.25">
      <c r="A1727">
        <v>3154150</v>
      </c>
      <c r="B1727" t="str">
        <f t="shared" si="26"/>
        <v>REDUTO, MG, Brasil</v>
      </c>
      <c r="C1727" s="4" t="str">
        <f>_xlfn.XLOOKUP(A1727,[1]!DadosGHD[CD_GEOCMU],[1]!DadosGHD[Região])</f>
        <v>SD</v>
      </c>
      <c r="D1727" s="4" t="str">
        <f>_xlfn.XLOOKUP(A1727,[1]!DadosGHD[CD_GEOCMU],[1]!DadosGHD[uf])</f>
        <v>MG</v>
      </c>
      <c r="E1727" s="5" t="str">
        <f>_xlfn.XLOOKUP(A1727,[1]!DadosGHD[CD_GEOCMU],[1]!DadosGHD[MUNICIPIO])</f>
        <v>REDUTO</v>
      </c>
      <c r="F1727" s="6">
        <v>33.760238647460902</v>
      </c>
      <c r="G1727" s="6">
        <v>38.697547912597699</v>
      </c>
      <c r="H1727" s="6">
        <v>38.752693176269503</v>
      </c>
      <c r="I1727" s="6">
        <v>38.733722686767599</v>
      </c>
      <c r="J1727" s="6">
        <v>38.772254943847699</v>
      </c>
      <c r="K1727" s="6">
        <v>38.8464965820313</v>
      </c>
      <c r="L1727" s="6">
        <v>39.558750152587898</v>
      </c>
    </row>
    <row r="1728" spans="1:12" x14ac:dyDescent="0.25">
      <c r="A1728">
        <v>2907905</v>
      </c>
      <c r="B1728" t="str">
        <f t="shared" si="26"/>
        <v>CIPO, BA, Brasil</v>
      </c>
      <c r="C1728" s="4" t="str">
        <f>_xlfn.XLOOKUP(A1728,[1]!DadosGHD[CD_GEOCMU],[1]!DadosGHD[Região])</f>
        <v>NE</v>
      </c>
      <c r="D1728" s="4" t="str">
        <f>_xlfn.XLOOKUP(A1728,[1]!DadosGHD[CD_GEOCMU],[1]!DadosGHD[uf])</f>
        <v>BA</v>
      </c>
      <c r="E1728" s="5" t="str">
        <f>_xlfn.XLOOKUP(A1728,[1]!DadosGHD[CD_GEOCMU],[1]!DadosGHD[MUNICIPIO])</f>
        <v>CIPO</v>
      </c>
      <c r="F1728" s="6">
        <v>33.760242462158203</v>
      </c>
      <c r="G1728" s="6">
        <v>33.816890716552699</v>
      </c>
      <c r="H1728" s="6">
        <v>33.842140197753899</v>
      </c>
      <c r="I1728" s="6">
        <v>33.817642211914098</v>
      </c>
      <c r="J1728" s="6">
        <v>33.842250823974602</v>
      </c>
      <c r="K1728" s="6">
        <v>33.867992401123097</v>
      </c>
      <c r="L1728" s="6">
        <v>26.292131423950199</v>
      </c>
    </row>
    <row r="1729" spans="1:12" x14ac:dyDescent="0.25">
      <c r="A1729">
        <v>2513901</v>
      </c>
      <c r="B1729" t="str">
        <f t="shared" si="26"/>
        <v>SAO BENTO, PB, Brasil</v>
      </c>
      <c r="C1729" s="4" t="str">
        <f>_xlfn.XLOOKUP(A1729,[1]!DadosGHD[CD_GEOCMU],[1]!DadosGHD[Região])</f>
        <v>NE</v>
      </c>
      <c r="D1729" s="4" t="str">
        <f>_xlfn.XLOOKUP(A1729,[1]!DadosGHD[CD_GEOCMU],[1]!DadosGHD[uf])</f>
        <v>PB</v>
      </c>
      <c r="E1729" s="5" t="str">
        <f>_xlfn.XLOOKUP(A1729,[1]!DadosGHD[CD_GEOCMU],[1]!DadosGHD[MUNICIPIO])</f>
        <v>SAO BENTO</v>
      </c>
      <c r="F1729" s="6">
        <v>33.760276794433601</v>
      </c>
      <c r="G1729" s="6">
        <v>38.685859680175803</v>
      </c>
      <c r="H1729" s="6">
        <v>38.771415710449197</v>
      </c>
      <c r="I1729" s="6">
        <v>38.809715270996101</v>
      </c>
      <c r="J1729" s="6">
        <v>38.838851928710902</v>
      </c>
      <c r="K1729" s="6">
        <v>38.887298583984403</v>
      </c>
      <c r="L1729" s="6">
        <v>39.576438903808601</v>
      </c>
    </row>
    <row r="1730" spans="1:12" x14ac:dyDescent="0.25">
      <c r="A1730">
        <v>2602902</v>
      </c>
      <c r="B1730" t="str">
        <f t="shared" si="26"/>
        <v>CABO DE SANTO AGOSTINHO, PE, Brasil</v>
      </c>
      <c r="C1730" s="4" t="str">
        <f>_xlfn.XLOOKUP(A1730,[1]!DadosGHD[CD_GEOCMU],[1]!DadosGHD[Região])</f>
        <v>NE</v>
      </c>
      <c r="D1730" s="4" t="str">
        <f>_xlfn.XLOOKUP(A1730,[1]!DadosGHD[CD_GEOCMU],[1]!DadosGHD[uf])</f>
        <v>PE</v>
      </c>
      <c r="E1730" s="5" t="str">
        <f>_xlfn.XLOOKUP(A1730,[1]!DadosGHD[CD_GEOCMU],[1]!DadosGHD[MUNICIPIO])</f>
        <v>CABO DE SANTO AGOSTINHO</v>
      </c>
      <c r="F1730" s="6">
        <v>33.760295867919901</v>
      </c>
      <c r="G1730" s="6">
        <v>33.810050964355497</v>
      </c>
      <c r="H1730" s="6">
        <v>33.844043731689503</v>
      </c>
      <c r="I1730" s="6">
        <v>33.823692321777301</v>
      </c>
      <c r="J1730" s="6">
        <v>33.853729248046903</v>
      </c>
      <c r="K1730" s="6">
        <v>33.887680053710902</v>
      </c>
      <c r="L1730" s="6">
        <v>30.7126979827881</v>
      </c>
    </row>
    <row r="1731" spans="1:12" x14ac:dyDescent="0.25">
      <c r="A1731">
        <v>2407807</v>
      </c>
      <c r="B1731" t="str">
        <f t="shared" si="26"/>
        <v>MONTE ALEGRE, RN, Brasil</v>
      </c>
      <c r="C1731" s="4" t="str">
        <f>_xlfn.XLOOKUP(A1731,[1]!DadosGHD[CD_GEOCMU],[1]!DadosGHD[Região])</f>
        <v>NE</v>
      </c>
      <c r="D1731" s="4" t="str">
        <f>_xlfn.XLOOKUP(A1731,[1]!DadosGHD[CD_GEOCMU],[1]!DadosGHD[uf])</f>
        <v>RN</v>
      </c>
      <c r="E1731" s="5" t="str">
        <f>_xlfn.XLOOKUP(A1731,[1]!DadosGHD[CD_GEOCMU],[1]!DadosGHD[MUNICIPIO])</f>
        <v>MONTE ALEGRE</v>
      </c>
      <c r="F1731" s="6">
        <v>33.760353088378899</v>
      </c>
      <c r="G1731" s="6">
        <v>33.817306518554702</v>
      </c>
      <c r="H1731" s="6">
        <v>33.870845794677699</v>
      </c>
      <c r="I1731" s="6">
        <v>33.855785369873097</v>
      </c>
      <c r="J1731" s="6">
        <v>38.748275756835902</v>
      </c>
      <c r="K1731" s="6">
        <v>38.819568634033203</v>
      </c>
      <c r="L1731" s="6">
        <v>39.567771911621101</v>
      </c>
    </row>
    <row r="1732" spans="1:12" x14ac:dyDescent="0.25">
      <c r="A1732">
        <v>2104701</v>
      </c>
      <c r="B1732" t="str">
        <f t="shared" ref="B1732:B1795" si="27">_xlfn.CONCAT(E1732, ", ", D1732, ", Brasil")</f>
        <v>GRACA ARANHA, MA, Brasil</v>
      </c>
      <c r="C1732" s="4" t="str">
        <f>_xlfn.XLOOKUP(A1732,[1]!DadosGHD[CD_GEOCMU],[1]!DadosGHD[Região])</f>
        <v>NE</v>
      </c>
      <c r="D1732" s="4" t="str">
        <f>_xlfn.XLOOKUP(A1732,[1]!DadosGHD[CD_GEOCMU],[1]!DadosGHD[uf])</f>
        <v>MA</v>
      </c>
      <c r="E1732" s="5" t="str">
        <f>_xlfn.XLOOKUP(A1732,[1]!DadosGHD[CD_GEOCMU],[1]!DadosGHD[MUNICIPIO])</f>
        <v>GRACA ARANHA</v>
      </c>
      <c r="F1732" s="6">
        <v>33.760364532470703</v>
      </c>
      <c r="G1732" s="6">
        <v>33.806175231933601</v>
      </c>
      <c r="H1732" s="6">
        <v>33.841629028320298</v>
      </c>
      <c r="I1732" s="6">
        <v>33.819145202636697</v>
      </c>
      <c r="J1732" s="6">
        <v>33.835910797119098</v>
      </c>
      <c r="K1732" s="6">
        <v>33.867660522460902</v>
      </c>
      <c r="L1732" s="6">
        <v>26.289894104003899</v>
      </c>
    </row>
    <row r="1733" spans="1:12" x14ac:dyDescent="0.25">
      <c r="A1733">
        <v>2501807</v>
      </c>
      <c r="B1733" t="str">
        <f t="shared" si="27"/>
        <v>BAYEUX, PB, Brasil</v>
      </c>
      <c r="C1733" s="4" t="str">
        <f>_xlfn.XLOOKUP(A1733,[1]!DadosGHD[CD_GEOCMU],[1]!DadosGHD[Região])</f>
        <v>NE</v>
      </c>
      <c r="D1733" s="4" t="str">
        <f>_xlfn.XLOOKUP(A1733,[1]!DadosGHD[CD_GEOCMU],[1]!DadosGHD[uf])</f>
        <v>PB</v>
      </c>
      <c r="E1733" s="5" t="str">
        <f>_xlfn.XLOOKUP(A1733,[1]!DadosGHD[CD_GEOCMU],[1]!DadosGHD[MUNICIPIO])</f>
        <v>BAYEUX</v>
      </c>
      <c r="F1733" s="6">
        <v>33.760520935058601</v>
      </c>
      <c r="G1733" s="6">
        <v>33.823291778564503</v>
      </c>
      <c r="H1733" s="6">
        <v>33.886188507080099</v>
      </c>
      <c r="I1733" s="6">
        <v>33.861026763916001</v>
      </c>
      <c r="J1733" s="6">
        <v>33.889991760253899</v>
      </c>
      <c r="K1733" s="6">
        <v>33.930557250976598</v>
      </c>
      <c r="L1733" s="6">
        <v>39.591232299804702</v>
      </c>
    </row>
    <row r="1734" spans="1:12" x14ac:dyDescent="0.25">
      <c r="A1734">
        <v>2801306</v>
      </c>
      <c r="B1734" t="str">
        <f t="shared" si="27"/>
        <v>CAPELA, SE, Brasil</v>
      </c>
      <c r="C1734" s="4" t="str">
        <f>_xlfn.XLOOKUP(A1734,[1]!DadosGHD[CD_GEOCMU],[1]!DadosGHD[Região])</f>
        <v>NE</v>
      </c>
      <c r="D1734" s="4" t="str">
        <f>_xlfn.XLOOKUP(A1734,[1]!DadosGHD[CD_GEOCMU],[1]!DadosGHD[uf])</f>
        <v>SE</v>
      </c>
      <c r="E1734" s="5" t="str">
        <f>_xlfn.XLOOKUP(A1734,[1]!DadosGHD[CD_GEOCMU],[1]!DadosGHD[MUNICIPIO])</f>
        <v>CAPELA</v>
      </c>
      <c r="F1734" s="6">
        <v>33.760543823242202</v>
      </c>
      <c r="G1734" s="6">
        <v>33.818531036377003</v>
      </c>
      <c r="H1734" s="6">
        <v>33.865554809570298</v>
      </c>
      <c r="I1734" s="6">
        <v>33.847255706787102</v>
      </c>
      <c r="J1734" s="6">
        <v>33.862869262695298</v>
      </c>
      <c r="K1734" s="6">
        <v>33.892154693603501</v>
      </c>
      <c r="L1734" s="6">
        <v>30.716062545776399</v>
      </c>
    </row>
    <row r="1735" spans="1:12" x14ac:dyDescent="0.25">
      <c r="A1735">
        <v>1507409</v>
      </c>
      <c r="B1735" t="str">
        <f t="shared" si="27"/>
        <v>SAO FRANCISCO DO PARA, PA, Brasil</v>
      </c>
      <c r="C1735" s="4" t="str">
        <f>_xlfn.XLOOKUP(A1735,[1]!DadosGHD[CD_GEOCMU],[1]!DadosGHD[Região])</f>
        <v>NO</v>
      </c>
      <c r="D1735" s="4" t="str">
        <f>_xlfn.XLOOKUP(A1735,[1]!DadosGHD[CD_GEOCMU],[1]!DadosGHD[uf])</f>
        <v>PA</v>
      </c>
      <c r="E1735" s="5" t="str">
        <f>_xlfn.XLOOKUP(A1735,[1]!DadosGHD[CD_GEOCMU],[1]!DadosGHD[MUNICIPIO])</f>
        <v>SAO FRANCISCO DO PARA</v>
      </c>
      <c r="F1735" s="6">
        <v>33.760578155517599</v>
      </c>
      <c r="G1735" s="6">
        <v>33.812320709228501</v>
      </c>
      <c r="H1735" s="6">
        <v>33.845592498779297</v>
      </c>
      <c r="I1735" s="6">
        <v>33.832572937011697</v>
      </c>
      <c r="J1735" s="6">
        <v>33.836151123046903</v>
      </c>
      <c r="K1735" s="6">
        <v>33.900604248046903</v>
      </c>
      <c r="L1735" s="6">
        <v>30.693067550659201</v>
      </c>
    </row>
    <row r="1736" spans="1:12" x14ac:dyDescent="0.25">
      <c r="A1736">
        <v>2805208</v>
      </c>
      <c r="B1736" t="str">
        <f t="shared" si="27"/>
        <v>PINHAO, SE, Brasil</v>
      </c>
      <c r="C1736" s="4" t="str">
        <f>_xlfn.XLOOKUP(A1736,[1]!DadosGHD[CD_GEOCMU],[1]!DadosGHD[Região])</f>
        <v>NE</v>
      </c>
      <c r="D1736" s="4" t="str">
        <f>_xlfn.XLOOKUP(A1736,[1]!DadosGHD[CD_GEOCMU],[1]!DadosGHD[uf])</f>
        <v>SE</v>
      </c>
      <c r="E1736" s="5" t="str">
        <f>_xlfn.XLOOKUP(A1736,[1]!DadosGHD[CD_GEOCMU],[1]!DadosGHD[MUNICIPIO])</f>
        <v>PINHAO</v>
      </c>
      <c r="F1736" s="6">
        <v>33.760662078857401</v>
      </c>
      <c r="G1736" s="6">
        <v>33.827808380127003</v>
      </c>
      <c r="H1736" s="6">
        <v>33.852882385253899</v>
      </c>
      <c r="I1736" s="6">
        <v>33.835010528564503</v>
      </c>
      <c r="J1736" s="6">
        <v>33.828670501708999</v>
      </c>
      <c r="K1736" s="6">
        <v>33.862625122070298</v>
      </c>
      <c r="L1736" s="6">
        <v>30.6912651062012</v>
      </c>
    </row>
    <row r="1737" spans="1:12" x14ac:dyDescent="0.25">
      <c r="A1737">
        <v>2922102</v>
      </c>
      <c r="B1737" t="str">
        <f t="shared" si="27"/>
        <v>MUNDO NOVO, BA, Brasil</v>
      </c>
      <c r="C1737" s="4" t="str">
        <f>_xlfn.XLOOKUP(A1737,[1]!DadosGHD[CD_GEOCMU],[1]!DadosGHD[Região])</f>
        <v>NE</v>
      </c>
      <c r="D1737" s="4" t="str">
        <f>_xlfn.XLOOKUP(A1737,[1]!DadosGHD[CD_GEOCMU],[1]!DadosGHD[uf])</f>
        <v>BA</v>
      </c>
      <c r="E1737" s="5" t="str">
        <f>_xlfn.XLOOKUP(A1737,[1]!DadosGHD[CD_GEOCMU],[1]!DadosGHD[MUNICIPIO])</f>
        <v>MUNDO NOVO</v>
      </c>
      <c r="F1737" s="6">
        <v>33.760696411132798</v>
      </c>
      <c r="G1737" s="6">
        <v>33.820503234863303</v>
      </c>
      <c r="H1737" s="6">
        <v>33.859798431396499</v>
      </c>
      <c r="I1737" s="6">
        <v>33.837928771972699</v>
      </c>
      <c r="J1737" s="6">
        <v>33.873733520507798</v>
      </c>
      <c r="K1737" s="6">
        <v>33.917354583740199</v>
      </c>
      <c r="L1737" s="6">
        <v>35.1143608093262</v>
      </c>
    </row>
    <row r="1738" spans="1:12" x14ac:dyDescent="0.25">
      <c r="A1738">
        <v>2801108</v>
      </c>
      <c r="B1738" t="str">
        <f t="shared" si="27"/>
        <v>CANHOBA, SE, Brasil</v>
      </c>
      <c r="C1738" s="4" t="str">
        <f>_xlfn.XLOOKUP(A1738,[1]!DadosGHD[CD_GEOCMU],[1]!DadosGHD[Região])</f>
        <v>NE</v>
      </c>
      <c r="D1738" s="4" t="str">
        <f>_xlfn.XLOOKUP(A1738,[1]!DadosGHD[CD_GEOCMU],[1]!DadosGHD[uf])</f>
        <v>SE</v>
      </c>
      <c r="E1738" s="5" t="str">
        <f>_xlfn.XLOOKUP(A1738,[1]!DadosGHD[CD_GEOCMU],[1]!DadosGHD[MUNICIPIO])</f>
        <v>CANHOBA</v>
      </c>
      <c r="F1738" s="6">
        <v>33.7607231140137</v>
      </c>
      <c r="G1738" s="6">
        <v>38.686141967773402</v>
      </c>
      <c r="H1738" s="6">
        <v>33.877952575683601</v>
      </c>
      <c r="I1738" s="6">
        <v>33.863929748535199</v>
      </c>
      <c r="J1738" s="6">
        <v>33.872074127197301</v>
      </c>
      <c r="K1738" s="6">
        <v>38.819492340087898</v>
      </c>
      <c r="L1738" s="6">
        <v>30.7185459136963</v>
      </c>
    </row>
    <row r="1739" spans="1:12" x14ac:dyDescent="0.25">
      <c r="A1739">
        <v>2103802</v>
      </c>
      <c r="B1739" t="str">
        <f t="shared" si="27"/>
        <v>DOM PEDRO, MA, Brasil</v>
      </c>
      <c r="C1739" s="4" t="str">
        <f>_xlfn.XLOOKUP(A1739,[1]!DadosGHD[CD_GEOCMU],[1]!DadosGHD[Região])</f>
        <v>NE</v>
      </c>
      <c r="D1739" s="4" t="str">
        <f>_xlfn.XLOOKUP(A1739,[1]!DadosGHD[CD_GEOCMU],[1]!DadosGHD[uf])</f>
        <v>MA</v>
      </c>
      <c r="E1739" s="5" t="str">
        <f>_xlfn.XLOOKUP(A1739,[1]!DadosGHD[CD_GEOCMU],[1]!DadosGHD[MUNICIPIO])</f>
        <v>DOM PEDRO</v>
      </c>
      <c r="F1739" s="6">
        <v>33.760726928710902</v>
      </c>
      <c r="G1739" s="6">
        <v>33.798412322998097</v>
      </c>
      <c r="H1739" s="6">
        <v>33.830421447753899</v>
      </c>
      <c r="I1739" s="6">
        <v>33.815101623535199</v>
      </c>
      <c r="J1739" s="6">
        <v>33.843997955322301</v>
      </c>
      <c r="K1739" s="6">
        <v>33.8755073547363</v>
      </c>
      <c r="L1739" s="6">
        <v>26.283628463745099</v>
      </c>
    </row>
    <row r="1740" spans="1:12" x14ac:dyDescent="0.25">
      <c r="A1740">
        <v>2408300</v>
      </c>
      <c r="B1740" t="str">
        <f t="shared" si="27"/>
        <v>NOVA CRUZ, RN, Brasil</v>
      </c>
      <c r="C1740" s="4" t="str">
        <f>_xlfn.XLOOKUP(A1740,[1]!DadosGHD[CD_GEOCMU],[1]!DadosGHD[Região])</f>
        <v>NE</v>
      </c>
      <c r="D1740" s="4" t="str">
        <f>_xlfn.XLOOKUP(A1740,[1]!DadosGHD[CD_GEOCMU],[1]!DadosGHD[uf])</f>
        <v>RN</v>
      </c>
      <c r="E1740" s="5" t="str">
        <f>_xlfn.XLOOKUP(A1740,[1]!DadosGHD[CD_GEOCMU],[1]!DadosGHD[MUNICIPIO])</f>
        <v>NOVA CRUZ</v>
      </c>
      <c r="F1740" s="6">
        <v>33.760818481445298</v>
      </c>
      <c r="G1740" s="6">
        <v>33.833221435546903</v>
      </c>
      <c r="H1740" s="6">
        <v>38.8404731750488</v>
      </c>
      <c r="I1740" s="6">
        <v>38.734878540039098</v>
      </c>
      <c r="J1740" s="6">
        <v>38.746597290039098</v>
      </c>
      <c r="K1740" s="6">
        <v>33.915733337402301</v>
      </c>
      <c r="L1740" s="6">
        <v>30.7219848632813</v>
      </c>
    </row>
    <row r="1741" spans="1:12" x14ac:dyDescent="0.25">
      <c r="A1741">
        <v>2706604</v>
      </c>
      <c r="B1741" t="str">
        <f t="shared" si="27"/>
        <v>PAULO JACINTO, AL, Brasil</v>
      </c>
      <c r="C1741" s="4" t="str">
        <f>_xlfn.XLOOKUP(A1741,[1]!DadosGHD[CD_GEOCMU],[1]!DadosGHD[Região])</f>
        <v>NE</v>
      </c>
      <c r="D1741" s="4" t="str">
        <f>_xlfn.XLOOKUP(A1741,[1]!DadosGHD[CD_GEOCMU],[1]!DadosGHD[uf])</f>
        <v>AL</v>
      </c>
      <c r="E1741" s="5" t="str">
        <f>_xlfn.XLOOKUP(A1741,[1]!DadosGHD[CD_GEOCMU],[1]!DadosGHD[MUNICIPIO])</f>
        <v>PAULO JACINTO</v>
      </c>
      <c r="F1741" s="6">
        <v>33.761043548583999</v>
      </c>
      <c r="G1741" s="6">
        <v>38.721446990966797</v>
      </c>
      <c r="H1741" s="6">
        <v>38.768417358398402</v>
      </c>
      <c r="I1741" s="6">
        <v>38.740261077880902</v>
      </c>
      <c r="J1741" s="6">
        <v>38.760047912597699</v>
      </c>
      <c r="K1741" s="6">
        <v>33.880321502685597</v>
      </c>
      <c r="L1741" s="6">
        <v>26.2798957824707</v>
      </c>
    </row>
    <row r="1742" spans="1:12" x14ac:dyDescent="0.25">
      <c r="A1742">
        <v>2704708</v>
      </c>
      <c r="B1742" t="str">
        <f t="shared" si="27"/>
        <v>MARECHAL DEODORO, AL, Brasil</v>
      </c>
      <c r="C1742" s="4" t="str">
        <f>_xlfn.XLOOKUP(A1742,[1]!DadosGHD[CD_GEOCMU],[1]!DadosGHD[Região])</f>
        <v>NE</v>
      </c>
      <c r="D1742" s="4" t="str">
        <f>_xlfn.XLOOKUP(A1742,[1]!DadosGHD[CD_GEOCMU],[1]!DadosGHD[uf])</f>
        <v>AL</v>
      </c>
      <c r="E1742" s="5" t="str">
        <f>_xlfn.XLOOKUP(A1742,[1]!DadosGHD[CD_GEOCMU],[1]!DadosGHD[MUNICIPIO])</f>
        <v>MARECHAL DEODORO</v>
      </c>
      <c r="F1742" s="6">
        <v>33.761142730712898</v>
      </c>
      <c r="G1742" s="6">
        <v>33.817867279052699</v>
      </c>
      <c r="H1742" s="6">
        <v>33.855316162109403</v>
      </c>
      <c r="I1742" s="6">
        <v>33.851158142089801</v>
      </c>
      <c r="J1742" s="6">
        <v>33.848644256591797</v>
      </c>
      <c r="K1742" s="6">
        <v>33.884376525878899</v>
      </c>
      <c r="L1742" s="6">
        <v>35.139305114746101</v>
      </c>
    </row>
    <row r="1743" spans="1:12" x14ac:dyDescent="0.25">
      <c r="A1743">
        <v>2601805</v>
      </c>
      <c r="B1743" t="str">
        <f t="shared" si="27"/>
        <v>BETANIA, PE, Brasil</v>
      </c>
      <c r="C1743" s="4" t="str">
        <f>_xlfn.XLOOKUP(A1743,[1]!DadosGHD[CD_GEOCMU],[1]!DadosGHD[Região])</f>
        <v>NE</v>
      </c>
      <c r="D1743" s="4" t="str">
        <f>_xlfn.XLOOKUP(A1743,[1]!DadosGHD[CD_GEOCMU],[1]!DadosGHD[uf])</f>
        <v>PE</v>
      </c>
      <c r="E1743" s="5" t="str">
        <f>_xlfn.XLOOKUP(A1743,[1]!DadosGHD[CD_GEOCMU],[1]!DadosGHD[MUNICIPIO])</f>
        <v>BETANIA</v>
      </c>
      <c r="F1743" s="6">
        <v>33.7613334655762</v>
      </c>
      <c r="G1743" s="6">
        <v>33.804229736328097</v>
      </c>
      <c r="H1743" s="6">
        <v>33.8409423828125</v>
      </c>
      <c r="I1743" s="6">
        <v>33.816707611083999</v>
      </c>
      <c r="J1743" s="6">
        <v>33.833610534667997</v>
      </c>
      <c r="K1743" s="6">
        <v>33.8452339172363</v>
      </c>
      <c r="L1743" s="6">
        <v>26.2869663238525</v>
      </c>
    </row>
    <row r="1744" spans="1:12" x14ac:dyDescent="0.25">
      <c r="A1744">
        <v>2933109</v>
      </c>
      <c r="B1744" t="str">
        <f t="shared" si="27"/>
        <v>VARZEA DO POCO, BA, Brasil</v>
      </c>
      <c r="C1744" s="4" t="str">
        <f>_xlfn.XLOOKUP(A1744,[1]!DadosGHD[CD_GEOCMU],[1]!DadosGHD[Região])</f>
        <v>NE</v>
      </c>
      <c r="D1744" s="4" t="str">
        <f>_xlfn.XLOOKUP(A1744,[1]!DadosGHD[CD_GEOCMU],[1]!DadosGHD[uf])</f>
        <v>BA</v>
      </c>
      <c r="E1744" s="5" t="str">
        <f>_xlfn.XLOOKUP(A1744,[1]!DadosGHD[CD_GEOCMU],[1]!DadosGHD[MUNICIPIO])</f>
        <v>VARZEA DO POCO</v>
      </c>
      <c r="F1744" s="6">
        <v>33.761344909667997</v>
      </c>
      <c r="G1744" s="6">
        <v>33.846439361572301</v>
      </c>
      <c r="H1744" s="6">
        <v>38.770103454589801</v>
      </c>
      <c r="I1744" s="6">
        <v>38.753467559814503</v>
      </c>
      <c r="J1744" s="6">
        <v>38.770759582519503</v>
      </c>
      <c r="K1744" s="6">
        <v>38.839088439941399</v>
      </c>
      <c r="L1744" s="6">
        <v>39.586860656738303</v>
      </c>
    </row>
    <row r="1745" spans="1:12" x14ac:dyDescent="0.25">
      <c r="A1745">
        <v>3120102</v>
      </c>
      <c r="B1745" t="str">
        <f t="shared" si="27"/>
        <v>COUTO DE MAGALHAES DE MINAS, MG, Brasil</v>
      </c>
      <c r="C1745" s="4" t="str">
        <f>_xlfn.XLOOKUP(A1745,[1]!DadosGHD[CD_GEOCMU],[1]!DadosGHD[Região])</f>
        <v>SD</v>
      </c>
      <c r="D1745" s="4" t="str">
        <f>_xlfn.XLOOKUP(A1745,[1]!DadosGHD[CD_GEOCMU],[1]!DadosGHD[uf])</f>
        <v>MG</v>
      </c>
      <c r="E1745" s="5" t="str">
        <f>_xlfn.XLOOKUP(A1745,[1]!DadosGHD[CD_GEOCMU],[1]!DadosGHD[MUNICIPIO])</f>
        <v>COUTO DE MAGALHAES DE MINAS</v>
      </c>
      <c r="F1745" s="6">
        <v>33.761444091796903</v>
      </c>
      <c r="G1745" s="6">
        <v>28.907878875732401</v>
      </c>
      <c r="H1745" s="6">
        <v>28.942651748657202</v>
      </c>
      <c r="I1745" s="6">
        <v>28.925045013427699</v>
      </c>
      <c r="J1745" s="6">
        <v>28.9409065246582</v>
      </c>
      <c r="K1745" s="6">
        <v>28.9929904937744</v>
      </c>
      <c r="L1745" s="6">
        <v>30.7206115722656</v>
      </c>
    </row>
    <row r="1746" spans="1:12" x14ac:dyDescent="0.25">
      <c r="A1746">
        <v>2802007</v>
      </c>
      <c r="B1746" t="str">
        <f t="shared" si="27"/>
        <v>DIVINA PASTORA, SE, Brasil</v>
      </c>
      <c r="C1746" s="4" t="str">
        <f>_xlfn.XLOOKUP(A1746,[1]!DadosGHD[CD_GEOCMU],[1]!DadosGHD[Região])</f>
        <v>NE</v>
      </c>
      <c r="D1746" s="4" t="str">
        <f>_xlfn.XLOOKUP(A1746,[1]!DadosGHD[CD_GEOCMU],[1]!DadosGHD[uf])</f>
        <v>SE</v>
      </c>
      <c r="E1746" s="5" t="str">
        <f>_xlfn.XLOOKUP(A1746,[1]!DadosGHD[CD_GEOCMU],[1]!DadosGHD[MUNICIPIO])</f>
        <v>DIVINA PASTORA</v>
      </c>
      <c r="F1746" s="6">
        <v>33.761447906494098</v>
      </c>
      <c r="G1746" s="6">
        <v>28.907878875732401</v>
      </c>
      <c r="H1746" s="6">
        <v>28.9500331878662</v>
      </c>
      <c r="I1746" s="6">
        <v>28.9253749847412</v>
      </c>
      <c r="J1746" s="6">
        <v>28.966577529907202</v>
      </c>
      <c r="K1746" s="6">
        <v>33.891590118408203</v>
      </c>
      <c r="L1746" s="6">
        <v>30.705915451049801</v>
      </c>
    </row>
    <row r="1747" spans="1:12" x14ac:dyDescent="0.25">
      <c r="A1747">
        <v>2104008</v>
      </c>
      <c r="B1747" t="str">
        <f t="shared" si="27"/>
        <v>ESPERANTINOPOLIS, MA, Brasil</v>
      </c>
      <c r="C1747" s="4" t="str">
        <f>_xlfn.XLOOKUP(A1747,[1]!DadosGHD[CD_GEOCMU],[1]!DadosGHD[Região])</f>
        <v>NE</v>
      </c>
      <c r="D1747" s="4" t="str">
        <f>_xlfn.XLOOKUP(A1747,[1]!DadosGHD[CD_GEOCMU],[1]!DadosGHD[uf])</f>
        <v>MA</v>
      </c>
      <c r="E1747" s="5" t="str">
        <f>_xlfn.XLOOKUP(A1747,[1]!DadosGHD[CD_GEOCMU],[1]!DadosGHD[MUNICIPIO])</f>
        <v>ESPERANTINOPOLIS</v>
      </c>
      <c r="F1747" s="6">
        <v>33.761447906494098</v>
      </c>
      <c r="G1747" s="6">
        <v>33.829383850097699</v>
      </c>
      <c r="H1747" s="6">
        <v>33.872261047363303</v>
      </c>
      <c r="I1747" s="6">
        <v>33.8536186218262</v>
      </c>
      <c r="J1747" s="6">
        <v>33.873157501220703</v>
      </c>
      <c r="K1747" s="6">
        <v>33.912349700927699</v>
      </c>
      <c r="L1747" s="6">
        <v>26.290878295898398</v>
      </c>
    </row>
    <row r="1748" spans="1:12" x14ac:dyDescent="0.25">
      <c r="A1748">
        <v>2513703</v>
      </c>
      <c r="B1748" t="str">
        <f t="shared" si="27"/>
        <v>SANTA RITA, PB, Brasil</v>
      </c>
      <c r="C1748" s="4" t="str">
        <f>_xlfn.XLOOKUP(A1748,[1]!DadosGHD[CD_GEOCMU],[1]!DadosGHD[Região])</f>
        <v>NE</v>
      </c>
      <c r="D1748" s="4" t="str">
        <f>_xlfn.XLOOKUP(A1748,[1]!DadosGHD[CD_GEOCMU],[1]!DadosGHD[uf])</f>
        <v>PB</v>
      </c>
      <c r="E1748" s="5" t="str">
        <f>_xlfn.XLOOKUP(A1748,[1]!DadosGHD[CD_GEOCMU],[1]!DadosGHD[MUNICIPIO])</f>
        <v>SANTA RITA</v>
      </c>
      <c r="F1748" s="6">
        <v>33.761505126953097</v>
      </c>
      <c r="G1748" s="6">
        <v>38.705936431884801</v>
      </c>
      <c r="H1748" s="6">
        <v>38.749378204345703</v>
      </c>
      <c r="I1748" s="6">
        <v>33.872837066650398</v>
      </c>
      <c r="J1748" s="6">
        <v>38.751953125</v>
      </c>
      <c r="K1748" s="6">
        <v>38.8076362609863</v>
      </c>
      <c r="L1748" s="6">
        <v>35.157405853271499</v>
      </c>
    </row>
    <row r="1749" spans="1:12" x14ac:dyDescent="0.25">
      <c r="A1749">
        <v>2917201</v>
      </c>
      <c r="B1749" t="str">
        <f t="shared" si="27"/>
        <v>ITUACU, BA, Brasil</v>
      </c>
      <c r="C1749" s="4" t="str">
        <f>_xlfn.XLOOKUP(A1749,[1]!DadosGHD[CD_GEOCMU],[1]!DadosGHD[Região])</f>
        <v>NE</v>
      </c>
      <c r="D1749" s="4" t="str">
        <f>_xlfn.XLOOKUP(A1749,[1]!DadosGHD[CD_GEOCMU],[1]!DadosGHD[uf])</f>
        <v>BA</v>
      </c>
      <c r="E1749" s="5" t="str">
        <f>_xlfn.XLOOKUP(A1749,[1]!DadosGHD[CD_GEOCMU],[1]!DadosGHD[MUNICIPIO])</f>
        <v>ITUACU</v>
      </c>
      <c r="F1749" s="6">
        <v>33.761508941650398</v>
      </c>
      <c r="G1749" s="6">
        <v>33.806308746337898</v>
      </c>
      <c r="H1749" s="6">
        <v>33.844978332519503</v>
      </c>
      <c r="I1749" s="6">
        <v>33.820552825927699</v>
      </c>
      <c r="J1749" s="6">
        <v>33.823944091796903</v>
      </c>
      <c r="K1749" s="6">
        <v>33.909927368164098</v>
      </c>
      <c r="L1749" s="6">
        <v>30.685798645019499</v>
      </c>
    </row>
    <row r="1750" spans="1:12" x14ac:dyDescent="0.25">
      <c r="A1750">
        <v>4310702</v>
      </c>
      <c r="B1750" t="str">
        <f t="shared" si="27"/>
        <v>ITATIBA DO SUL, RS, Brasil</v>
      </c>
      <c r="C1750" s="4" t="str">
        <f>_xlfn.XLOOKUP(A1750,[1]!DadosGHD[CD_GEOCMU],[1]!DadosGHD[Região])</f>
        <v>SL</v>
      </c>
      <c r="D1750" s="4" t="str">
        <f>_xlfn.XLOOKUP(A1750,[1]!DadosGHD[CD_GEOCMU],[1]!DadosGHD[uf])</f>
        <v>RS</v>
      </c>
      <c r="E1750" s="5" t="str">
        <f>_xlfn.XLOOKUP(A1750,[1]!DadosGHD[CD_GEOCMU],[1]!DadosGHD[MUNICIPIO])</f>
        <v>ITATIBA DO SUL</v>
      </c>
      <c r="F1750" s="6">
        <v>33.7615966796875</v>
      </c>
      <c r="G1750" s="6">
        <v>43.699558258056598</v>
      </c>
      <c r="H1750" s="6">
        <v>53.749469757080099</v>
      </c>
      <c r="I1750" s="6">
        <v>53.7329292297363</v>
      </c>
      <c r="J1750" s="6">
        <v>53.776813507080099</v>
      </c>
      <c r="K1750" s="6">
        <v>53.867748260498097</v>
      </c>
      <c r="L1750" s="6">
        <v>39.574005126953097</v>
      </c>
    </row>
    <row r="1751" spans="1:12" x14ac:dyDescent="0.25">
      <c r="A1751">
        <v>2907806</v>
      </c>
      <c r="B1751" t="str">
        <f t="shared" si="27"/>
        <v>CICERO DANTAS, BA, Brasil</v>
      </c>
      <c r="C1751" s="4" t="str">
        <f>_xlfn.XLOOKUP(A1751,[1]!DadosGHD[CD_GEOCMU],[1]!DadosGHD[Região])</f>
        <v>NE</v>
      </c>
      <c r="D1751" s="4" t="str">
        <f>_xlfn.XLOOKUP(A1751,[1]!DadosGHD[CD_GEOCMU],[1]!DadosGHD[uf])</f>
        <v>BA</v>
      </c>
      <c r="E1751" s="5" t="str">
        <f>_xlfn.XLOOKUP(A1751,[1]!DadosGHD[CD_GEOCMU],[1]!DadosGHD[MUNICIPIO])</f>
        <v>CICERO DANTAS</v>
      </c>
      <c r="F1751" s="6">
        <v>33.761772155761697</v>
      </c>
      <c r="G1751" s="6">
        <v>38.6903076171875</v>
      </c>
      <c r="H1751" s="6">
        <v>38.743637084960902</v>
      </c>
      <c r="I1751" s="6">
        <v>38.808727264404297</v>
      </c>
      <c r="J1751" s="6">
        <v>43.7308959960938</v>
      </c>
      <c r="K1751" s="6">
        <v>38.875770568847699</v>
      </c>
      <c r="L1751" s="6">
        <v>39.577468872070298</v>
      </c>
    </row>
    <row r="1752" spans="1:12" x14ac:dyDescent="0.25">
      <c r="A1752">
        <v>2106102</v>
      </c>
      <c r="B1752" t="str">
        <f t="shared" si="27"/>
        <v>LORETO, MA, Brasil</v>
      </c>
      <c r="C1752" s="4" t="str">
        <f>_xlfn.XLOOKUP(A1752,[1]!DadosGHD[CD_GEOCMU],[1]!DadosGHD[Região])</f>
        <v>NE</v>
      </c>
      <c r="D1752" s="4" t="str">
        <f>_xlfn.XLOOKUP(A1752,[1]!DadosGHD[CD_GEOCMU],[1]!DadosGHD[uf])</f>
        <v>MA</v>
      </c>
      <c r="E1752" s="5" t="str">
        <f>_xlfn.XLOOKUP(A1752,[1]!DadosGHD[CD_GEOCMU],[1]!DadosGHD[MUNICIPIO])</f>
        <v>LORETO</v>
      </c>
      <c r="F1752" s="6">
        <v>33.761817932128899</v>
      </c>
      <c r="G1752" s="6">
        <v>38.715831756591797</v>
      </c>
      <c r="H1752" s="6">
        <v>38.771442413330099</v>
      </c>
      <c r="I1752" s="6">
        <v>38.753463745117202</v>
      </c>
      <c r="J1752" s="6">
        <v>38.760536193847699</v>
      </c>
      <c r="K1752" s="6">
        <v>38.7828178405762</v>
      </c>
      <c r="L1752" s="6">
        <v>26.296461105346701</v>
      </c>
    </row>
    <row r="1753" spans="1:12" x14ac:dyDescent="0.25">
      <c r="A1753">
        <v>2311603</v>
      </c>
      <c r="B1753" t="str">
        <f t="shared" si="27"/>
        <v>REDENCAO, CE, Brasil</v>
      </c>
      <c r="C1753" s="4" t="str">
        <f>_xlfn.XLOOKUP(A1753,[1]!DadosGHD[CD_GEOCMU],[1]!DadosGHD[Região])</f>
        <v>NE</v>
      </c>
      <c r="D1753" s="4" t="str">
        <f>_xlfn.XLOOKUP(A1753,[1]!DadosGHD[CD_GEOCMU],[1]!DadosGHD[uf])</f>
        <v>CE</v>
      </c>
      <c r="E1753" s="5" t="str">
        <f>_xlfn.XLOOKUP(A1753,[1]!DadosGHD[CD_GEOCMU],[1]!DadosGHD[MUNICIPIO])</f>
        <v>REDENCAO</v>
      </c>
      <c r="F1753" s="6">
        <v>33.761878967285199</v>
      </c>
      <c r="G1753" s="6">
        <v>33.831626892089801</v>
      </c>
      <c r="H1753" s="6">
        <v>33.8740425109863</v>
      </c>
      <c r="I1753" s="6">
        <v>33.849777221679702</v>
      </c>
      <c r="J1753" s="6">
        <v>38.752449035644503</v>
      </c>
      <c r="K1753" s="6">
        <v>38.865474700927699</v>
      </c>
      <c r="L1753" s="6">
        <v>39.598926544189503</v>
      </c>
    </row>
    <row r="1754" spans="1:12" x14ac:dyDescent="0.25">
      <c r="A1754">
        <v>1400175</v>
      </c>
      <c r="B1754" t="str">
        <f t="shared" si="27"/>
        <v>CANTA, RR, Brasil</v>
      </c>
      <c r="C1754" s="4" t="str">
        <f>_xlfn.XLOOKUP(A1754,[1]!DadosGHD[CD_GEOCMU],[1]!DadosGHD[Região])</f>
        <v>NO</v>
      </c>
      <c r="D1754" s="4" t="str">
        <f>_xlfn.XLOOKUP(A1754,[1]!DadosGHD[CD_GEOCMU],[1]!DadosGHD[uf])</f>
        <v>RR</v>
      </c>
      <c r="E1754" s="5" t="str">
        <f>_xlfn.XLOOKUP(A1754,[1]!DadosGHD[CD_GEOCMU],[1]!DadosGHD[MUNICIPIO])</f>
        <v>CANTA</v>
      </c>
      <c r="F1754" s="6">
        <v>33.761913299560597</v>
      </c>
      <c r="G1754" s="6">
        <v>33.801971435546903</v>
      </c>
      <c r="H1754" s="6">
        <v>33.831413269042997</v>
      </c>
      <c r="I1754" s="6">
        <v>33.803459167480497</v>
      </c>
      <c r="J1754" s="6">
        <v>28.956619262695298</v>
      </c>
      <c r="K1754" s="6">
        <v>28.9686679840088</v>
      </c>
      <c r="L1754" s="6">
        <v>26.2798957824707</v>
      </c>
    </row>
    <row r="1755" spans="1:12" x14ac:dyDescent="0.25">
      <c r="A1755">
        <v>2919108</v>
      </c>
      <c r="B1755" t="str">
        <f t="shared" si="27"/>
        <v>LAMARAO, BA, Brasil</v>
      </c>
      <c r="C1755" s="4" t="str">
        <f>_xlfn.XLOOKUP(A1755,[1]!DadosGHD[CD_GEOCMU],[1]!DadosGHD[Região])</f>
        <v>NE</v>
      </c>
      <c r="D1755" s="4" t="str">
        <f>_xlfn.XLOOKUP(A1755,[1]!DadosGHD[CD_GEOCMU],[1]!DadosGHD[uf])</f>
        <v>BA</v>
      </c>
      <c r="E1755" s="5" t="str">
        <f>_xlfn.XLOOKUP(A1755,[1]!DadosGHD[CD_GEOCMU],[1]!DadosGHD[MUNICIPIO])</f>
        <v>LAMARAO</v>
      </c>
      <c r="F1755" s="6">
        <v>33.761940002441399</v>
      </c>
      <c r="G1755" s="6">
        <v>38.687065124511697</v>
      </c>
      <c r="H1755" s="6">
        <v>38.743278503417997</v>
      </c>
      <c r="I1755" s="6">
        <v>38.719863891601598</v>
      </c>
      <c r="J1755" s="6">
        <v>38.742500305175803</v>
      </c>
      <c r="K1755" s="6">
        <v>33.871700286865199</v>
      </c>
      <c r="L1755" s="6">
        <v>26.286952972412099</v>
      </c>
    </row>
    <row r="1756" spans="1:12" x14ac:dyDescent="0.25">
      <c r="A1756">
        <v>5214408</v>
      </c>
      <c r="B1756" t="str">
        <f t="shared" si="27"/>
        <v>NAZARIO, GO, Brasil</v>
      </c>
      <c r="C1756" s="4" t="str">
        <f>_xlfn.XLOOKUP(A1756,[1]!DadosGHD[CD_GEOCMU],[1]!DadosGHD[Região])</f>
        <v>CO</v>
      </c>
      <c r="D1756" s="4" t="str">
        <f>_xlfn.XLOOKUP(A1756,[1]!DadosGHD[CD_GEOCMU],[1]!DadosGHD[uf])</f>
        <v>GO</v>
      </c>
      <c r="E1756" s="5" t="str">
        <f>_xlfn.XLOOKUP(A1756,[1]!DadosGHD[CD_GEOCMU],[1]!DadosGHD[MUNICIPIO])</f>
        <v>NAZARIO</v>
      </c>
      <c r="F1756" s="6">
        <v>33.761962890625</v>
      </c>
      <c r="G1756" s="6">
        <v>33.8257865905762</v>
      </c>
      <c r="H1756" s="6">
        <v>38.746955871582003</v>
      </c>
      <c r="I1756" s="6">
        <v>33.863800048828097</v>
      </c>
      <c r="J1756" s="6">
        <v>38.795623779296903</v>
      </c>
      <c r="K1756" s="6">
        <v>38.838386535644503</v>
      </c>
      <c r="L1756" s="6">
        <v>39.560497283935597</v>
      </c>
    </row>
    <row r="1757" spans="1:12" x14ac:dyDescent="0.25">
      <c r="A1757">
        <v>4311981</v>
      </c>
      <c r="B1757" t="str">
        <f t="shared" si="27"/>
        <v>MARIANA PIMENTEL, RS, Brasil</v>
      </c>
      <c r="C1757" s="4" t="str">
        <f>_xlfn.XLOOKUP(A1757,[1]!DadosGHD[CD_GEOCMU],[1]!DadosGHD[Região])</f>
        <v>SL</v>
      </c>
      <c r="D1757" s="4" t="str">
        <f>_xlfn.XLOOKUP(A1757,[1]!DadosGHD[CD_GEOCMU],[1]!DadosGHD[uf])</f>
        <v>RS</v>
      </c>
      <c r="E1757" s="5" t="str">
        <f>_xlfn.XLOOKUP(A1757,[1]!DadosGHD[CD_GEOCMU],[1]!DadosGHD[MUNICIPIO])</f>
        <v>MARIANA PIMENTEL</v>
      </c>
      <c r="F1757" s="6">
        <v>33.761966705322301</v>
      </c>
      <c r="G1757" s="6">
        <v>43.683109283447301</v>
      </c>
      <c r="H1757" s="6">
        <v>43.769542694091797</v>
      </c>
      <c r="I1757" s="6">
        <v>43.792087554931598</v>
      </c>
      <c r="J1757" s="6">
        <v>48.740898132324197</v>
      </c>
      <c r="K1757" s="6">
        <v>48.860115051269503</v>
      </c>
      <c r="L1757" s="6">
        <v>48.503425598144503</v>
      </c>
    </row>
    <row r="1758" spans="1:12" x14ac:dyDescent="0.25">
      <c r="A1758">
        <v>2912301</v>
      </c>
      <c r="B1758" t="str">
        <f t="shared" si="27"/>
        <v>IBICUI, BA, Brasil</v>
      </c>
      <c r="C1758" s="4" t="str">
        <f>_xlfn.XLOOKUP(A1758,[1]!DadosGHD[CD_GEOCMU],[1]!DadosGHD[Região])</f>
        <v>NE</v>
      </c>
      <c r="D1758" s="4" t="str">
        <f>_xlfn.XLOOKUP(A1758,[1]!DadosGHD[CD_GEOCMU],[1]!DadosGHD[uf])</f>
        <v>BA</v>
      </c>
      <c r="E1758" s="5" t="str">
        <f>_xlfn.XLOOKUP(A1758,[1]!DadosGHD[CD_GEOCMU],[1]!DadosGHD[MUNICIPIO])</f>
        <v>IBICUI</v>
      </c>
      <c r="F1758" s="6">
        <v>33.762096405029297</v>
      </c>
      <c r="G1758" s="6">
        <v>33.814304351806598</v>
      </c>
      <c r="H1758" s="6">
        <v>33.872165679931598</v>
      </c>
      <c r="I1758" s="6">
        <v>33.851016998291001</v>
      </c>
      <c r="J1758" s="6">
        <v>33.845005035400398</v>
      </c>
      <c r="K1758" s="6">
        <v>33.88720703125</v>
      </c>
      <c r="L1758" s="6">
        <v>30.700498580932599</v>
      </c>
    </row>
    <row r="1759" spans="1:12" x14ac:dyDescent="0.25">
      <c r="A1759">
        <v>2915502</v>
      </c>
      <c r="B1759" t="str">
        <f t="shared" si="27"/>
        <v>ITAJUIPE, BA, Brasil</v>
      </c>
      <c r="C1759" s="4" t="str">
        <f>_xlfn.XLOOKUP(A1759,[1]!DadosGHD[CD_GEOCMU],[1]!DadosGHD[Região])</f>
        <v>NE</v>
      </c>
      <c r="D1759" s="4" t="str">
        <f>_xlfn.XLOOKUP(A1759,[1]!DadosGHD[CD_GEOCMU],[1]!DadosGHD[uf])</f>
        <v>BA</v>
      </c>
      <c r="E1759" s="5" t="str">
        <f>_xlfn.XLOOKUP(A1759,[1]!DadosGHD[CD_GEOCMU],[1]!DadosGHD[MUNICIPIO])</f>
        <v>ITAJUIPE</v>
      </c>
      <c r="F1759" s="6">
        <v>33.7621040344238</v>
      </c>
      <c r="G1759" s="6">
        <v>33.824874877929702</v>
      </c>
      <c r="H1759" s="6">
        <v>33.862319946289098</v>
      </c>
      <c r="I1759" s="6">
        <v>33.834800720214801</v>
      </c>
      <c r="J1759" s="6">
        <v>33.860706329345703</v>
      </c>
      <c r="K1759" s="6">
        <v>33.9190864562988</v>
      </c>
      <c r="L1759" s="6">
        <v>30.7024841308594</v>
      </c>
    </row>
    <row r="1760" spans="1:12" x14ac:dyDescent="0.25">
      <c r="A1760">
        <v>2504405</v>
      </c>
      <c r="B1760" t="str">
        <f t="shared" si="27"/>
        <v>CONCEICAO, PB, Brasil</v>
      </c>
      <c r="C1760" s="4" t="str">
        <f>_xlfn.XLOOKUP(A1760,[1]!DadosGHD[CD_GEOCMU],[1]!DadosGHD[Região])</f>
        <v>NE</v>
      </c>
      <c r="D1760" s="4" t="str">
        <f>_xlfn.XLOOKUP(A1760,[1]!DadosGHD[CD_GEOCMU],[1]!DadosGHD[uf])</f>
        <v>PB</v>
      </c>
      <c r="E1760" s="5" t="str">
        <f>_xlfn.XLOOKUP(A1760,[1]!DadosGHD[CD_GEOCMU],[1]!DadosGHD[MUNICIPIO])</f>
        <v>CONCEICAO</v>
      </c>
      <c r="F1760" s="6">
        <v>33.762157440185597</v>
      </c>
      <c r="G1760" s="6">
        <v>33.831291198730497</v>
      </c>
      <c r="H1760" s="6">
        <v>33.877277374267599</v>
      </c>
      <c r="I1760" s="6">
        <v>33.8569946289063</v>
      </c>
      <c r="J1760" s="6">
        <v>33.881671905517599</v>
      </c>
      <c r="K1760" s="6">
        <v>33.919486999511697</v>
      </c>
      <c r="L1760" s="6">
        <v>30.685815811157202</v>
      </c>
    </row>
    <row r="1761" spans="1:12" x14ac:dyDescent="0.25">
      <c r="A1761">
        <v>4311759</v>
      </c>
      <c r="B1761" t="str">
        <f t="shared" si="27"/>
        <v>MANOEL VIANA, RS, Brasil</v>
      </c>
      <c r="C1761" s="4" t="str">
        <f>_xlfn.XLOOKUP(A1761,[1]!DadosGHD[CD_GEOCMU],[1]!DadosGHD[Região])</f>
        <v>SL</v>
      </c>
      <c r="D1761" s="4" t="str">
        <f>_xlfn.XLOOKUP(A1761,[1]!DadosGHD[CD_GEOCMU],[1]!DadosGHD[uf])</f>
        <v>RS</v>
      </c>
      <c r="E1761" s="5" t="str">
        <f>_xlfn.XLOOKUP(A1761,[1]!DadosGHD[CD_GEOCMU],[1]!DadosGHD[MUNICIPIO])</f>
        <v>MANOEL VIANA</v>
      </c>
      <c r="F1761" s="6">
        <v>33.762321472167997</v>
      </c>
      <c r="G1761" s="6">
        <v>38.7545166015625</v>
      </c>
      <c r="H1761" s="6">
        <v>38.785621643066399</v>
      </c>
      <c r="I1761" s="6">
        <v>38.796817779541001</v>
      </c>
      <c r="J1761" s="6">
        <v>43.722831726074197</v>
      </c>
      <c r="K1761" s="6">
        <v>43.816959381103501</v>
      </c>
      <c r="L1761" s="6">
        <v>52.981082916259801</v>
      </c>
    </row>
    <row r="1762" spans="1:12" x14ac:dyDescent="0.25">
      <c r="A1762">
        <v>2311108</v>
      </c>
      <c r="B1762" t="str">
        <f t="shared" si="27"/>
        <v>PORTEIRAS, CE, Brasil</v>
      </c>
      <c r="C1762" s="4" t="str">
        <f>_xlfn.XLOOKUP(A1762,[1]!DadosGHD[CD_GEOCMU],[1]!DadosGHD[Região])</f>
        <v>NE</v>
      </c>
      <c r="D1762" s="4" t="str">
        <f>_xlfn.XLOOKUP(A1762,[1]!DadosGHD[CD_GEOCMU],[1]!DadosGHD[uf])</f>
        <v>CE</v>
      </c>
      <c r="E1762" s="5" t="str">
        <f>_xlfn.XLOOKUP(A1762,[1]!DadosGHD[CD_GEOCMU],[1]!DadosGHD[MUNICIPIO])</f>
        <v>PORTEIRAS</v>
      </c>
      <c r="F1762" s="6">
        <v>33.762565612792997</v>
      </c>
      <c r="G1762" s="6">
        <v>33.815696716308601</v>
      </c>
      <c r="H1762" s="6">
        <v>33.854091644287102</v>
      </c>
      <c r="I1762" s="6">
        <v>33.835842132568402</v>
      </c>
      <c r="J1762" s="6">
        <v>33.853832244873097</v>
      </c>
      <c r="K1762" s="6">
        <v>33.8864936828613</v>
      </c>
      <c r="L1762" s="6">
        <v>26.285364151001001</v>
      </c>
    </row>
    <row r="1763" spans="1:12" x14ac:dyDescent="0.25">
      <c r="A1763">
        <v>1703008</v>
      </c>
      <c r="B1763" t="str">
        <f t="shared" si="27"/>
        <v>BABACULANDIA, TO, Brasil</v>
      </c>
      <c r="C1763" s="4" t="str">
        <f>_xlfn.XLOOKUP(A1763,[1]!DadosGHD[CD_GEOCMU],[1]!DadosGHD[Região])</f>
        <v>NO</v>
      </c>
      <c r="D1763" s="4" t="str">
        <f>_xlfn.XLOOKUP(A1763,[1]!DadosGHD[CD_GEOCMU],[1]!DadosGHD[uf])</f>
        <v>TO</v>
      </c>
      <c r="E1763" s="5" t="str">
        <f>_xlfn.XLOOKUP(A1763,[1]!DadosGHD[CD_GEOCMU],[1]!DadosGHD[MUNICIPIO])</f>
        <v>BABACULANDIA</v>
      </c>
      <c r="F1763" s="6">
        <v>33.762645721435597</v>
      </c>
      <c r="G1763" s="6">
        <v>33.828392028808601</v>
      </c>
      <c r="H1763" s="6">
        <v>33.862056732177699</v>
      </c>
      <c r="I1763" s="6">
        <v>33.834190368652301</v>
      </c>
      <c r="J1763" s="6">
        <v>33.857040405273402</v>
      </c>
      <c r="K1763" s="6">
        <v>28.9950981140137</v>
      </c>
      <c r="L1763" s="6">
        <v>26.289791107177699</v>
      </c>
    </row>
    <row r="1764" spans="1:12" x14ac:dyDescent="0.25">
      <c r="A1764">
        <v>2110302</v>
      </c>
      <c r="B1764" t="str">
        <f t="shared" si="27"/>
        <v>SANTO ANTONIO DOS LOPES, MA, Brasil</v>
      </c>
      <c r="C1764" s="4" t="str">
        <f>_xlfn.XLOOKUP(A1764,[1]!DadosGHD[CD_GEOCMU],[1]!DadosGHD[Região])</f>
        <v>NE</v>
      </c>
      <c r="D1764" s="4" t="str">
        <f>_xlfn.XLOOKUP(A1764,[1]!DadosGHD[CD_GEOCMU],[1]!DadosGHD[uf])</f>
        <v>MA</v>
      </c>
      <c r="E1764" s="5" t="str">
        <f>_xlfn.XLOOKUP(A1764,[1]!DadosGHD[CD_GEOCMU],[1]!DadosGHD[MUNICIPIO])</f>
        <v>SANTO ANTONIO DOS LOPES</v>
      </c>
      <c r="F1764" s="6">
        <v>33.762657165527301</v>
      </c>
      <c r="G1764" s="6">
        <v>33.810386657714801</v>
      </c>
      <c r="H1764" s="6">
        <v>33.828109741210902</v>
      </c>
      <c r="I1764" s="6">
        <v>33.8059272766113</v>
      </c>
      <c r="J1764" s="6">
        <v>33.823009490966797</v>
      </c>
      <c r="K1764" s="6">
        <v>33.8510551452637</v>
      </c>
      <c r="L1764" s="6">
        <v>26.285842895507798</v>
      </c>
    </row>
    <row r="1765" spans="1:12" x14ac:dyDescent="0.25">
      <c r="A1765">
        <v>2919702</v>
      </c>
      <c r="B1765" t="str">
        <f t="shared" si="27"/>
        <v>MACARANI, BA, Brasil</v>
      </c>
      <c r="C1765" s="4" t="str">
        <f>_xlfn.XLOOKUP(A1765,[1]!DadosGHD[CD_GEOCMU],[1]!DadosGHD[Região])</f>
        <v>NE</v>
      </c>
      <c r="D1765" s="4" t="str">
        <f>_xlfn.XLOOKUP(A1765,[1]!DadosGHD[CD_GEOCMU],[1]!DadosGHD[uf])</f>
        <v>BA</v>
      </c>
      <c r="E1765" s="5" t="str">
        <f>_xlfn.XLOOKUP(A1765,[1]!DadosGHD[CD_GEOCMU],[1]!DadosGHD[MUNICIPIO])</f>
        <v>MACARANI</v>
      </c>
      <c r="F1765" s="6">
        <v>33.762866973877003</v>
      </c>
      <c r="G1765" s="6">
        <v>33.829235076904297</v>
      </c>
      <c r="H1765" s="6">
        <v>33.875930786132798</v>
      </c>
      <c r="I1765" s="6">
        <v>33.837902069091797</v>
      </c>
      <c r="J1765" s="6">
        <v>33.837680816650398</v>
      </c>
      <c r="K1765" s="6">
        <v>33.871555328369098</v>
      </c>
      <c r="L1765" s="6">
        <v>26.283592224121101</v>
      </c>
    </row>
    <row r="1766" spans="1:12" x14ac:dyDescent="0.25">
      <c r="A1766">
        <v>2411502</v>
      </c>
      <c r="B1766" t="str">
        <f t="shared" si="27"/>
        <v>SANTO ANTONIO, RN, Brasil</v>
      </c>
      <c r="C1766" s="4" t="str">
        <f>_xlfn.XLOOKUP(A1766,[1]!DadosGHD[CD_GEOCMU],[1]!DadosGHD[Região])</f>
        <v>NE</v>
      </c>
      <c r="D1766" s="4" t="str">
        <f>_xlfn.XLOOKUP(A1766,[1]!DadosGHD[CD_GEOCMU],[1]!DadosGHD[uf])</f>
        <v>RN</v>
      </c>
      <c r="E1766" s="5" t="str">
        <f>_xlfn.XLOOKUP(A1766,[1]!DadosGHD[CD_GEOCMU],[1]!DadosGHD[MUNICIPIO])</f>
        <v>SANTO ANTONIO</v>
      </c>
      <c r="F1766" s="6">
        <v>33.763065338134801</v>
      </c>
      <c r="G1766" s="6">
        <v>33.834117889404297</v>
      </c>
      <c r="H1766" s="6">
        <v>38.741432189941399</v>
      </c>
      <c r="I1766" s="6">
        <v>33.866142272949197</v>
      </c>
      <c r="J1766" s="6">
        <v>38.7776069641113</v>
      </c>
      <c r="K1766" s="6">
        <v>38.853153228759801</v>
      </c>
      <c r="L1766" s="6">
        <v>39.604831695556598</v>
      </c>
    </row>
    <row r="1767" spans="1:12" x14ac:dyDescent="0.25">
      <c r="A1767">
        <v>2201739</v>
      </c>
      <c r="B1767" t="str">
        <f t="shared" si="27"/>
        <v>BETANIA DO PIAUI, PI, Brasil</v>
      </c>
      <c r="C1767" s="4" t="str">
        <f>_xlfn.XLOOKUP(A1767,[1]!DadosGHD[CD_GEOCMU],[1]!DadosGHD[Região])</f>
        <v>NE</v>
      </c>
      <c r="D1767" s="4" t="str">
        <f>_xlfn.XLOOKUP(A1767,[1]!DadosGHD[CD_GEOCMU],[1]!DadosGHD[uf])</f>
        <v>PI</v>
      </c>
      <c r="E1767" s="5" t="str">
        <f>_xlfn.XLOOKUP(A1767,[1]!DadosGHD[CD_GEOCMU],[1]!DadosGHD[MUNICIPIO])</f>
        <v>BETANIA DO PIAUI</v>
      </c>
      <c r="F1767" s="6">
        <v>33.763088226318402</v>
      </c>
      <c r="G1767" s="6">
        <v>33.807014465332003</v>
      </c>
      <c r="H1767" s="6">
        <v>33.842975616455099</v>
      </c>
      <c r="I1767" s="6">
        <v>33.820365905761697</v>
      </c>
      <c r="J1767" s="6">
        <v>33.836940765380902</v>
      </c>
      <c r="K1767" s="6">
        <v>28.9966945648193</v>
      </c>
      <c r="L1767" s="6">
        <v>35.123764038085902</v>
      </c>
    </row>
    <row r="1768" spans="1:12" x14ac:dyDescent="0.25">
      <c r="A1768">
        <v>1707207</v>
      </c>
      <c r="B1768" t="str">
        <f t="shared" si="27"/>
        <v>DOIS IRMAOS DO TOCANTINS, TO, Brasil</v>
      </c>
      <c r="C1768" s="4" t="str">
        <f>_xlfn.XLOOKUP(A1768,[1]!DadosGHD[CD_GEOCMU],[1]!DadosGHD[Região])</f>
        <v>NO</v>
      </c>
      <c r="D1768" s="4" t="str">
        <f>_xlfn.XLOOKUP(A1768,[1]!DadosGHD[CD_GEOCMU],[1]!DadosGHD[uf])</f>
        <v>TO</v>
      </c>
      <c r="E1768" s="5" t="str">
        <f>_xlfn.XLOOKUP(A1768,[1]!DadosGHD[CD_GEOCMU],[1]!DadosGHD[MUNICIPIO])</f>
        <v>DOIS IRMAOS DO TOCANTINS</v>
      </c>
      <c r="F1768" s="6">
        <v>33.7631225585938</v>
      </c>
      <c r="G1768" s="6">
        <v>38.718986511230497</v>
      </c>
      <c r="H1768" s="6">
        <v>38.754257202148402</v>
      </c>
      <c r="I1768" s="6">
        <v>38.745475769042997</v>
      </c>
      <c r="J1768" s="6">
        <v>38.760974884033203</v>
      </c>
      <c r="K1768" s="6">
        <v>38.786094665527301</v>
      </c>
      <c r="L1768" s="6">
        <v>30.693788528442401</v>
      </c>
    </row>
    <row r="1769" spans="1:12" x14ac:dyDescent="0.25">
      <c r="A1769">
        <v>2202729</v>
      </c>
      <c r="B1769" t="str">
        <f t="shared" si="27"/>
        <v>COCAL DOS ALVES, PI, Brasil</v>
      </c>
      <c r="C1769" s="4" t="str">
        <f>_xlfn.XLOOKUP(A1769,[1]!DadosGHD[CD_GEOCMU],[1]!DadosGHD[Região])</f>
        <v>NE</v>
      </c>
      <c r="D1769" s="4" t="str">
        <f>_xlfn.XLOOKUP(A1769,[1]!DadosGHD[CD_GEOCMU],[1]!DadosGHD[uf])</f>
        <v>PI</v>
      </c>
      <c r="E1769" s="5" t="str">
        <f>_xlfn.XLOOKUP(A1769,[1]!DadosGHD[CD_GEOCMU],[1]!DadosGHD[MUNICIPIO])</f>
        <v>COCAL DOS ALVES</v>
      </c>
      <c r="F1769" s="6">
        <v>33.763210296630902</v>
      </c>
      <c r="G1769" s="6">
        <v>28.907878875732401</v>
      </c>
      <c r="H1769" s="6">
        <v>28.942651748657202</v>
      </c>
      <c r="I1769" s="6">
        <v>28.925045013427699</v>
      </c>
      <c r="J1769" s="6">
        <v>28.9409065246582</v>
      </c>
      <c r="K1769" s="6">
        <v>28.9686679840088</v>
      </c>
      <c r="L1769" s="6">
        <v>26.2798957824707</v>
      </c>
    </row>
    <row r="1770" spans="1:12" x14ac:dyDescent="0.25">
      <c r="A1770">
        <v>2203305</v>
      </c>
      <c r="B1770" t="str">
        <f t="shared" si="27"/>
        <v>DEMERVAL LOBAO, PI, Brasil</v>
      </c>
      <c r="C1770" s="4" t="str">
        <f>_xlfn.XLOOKUP(A1770,[1]!DadosGHD[CD_GEOCMU],[1]!DadosGHD[Região])</f>
        <v>NE</v>
      </c>
      <c r="D1770" s="4" t="str">
        <f>_xlfn.XLOOKUP(A1770,[1]!DadosGHD[CD_GEOCMU],[1]!DadosGHD[uf])</f>
        <v>PI</v>
      </c>
      <c r="E1770" s="5" t="str">
        <f>_xlfn.XLOOKUP(A1770,[1]!DadosGHD[CD_GEOCMU],[1]!DadosGHD[MUNICIPIO])</f>
        <v>DEMERVAL LOBAO</v>
      </c>
      <c r="F1770" s="6">
        <v>33.763248443603501</v>
      </c>
      <c r="G1770" s="6">
        <v>33.8257026672363</v>
      </c>
      <c r="H1770" s="6">
        <v>33.847808837890597</v>
      </c>
      <c r="I1770" s="6">
        <v>33.814895629882798</v>
      </c>
      <c r="J1770" s="6">
        <v>33.864009857177699</v>
      </c>
      <c r="K1770" s="6">
        <v>38.851005554199197</v>
      </c>
      <c r="L1770" s="6">
        <v>35.1599311828613</v>
      </c>
    </row>
    <row r="1771" spans="1:12" x14ac:dyDescent="0.25">
      <c r="A1771">
        <v>2301604</v>
      </c>
      <c r="B1771" t="str">
        <f t="shared" si="27"/>
        <v>ASSARE, CE, Brasil</v>
      </c>
      <c r="C1771" s="4" t="str">
        <f>_xlfn.XLOOKUP(A1771,[1]!DadosGHD[CD_GEOCMU],[1]!DadosGHD[Região])</f>
        <v>NE</v>
      </c>
      <c r="D1771" s="4" t="str">
        <f>_xlfn.XLOOKUP(A1771,[1]!DadosGHD[CD_GEOCMU],[1]!DadosGHD[uf])</f>
        <v>CE</v>
      </c>
      <c r="E1771" s="5" t="str">
        <f>_xlfn.XLOOKUP(A1771,[1]!DadosGHD[CD_GEOCMU],[1]!DadosGHD[MUNICIPIO])</f>
        <v>ASSARE</v>
      </c>
      <c r="F1771" s="6">
        <v>33.763278961181598</v>
      </c>
      <c r="G1771" s="6">
        <v>38.694499969482401</v>
      </c>
      <c r="H1771" s="6">
        <v>33.810890197753899</v>
      </c>
      <c r="I1771" s="6">
        <v>33.799724578857401</v>
      </c>
      <c r="J1771" s="6">
        <v>33.8130073547363</v>
      </c>
      <c r="K1771" s="6">
        <v>33.900119781494098</v>
      </c>
      <c r="L1771" s="6">
        <v>30.7187805175781</v>
      </c>
    </row>
    <row r="1772" spans="1:12" x14ac:dyDescent="0.25">
      <c r="A1772">
        <v>2414407</v>
      </c>
      <c r="B1772" t="str">
        <f t="shared" si="27"/>
        <v>TOUROS, RN, Brasil</v>
      </c>
      <c r="C1772" s="4" t="str">
        <f>_xlfn.XLOOKUP(A1772,[1]!DadosGHD[CD_GEOCMU],[1]!DadosGHD[Região])</f>
        <v>NE</v>
      </c>
      <c r="D1772" s="4" t="str">
        <f>_xlfn.XLOOKUP(A1772,[1]!DadosGHD[CD_GEOCMU],[1]!DadosGHD[uf])</f>
        <v>RN</v>
      </c>
      <c r="E1772" s="5" t="str">
        <f>_xlfn.XLOOKUP(A1772,[1]!DadosGHD[CD_GEOCMU],[1]!DadosGHD[MUNICIPIO])</f>
        <v>TOUROS</v>
      </c>
      <c r="F1772" s="6">
        <v>33.763404846191399</v>
      </c>
      <c r="G1772" s="6">
        <v>33.823795318603501</v>
      </c>
      <c r="H1772" s="6">
        <v>33.857421875</v>
      </c>
      <c r="I1772" s="6">
        <v>33.831981658935597</v>
      </c>
      <c r="J1772" s="6">
        <v>33.872402191162102</v>
      </c>
      <c r="K1772" s="6">
        <v>33.879203796386697</v>
      </c>
      <c r="L1772" s="6">
        <v>26.284130096435501</v>
      </c>
    </row>
    <row r="1773" spans="1:12" x14ac:dyDescent="0.25">
      <c r="A1773">
        <v>2906857</v>
      </c>
      <c r="B1773" t="str">
        <f t="shared" si="27"/>
        <v>CAPELA DO ALTO ALEGRE, BA, Brasil</v>
      </c>
      <c r="C1773" s="4" t="str">
        <f>_xlfn.XLOOKUP(A1773,[1]!DadosGHD[CD_GEOCMU],[1]!DadosGHD[Região])</f>
        <v>NE</v>
      </c>
      <c r="D1773" s="4" t="str">
        <f>_xlfn.XLOOKUP(A1773,[1]!DadosGHD[CD_GEOCMU],[1]!DadosGHD[uf])</f>
        <v>BA</v>
      </c>
      <c r="E1773" s="5" t="str">
        <f>_xlfn.XLOOKUP(A1773,[1]!DadosGHD[CD_GEOCMU],[1]!DadosGHD[MUNICIPIO])</f>
        <v>CAPELA DO ALTO ALEGRE</v>
      </c>
      <c r="F1773" s="6">
        <v>33.763477325439503</v>
      </c>
      <c r="G1773" s="6">
        <v>43.678165435791001</v>
      </c>
      <c r="H1773" s="6">
        <v>43.830142974853501</v>
      </c>
      <c r="I1773" s="6">
        <v>43.7828559875488</v>
      </c>
      <c r="J1773" s="6">
        <v>38.790390014648402</v>
      </c>
      <c r="K1773" s="6">
        <v>38.831607818603501</v>
      </c>
      <c r="L1773" s="6">
        <v>35.154361724853501</v>
      </c>
    </row>
    <row r="1774" spans="1:12" x14ac:dyDescent="0.25">
      <c r="A1774">
        <v>4311718</v>
      </c>
      <c r="B1774" t="str">
        <f t="shared" si="27"/>
        <v>MACAMBARA, RS, Brasil</v>
      </c>
      <c r="C1774" s="4" t="str">
        <f>_xlfn.XLOOKUP(A1774,[1]!DadosGHD[CD_GEOCMU],[1]!DadosGHD[Região])</f>
        <v>SL</v>
      </c>
      <c r="D1774" s="4" t="str">
        <f>_xlfn.XLOOKUP(A1774,[1]!DadosGHD[CD_GEOCMU],[1]!DadosGHD[uf])</f>
        <v>RS</v>
      </c>
      <c r="E1774" s="5" t="str">
        <f>_xlfn.XLOOKUP(A1774,[1]!DadosGHD[CD_GEOCMU],[1]!DadosGHD[MUNICIPIO])</f>
        <v>MACAMBARA</v>
      </c>
      <c r="F1774" s="6">
        <v>33.763484954833999</v>
      </c>
      <c r="G1774" s="6">
        <v>43.702323913574197</v>
      </c>
      <c r="H1774" s="6">
        <v>43.791107177734403</v>
      </c>
      <c r="I1774" s="6">
        <v>43.797248840332003</v>
      </c>
      <c r="J1774" s="6">
        <v>48.716346740722699</v>
      </c>
      <c r="K1774" s="6">
        <v>43.872882843017599</v>
      </c>
      <c r="L1774" s="6">
        <v>39.605197906494098</v>
      </c>
    </row>
    <row r="1775" spans="1:12" x14ac:dyDescent="0.25">
      <c r="A1775">
        <v>4303608</v>
      </c>
      <c r="B1775" t="str">
        <f t="shared" si="27"/>
        <v>CAMBARA DO SUL, RS, Brasil</v>
      </c>
      <c r="C1775" s="4" t="str">
        <f>_xlfn.XLOOKUP(A1775,[1]!DadosGHD[CD_GEOCMU],[1]!DadosGHD[Região])</f>
        <v>SL</v>
      </c>
      <c r="D1775" s="4" t="str">
        <f>_xlfn.XLOOKUP(A1775,[1]!DadosGHD[CD_GEOCMU],[1]!DadosGHD[uf])</f>
        <v>RS</v>
      </c>
      <c r="E1775" s="5" t="str">
        <f>_xlfn.XLOOKUP(A1775,[1]!DadosGHD[CD_GEOCMU],[1]!DadosGHD[MUNICIPIO])</f>
        <v>CAMBARA DO SUL</v>
      </c>
      <c r="F1775" s="6">
        <v>33.763576507568402</v>
      </c>
      <c r="G1775" s="6">
        <v>38.771781921386697</v>
      </c>
      <c r="H1775" s="6">
        <v>38.818771362304702</v>
      </c>
      <c r="I1775" s="6">
        <v>38.790439605712898</v>
      </c>
      <c r="J1775" s="6">
        <v>38.828132629394503</v>
      </c>
      <c r="K1775" s="6">
        <v>43.767650604248097</v>
      </c>
      <c r="L1775" s="6">
        <v>44.042163848877003</v>
      </c>
    </row>
    <row r="1776" spans="1:12" x14ac:dyDescent="0.25">
      <c r="A1776">
        <v>3138682</v>
      </c>
      <c r="B1776" t="str">
        <f t="shared" si="27"/>
        <v>LUISLANDIA, MG, Brasil</v>
      </c>
      <c r="C1776" s="4" t="str">
        <f>_xlfn.XLOOKUP(A1776,[1]!DadosGHD[CD_GEOCMU],[1]!DadosGHD[Região])</f>
        <v>SD</v>
      </c>
      <c r="D1776" s="4" t="str">
        <f>_xlfn.XLOOKUP(A1776,[1]!DadosGHD[CD_GEOCMU],[1]!DadosGHD[uf])</f>
        <v>MG</v>
      </c>
      <c r="E1776" s="5" t="str">
        <f>_xlfn.XLOOKUP(A1776,[1]!DadosGHD[CD_GEOCMU],[1]!DadosGHD[MUNICIPIO])</f>
        <v>LUISLANDIA</v>
      </c>
      <c r="F1776" s="6">
        <v>33.763668060302699</v>
      </c>
      <c r="G1776" s="6">
        <v>28.907878875732401</v>
      </c>
      <c r="H1776" s="6">
        <v>28.942651748657202</v>
      </c>
      <c r="I1776" s="6">
        <v>28.925045013427699</v>
      </c>
      <c r="J1776" s="6">
        <v>28.9409065246582</v>
      </c>
      <c r="K1776" s="6">
        <v>28.9686679840088</v>
      </c>
      <c r="L1776" s="6">
        <v>30.7022190093994</v>
      </c>
    </row>
    <row r="1777" spans="1:12" x14ac:dyDescent="0.25">
      <c r="A1777">
        <v>2505600</v>
      </c>
      <c r="B1777" t="str">
        <f t="shared" si="27"/>
        <v>DIAMANTE, PB, Brasil</v>
      </c>
      <c r="C1777" s="4" t="str">
        <f>_xlfn.XLOOKUP(A1777,[1]!DadosGHD[CD_GEOCMU],[1]!DadosGHD[Região])</f>
        <v>NE</v>
      </c>
      <c r="D1777" s="4" t="str">
        <f>_xlfn.XLOOKUP(A1777,[1]!DadosGHD[CD_GEOCMU],[1]!DadosGHD[uf])</f>
        <v>PB</v>
      </c>
      <c r="E1777" s="5" t="str">
        <f>_xlfn.XLOOKUP(A1777,[1]!DadosGHD[CD_GEOCMU],[1]!DadosGHD[MUNICIPIO])</f>
        <v>DIAMANTE</v>
      </c>
      <c r="F1777" s="6">
        <v>33.763828277587898</v>
      </c>
      <c r="G1777" s="6">
        <v>33.815685272216797</v>
      </c>
      <c r="H1777" s="6">
        <v>33.849498748779297</v>
      </c>
      <c r="I1777" s="6">
        <v>33.853225708007798</v>
      </c>
      <c r="J1777" s="6">
        <v>33.8626708984375</v>
      </c>
      <c r="K1777" s="6">
        <v>33.908859252929702</v>
      </c>
      <c r="L1777" s="6">
        <v>30.7120037078857</v>
      </c>
    </row>
    <row r="1778" spans="1:12" x14ac:dyDescent="0.25">
      <c r="A1778">
        <v>2806206</v>
      </c>
      <c r="B1778" t="str">
        <f t="shared" si="27"/>
        <v>SALGADO, SE, Brasil</v>
      </c>
      <c r="C1778" s="4" t="str">
        <f>_xlfn.XLOOKUP(A1778,[1]!DadosGHD[CD_GEOCMU],[1]!DadosGHD[Região])</f>
        <v>NE</v>
      </c>
      <c r="D1778" s="4" t="str">
        <f>_xlfn.XLOOKUP(A1778,[1]!DadosGHD[CD_GEOCMU],[1]!DadosGHD[uf])</f>
        <v>SE</v>
      </c>
      <c r="E1778" s="5" t="str">
        <f>_xlfn.XLOOKUP(A1778,[1]!DadosGHD[CD_GEOCMU],[1]!DadosGHD[MUNICIPIO])</f>
        <v>SALGADO</v>
      </c>
      <c r="F1778" s="6">
        <v>33.763927459716797</v>
      </c>
      <c r="G1778" s="6">
        <v>33.827640533447301</v>
      </c>
      <c r="H1778" s="6">
        <v>33.896820068359403</v>
      </c>
      <c r="I1778" s="6">
        <v>38.799816131591797</v>
      </c>
      <c r="J1778" s="6">
        <v>38.839881896972699</v>
      </c>
      <c r="K1778" s="6">
        <v>38.811805725097699</v>
      </c>
      <c r="L1778" s="6">
        <v>35.114501953125</v>
      </c>
    </row>
    <row r="1779" spans="1:12" x14ac:dyDescent="0.25">
      <c r="A1779">
        <v>2507705</v>
      </c>
      <c r="B1779" t="str">
        <f t="shared" si="27"/>
        <v>JUAZEIRINHO, PB, Brasil</v>
      </c>
      <c r="C1779" s="4" t="str">
        <f>_xlfn.XLOOKUP(A1779,[1]!DadosGHD[CD_GEOCMU],[1]!DadosGHD[Região])</f>
        <v>NE</v>
      </c>
      <c r="D1779" s="4" t="str">
        <f>_xlfn.XLOOKUP(A1779,[1]!DadosGHD[CD_GEOCMU],[1]!DadosGHD[uf])</f>
        <v>PB</v>
      </c>
      <c r="E1779" s="5" t="str">
        <f>_xlfn.XLOOKUP(A1779,[1]!DadosGHD[CD_GEOCMU],[1]!DadosGHD[MUNICIPIO])</f>
        <v>JUAZEIRINHO</v>
      </c>
      <c r="F1779" s="6">
        <v>33.7643852233887</v>
      </c>
      <c r="G1779" s="6">
        <v>33.822605133056598</v>
      </c>
      <c r="H1779" s="6">
        <v>33.885238647460902</v>
      </c>
      <c r="I1779" s="6">
        <v>33.8572998046875</v>
      </c>
      <c r="J1779" s="6">
        <v>33.877429962158203</v>
      </c>
      <c r="K1779" s="6">
        <v>38.841770172119098</v>
      </c>
      <c r="L1779" s="6">
        <v>44.017284393310597</v>
      </c>
    </row>
    <row r="1780" spans="1:12" x14ac:dyDescent="0.25">
      <c r="A1780">
        <v>2511301</v>
      </c>
      <c r="B1780" t="str">
        <f t="shared" si="27"/>
        <v>PIANCO, PB, Brasil</v>
      </c>
      <c r="C1780" s="4" t="str">
        <f>_xlfn.XLOOKUP(A1780,[1]!DadosGHD[CD_GEOCMU],[1]!DadosGHD[Região])</f>
        <v>NE</v>
      </c>
      <c r="D1780" s="4" t="str">
        <f>_xlfn.XLOOKUP(A1780,[1]!DadosGHD[CD_GEOCMU],[1]!DadosGHD[uf])</f>
        <v>PB</v>
      </c>
      <c r="E1780" s="5" t="str">
        <f>_xlfn.XLOOKUP(A1780,[1]!DadosGHD[CD_GEOCMU],[1]!DadosGHD[MUNICIPIO])</f>
        <v>PIANCO</v>
      </c>
      <c r="F1780" s="6">
        <v>33.764415740966797</v>
      </c>
      <c r="G1780" s="6">
        <v>33.817626953125</v>
      </c>
      <c r="H1780" s="6">
        <v>33.8733100891113</v>
      </c>
      <c r="I1780" s="6">
        <v>33.847709655761697</v>
      </c>
      <c r="J1780" s="6">
        <v>33.847728729248097</v>
      </c>
      <c r="K1780" s="6">
        <v>33.870449066162102</v>
      </c>
      <c r="L1780" s="6">
        <v>26.2845153808594</v>
      </c>
    </row>
    <row r="1781" spans="1:12" x14ac:dyDescent="0.25">
      <c r="A1781">
        <v>3534807</v>
      </c>
      <c r="B1781" t="str">
        <f t="shared" si="27"/>
        <v>OURO VERDE, SP, Brasil</v>
      </c>
      <c r="C1781" s="4" t="str">
        <f>_xlfn.XLOOKUP(A1781,[1]!DadosGHD[CD_GEOCMU],[1]!DadosGHD[Região])</f>
        <v>SD</v>
      </c>
      <c r="D1781" s="4" t="str">
        <f>_xlfn.XLOOKUP(A1781,[1]!DadosGHD[CD_GEOCMU],[1]!DadosGHD[uf])</f>
        <v>SP</v>
      </c>
      <c r="E1781" s="5" t="str">
        <f>_xlfn.XLOOKUP(A1781,[1]!DadosGHD[CD_GEOCMU],[1]!DadosGHD[MUNICIPIO])</f>
        <v>OURO VERDE</v>
      </c>
      <c r="F1781" s="6">
        <v>33.764434814453097</v>
      </c>
      <c r="G1781" s="6">
        <v>38.716342926025398</v>
      </c>
      <c r="H1781" s="6">
        <v>38.741996765136697</v>
      </c>
      <c r="I1781" s="6">
        <v>33.845783233642599</v>
      </c>
      <c r="J1781" s="6">
        <v>33.853340148925803</v>
      </c>
      <c r="K1781" s="6">
        <v>33.872390747070298</v>
      </c>
      <c r="L1781" s="6">
        <v>30.7184543609619</v>
      </c>
    </row>
    <row r="1782" spans="1:12" x14ac:dyDescent="0.25">
      <c r="A1782">
        <v>1700301</v>
      </c>
      <c r="B1782" t="str">
        <f t="shared" si="27"/>
        <v>AGUIARNOPOLIS, TO, Brasil</v>
      </c>
      <c r="C1782" s="4" t="str">
        <f>_xlfn.XLOOKUP(A1782,[1]!DadosGHD[CD_GEOCMU],[1]!DadosGHD[Região])</f>
        <v>NO</v>
      </c>
      <c r="D1782" s="4" t="str">
        <f>_xlfn.XLOOKUP(A1782,[1]!DadosGHD[CD_GEOCMU],[1]!DadosGHD[uf])</f>
        <v>TO</v>
      </c>
      <c r="E1782" s="5" t="str">
        <f>_xlfn.XLOOKUP(A1782,[1]!DadosGHD[CD_GEOCMU],[1]!DadosGHD[MUNICIPIO])</f>
        <v>AGUIARNOPOLIS</v>
      </c>
      <c r="F1782" s="6">
        <v>33.764480590820298</v>
      </c>
      <c r="G1782" s="6">
        <v>38.683841705322301</v>
      </c>
      <c r="H1782" s="6">
        <v>33.883716583252003</v>
      </c>
      <c r="I1782" s="6">
        <v>33.851749420166001</v>
      </c>
      <c r="J1782" s="6">
        <v>33.859577178955099</v>
      </c>
      <c r="K1782" s="6">
        <v>33.875038146972699</v>
      </c>
      <c r="L1782" s="6">
        <v>30.713375091552699</v>
      </c>
    </row>
    <row r="1783" spans="1:12" x14ac:dyDescent="0.25">
      <c r="A1783">
        <v>3116308</v>
      </c>
      <c r="B1783" t="str">
        <f t="shared" si="27"/>
        <v>CIPOTANEA, MG, Brasil</v>
      </c>
      <c r="C1783" s="4" t="str">
        <f>_xlfn.XLOOKUP(A1783,[1]!DadosGHD[CD_GEOCMU],[1]!DadosGHD[Região])</f>
        <v>SD</v>
      </c>
      <c r="D1783" s="4" t="str">
        <f>_xlfn.XLOOKUP(A1783,[1]!DadosGHD[CD_GEOCMU],[1]!DadosGHD[uf])</f>
        <v>MG</v>
      </c>
      <c r="E1783" s="5" t="str">
        <f>_xlfn.XLOOKUP(A1783,[1]!DadosGHD[CD_GEOCMU],[1]!DadosGHD[MUNICIPIO])</f>
        <v>CIPOTANEA</v>
      </c>
      <c r="F1783" s="6">
        <v>33.764514923095703</v>
      </c>
      <c r="G1783" s="6">
        <v>33.806339263916001</v>
      </c>
      <c r="H1783" s="6">
        <v>33.839813232421903</v>
      </c>
      <c r="I1783" s="6">
        <v>33.867908477783203</v>
      </c>
      <c r="J1783" s="6">
        <v>38.745964050292997</v>
      </c>
      <c r="K1783" s="6">
        <v>38.791690826416001</v>
      </c>
      <c r="L1783" s="6">
        <v>39.576118469238303</v>
      </c>
    </row>
    <row r="1784" spans="1:12" x14ac:dyDescent="0.25">
      <c r="A1784">
        <v>3118809</v>
      </c>
      <c r="B1784" t="str">
        <f t="shared" si="27"/>
        <v>CORACAO DE JESUS, MG, Brasil</v>
      </c>
      <c r="C1784" s="4" t="str">
        <f>_xlfn.XLOOKUP(A1784,[1]!DadosGHD[CD_GEOCMU],[1]!DadosGHD[Região])</f>
        <v>SD</v>
      </c>
      <c r="D1784" s="4" t="str">
        <f>_xlfn.XLOOKUP(A1784,[1]!DadosGHD[CD_GEOCMU],[1]!DadosGHD[uf])</f>
        <v>MG</v>
      </c>
      <c r="E1784" s="5" t="str">
        <f>_xlfn.XLOOKUP(A1784,[1]!DadosGHD[CD_GEOCMU],[1]!DadosGHD[MUNICIPIO])</f>
        <v>CORACAO DE JESUS</v>
      </c>
      <c r="F1784" s="6">
        <v>33.764553070068402</v>
      </c>
      <c r="G1784" s="6">
        <v>33.831169128417997</v>
      </c>
      <c r="H1784" s="6">
        <v>38.741703033447301</v>
      </c>
      <c r="I1784" s="6">
        <v>38.730636596679702</v>
      </c>
      <c r="J1784" s="6">
        <v>33.866855621337898</v>
      </c>
      <c r="K1784" s="6">
        <v>33.898097991943402</v>
      </c>
      <c r="L1784" s="6">
        <v>30.697067260742202</v>
      </c>
    </row>
    <row r="1785" spans="1:12" x14ac:dyDescent="0.25">
      <c r="A1785">
        <v>2706505</v>
      </c>
      <c r="B1785" t="str">
        <f t="shared" si="27"/>
        <v>PASSO DE CAMARAGIBE, AL, Brasil</v>
      </c>
      <c r="C1785" s="4" t="str">
        <f>_xlfn.XLOOKUP(A1785,[1]!DadosGHD[CD_GEOCMU],[1]!DadosGHD[Região])</f>
        <v>NE</v>
      </c>
      <c r="D1785" s="4" t="str">
        <f>_xlfn.XLOOKUP(A1785,[1]!DadosGHD[CD_GEOCMU],[1]!DadosGHD[uf])</f>
        <v>AL</v>
      </c>
      <c r="E1785" s="5" t="str">
        <f>_xlfn.XLOOKUP(A1785,[1]!DadosGHD[CD_GEOCMU],[1]!DadosGHD[MUNICIPIO])</f>
        <v>PASSO DE CAMARAGIBE</v>
      </c>
      <c r="F1785" s="6">
        <v>33.764556884765597</v>
      </c>
      <c r="G1785" s="6">
        <v>33.809516906738303</v>
      </c>
      <c r="H1785" s="6">
        <v>33.862850189208999</v>
      </c>
      <c r="I1785" s="6">
        <v>33.821537017822301</v>
      </c>
      <c r="J1785" s="6">
        <v>33.8142280578613</v>
      </c>
      <c r="K1785" s="6">
        <v>28.982395172119102</v>
      </c>
      <c r="L1785" s="6">
        <v>26.286945343017599</v>
      </c>
    </row>
    <row r="1786" spans="1:12" x14ac:dyDescent="0.25">
      <c r="A1786">
        <v>2209005</v>
      </c>
      <c r="B1786" t="str">
        <f t="shared" si="27"/>
        <v>RIO GRANDE DO PIAUI, PI, Brasil</v>
      </c>
      <c r="C1786" s="4" t="str">
        <f>_xlfn.XLOOKUP(A1786,[1]!DadosGHD[CD_GEOCMU],[1]!DadosGHD[Região])</f>
        <v>NE</v>
      </c>
      <c r="D1786" s="4" t="str">
        <f>_xlfn.XLOOKUP(A1786,[1]!DadosGHD[CD_GEOCMU],[1]!DadosGHD[uf])</f>
        <v>PI</v>
      </c>
      <c r="E1786" s="5" t="str">
        <f>_xlfn.XLOOKUP(A1786,[1]!DadosGHD[CD_GEOCMU],[1]!DadosGHD[MUNICIPIO])</f>
        <v>RIO GRANDE DO PIAUI</v>
      </c>
      <c r="F1786" s="6">
        <v>33.764610290527301</v>
      </c>
      <c r="G1786" s="6">
        <v>33.807193756103501</v>
      </c>
      <c r="H1786" s="6">
        <v>33.839118957519503</v>
      </c>
      <c r="I1786" s="6">
        <v>33.815639495849602</v>
      </c>
      <c r="J1786" s="6">
        <v>33.832675933837898</v>
      </c>
      <c r="K1786" s="6">
        <v>33.864410400390597</v>
      </c>
      <c r="L1786" s="6">
        <v>26.2908725738525</v>
      </c>
    </row>
    <row r="1787" spans="1:12" x14ac:dyDescent="0.25">
      <c r="A1787">
        <v>3146552</v>
      </c>
      <c r="B1787" t="str">
        <f t="shared" si="27"/>
        <v>PAI PEDRO, MG, Brasil</v>
      </c>
      <c r="C1787" s="4" t="str">
        <f>_xlfn.XLOOKUP(A1787,[1]!DadosGHD[CD_GEOCMU],[1]!DadosGHD[Região])</f>
        <v>SD</v>
      </c>
      <c r="D1787" s="4" t="str">
        <f>_xlfn.XLOOKUP(A1787,[1]!DadosGHD[CD_GEOCMU],[1]!DadosGHD[uf])</f>
        <v>MG</v>
      </c>
      <c r="E1787" s="5" t="str">
        <f>_xlfn.XLOOKUP(A1787,[1]!DadosGHD[CD_GEOCMU],[1]!DadosGHD[MUNICIPIO])</f>
        <v>PAI PEDRO</v>
      </c>
      <c r="F1787" s="6">
        <v>33.764636993408203</v>
      </c>
      <c r="G1787" s="6">
        <v>33.815277099609403</v>
      </c>
      <c r="H1787" s="6">
        <v>33.859806060791001</v>
      </c>
      <c r="I1787" s="6">
        <v>33.840179443359403</v>
      </c>
      <c r="J1787" s="6">
        <v>33.864677429199197</v>
      </c>
      <c r="K1787" s="6">
        <v>33.897449493408203</v>
      </c>
      <c r="L1787" s="6">
        <v>26.291923522949201</v>
      </c>
    </row>
    <row r="1788" spans="1:12" x14ac:dyDescent="0.25">
      <c r="A1788">
        <v>2917607</v>
      </c>
      <c r="B1788" t="str">
        <f t="shared" si="27"/>
        <v>JAGUAQUARA, BA, Brasil</v>
      </c>
      <c r="C1788" s="4" t="str">
        <f>_xlfn.XLOOKUP(A1788,[1]!DadosGHD[CD_GEOCMU],[1]!DadosGHD[Região])</f>
        <v>NE</v>
      </c>
      <c r="D1788" s="4" t="str">
        <f>_xlfn.XLOOKUP(A1788,[1]!DadosGHD[CD_GEOCMU],[1]!DadosGHD[uf])</f>
        <v>BA</v>
      </c>
      <c r="E1788" s="5" t="str">
        <f>_xlfn.XLOOKUP(A1788,[1]!DadosGHD[CD_GEOCMU],[1]!DadosGHD[MUNICIPIO])</f>
        <v>JAGUAQUARA</v>
      </c>
      <c r="F1788" s="6">
        <v>33.764663696289098</v>
      </c>
      <c r="G1788" s="6">
        <v>38.682968139648402</v>
      </c>
      <c r="H1788" s="6">
        <v>33.889518737792997</v>
      </c>
      <c r="I1788" s="6">
        <v>33.871593475341797</v>
      </c>
      <c r="J1788" s="6">
        <v>33.872283935546903</v>
      </c>
      <c r="K1788" s="6">
        <v>33.900886535644503</v>
      </c>
      <c r="L1788" s="6">
        <v>30.7021789550781</v>
      </c>
    </row>
    <row r="1789" spans="1:12" x14ac:dyDescent="0.25">
      <c r="A1789">
        <v>2601508</v>
      </c>
      <c r="B1789" t="str">
        <f t="shared" si="27"/>
        <v>BELEM DE MARIA, PE, Brasil</v>
      </c>
      <c r="C1789" s="4" t="str">
        <f>_xlfn.XLOOKUP(A1789,[1]!DadosGHD[CD_GEOCMU],[1]!DadosGHD[Região])</f>
        <v>NE</v>
      </c>
      <c r="D1789" s="4" t="str">
        <f>_xlfn.XLOOKUP(A1789,[1]!DadosGHD[CD_GEOCMU],[1]!DadosGHD[uf])</f>
        <v>PE</v>
      </c>
      <c r="E1789" s="5" t="str">
        <f>_xlfn.XLOOKUP(A1789,[1]!DadosGHD[CD_GEOCMU],[1]!DadosGHD[MUNICIPIO])</f>
        <v>BELEM DE MARIA</v>
      </c>
      <c r="F1789" s="6">
        <v>33.764682769775398</v>
      </c>
      <c r="G1789" s="6">
        <v>28.9231147766113</v>
      </c>
      <c r="H1789" s="6">
        <v>28.9646091461182</v>
      </c>
      <c r="I1789" s="6">
        <v>28.9514465332031</v>
      </c>
      <c r="J1789" s="6">
        <v>28.974092483520501</v>
      </c>
      <c r="K1789" s="6">
        <v>33.848575592041001</v>
      </c>
      <c r="L1789" s="6">
        <v>26.2798957824707</v>
      </c>
    </row>
    <row r="1790" spans="1:12" x14ac:dyDescent="0.25">
      <c r="A1790">
        <v>3144904</v>
      </c>
      <c r="B1790" t="str">
        <f t="shared" si="27"/>
        <v>NOVA MODICA, MG, Brasil</v>
      </c>
      <c r="C1790" s="4" t="str">
        <f>_xlfn.XLOOKUP(A1790,[1]!DadosGHD[CD_GEOCMU],[1]!DadosGHD[Região])</f>
        <v>SD</v>
      </c>
      <c r="D1790" s="4" t="str">
        <f>_xlfn.XLOOKUP(A1790,[1]!DadosGHD[CD_GEOCMU],[1]!DadosGHD[uf])</f>
        <v>MG</v>
      </c>
      <c r="E1790" s="5" t="str">
        <f>_xlfn.XLOOKUP(A1790,[1]!DadosGHD[CD_GEOCMU],[1]!DadosGHD[MUNICIPIO])</f>
        <v>NOVA MODICA</v>
      </c>
      <c r="F1790" s="6">
        <v>33.7647094726563</v>
      </c>
      <c r="G1790" s="6">
        <v>38.690650939941399</v>
      </c>
      <c r="H1790" s="6">
        <v>38.741859436035199</v>
      </c>
      <c r="I1790" s="6">
        <v>28.925045013427699</v>
      </c>
      <c r="J1790" s="6">
        <v>28.951372146606399</v>
      </c>
      <c r="K1790" s="6">
        <v>28.976819992065401</v>
      </c>
      <c r="L1790" s="6">
        <v>35.130859375</v>
      </c>
    </row>
    <row r="1791" spans="1:12" x14ac:dyDescent="0.25">
      <c r="A1791">
        <v>3166204</v>
      </c>
      <c r="B1791" t="str">
        <f t="shared" si="27"/>
        <v>SENHORA DOS REMEDIOS, MG, Brasil</v>
      </c>
      <c r="C1791" s="4" t="str">
        <f>_xlfn.XLOOKUP(A1791,[1]!DadosGHD[CD_GEOCMU],[1]!DadosGHD[Região])</f>
        <v>SD</v>
      </c>
      <c r="D1791" s="4" t="str">
        <f>_xlfn.XLOOKUP(A1791,[1]!DadosGHD[CD_GEOCMU],[1]!DadosGHD[uf])</f>
        <v>MG</v>
      </c>
      <c r="E1791" s="5" t="str">
        <f>_xlfn.XLOOKUP(A1791,[1]!DadosGHD[CD_GEOCMU],[1]!DadosGHD[MUNICIPIO])</f>
        <v>SENHORA DOS REMEDIOS</v>
      </c>
      <c r="F1791" s="6">
        <v>33.764812469482401</v>
      </c>
      <c r="G1791" s="6">
        <v>33.767257690429702</v>
      </c>
      <c r="H1791" s="6">
        <v>33.8523979187012</v>
      </c>
      <c r="I1791" s="6">
        <v>33.856163024902301</v>
      </c>
      <c r="J1791" s="6">
        <v>38.808868408203097</v>
      </c>
      <c r="K1791" s="6">
        <v>43.757286071777301</v>
      </c>
      <c r="L1791" s="6">
        <v>44.055744171142599</v>
      </c>
    </row>
    <row r="1792" spans="1:12" x14ac:dyDescent="0.25">
      <c r="A1792">
        <v>4125456</v>
      </c>
      <c r="B1792" t="str">
        <f t="shared" si="27"/>
        <v>SAO JOSE DAS PALMEIRAS, PR, Brasil</v>
      </c>
      <c r="C1792" s="4" t="str">
        <f>_xlfn.XLOOKUP(A1792,[1]!DadosGHD[CD_GEOCMU],[1]!DadosGHD[Região])</f>
        <v>SL</v>
      </c>
      <c r="D1792" s="4" t="str">
        <f>_xlfn.XLOOKUP(A1792,[1]!DadosGHD[CD_GEOCMU],[1]!DadosGHD[uf])</f>
        <v>PR</v>
      </c>
      <c r="E1792" s="5" t="str">
        <f>_xlfn.XLOOKUP(A1792,[1]!DadosGHD[CD_GEOCMU],[1]!DadosGHD[MUNICIPIO])</f>
        <v>SAO JOSE DAS PALMEIRAS</v>
      </c>
      <c r="F1792" s="6">
        <v>33.764949798583999</v>
      </c>
      <c r="G1792" s="6">
        <v>43.698162078857401</v>
      </c>
      <c r="H1792" s="6">
        <v>43.749641418457003</v>
      </c>
      <c r="I1792" s="6">
        <v>43.722339630127003</v>
      </c>
      <c r="J1792" s="6">
        <v>48.741348266601598</v>
      </c>
      <c r="K1792" s="6">
        <v>53.931491851806598</v>
      </c>
      <c r="L1792" s="6">
        <v>53.035812377929702</v>
      </c>
    </row>
    <row r="1793" spans="1:12" x14ac:dyDescent="0.25">
      <c r="A1793">
        <v>2311355</v>
      </c>
      <c r="B1793" t="str">
        <f t="shared" si="27"/>
        <v>QUIXELO, CE, Brasil</v>
      </c>
      <c r="C1793" s="4" t="str">
        <f>_xlfn.XLOOKUP(A1793,[1]!DadosGHD[CD_GEOCMU],[1]!DadosGHD[Região])</f>
        <v>NE</v>
      </c>
      <c r="D1793" s="4" t="str">
        <f>_xlfn.XLOOKUP(A1793,[1]!DadosGHD[CD_GEOCMU],[1]!DadosGHD[uf])</f>
        <v>CE</v>
      </c>
      <c r="E1793" s="5" t="str">
        <f>_xlfn.XLOOKUP(A1793,[1]!DadosGHD[CD_GEOCMU],[1]!DadosGHD[MUNICIPIO])</f>
        <v>QUIXELO</v>
      </c>
      <c r="F1793" s="6">
        <v>33.764957427978501</v>
      </c>
      <c r="G1793" s="6">
        <v>33.829524993896499</v>
      </c>
      <c r="H1793" s="6">
        <v>33.875717163085902</v>
      </c>
      <c r="I1793" s="6">
        <v>38.725147247314503</v>
      </c>
      <c r="J1793" s="6">
        <v>38.739311218261697</v>
      </c>
      <c r="K1793" s="6">
        <v>33.8794975280762</v>
      </c>
      <c r="L1793" s="6">
        <v>35.128181457519503</v>
      </c>
    </row>
    <row r="1794" spans="1:12" x14ac:dyDescent="0.25">
      <c r="A1794">
        <v>1200807</v>
      </c>
      <c r="B1794" t="str">
        <f t="shared" si="27"/>
        <v>PORTO ACRE, AC, Brasil</v>
      </c>
      <c r="C1794" s="4" t="str">
        <f>_xlfn.XLOOKUP(A1794,[1]!DadosGHD[CD_GEOCMU],[1]!DadosGHD[Região])</f>
        <v>NO</v>
      </c>
      <c r="D1794" s="4" t="str">
        <f>_xlfn.XLOOKUP(A1794,[1]!DadosGHD[CD_GEOCMU],[1]!DadosGHD[uf])</f>
        <v>AC</v>
      </c>
      <c r="E1794" s="5" t="str">
        <f>_xlfn.XLOOKUP(A1794,[1]!DadosGHD[CD_GEOCMU],[1]!DadosGHD[MUNICIPIO])</f>
        <v>PORTO ACRE</v>
      </c>
      <c r="F1794" s="6">
        <v>33.764961242675803</v>
      </c>
      <c r="G1794" s="6">
        <v>33.803073883056598</v>
      </c>
      <c r="H1794" s="6">
        <v>33.834049224853501</v>
      </c>
      <c r="I1794" s="6">
        <v>33.820350646972699</v>
      </c>
      <c r="J1794" s="6">
        <v>33.829750061035199</v>
      </c>
      <c r="K1794" s="6">
        <v>33.846122741699197</v>
      </c>
      <c r="L1794" s="6">
        <v>26.2861442565918</v>
      </c>
    </row>
    <row r="1795" spans="1:12" x14ac:dyDescent="0.25">
      <c r="A1795">
        <v>2104057</v>
      </c>
      <c r="B1795" t="str">
        <f t="shared" si="27"/>
        <v>ESTREITO, MA, Brasil</v>
      </c>
      <c r="C1795" s="4" t="str">
        <f>_xlfn.XLOOKUP(A1795,[1]!DadosGHD[CD_GEOCMU],[1]!DadosGHD[Região])</f>
        <v>NE</v>
      </c>
      <c r="D1795" s="4" t="str">
        <f>_xlfn.XLOOKUP(A1795,[1]!DadosGHD[CD_GEOCMU],[1]!DadosGHD[uf])</f>
        <v>MA</v>
      </c>
      <c r="E1795" s="5" t="str">
        <f>_xlfn.XLOOKUP(A1795,[1]!DadosGHD[CD_GEOCMU],[1]!DadosGHD[MUNICIPIO])</f>
        <v>ESTREITO</v>
      </c>
      <c r="F1795" s="6">
        <v>33.765003204345703</v>
      </c>
      <c r="G1795" s="6">
        <v>38.7287406921387</v>
      </c>
      <c r="H1795" s="6">
        <v>38.740623474121101</v>
      </c>
      <c r="I1795" s="6">
        <v>33.857006072998097</v>
      </c>
      <c r="J1795" s="6">
        <v>33.875186920166001</v>
      </c>
      <c r="K1795" s="6">
        <v>33.887462615966797</v>
      </c>
      <c r="L1795" s="6">
        <v>35.129310607910199</v>
      </c>
    </row>
    <row r="1796" spans="1:12" x14ac:dyDescent="0.25">
      <c r="A1796">
        <v>5215504</v>
      </c>
      <c r="B1796" t="str">
        <f t="shared" ref="B1796:B1859" si="28">_xlfn.CONCAT(E1796, ", ", D1796, ", Brasil")</f>
        <v>OUVIDOR, GO, Brasil</v>
      </c>
      <c r="C1796" s="4" t="str">
        <f>_xlfn.XLOOKUP(A1796,[1]!DadosGHD[CD_GEOCMU],[1]!DadosGHD[Região])</f>
        <v>CO</v>
      </c>
      <c r="D1796" s="4" t="str">
        <f>_xlfn.XLOOKUP(A1796,[1]!DadosGHD[CD_GEOCMU],[1]!DadosGHD[uf])</f>
        <v>GO</v>
      </c>
      <c r="E1796" s="5" t="str">
        <f>_xlfn.XLOOKUP(A1796,[1]!DadosGHD[CD_GEOCMU],[1]!DadosGHD[MUNICIPIO])</f>
        <v>OUVIDOR</v>
      </c>
      <c r="F1796" s="6">
        <v>33.765007019042997</v>
      </c>
      <c r="G1796" s="6">
        <v>38.705486297607401</v>
      </c>
      <c r="H1796" s="6">
        <v>38.7609672546387</v>
      </c>
      <c r="I1796" s="6">
        <v>33.873455047607401</v>
      </c>
      <c r="J1796" s="6">
        <v>38.773857116699197</v>
      </c>
      <c r="K1796" s="6">
        <v>38.879158020019503</v>
      </c>
      <c r="L1796" s="6">
        <v>39.578544616699197</v>
      </c>
    </row>
    <row r="1797" spans="1:12" x14ac:dyDescent="0.25">
      <c r="A1797">
        <v>2903904</v>
      </c>
      <c r="B1797" t="str">
        <f t="shared" si="28"/>
        <v>BOM JESUS DA LAPA, BA, Brasil</v>
      </c>
      <c r="C1797" s="4" t="str">
        <f>_xlfn.XLOOKUP(A1797,[1]!DadosGHD[CD_GEOCMU],[1]!DadosGHD[Região])</f>
        <v>NE</v>
      </c>
      <c r="D1797" s="4" t="str">
        <f>_xlfn.XLOOKUP(A1797,[1]!DadosGHD[CD_GEOCMU],[1]!DadosGHD[uf])</f>
        <v>BA</v>
      </c>
      <c r="E1797" s="5" t="str">
        <f>_xlfn.XLOOKUP(A1797,[1]!DadosGHD[CD_GEOCMU],[1]!DadosGHD[MUNICIPIO])</f>
        <v>BOM JESUS DA LAPA</v>
      </c>
      <c r="F1797" s="6">
        <v>33.765113830566399</v>
      </c>
      <c r="G1797" s="6">
        <v>33.827857971191399</v>
      </c>
      <c r="H1797" s="6">
        <v>33.868095397949197</v>
      </c>
      <c r="I1797" s="6">
        <v>33.846046447753899</v>
      </c>
      <c r="J1797" s="6">
        <v>33.860115051269503</v>
      </c>
      <c r="K1797" s="6">
        <v>33.898735046386697</v>
      </c>
      <c r="L1797" s="6">
        <v>30.686826705932599</v>
      </c>
    </row>
    <row r="1798" spans="1:12" x14ac:dyDescent="0.25">
      <c r="A1798">
        <v>3531605</v>
      </c>
      <c r="B1798" t="str">
        <f t="shared" si="28"/>
        <v>MONTE CASTELO, SP, Brasil</v>
      </c>
      <c r="C1798" s="4" t="str">
        <f>_xlfn.XLOOKUP(A1798,[1]!DadosGHD[CD_GEOCMU],[1]!DadosGHD[Região])</f>
        <v>SD</v>
      </c>
      <c r="D1798" s="4" t="str">
        <f>_xlfn.XLOOKUP(A1798,[1]!DadosGHD[CD_GEOCMU],[1]!DadosGHD[uf])</f>
        <v>SP</v>
      </c>
      <c r="E1798" s="5" t="str">
        <f>_xlfn.XLOOKUP(A1798,[1]!DadosGHD[CD_GEOCMU],[1]!DadosGHD[MUNICIPIO])</f>
        <v>MONTE CASTELO</v>
      </c>
      <c r="F1798" s="6">
        <v>33.76513671875</v>
      </c>
      <c r="G1798" s="6">
        <v>38.757404327392599</v>
      </c>
      <c r="H1798" s="6">
        <v>38.803657531738303</v>
      </c>
      <c r="I1798" s="6">
        <v>38.7857055664063</v>
      </c>
      <c r="J1798" s="6">
        <v>38.811927795410199</v>
      </c>
      <c r="K1798" s="6">
        <v>43.771507263183601</v>
      </c>
      <c r="L1798" s="6">
        <v>44.042594909667997</v>
      </c>
    </row>
    <row r="1799" spans="1:12" x14ac:dyDescent="0.25">
      <c r="A1799">
        <v>4312617</v>
      </c>
      <c r="B1799" t="str">
        <f t="shared" si="28"/>
        <v>MUITOS CAPOES, RS, Brasil</v>
      </c>
      <c r="C1799" s="4" t="str">
        <f>_xlfn.XLOOKUP(A1799,[1]!DadosGHD[CD_GEOCMU],[1]!DadosGHD[Região])</f>
        <v>SL</v>
      </c>
      <c r="D1799" s="4" t="str">
        <f>_xlfn.XLOOKUP(A1799,[1]!DadosGHD[CD_GEOCMU],[1]!DadosGHD[uf])</f>
        <v>RS</v>
      </c>
      <c r="E1799" s="5" t="str">
        <f>_xlfn.XLOOKUP(A1799,[1]!DadosGHD[CD_GEOCMU],[1]!DadosGHD[MUNICIPIO])</f>
        <v>MUITOS CAPOES</v>
      </c>
      <c r="F1799" s="6">
        <v>33.765148162841797</v>
      </c>
      <c r="G1799" s="6">
        <v>43.734031677246101</v>
      </c>
      <c r="H1799" s="6">
        <v>43.7946166992188</v>
      </c>
      <c r="I1799" s="6">
        <v>43.792667388916001</v>
      </c>
      <c r="J1799" s="6">
        <v>43.817699432373097</v>
      </c>
      <c r="K1799" s="6">
        <v>43.829032897949197</v>
      </c>
      <c r="L1799" s="6">
        <v>44.072479248046903</v>
      </c>
    </row>
    <row r="1800" spans="1:12" x14ac:dyDescent="0.25">
      <c r="A1800">
        <v>2201945</v>
      </c>
      <c r="B1800" t="str">
        <f t="shared" si="28"/>
        <v>BOQUEIRAO DO PIAUI, PI, Brasil</v>
      </c>
      <c r="C1800" s="4" t="str">
        <f>_xlfn.XLOOKUP(A1800,[1]!DadosGHD[CD_GEOCMU],[1]!DadosGHD[Região])</f>
        <v>NE</v>
      </c>
      <c r="D1800" s="4" t="str">
        <f>_xlfn.XLOOKUP(A1800,[1]!DadosGHD[CD_GEOCMU],[1]!DadosGHD[uf])</f>
        <v>PI</v>
      </c>
      <c r="E1800" s="5" t="str">
        <f>_xlfn.XLOOKUP(A1800,[1]!DadosGHD[CD_GEOCMU],[1]!DadosGHD[MUNICIPIO])</f>
        <v>BOQUEIRAO DO PIAUI</v>
      </c>
      <c r="F1800" s="6">
        <v>33.765243530273402</v>
      </c>
      <c r="G1800" s="6">
        <v>33.805908203125</v>
      </c>
      <c r="H1800" s="6">
        <v>33.839035034179702</v>
      </c>
      <c r="I1800" s="6">
        <v>33.8161430358887</v>
      </c>
      <c r="J1800" s="6">
        <v>33.832809448242202</v>
      </c>
      <c r="K1800" s="6">
        <v>28.9686679840088</v>
      </c>
      <c r="L1800" s="6">
        <v>26.2798957824707</v>
      </c>
    </row>
    <row r="1801" spans="1:12" x14ac:dyDescent="0.25">
      <c r="A1801">
        <v>3164506</v>
      </c>
      <c r="B1801" t="str">
        <f t="shared" si="28"/>
        <v>SAO SEBASTIAO DO MARANHAO, MG, Brasil</v>
      </c>
      <c r="C1801" s="4" t="str">
        <f>_xlfn.XLOOKUP(A1801,[1]!DadosGHD[CD_GEOCMU],[1]!DadosGHD[Região])</f>
        <v>SD</v>
      </c>
      <c r="D1801" s="4" t="str">
        <f>_xlfn.XLOOKUP(A1801,[1]!DadosGHD[CD_GEOCMU],[1]!DadosGHD[uf])</f>
        <v>MG</v>
      </c>
      <c r="E1801" s="5" t="str">
        <f>_xlfn.XLOOKUP(A1801,[1]!DadosGHD[CD_GEOCMU],[1]!DadosGHD[MUNICIPIO])</f>
        <v>SAO SEBASTIAO DO MARANHAO</v>
      </c>
      <c r="F1801" s="6">
        <v>33.765289306640597</v>
      </c>
      <c r="G1801" s="6">
        <v>38.7167358398438</v>
      </c>
      <c r="H1801" s="6">
        <v>38.762443542480497</v>
      </c>
      <c r="I1801" s="6">
        <v>38.733188629150398</v>
      </c>
      <c r="J1801" s="6">
        <v>38.751499176025398</v>
      </c>
      <c r="K1801" s="6">
        <v>38.790431976318402</v>
      </c>
      <c r="L1801" s="6">
        <v>26.292051315307599</v>
      </c>
    </row>
    <row r="1802" spans="1:12" x14ac:dyDescent="0.25">
      <c r="A1802">
        <v>2504033</v>
      </c>
      <c r="B1802" t="str">
        <f t="shared" si="28"/>
        <v>CAPIM, PB, Brasil</v>
      </c>
      <c r="C1802" s="4" t="str">
        <f>_xlfn.XLOOKUP(A1802,[1]!DadosGHD[CD_GEOCMU],[1]!DadosGHD[Região])</f>
        <v>NE</v>
      </c>
      <c r="D1802" s="4" t="str">
        <f>_xlfn.XLOOKUP(A1802,[1]!DadosGHD[CD_GEOCMU],[1]!DadosGHD[uf])</f>
        <v>PB</v>
      </c>
      <c r="E1802" s="5" t="str">
        <f>_xlfn.XLOOKUP(A1802,[1]!DadosGHD[CD_GEOCMU],[1]!DadosGHD[MUNICIPIO])</f>
        <v>CAPIM</v>
      </c>
      <c r="F1802" s="6">
        <v>33.765583038330099</v>
      </c>
      <c r="G1802" s="6">
        <v>33.827098846435597</v>
      </c>
      <c r="H1802" s="6">
        <v>33.866905212402301</v>
      </c>
      <c r="I1802" s="6">
        <v>33.851913452148402</v>
      </c>
      <c r="J1802" s="6">
        <v>33.873565673828097</v>
      </c>
      <c r="K1802" s="6">
        <v>33.90185546875</v>
      </c>
      <c r="L1802" s="6">
        <v>30.69553565979</v>
      </c>
    </row>
    <row r="1803" spans="1:12" x14ac:dyDescent="0.25">
      <c r="A1803">
        <v>2511806</v>
      </c>
      <c r="B1803" t="str">
        <f t="shared" si="28"/>
        <v>PIRPIRITUBA, PB, Brasil</v>
      </c>
      <c r="C1803" s="4" t="str">
        <f>_xlfn.XLOOKUP(A1803,[1]!DadosGHD[CD_GEOCMU],[1]!DadosGHD[Região])</f>
        <v>NE</v>
      </c>
      <c r="D1803" s="4" t="str">
        <f>_xlfn.XLOOKUP(A1803,[1]!DadosGHD[CD_GEOCMU],[1]!DadosGHD[uf])</f>
        <v>PB</v>
      </c>
      <c r="E1803" s="5" t="str">
        <f>_xlfn.XLOOKUP(A1803,[1]!DadosGHD[CD_GEOCMU],[1]!DadosGHD[MUNICIPIO])</f>
        <v>PIRPIRITUBA</v>
      </c>
      <c r="F1803" s="6">
        <v>33.765884399414098</v>
      </c>
      <c r="G1803" s="6">
        <v>38.738719940185597</v>
      </c>
      <c r="H1803" s="6">
        <v>38.790920257568402</v>
      </c>
      <c r="I1803" s="6">
        <v>38.764774322509801</v>
      </c>
      <c r="J1803" s="6">
        <v>38.773601531982401</v>
      </c>
      <c r="K1803" s="6">
        <v>38.800754547119098</v>
      </c>
      <c r="L1803" s="6">
        <v>39.561473846435597</v>
      </c>
    </row>
    <row r="1804" spans="1:12" x14ac:dyDescent="0.25">
      <c r="A1804">
        <v>2514206</v>
      </c>
      <c r="B1804" t="str">
        <f t="shared" si="28"/>
        <v>SAO JOSE DA LAGOA TAPADA, PB, Brasil</v>
      </c>
      <c r="C1804" s="4" t="str">
        <f>_xlfn.XLOOKUP(A1804,[1]!DadosGHD[CD_GEOCMU],[1]!DadosGHD[Região])</f>
        <v>NE</v>
      </c>
      <c r="D1804" s="4" t="str">
        <f>_xlfn.XLOOKUP(A1804,[1]!DadosGHD[CD_GEOCMU],[1]!DadosGHD[uf])</f>
        <v>PB</v>
      </c>
      <c r="E1804" s="5" t="str">
        <f>_xlfn.XLOOKUP(A1804,[1]!DadosGHD[CD_GEOCMU],[1]!DadosGHD[MUNICIPIO])</f>
        <v>SAO JOSE DA LAGOA TAPADA</v>
      </c>
      <c r="F1804" s="6">
        <v>33.766082763671903</v>
      </c>
      <c r="G1804" s="6">
        <v>33.822311401367202</v>
      </c>
      <c r="H1804" s="6">
        <v>33.85546875</v>
      </c>
      <c r="I1804" s="6">
        <v>33.847251892089801</v>
      </c>
      <c r="J1804" s="6">
        <v>33.889232635498097</v>
      </c>
      <c r="K1804" s="6">
        <v>38.815074920654297</v>
      </c>
      <c r="L1804" s="6">
        <v>39.572925567627003</v>
      </c>
    </row>
    <row r="1805" spans="1:12" x14ac:dyDescent="0.25">
      <c r="A1805">
        <v>1720804</v>
      </c>
      <c r="B1805" t="str">
        <f t="shared" si="28"/>
        <v>SITIO NOVO DO TOCANTINS, TO, Brasil</v>
      </c>
      <c r="C1805" s="4" t="str">
        <f>_xlfn.XLOOKUP(A1805,[1]!DadosGHD[CD_GEOCMU],[1]!DadosGHD[Região])</f>
        <v>NO</v>
      </c>
      <c r="D1805" s="4" t="str">
        <f>_xlfn.XLOOKUP(A1805,[1]!DadosGHD[CD_GEOCMU],[1]!DadosGHD[uf])</f>
        <v>TO</v>
      </c>
      <c r="E1805" s="5" t="str">
        <f>_xlfn.XLOOKUP(A1805,[1]!DadosGHD[CD_GEOCMU],[1]!DadosGHD[MUNICIPIO])</f>
        <v>SITIO NOVO DO TOCANTINS</v>
      </c>
      <c r="F1805" s="6">
        <v>33.766105651855497</v>
      </c>
      <c r="G1805" s="6">
        <v>33.823802947998097</v>
      </c>
      <c r="H1805" s="6">
        <v>33.860744476318402</v>
      </c>
      <c r="I1805" s="6">
        <v>33.8374214172363</v>
      </c>
      <c r="J1805" s="6">
        <v>33.855213165283203</v>
      </c>
      <c r="K1805" s="6">
        <v>33.887462615966797</v>
      </c>
      <c r="L1805" s="6">
        <v>26.287986755371101</v>
      </c>
    </row>
    <row r="1806" spans="1:12" x14ac:dyDescent="0.25">
      <c r="A1806">
        <v>2406007</v>
      </c>
      <c r="B1806" t="str">
        <f t="shared" si="28"/>
        <v>JOSE DA PENHA, RN, Brasil</v>
      </c>
      <c r="C1806" s="4" t="str">
        <f>_xlfn.XLOOKUP(A1806,[1]!DadosGHD[CD_GEOCMU],[1]!DadosGHD[Região])</f>
        <v>NE</v>
      </c>
      <c r="D1806" s="4" t="str">
        <f>_xlfn.XLOOKUP(A1806,[1]!DadosGHD[CD_GEOCMU],[1]!DadosGHD[uf])</f>
        <v>RN</v>
      </c>
      <c r="E1806" s="5" t="str">
        <f>_xlfn.XLOOKUP(A1806,[1]!DadosGHD[CD_GEOCMU],[1]!DadosGHD[MUNICIPIO])</f>
        <v>JOSE DA PENHA</v>
      </c>
      <c r="F1806" s="6">
        <v>33.7661323547363</v>
      </c>
      <c r="G1806" s="6">
        <v>38.736763000488303</v>
      </c>
      <c r="H1806" s="6">
        <v>43.788501739502003</v>
      </c>
      <c r="I1806" s="6">
        <v>43.794471740722699</v>
      </c>
      <c r="J1806" s="6">
        <v>48.697826385498097</v>
      </c>
      <c r="K1806" s="6">
        <v>43.773414611816399</v>
      </c>
      <c r="L1806" s="6">
        <v>48.5173530578613</v>
      </c>
    </row>
    <row r="1807" spans="1:12" x14ac:dyDescent="0.25">
      <c r="A1807">
        <v>3147956</v>
      </c>
      <c r="B1807" t="str">
        <f t="shared" si="28"/>
        <v>PATIS, MG, Brasil</v>
      </c>
      <c r="C1807" s="4" t="str">
        <f>_xlfn.XLOOKUP(A1807,[1]!DadosGHD[CD_GEOCMU],[1]!DadosGHD[Região])</f>
        <v>SD</v>
      </c>
      <c r="D1807" s="4" t="str">
        <f>_xlfn.XLOOKUP(A1807,[1]!DadosGHD[CD_GEOCMU],[1]!DadosGHD[uf])</f>
        <v>MG</v>
      </c>
      <c r="E1807" s="5" t="str">
        <f>_xlfn.XLOOKUP(A1807,[1]!DadosGHD[CD_GEOCMU],[1]!DadosGHD[MUNICIPIO])</f>
        <v>PATIS</v>
      </c>
      <c r="F1807" s="6">
        <v>33.766147613525398</v>
      </c>
      <c r="G1807" s="6">
        <v>33.809772491455099</v>
      </c>
      <c r="H1807" s="6">
        <v>33.848785400390597</v>
      </c>
      <c r="I1807" s="6">
        <v>33.830593109130902</v>
      </c>
      <c r="J1807" s="6">
        <v>33.841552734375</v>
      </c>
      <c r="K1807" s="6">
        <v>33.872268676757798</v>
      </c>
      <c r="L1807" s="6">
        <v>26.290300369262699</v>
      </c>
    </row>
    <row r="1808" spans="1:12" x14ac:dyDescent="0.25">
      <c r="A1808">
        <v>2616407</v>
      </c>
      <c r="B1808" t="str">
        <f t="shared" si="28"/>
        <v>VITORIA DE SANTO ANTAO, PE, Brasil</v>
      </c>
      <c r="C1808" s="4" t="str">
        <f>_xlfn.XLOOKUP(A1808,[1]!DadosGHD[CD_GEOCMU],[1]!DadosGHD[Região])</f>
        <v>NE</v>
      </c>
      <c r="D1808" s="4" t="str">
        <f>_xlfn.XLOOKUP(A1808,[1]!DadosGHD[CD_GEOCMU],[1]!DadosGHD[uf])</f>
        <v>PE</v>
      </c>
      <c r="E1808" s="5" t="str">
        <f>_xlfn.XLOOKUP(A1808,[1]!DadosGHD[CD_GEOCMU],[1]!DadosGHD[MUNICIPIO])</f>
        <v>VITORIA DE SANTO ANTAO</v>
      </c>
      <c r="F1808" s="6">
        <v>33.766159057617202</v>
      </c>
      <c r="G1808" s="6">
        <v>33.8343505859375</v>
      </c>
      <c r="H1808" s="6">
        <v>33.856620788574197</v>
      </c>
      <c r="I1808" s="6">
        <v>33.851791381835902</v>
      </c>
      <c r="J1808" s="6">
        <v>38.751552581787102</v>
      </c>
      <c r="K1808" s="6">
        <v>38.840335845947301</v>
      </c>
      <c r="L1808" s="6">
        <v>39.598724365234403</v>
      </c>
    </row>
    <row r="1809" spans="1:12" x14ac:dyDescent="0.25">
      <c r="A1809">
        <v>2102374</v>
      </c>
      <c r="B1809" t="str">
        <f t="shared" si="28"/>
        <v>CACHOEIRA GRANDE, MA, Brasil</v>
      </c>
      <c r="C1809" s="4" t="str">
        <f>_xlfn.XLOOKUP(A1809,[1]!DadosGHD[CD_GEOCMU],[1]!DadosGHD[Região])</f>
        <v>NE</v>
      </c>
      <c r="D1809" s="4" t="str">
        <f>_xlfn.XLOOKUP(A1809,[1]!DadosGHD[CD_GEOCMU],[1]!DadosGHD[uf])</f>
        <v>MA</v>
      </c>
      <c r="E1809" s="5" t="str">
        <f>_xlfn.XLOOKUP(A1809,[1]!DadosGHD[CD_GEOCMU],[1]!DadosGHD[MUNICIPIO])</f>
        <v>CACHOEIRA GRANDE</v>
      </c>
      <c r="F1809" s="6">
        <v>33.766212463378899</v>
      </c>
      <c r="G1809" s="6">
        <v>33.794845581054702</v>
      </c>
      <c r="H1809" s="6">
        <v>33.827735900878899</v>
      </c>
      <c r="I1809" s="6">
        <v>33.804683685302699</v>
      </c>
      <c r="J1809" s="6">
        <v>28.967014312744102</v>
      </c>
      <c r="K1809" s="6">
        <v>28.993894577026399</v>
      </c>
      <c r="L1809" s="6">
        <v>26.2798957824707</v>
      </c>
    </row>
    <row r="1810" spans="1:12" x14ac:dyDescent="0.25">
      <c r="A1810">
        <v>1504059</v>
      </c>
      <c r="B1810" t="str">
        <f t="shared" si="28"/>
        <v>MAE DO RIO, PA, Brasil</v>
      </c>
      <c r="C1810" s="4" t="str">
        <f>_xlfn.XLOOKUP(A1810,[1]!DadosGHD[CD_GEOCMU],[1]!DadosGHD[Região])</f>
        <v>NO</v>
      </c>
      <c r="D1810" s="4" t="str">
        <f>_xlfn.XLOOKUP(A1810,[1]!DadosGHD[CD_GEOCMU],[1]!DadosGHD[uf])</f>
        <v>PA</v>
      </c>
      <c r="E1810" s="5" t="str">
        <f>_xlfn.XLOOKUP(A1810,[1]!DadosGHD[CD_GEOCMU],[1]!DadosGHD[MUNICIPIO])</f>
        <v>MAE DO RIO</v>
      </c>
      <c r="F1810" s="6">
        <v>33.766242980957003</v>
      </c>
      <c r="G1810" s="6">
        <v>33.827816009521499</v>
      </c>
      <c r="H1810" s="6">
        <v>33.861057281494098</v>
      </c>
      <c r="I1810" s="6">
        <v>33.827491760253899</v>
      </c>
      <c r="J1810" s="6">
        <v>33.831863403320298</v>
      </c>
      <c r="K1810" s="6">
        <v>33.867630004882798</v>
      </c>
      <c r="L1810" s="6">
        <v>26.283931732177699</v>
      </c>
    </row>
    <row r="1811" spans="1:12" x14ac:dyDescent="0.25">
      <c r="A1811">
        <v>2609808</v>
      </c>
      <c r="B1811" t="str">
        <f t="shared" si="28"/>
        <v>OROCO, PE, Brasil</v>
      </c>
      <c r="C1811" s="4" t="str">
        <f>_xlfn.XLOOKUP(A1811,[1]!DadosGHD[CD_GEOCMU],[1]!DadosGHD[Região])</f>
        <v>NE</v>
      </c>
      <c r="D1811" s="4" t="str">
        <f>_xlfn.XLOOKUP(A1811,[1]!DadosGHD[CD_GEOCMU],[1]!DadosGHD[uf])</f>
        <v>PE</v>
      </c>
      <c r="E1811" s="5" t="str">
        <f>_xlfn.XLOOKUP(A1811,[1]!DadosGHD[CD_GEOCMU],[1]!DadosGHD[MUNICIPIO])</f>
        <v>OROCO</v>
      </c>
      <c r="F1811" s="6">
        <v>33.766307830810597</v>
      </c>
      <c r="G1811" s="6">
        <v>33.830520629882798</v>
      </c>
      <c r="H1811" s="6">
        <v>33.836620330810597</v>
      </c>
      <c r="I1811" s="6">
        <v>33.815414428710902</v>
      </c>
      <c r="J1811" s="6">
        <v>28.950696945190401</v>
      </c>
      <c r="K1811" s="6">
        <v>29.0063381195068</v>
      </c>
      <c r="L1811" s="6">
        <v>39.573574066162102</v>
      </c>
    </row>
    <row r="1812" spans="1:12" x14ac:dyDescent="0.25">
      <c r="A1812">
        <v>2902302</v>
      </c>
      <c r="B1812" t="str">
        <f t="shared" si="28"/>
        <v>ARATUIPE, BA, Brasil</v>
      </c>
      <c r="C1812" s="4" t="str">
        <f>_xlfn.XLOOKUP(A1812,[1]!DadosGHD[CD_GEOCMU],[1]!DadosGHD[Região])</f>
        <v>NE</v>
      </c>
      <c r="D1812" s="4" t="str">
        <f>_xlfn.XLOOKUP(A1812,[1]!DadosGHD[CD_GEOCMU],[1]!DadosGHD[uf])</f>
        <v>BA</v>
      </c>
      <c r="E1812" s="5" t="str">
        <f>_xlfn.XLOOKUP(A1812,[1]!DadosGHD[CD_GEOCMU],[1]!DadosGHD[MUNICIPIO])</f>
        <v>ARATUIPE</v>
      </c>
      <c r="F1812" s="6">
        <v>33.7663383483887</v>
      </c>
      <c r="G1812" s="6">
        <v>38.694854736328097</v>
      </c>
      <c r="H1812" s="6">
        <v>38.776557922363303</v>
      </c>
      <c r="I1812" s="6">
        <v>38.725547790527301</v>
      </c>
      <c r="J1812" s="6">
        <v>38.759788513183601</v>
      </c>
      <c r="K1812" s="6">
        <v>38.782520294189503</v>
      </c>
      <c r="L1812" s="6">
        <v>35.123500823974602</v>
      </c>
    </row>
    <row r="1813" spans="1:12" x14ac:dyDescent="0.25">
      <c r="A1813">
        <v>2302701</v>
      </c>
      <c r="B1813" t="str">
        <f t="shared" si="28"/>
        <v>CAMPOS SALES, CE, Brasil</v>
      </c>
      <c r="C1813" s="4" t="str">
        <f>_xlfn.XLOOKUP(A1813,[1]!DadosGHD[CD_GEOCMU],[1]!DadosGHD[Região])</f>
        <v>NE</v>
      </c>
      <c r="D1813" s="4" t="str">
        <f>_xlfn.XLOOKUP(A1813,[1]!DadosGHD[CD_GEOCMU],[1]!DadosGHD[uf])</f>
        <v>CE</v>
      </c>
      <c r="E1813" s="5" t="str">
        <f>_xlfn.XLOOKUP(A1813,[1]!DadosGHD[CD_GEOCMU],[1]!DadosGHD[MUNICIPIO])</f>
        <v>CAMPOS SALES</v>
      </c>
      <c r="F1813" s="6">
        <v>33.766372680664098</v>
      </c>
      <c r="G1813" s="6">
        <v>33.833915710449197</v>
      </c>
      <c r="H1813" s="6">
        <v>33.895317077636697</v>
      </c>
      <c r="I1813" s="6">
        <v>38.755836486816399</v>
      </c>
      <c r="J1813" s="6">
        <v>38.787853240966797</v>
      </c>
      <c r="K1813" s="6">
        <v>38.840461730957003</v>
      </c>
      <c r="L1813" s="6">
        <v>35.134403228759801</v>
      </c>
    </row>
    <row r="1814" spans="1:12" x14ac:dyDescent="0.25">
      <c r="A1814">
        <v>2502607</v>
      </c>
      <c r="B1814" t="str">
        <f t="shared" si="28"/>
        <v>IGARACY, PB, Brasil</v>
      </c>
      <c r="C1814" s="4" t="str">
        <f>_xlfn.XLOOKUP(A1814,[1]!DadosGHD[CD_GEOCMU],[1]!DadosGHD[Região])</f>
        <v>NE</v>
      </c>
      <c r="D1814" s="4" t="str">
        <f>_xlfn.XLOOKUP(A1814,[1]!DadosGHD[CD_GEOCMU],[1]!DadosGHD[uf])</f>
        <v>PB</v>
      </c>
      <c r="E1814" s="5" t="str">
        <f>_xlfn.XLOOKUP(A1814,[1]!DadosGHD[CD_GEOCMU],[1]!DadosGHD[MUNICIPIO])</f>
        <v>IGARACY</v>
      </c>
      <c r="F1814" s="6">
        <v>33.766407012939503</v>
      </c>
      <c r="G1814" s="6">
        <v>33.810897827148402</v>
      </c>
      <c r="H1814" s="6">
        <v>33.846061706542997</v>
      </c>
      <c r="I1814" s="6">
        <v>38.716484069824197</v>
      </c>
      <c r="J1814" s="6">
        <v>33.886222839355497</v>
      </c>
      <c r="K1814" s="6">
        <v>33.896896362304702</v>
      </c>
      <c r="L1814" s="6">
        <v>30.693454742431602</v>
      </c>
    </row>
    <row r="1815" spans="1:12" x14ac:dyDescent="0.25">
      <c r="A1815">
        <v>2414001</v>
      </c>
      <c r="B1815" t="str">
        <f t="shared" si="28"/>
        <v>TANGARA, RN, Brasil</v>
      </c>
      <c r="C1815" s="4" t="str">
        <f>_xlfn.XLOOKUP(A1815,[1]!DadosGHD[CD_GEOCMU],[1]!DadosGHD[Região])</f>
        <v>NE</v>
      </c>
      <c r="D1815" s="4" t="str">
        <f>_xlfn.XLOOKUP(A1815,[1]!DadosGHD[CD_GEOCMU],[1]!DadosGHD[uf])</f>
        <v>RN</v>
      </c>
      <c r="E1815" s="5" t="str">
        <f>_xlfn.XLOOKUP(A1815,[1]!DadosGHD[CD_GEOCMU],[1]!DadosGHD[MUNICIPIO])</f>
        <v>TANGARA</v>
      </c>
      <c r="F1815" s="6">
        <v>33.766506195068402</v>
      </c>
      <c r="G1815" s="6">
        <v>33.831325531005902</v>
      </c>
      <c r="H1815" s="6">
        <v>33.890579223632798</v>
      </c>
      <c r="I1815" s="6">
        <v>33.855918884277301</v>
      </c>
      <c r="J1815" s="6">
        <v>33.841854095458999</v>
      </c>
      <c r="K1815" s="6">
        <v>28.9818630218506</v>
      </c>
      <c r="L1815" s="6">
        <v>30.695182800293001</v>
      </c>
    </row>
    <row r="1816" spans="1:12" x14ac:dyDescent="0.25">
      <c r="A1816">
        <v>2204402</v>
      </c>
      <c r="B1816" t="str">
        <f t="shared" si="28"/>
        <v>GILBUES, PI, Brasil</v>
      </c>
      <c r="C1816" s="4" t="str">
        <f>_xlfn.XLOOKUP(A1816,[1]!DadosGHD[CD_GEOCMU],[1]!DadosGHD[Região])</f>
        <v>NE</v>
      </c>
      <c r="D1816" s="4" t="str">
        <f>_xlfn.XLOOKUP(A1816,[1]!DadosGHD[CD_GEOCMU],[1]!DadosGHD[uf])</f>
        <v>PI</v>
      </c>
      <c r="E1816" s="5" t="str">
        <f>_xlfn.XLOOKUP(A1816,[1]!DadosGHD[CD_GEOCMU],[1]!DadosGHD[MUNICIPIO])</f>
        <v>GILBUES</v>
      </c>
      <c r="F1816" s="6">
        <v>33.766548156738303</v>
      </c>
      <c r="G1816" s="6">
        <v>33.820114135742202</v>
      </c>
      <c r="H1816" s="6">
        <v>33.851596832275398</v>
      </c>
      <c r="I1816" s="6">
        <v>33.833194732666001</v>
      </c>
      <c r="J1816" s="6">
        <v>33.848869323730497</v>
      </c>
      <c r="K1816" s="6">
        <v>33.899463653564503</v>
      </c>
      <c r="L1816" s="6">
        <v>26.2943820953369</v>
      </c>
    </row>
    <row r="1817" spans="1:12" x14ac:dyDescent="0.25">
      <c r="A1817">
        <v>5212709</v>
      </c>
      <c r="B1817" t="str">
        <f t="shared" si="28"/>
        <v>MAMBAI, GO, Brasil</v>
      </c>
      <c r="C1817" s="4" t="str">
        <f>_xlfn.XLOOKUP(A1817,[1]!DadosGHD[CD_GEOCMU],[1]!DadosGHD[Região])</f>
        <v>CO</v>
      </c>
      <c r="D1817" s="4" t="str">
        <f>_xlfn.XLOOKUP(A1817,[1]!DadosGHD[CD_GEOCMU],[1]!DadosGHD[uf])</f>
        <v>GO</v>
      </c>
      <c r="E1817" s="5" t="str">
        <f>_xlfn.XLOOKUP(A1817,[1]!DadosGHD[CD_GEOCMU],[1]!DadosGHD[MUNICIPIO])</f>
        <v>MAMBAI</v>
      </c>
      <c r="F1817" s="6">
        <v>33.766597747802699</v>
      </c>
      <c r="G1817" s="6">
        <v>38.704612731933601</v>
      </c>
      <c r="H1817" s="6">
        <v>33.880153656005902</v>
      </c>
      <c r="I1817" s="6">
        <v>33.844512939453097</v>
      </c>
      <c r="J1817" s="6">
        <v>33.856449127197301</v>
      </c>
      <c r="K1817" s="6">
        <v>33.896564483642599</v>
      </c>
      <c r="L1817" s="6">
        <v>30.698278427123999</v>
      </c>
    </row>
    <row r="1818" spans="1:12" x14ac:dyDescent="0.25">
      <c r="A1818">
        <v>2927309</v>
      </c>
      <c r="B1818" t="str">
        <f t="shared" si="28"/>
        <v>SALINAS DA MARGARIDA, BA, Brasil</v>
      </c>
      <c r="C1818" s="4" t="str">
        <f>_xlfn.XLOOKUP(A1818,[1]!DadosGHD[CD_GEOCMU],[1]!DadosGHD[Região])</f>
        <v>NE</v>
      </c>
      <c r="D1818" s="4" t="str">
        <f>_xlfn.XLOOKUP(A1818,[1]!DadosGHD[CD_GEOCMU],[1]!DadosGHD[uf])</f>
        <v>BA</v>
      </c>
      <c r="E1818" s="5" t="str">
        <f>_xlfn.XLOOKUP(A1818,[1]!DadosGHD[CD_GEOCMU],[1]!DadosGHD[MUNICIPIO])</f>
        <v>SALINAS DA MARGARIDA</v>
      </c>
      <c r="F1818" s="6">
        <v>33.766738891601598</v>
      </c>
      <c r="G1818" s="6">
        <v>33.807273864746101</v>
      </c>
      <c r="H1818" s="6">
        <v>33.858268737792997</v>
      </c>
      <c r="I1818" s="6">
        <v>33.810409545898402</v>
      </c>
      <c r="J1818" s="6">
        <v>33.826362609863303</v>
      </c>
      <c r="K1818" s="6">
        <v>33.893230438232401</v>
      </c>
      <c r="L1818" s="6">
        <v>26.2998447418213</v>
      </c>
    </row>
    <row r="1819" spans="1:12" x14ac:dyDescent="0.25">
      <c r="A1819">
        <v>1503606</v>
      </c>
      <c r="B1819" t="str">
        <f t="shared" si="28"/>
        <v>ITAITUBA, PA, Brasil</v>
      </c>
      <c r="C1819" s="4" t="str">
        <f>_xlfn.XLOOKUP(A1819,[1]!DadosGHD[CD_GEOCMU],[1]!DadosGHD[Região])</f>
        <v>NO</v>
      </c>
      <c r="D1819" s="4" t="str">
        <f>_xlfn.XLOOKUP(A1819,[1]!DadosGHD[CD_GEOCMU],[1]!DadosGHD[uf])</f>
        <v>PA</v>
      </c>
      <c r="E1819" s="5" t="str">
        <f>_xlfn.XLOOKUP(A1819,[1]!DadosGHD[CD_GEOCMU],[1]!DadosGHD[MUNICIPIO])</f>
        <v>ITAITUBA</v>
      </c>
      <c r="F1819" s="6">
        <v>33.7667846679688</v>
      </c>
      <c r="G1819" s="6">
        <v>38.694648742675803</v>
      </c>
      <c r="H1819" s="6">
        <v>38.7472953796387</v>
      </c>
      <c r="I1819" s="6">
        <v>33.850540161132798</v>
      </c>
      <c r="J1819" s="6">
        <v>33.893703460693402</v>
      </c>
      <c r="K1819" s="6">
        <v>38.794723510742202</v>
      </c>
      <c r="L1819" s="6">
        <v>30.708087921142599</v>
      </c>
    </row>
    <row r="1820" spans="1:12" x14ac:dyDescent="0.25">
      <c r="A1820">
        <v>2706307</v>
      </c>
      <c r="B1820" t="str">
        <f t="shared" si="28"/>
        <v>PALMEIRA DOS INDIOS, AL, Brasil</v>
      </c>
      <c r="C1820" s="4" t="str">
        <f>_xlfn.XLOOKUP(A1820,[1]!DadosGHD[CD_GEOCMU],[1]!DadosGHD[Região])</f>
        <v>NE</v>
      </c>
      <c r="D1820" s="4" t="str">
        <f>_xlfn.XLOOKUP(A1820,[1]!DadosGHD[CD_GEOCMU],[1]!DadosGHD[uf])</f>
        <v>AL</v>
      </c>
      <c r="E1820" s="5" t="str">
        <f>_xlfn.XLOOKUP(A1820,[1]!DadosGHD[CD_GEOCMU],[1]!DadosGHD[MUNICIPIO])</f>
        <v>PALMEIRA DOS INDIOS</v>
      </c>
      <c r="F1820" s="6">
        <v>33.766807556152301</v>
      </c>
      <c r="G1820" s="6">
        <v>33.836193084716797</v>
      </c>
      <c r="H1820" s="6">
        <v>33.8736381530762</v>
      </c>
      <c r="I1820" s="6">
        <v>33.868247985839801</v>
      </c>
      <c r="J1820" s="6">
        <v>33.887428283691399</v>
      </c>
      <c r="K1820" s="6">
        <v>33.927711486816399</v>
      </c>
      <c r="L1820" s="6">
        <v>35.120403289794901</v>
      </c>
    </row>
    <row r="1821" spans="1:12" x14ac:dyDescent="0.25">
      <c r="A1821">
        <v>2909208</v>
      </c>
      <c r="B1821" t="str">
        <f t="shared" si="28"/>
        <v>CORONEL JOAO SA, BA, Brasil</v>
      </c>
      <c r="C1821" s="4" t="str">
        <f>_xlfn.XLOOKUP(A1821,[1]!DadosGHD[CD_GEOCMU],[1]!DadosGHD[Região])</f>
        <v>NE</v>
      </c>
      <c r="D1821" s="4" t="str">
        <f>_xlfn.XLOOKUP(A1821,[1]!DadosGHD[CD_GEOCMU],[1]!DadosGHD[uf])</f>
        <v>BA</v>
      </c>
      <c r="E1821" s="5" t="str">
        <f>_xlfn.XLOOKUP(A1821,[1]!DadosGHD[CD_GEOCMU],[1]!DadosGHD[MUNICIPIO])</f>
        <v>CORONEL JOAO SA</v>
      </c>
      <c r="F1821" s="6">
        <v>33.766937255859403</v>
      </c>
      <c r="G1821" s="6">
        <v>33.838211059570298</v>
      </c>
      <c r="H1821" s="6">
        <v>38.752418518066399</v>
      </c>
      <c r="I1821" s="6">
        <v>33.869632720947301</v>
      </c>
      <c r="J1821" s="6">
        <v>33.844364166259801</v>
      </c>
      <c r="K1821" s="6">
        <v>33.8868408203125</v>
      </c>
      <c r="L1821" s="6">
        <v>53.033657073974602</v>
      </c>
    </row>
    <row r="1822" spans="1:12" x14ac:dyDescent="0.25">
      <c r="A1822">
        <v>2910776</v>
      </c>
      <c r="B1822" t="str">
        <f t="shared" si="28"/>
        <v>FEIRA DA MATA, BA, Brasil</v>
      </c>
      <c r="C1822" s="4" t="str">
        <f>_xlfn.XLOOKUP(A1822,[1]!DadosGHD[CD_GEOCMU],[1]!DadosGHD[Região])</f>
        <v>NE</v>
      </c>
      <c r="D1822" s="4" t="str">
        <f>_xlfn.XLOOKUP(A1822,[1]!DadosGHD[CD_GEOCMU],[1]!DadosGHD[uf])</f>
        <v>BA</v>
      </c>
      <c r="E1822" s="5" t="str">
        <f>_xlfn.XLOOKUP(A1822,[1]!DadosGHD[CD_GEOCMU],[1]!DadosGHD[MUNICIPIO])</f>
        <v>FEIRA DA MATA</v>
      </c>
      <c r="F1822" s="6">
        <v>33.767024993896499</v>
      </c>
      <c r="G1822" s="6">
        <v>33.811046600341797</v>
      </c>
      <c r="H1822" s="6">
        <v>33.8555297851563</v>
      </c>
      <c r="I1822" s="6">
        <v>33.833122253417997</v>
      </c>
      <c r="J1822" s="6">
        <v>33.849845886230497</v>
      </c>
      <c r="K1822" s="6">
        <v>33.881435394287102</v>
      </c>
      <c r="L1822" s="6">
        <v>26.291679382324201</v>
      </c>
    </row>
    <row r="1823" spans="1:12" x14ac:dyDescent="0.25">
      <c r="A1823">
        <v>2602407</v>
      </c>
      <c r="B1823" t="str">
        <f t="shared" si="28"/>
        <v>BREJAO, PE, Brasil</v>
      </c>
      <c r="C1823" s="4" t="str">
        <f>_xlfn.XLOOKUP(A1823,[1]!DadosGHD[CD_GEOCMU],[1]!DadosGHD[Região])</f>
        <v>NE</v>
      </c>
      <c r="D1823" s="4" t="str">
        <f>_xlfn.XLOOKUP(A1823,[1]!DadosGHD[CD_GEOCMU],[1]!DadosGHD[uf])</f>
        <v>PE</v>
      </c>
      <c r="E1823" s="5" t="str">
        <f>_xlfn.XLOOKUP(A1823,[1]!DadosGHD[CD_GEOCMU],[1]!DadosGHD[MUNICIPIO])</f>
        <v>BREJAO</v>
      </c>
      <c r="F1823" s="6">
        <v>33.767086029052699</v>
      </c>
      <c r="G1823" s="6">
        <v>33.800144195556598</v>
      </c>
      <c r="H1823" s="6">
        <v>33.839393615722699</v>
      </c>
      <c r="I1823" s="6">
        <v>33.815967559814503</v>
      </c>
      <c r="J1823" s="6">
        <v>33.829971313476598</v>
      </c>
      <c r="K1823" s="6">
        <v>33.864452362060597</v>
      </c>
      <c r="L1823" s="6">
        <v>26.287549972534201</v>
      </c>
    </row>
    <row r="1824" spans="1:12" x14ac:dyDescent="0.25">
      <c r="A1824">
        <v>2929503</v>
      </c>
      <c r="B1824" t="str">
        <f t="shared" si="28"/>
        <v>SAO SEBASTIAO DO PASSE, BA, Brasil</v>
      </c>
      <c r="C1824" s="4" t="str">
        <f>_xlfn.XLOOKUP(A1824,[1]!DadosGHD[CD_GEOCMU],[1]!DadosGHD[Região])</f>
        <v>NE</v>
      </c>
      <c r="D1824" s="4" t="str">
        <f>_xlfn.XLOOKUP(A1824,[1]!DadosGHD[CD_GEOCMU],[1]!DadosGHD[uf])</f>
        <v>BA</v>
      </c>
      <c r="E1824" s="5" t="str">
        <f>_xlfn.XLOOKUP(A1824,[1]!DadosGHD[CD_GEOCMU],[1]!DadosGHD[MUNICIPIO])</f>
        <v>SAO SEBASTIAO DO PASSE</v>
      </c>
      <c r="F1824" s="6">
        <v>33.767139434814503</v>
      </c>
      <c r="G1824" s="6">
        <v>33.841808319091797</v>
      </c>
      <c r="H1824" s="6">
        <v>38.759010314941399</v>
      </c>
      <c r="I1824" s="6">
        <v>33.867156982421903</v>
      </c>
      <c r="J1824" s="6">
        <v>33.883113861083999</v>
      </c>
      <c r="K1824" s="6">
        <v>33.907917022705099</v>
      </c>
      <c r="L1824" s="6">
        <v>35.152793884277301</v>
      </c>
    </row>
    <row r="1825" spans="1:12" x14ac:dyDescent="0.25">
      <c r="A1825">
        <v>3124104</v>
      </c>
      <c r="B1825" t="str">
        <f t="shared" si="28"/>
        <v>ESMERALDAS, MG, Brasil</v>
      </c>
      <c r="C1825" s="4" t="str">
        <f>_xlfn.XLOOKUP(A1825,[1]!DadosGHD[CD_GEOCMU],[1]!DadosGHD[Região])</f>
        <v>SD</v>
      </c>
      <c r="D1825" s="4" t="str">
        <f>_xlfn.XLOOKUP(A1825,[1]!DadosGHD[CD_GEOCMU],[1]!DadosGHD[uf])</f>
        <v>MG</v>
      </c>
      <c r="E1825" s="5" t="str">
        <f>_xlfn.XLOOKUP(A1825,[1]!DadosGHD[CD_GEOCMU],[1]!DadosGHD[MUNICIPIO])</f>
        <v>ESMERALDAS</v>
      </c>
      <c r="F1825" s="6">
        <v>33.767185211181598</v>
      </c>
      <c r="G1825" s="6">
        <v>38.686927795410199</v>
      </c>
      <c r="H1825" s="6">
        <v>38.759876251220703</v>
      </c>
      <c r="I1825" s="6">
        <v>38.741104125976598</v>
      </c>
      <c r="J1825" s="6">
        <v>38.783851623535199</v>
      </c>
      <c r="K1825" s="6">
        <v>38.871894836425803</v>
      </c>
      <c r="L1825" s="6">
        <v>39.596927642822301</v>
      </c>
    </row>
    <row r="1826" spans="1:12" x14ac:dyDescent="0.25">
      <c r="A1826">
        <v>2412708</v>
      </c>
      <c r="B1826" t="str">
        <f t="shared" si="28"/>
        <v>SAO PEDRO, RN, Brasil</v>
      </c>
      <c r="C1826" s="4" t="str">
        <f>_xlfn.XLOOKUP(A1826,[1]!DadosGHD[CD_GEOCMU],[1]!DadosGHD[Região])</f>
        <v>NE</v>
      </c>
      <c r="D1826" s="4" t="str">
        <f>_xlfn.XLOOKUP(A1826,[1]!DadosGHD[CD_GEOCMU],[1]!DadosGHD[uf])</f>
        <v>RN</v>
      </c>
      <c r="E1826" s="5" t="str">
        <f>_xlfn.XLOOKUP(A1826,[1]!DadosGHD[CD_GEOCMU],[1]!DadosGHD[MUNICIPIO])</f>
        <v>SAO PEDRO</v>
      </c>
      <c r="F1826" s="6">
        <v>33.767368316650398</v>
      </c>
      <c r="G1826" s="6">
        <v>33.812232971191399</v>
      </c>
      <c r="H1826" s="6">
        <v>33.853870391845703</v>
      </c>
      <c r="I1826" s="6">
        <v>33.834171295166001</v>
      </c>
      <c r="J1826" s="6">
        <v>33.847984313964801</v>
      </c>
      <c r="K1826" s="6">
        <v>28.9686679840088</v>
      </c>
      <c r="L1826" s="6">
        <v>26.2798957824707</v>
      </c>
    </row>
    <row r="1827" spans="1:12" x14ac:dyDescent="0.25">
      <c r="A1827">
        <v>2209906</v>
      </c>
      <c r="B1827" t="str">
        <f t="shared" si="28"/>
        <v>SAO JOAO DA SERRA, PI, Brasil</v>
      </c>
      <c r="C1827" s="4" t="str">
        <f>_xlfn.XLOOKUP(A1827,[1]!DadosGHD[CD_GEOCMU],[1]!DadosGHD[Região])</f>
        <v>NE</v>
      </c>
      <c r="D1827" s="4" t="str">
        <f>_xlfn.XLOOKUP(A1827,[1]!DadosGHD[CD_GEOCMU],[1]!DadosGHD[uf])</f>
        <v>PI</v>
      </c>
      <c r="E1827" s="5" t="str">
        <f>_xlfn.XLOOKUP(A1827,[1]!DadosGHD[CD_GEOCMU],[1]!DadosGHD[MUNICIPIO])</f>
        <v>SAO JOAO DA SERRA</v>
      </c>
      <c r="F1827" s="6">
        <v>33.767387390136697</v>
      </c>
      <c r="G1827" s="6">
        <v>33.812908172607401</v>
      </c>
      <c r="H1827" s="6">
        <v>33.846881866455099</v>
      </c>
      <c r="I1827" s="6">
        <v>33.821826934814503</v>
      </c>
      <c r="J1827" s="6">
        <v>33.838855743408203</v>
      </c>
      <c r="K1827" s="6">
        <v>33.8707275390625</v>
      </c>
      <c r="L1827" s="6">
        <v>26.2798957824707</v>
      </c>
    </row>
    <row r="1828" spans="1:12" x14ac:dyDescent="0.25">
      <c r="A1828">
        <v>2511202</v>
      </c>
      <c r="B1828" t="str">
        <f t="shared" si="28"/>
        <v>PEDRAS DE FOGO, PB, Brasil</v>
      </c>
      <c r="C1828" s="4" t="str">
        <f>_xlfn.XLOOKUP(A1828,[1]!DadosGHD[CD_GEOCMU],[1]!DadosGHD[Região])</f>
        <v>NE</v>
      </c>
      <c r="D1828" s="4" t="str">
        <f>_xlfn.XLOOKUP(A1828,[1]!DadosGHD[CD_GEOCMU],[1]!DadosGHD[uf])</f>
        <v>PB</v>
      </c>
      <c r="E1828" s="5" t="str">
        <f>_xlfn.XLOOKUP(A1828,[1]!DadosGHD[CD_GEOCMU],[1]!DadosGHD[MUNICIPIO])</f>
        <v>PEDRAS DE FOGO</v>
      </c>
      <c r="F1828" s="6">
        <v>33.767414093017599</v>
      </c>
      <c r="G1828" s="6">
        <v>33.818515777587898</v>
      </c>
      <c r="H1828" s="6">
        <v>33.873714447021499</v>
      </c>
      <c r="I1828" s="6">
        <v>33.863365173339801</v>
      </c>
      <c r="J1828" s="6">
        <v>33.8872261047363</v>
      </c>
      <c r="K1828" s="6">
        <v>33.895534515380902</v>
      </c>
      <c r="L1828" s="6">
        <v>26.286678314208999</v>
      </c>
    </row>
    <row r="1829" spans="1:12" x14ac:dyDescent="0.25">
      <c r="A1829">
        <v>2508208</v>
      </c>
      <c r="B1829" t="str">
        <f t="shared" si="28"/>
        <v>LAGOA DE DENTRO, PB, Brasil</v>
      </c>
      <c r="C1829" s="4" t="str">
        <f>_xlfn.XLOOKUP(A1829,[1]!DadosGHD[CD_GEOCMU],[1]!DadosGHD[Região])</f>
        <v>NE</v>
      </c>
      <c r="D1829" s="4" t="str">
        <f>_xlfn.XLOOKUP(A1829,[1]!DadosGHD[CD_GEOCMU],[1]!DadosGHD[uf])</f>
        <v>PB</v>
      </c>
      <c r="E1829" s="5" t="str">
        <f>_xlfn.XLOOKUP(A1829,[1]!DadosGHD[CD_GEOCMU],[1]!DadosGHD[MUNICIPIO])</f>
        <v>LAGOA DE DENTRO</v>
      </c>
      <c r="F1829" s="6">
        <v>33.767433166503899</v>
      </c>
      <c r="G1829" s="6">
        <v>33.818626403808601</v>
      </c>
      <c r="H1829" s="6">
        <v>33.822917938232401</v>
      </c>
      <c r="I1829" s="6">
        <v>33.798007965087898</v>
      </c>
      <c r="J1829" s="6">
        <v>33.812843322753899</v>
      </c>
      <c r="K1829" s="6">
        <v>33.844375610351598</v>
      </c>
      <c r="L1829" s="6">
        <v>30.7114582061768</v>
      </c>
    </row>
    <row r="1830" spans="1:12" x14ac:dyDescent="0.25">
      <c r="A1830">
        <v>2928109</v>
      </c>
      <c r="B1830" t="str">
        <f t="shared" si="28"/>
        <v>SANTA MARIA DA VITORIA, BA, Brasil</v>
      </c>
      <c r="C1830" s="4" t="str">
        <f>_xlfn.XLOOKUP(A1830,[1]!DadosGHD[CD_GEOCMU],[1]!DadosGHD[Região])</f>
        <v>NE</v>
      </c>
      <c r="D1830" s="4" t="str">
        <f>_xlfn.XLOOKUP(A1830,[1]!DadosGHD[CD_GEOCMU],[1]!DadosGHD[uf])</f>
        <v>BA</v>
      </c>
      <c r="E1830" s="5" t="str">
        <f>_xlfn.XLOOKUP(A1830,[1]!DadosGHD[CD_GEOCMU],[1]!DadosGHD[MUNICIPIO])</f>
        <v>SANTA MARIA DA VITORIA</v>
      </c>
      <c r="F1830" s="6">
        <v>33.767562866210902</v>
      </c>
      <c r="G1830" s="6">
        <v>33.835971832275398</v>
      </c>
      <c r="H1830" s="6">
        <v>33.871574401855497</v>
      </c>
      <c r="I1830" s="6">
        <v>33.845272064208999</v>
      </c>
      <c r="J1830" s="6">
        <v>33.868873596191399</v>
      </c>
      <c r="K1830" s="6">
        <v>33.907405853271499</v>
      </c>
      <c r="L1830" s="6">
        <v>30.6930255889893</v>
      </c>
    </row>
    <row r="1831" spans="1:12" x14ac:dyDescent="0.25">
      <c r="A1831">
        <v>2307254</v>
      </c>
      <c r="B1831" t="str">
        <f t="shared" si="28"/>
        <v>JIJOCA DE JERICOACOARA, CE, Brasil</v>
      </c>
      <c r="C1831" s="4" t="str">
        <f>_xlfn.XLOOKUP(A1831,[1]!DadosGHD[CD_GEOCMU],[1]!DadosGHD[Região])</f>
        <v>NE</v>
      </c>
      <c r="D1831" s="4" t="str">
        <f>_xlfn.XLOOKUP(A1831,[1]!DadosGHD[CD_GEOCMU],[1]!DadosGHD[uf])</f>
        <v>CE</v>
      </c>
      <c r="E1831" s="5" t="str">
        <f>_xlfn.XLOOKUP(A1831,[1]!DadosGHD[CD_GEOCMU],[1]!DadosGHD[MUNICIPIO])</f>
        <v>JIJOCA DE JERICOACOARA</v>
      </c>
      <c r="F1831" s="6">
        <v>33.767616271972699</v>
      </c>
      <c r="G1831" s="6">
        <v>33.842147827148402</v>
      </c>
      <c r="H1831" s="6">
        <v>33.891773223877003</v>
      </c>
      <c r="I1831" s="6">
        <v>38.748538970947301</v>
      </c>
      <c r="J1831" s="6">
        <v>33.891670227050803</v>
      </c>
      <c r="K1831" s="6">
        <v>33.882236480712898</v>
      </c>
      <c r="L1831" s="6">
        <v>30.6914768218994</v>
      </c>
    </row>
    <row r="1832" spans="1:12" x14ac:dyDescent="0.25">
      <c r="A1832">
        <v>2404903</v>
      </c>
      <c r="B1832" t="str">
        <f t="shared" si="28"/>
        <v>ITAU, RN, Brasil</v>
      </c>
      <c r="C1832" s="4" t="str">
        <f>_xlfn.XLOOKUP(A1832,[1]!DadosGHD[CD_GEOCMU],[1]!DadosGHD[Região])</f>
        <v>NE</v>
      </c>
      <c r="D1832" s="4" t="str">
        <f>_xlfn.XLOOKUP(A1832,[1]!DadosGHD[CD_GEOCMU],[1]!DadosGHD[uf])</f>
        <v>RN</v>
      </c>
      <c r="E1832" s="5" t="str">
        <f>_xlfn.XLOOKUP(A1832,[1]!DadosGHD[CD_GEOCMU],[1]!DadosGHD[MUNICIPIO])</f>
        <v>ITAU</v>
      </c>
      <c r="F1832" s="6">
        <v>33.767723083496101</v>
      </c>
      <c r="G1832" s="6">
        <v>38.699302673339801</v>
      </c>
      <c r="H1832" s="6">
        <v>38.764904022216797</v>
      </c>
      <c r="I1832" s="6">
        <v>38.725196838378899</v>
      </c>
      <c r="J1832" s="6">
        <v>38.744235992431598</v>
      </c>
      <c r="K1832" s="6">
        <v>38.792186737060597</v>
      </c>
      <c r="L1832" s="6">
        <v>35.1200981140137</v>
      </c>
    </row>
    <row r="1833" spans="1:12" x14ac:dyDescent="0.25">
      <c r="A1833">
        <v>2921708</v>
      </c>
      <c r="B1833" t="str">
        <f t="shared" si="28"/>
        <v>MORRO DO CHAPEU, BA, Brasil</v>
      </c>
      <c r="C1833" s="4" t="str">
        <f>_xlfn.XLOOKUP(A1833,[1]!DadosGHD[CD_GEOCMU],[1]!DadosGHD[Região])</f>
        <v>NE</v>
      </c>
      <c r="D1833" s="4" t="str">
        <f>_xlfn.XLOOKUP(A1833,[1]!DadosGHD[CD_GEOCMU],[1]!DadosGHD[uf])</f>
        <v>BA</v>
      </c>
      <c r="E1833" s="5" t="str">
        <f>_xlfn.XLOOKUP(A1833,[1]!DadosGHD[CD_GEOCMU],[1]!DadosGHD[MUNICIPIO])</f>
        <v>MORRO DO CHAPEU</v>
      </c>
      <c r="F1833" s="6">
        <v>33.767799377441399</v>
      </c>
      <c r="G1833" s="6">
        <v>33.837467193603501</v>
      </c>
      <c r="H1833" s="6">
        <v>33.882942199707003</v>
      </c>
      <c r="I1833" s="6">
        <v>33.859481811523402</v>
      </c>
      <c r="J1833" s="6">
        <v>33.887882232666001</v>
      </c>
      <c r="K1833" s="6">
        <v>33.928623199462898</v>
      </c>
      <c r="L1833" s="6">
        <v>35.118350982666001</v>
      </c>
    </row>
    <row r="1834" spans="1:12" x14ac:dyDescent="0.25">
      <c r="A1834">
        <v>3124302</v>
      </c>
      <c r="B1834" t="str">
        <f t="shared" si="28"/>
        <v>ESPINOSA, MG, Brasil</v>
      </c>
      <c r="C1834" s="4" t="str">
        <f>_xlfn.XLOOKUP(A1834,[1]!DadosGHD[CD_GEOCMU],[1]!DadosGHD[Região])</f>
        <v>SD</v>
      </c>
      <c r="D1834" s="4" t="str">
        <f>_xlfn.XLOOKUP(A1834,[1]!DadosGHD[CD_GEOCMU],[1]!DadosGHD[uf])</f>
        <v>MG</v>
      </c>
      <c r="E1834" s="5" t="str">
        <f>_xlfn.XLOOKUP(A1834,[1]!DadosGHD[CD_GEOCMU],[1]!DadosGHD[MUNICIPIO])</f>
        <v>ESPINOSA</v>
      </c>
      <c r="F1834" s="6">
        <v>33.767818450927699</v>
      </c>
      <c r="G1834" s="6">
        <v>38.689338684082003</v>
      </c>
      <c r="H1834" s="6">
        <v>33.886661529541001</v>
      </c>
      <c r="I1834" s="6">
        <v>33.860313415527301</v>
      </c>
      <c r="J1834" s="6">
        <v>33.8870239257813</v>
      </c>
      <c r="K1834" s="6">
        <v>38.787254333496101</v>
      </c>
      <c r="L1834" s="6">
        <v>30.714448928833001</v>
      </c>
    </row>
    <row r="1835" spans="1:12" x14ac:dyDescent="0.25">
      <c r="A1835">
        <v>4322327</v>
      </c>
      <c r="B1835" t="str">
        <f t="shared" si="28"/>
        <v>TURUCU, RS, Brasil</v>
      </c>
      <c r="C1835" s="4" t="str">
        <f>_xlfn.XLOOKUP(A1835,[1]!DadosGHD[CD_GEOCMU],[1]!DadosGHD[Região])</f>
        <v>SL</v>
      </c>
      <c r="D1835" s="4" t="str">
        <f>_xlfn.XLOOKUP(A1835,[1]!DadosGHD[CD_GEOCMU],[1]!DadosGHD[uf])</f>
        <v>RS</v>
      </c>
      <c r="E1835" s="5" t="str">
        <f>_xlfn.XLOOKUP(A1835,[1]!DadosGHD[CD_GEOCMU],[1]!DadosGHD[MUNICIPIO])</f>
        <v>TURUCU</v>
      </c>
      <c r="F1835" s="6">
        <v>33.767974853515597</v>
      </c>
      <c r="G1835" s="6">
        <v>48.647552490234403</v>
      </c>
      <c r="H1835" s="6">
        <v>48.79736328125</v>
      </c>
      <c r="I1835" s="6">
        <v>53.7514839172363</v>
      </c>
      <c r="J1835" s="6">
        <v>48.708683013916001</v>
      </c>
      <c r="K1835" s="6">
        <v>48.885707855224602</v>
      </c>
      <c r="L1835" s="6">
        <v>52.992881774902301</v>
      </c>
    </row>
    <row r="1836" spans="1:12" x14ac:dyDescent="0.25">
      <c r="A1836">
        <v>2401305</v>
      </c>
      <c r="B1836" t="str">
        <f t="shared" si="28"/>
        <v>AUGUSTO SEVERO, RN, Brasil</v>
      </c>
      <c r="C1836" s="4" t="str">
        <f>_xlfn.XLOOKUP(A1836,[1]!DadosGHD[CD_GEOCMU],[1]!DadosGHD[Região])</f>
        <v>NE</v>
      </c>
      <c r="D1836" s="4" t="str">
        <f>_xlfn.XLOOKUP(A1836,[1]!DadosGHD[CD_GEOCMU],[1]!DadosGHD[uf])</f>
        <v>RN</v>
      </c>
      <c r="E1836" s="5" t="str">
        <f>_xlfn.XLOOKUP(A1836,[1]!DadosGHD[CD_GEOCMU],[1]!DadosGHD[MUNICIPIO])</f>
        <v>AUGUSTO SEVERO</v>
      </c>
      <c r="F1836" s="6">
        <v>33.7680854797363</v>
      </c>
      <c r="G1836" s="6">
        <v>38.702980041503899</v>
      </c>
      <c r="H1836" s="6">
        <v>38.747589111328097</v>
      </c>
      <c r="I1836" s="6">
        <v>33.857231140136697</v>
      </c>
      <c r="J1836" s="6">
        <v>38.748317718505902</v>
      </c>
      <c r="K1836" s="6">
        <v>38.7865180969238</v>
      </c>
      <c r="L1836" s="6">
        <v>30.7077331542969</v>
      </c>
    </row>
    <row r="1837" spans="1:12" x14ac:dyDescent="0.25">
      <c r="A1837">
        <v>1507466</v>
      </c>
      <c r="B1837" t="str">
        <f t="shared" si="28"/>
        <v>SAO JOAO DA PONTA, PA, Brasil</v>
      </c>
      <c r="C1837" s="4" t="str">
        <f>_xlfn.XLOOKUP(A1837,[1]!DadosGHD[CD_GEOCMU],[1]!DadosGHD[Região])</f>
        <v>NO</v>
      </c>
      <c r="D1837" s="4" t="str">
        <f>_xlfn.XLOOKUP(A1837,[1]!DadosGHD[CD_GEOCMU],[1]!DadosGHD[uf])</f>
        <v>PA</v>
      </c>
      <c r="E1837" s="5" t="str">
        <f>_xlfn.XLOOKUP(A1837,[1]!DadosGHD[CD_GEOCMU],[1]!DadosGHD[MUNICIPIO])</f>
        <v>SAO JOAO DA PONTA</v>
      </c>
      <c r="F1837" s="6">
        <v>33.768096923828097</v>
      </c>
      <c r="G1837" s="6">
        <v>33.809913635253899</v>
      </c>
      <c r="H1837" s="6">
        <v>33.849372863769503</v>
      </c>
      <c r="I1837" s="6">
        <v>33.825149536132798</v>
      </c>
      <c r="J1837" s="6">
        <v>33.838794708252003</v>
      </c>
      <c r="K1837" s="6">
        <v>33.867027282714801</v>
      </c>
      <c r="L1837" s="6">
        <v>30.686485290527301</v>
      </c>
    </row>
    <row r="1838" spans="1:12" x14ac:dyDescent="0.25">
      <c r="A1838">
        <v>4315206</v>
      </c>
      <c r="B1838" t="str">
        <f t="shared" si="28"/>
        <v>PUTINGA, RS, Brasil</v>
      </c>
      <c r="C1838" s="4" t="str">
        <f>_xlfn.XLOOKUP(A1838,[1]!DadosGHD[CD_GEOCMU],[1]!DadosGHD[Região])</f>
        <v>SL</v>
      </c>
      <c r="D1838" s="4" t="str">
        <f>_xlfn.XLOOKUP(A1838,[1]!DadosGHD[CD_GEOCMU],[1]!DadosGHD[uf])</f>
        <v>RS</v>
      </c>
      <c r="E1838" s="5" t="str">
        <f>_xlfn.XLOOKUP(A1838,[1]!DadosGHD[CD_GEOCMU],[1]!DadosGHD[MUNICIPIO])</f>
        <v>PUTINGA</v>
      </c>
      <c r="F1838" s="6">
        <v>33.768138885498097</v>
      </c>
      <c r="G1838" s="6">
        <v>43.684513092041001</v>
      </c>
      <c r="H1838" s="6">
        <v>43.753570556640597</v>
      </c>
      <c r="I1838" s="6">
        <v>43.724925994873097</v>
      </c>
      <c r="J1838" s="6">
        <v>48.759963989257798</v>
      </c>
      <c r="K1838" s="6">
        <v>48.788703918457003</v>
      </c>
      <c r="L1838" s="6">
        <v>44.0772895812988</v>
      </c>
    </row>
    <row r="1839" spans="1:12" x14ac:dyDescent="0.25">
      <c r="A1839">
        <v>2615904</v>
      </c>
      <c r="B1839" t="str">
        <f t="shared" si="28"/>
        <v>TUPARETAMA, PE, Brasil</v>
      </c>
      <c r="C1839" s="4" t="str">
        <f>_xlfn.XLOOKUP(A1839,[1]!DadosGHD[CD_GEOCMU],[1]!DadosGHD[Região])</f>
        <v>NE</v>
      </c>
      <c r="D1839" s="4" t="str">
        <f>_xlfn.XLOOKUP(A1839,[1]!DadosGHD[CD_GEOCMU],[1]!DadosGHD[uf])</f>
        <v>PE</v>
      </c>
      <c r="E1839" s="5" t="str">
        <f>_xlfn.XLOOKUP(A1839,[1]!DadosGHD[CD_GEOCMU],[1]!DadosGHD[MUNICIPIO])</f>
        <v>TUPARETAMA</v>
      </c>
      <c r="F1839" s="6">
        <v>33.768150329589801</v>
      </c>
      <c r="G1839" s="6">
        <v>38.683082580566399</v>
      </c>
      <c r="H1839" s="6">
        <v>33.894412994384801</v>
      </c>
      <c r="I1839" s="6">
        <v>38.722133636474602</v>
      </c>
      <c r="J1839" s="6">
        <v>33.895427703857401</v>
      </c>
      <c r="K1839" s="6">
        <v>33.921127319335902</v>
      </c>
      <c r="L1839" s="6">
        <v>30.7080993652344</v>
      </c>
    </row>
    <row r="1840" spans="1:12" x14ac:dyDescent="0.25">
      <c r="A1840">
        <v>3145455</v>
      </c>
      <c r="B1840" t="str">
        <f t="shared" si="28"/>
        <v>OLHOS-D'AGUA, MG, Brasil</v>
      </c>
      <c r="C1840" s="4" t="str">
        <f>_xlfn.XLOOKUP(A1840,[1]!DadosGHD[CD_GEOCMU],[1]!DadosGHD[Região])</f>
        <v>SD</v>
      </c>
      <c r="D1840" s="4" t="str">
        <f>_xlfn.XLOOKUP(A1840,[1]!DadosGHD[CD_GEOCMU],[1]!DadosGHD[uf])</f>
        <v>MG</v>
      </c>
      <c r="E1840" s="5" t="str">
        <f>_xlfn.XLOOKUP(A1840,[1]!DadosGHD[CD_GEOCMU],[1]!DadosGHD[MUNICIPIO])</f>
        <v>OLHOS-D'AGUA</v>
      </c>
      <c r="F1840" s="6">
        <v>33.768287658691399</v>
      </c>
      <c r="G1840" s="6">
        <v>33.810550689697301</v>
      </c>
      <c r="H1840" s="6">
        <v>33.853248596191399</v>
      </c>
      <c r="I1840" s="6">
        <v>33.860118865966797</v>
      </c>
      <c r="J1840" s="6">
        <v>38.749732971191399</v>
      </c>
      <c r="K1840" s="6">
        <v>38.8159790039063</v>
      </c>
      <c r="L1840" s="6">
        <v>35.151832580566399</v>
      </c>
    </row>
    <row r="1841" spans="1:12" x14ac:dyDescent="0.25">
      <c r="A1841">
        <v>3131109</v>
      </c>
      <c r="B1841" t="str">
        <f t="shared" si="28"/>
        <v>INIMUTABA, MG, Brasil</v>
      </c>
      <c r="C1841" s="4" t="str">
        <f>_xlfn.XLOOKUP(A1841,[1]!DadosGHD[CD_GEOCMU],[1]!DadosGHD[Região])</f>
        <v>SD</v>
      </c>
      <c r="D1841" s="4" t="str">
        <f>_xlfn.XLOOKUP(A1841,[1]!DadosGHD[CD_GEOCMU],[1]!DadosGHD[uf])</f>
        <v>MG</v>
      </c>
      <c r="E1841" s="5" t="str">
        <f>_xlfn.XLOOKUP(A1841,[1]!DadosGHD[CD_GEOCMU],[1]!DadosGHD[MUNICIPIO])</f>
        <v>INIMUTABA</v>
      </c>
      <c r="F1841" s="6">
        <v>33.768402099609403</v>
      </c>
      <c r="G1841" s="6">
        <v>33.809616088867202</v>
      </c>
      <c r="H1841" s="6">
        <v>33.843528747558601</v>
      </c>
      <c r="I1841" s="6">
        <v>33.831714630127003</v>
      </c>
      <c r="J1841" s="6">
        <v>38.822463989257798</v>
      </c>
      <c r="K1841" s="6">
        <v>38.864177703857401</v>
      </c>
      <c r="L1841" s="6">
        <v>39.580154418945298</v>
      </c>
    </row>
    <row r="1842" spans="1:12" x14ac:dyDescent="0.25">
      <c r="A1842">
        <v>2923357</v>
      </c>
      <c r="B1842" t="str">
        <f t="shared" si="28"/>
        <v>OUROLANDIA, BA, Brasil</v>
      </c>
      <c r="C1842" s="4" t="str">
        <f>_xlfn.XLOOKUP(A1842,[1]!DadosGHD[CD_GEOCMU],[1]!DadosGHD[Região])</f>
        <v>NE</v>
      </c>
      <c r="D1842" s="4" t="str">
        <f>_xlfn.XLOOKUP(A1842,[1]!DadosGHD[CD_GEOCMU],[1]!DadosGHD[uf])</f>
        <v>BA</v>
      </c>
      <c r="E1842" s="5" t="str">
        <f>_xlfn.XLOOKUP(A1842,[1]!DadosGHD[CD_GEOCMU],[1]!DadosGHD[MUNICIPIO])</f>
        <v>OUROLANDIA</v>
      </c>
      <c r="F1842" s="6">
        <v>33.768520355224602</v>
      </c>
      <c r="G1842" s="6">
        <v>33.811019897460902</v>
      </c>
      <c r="H1842" s="6">
        <v>33.877101898193402</v>
      </c>
      <c r="I1842" s="6">
        <v>33.841487884521499</v>
      </c>
      <c r="J1842" s="6">
        <v>33.861282348632798</v>
      </c>
      <c r="K1842" s="6">
        <v>33.904617309570298</v>
      </c>
      <c r="L1842" s="6">
        <v>35.124233245849602</v>
      </c>
    </row>
    <row r="1843" spans="1:12" x14ac:dyDescent="0.25">
      <c r="A1843">
        <v>3162559</v>
      </c>
      <c r="B1843" t="str">
        <f t="shared" si="28"/>
        <v>SAO JOAO DO MANHUACU, MG, Brasil</v>
      </c>
      <c r="C1843" s="4" t="str">
        <f>_xlfn.XLOOKUP(A1843,[1]!DadosGHD[CD_GEOCMU],[1]!DadosGHD[Região])</f>
        <v>SD</v>
      </c>
      <c r="D1843" s="4" t="str">
        <f>_xlfn.XLOOKUP(A1843,[1]!DadosGHD[CD_GEOCMU],[1]!DadosGHD[uf])</f>
        <v>MG</v>
      </c>
      <c r="E1843" s="5" t="str">
        <f>_xlfn.XLOOKUP(A1843,[1]!DadosGHD[CD_GEOCMU],[1]!DadosGHD[MUNICIPIO])</f>
        <v>SAO JOAO DO MANHUACU</v>
      </c>
      <c r="F1843" s="6">
        <v>33.768608093261697</v>
      </c>
      <c r="G1843" s="6">
        <v>33.8304443359375</v>
      </c>
      <c r="H1843" s="6">
        <v>38.756057739257798</v>
      </c>
      <c r="I1843" s="6">
        <v>38.724655151367202</v>
      </c>
      <c r="J1843" s="6">
        <v>38.771213531494098</v>
      </c>
      <c r="K1843" s="6">
        <v>38.815399169921903</v>
      </c>
      <c r="L1843" s="6">
        <v>39.5706977844238</v>
      </c>
    </row>
    <row r="1844" spans="1:12" x14ac:dyDescent="0.25">
      <c r="A1844">
        <v>2611903</v>
      </c>
      <c r="B1844" t="str">
        <f t="shared" si="28"/>
        <v>RIO FORMOSO, PE, Brasil</v>
      </c>
      <c r="C1844" s="4" t="str">
        <f>_xlfn.XLOOKUP(A1844,[1]!DadosGHD[CD_GEOCMU],[1]!DadosGHD[Região])</f>
        <v>NE</v>
      </c>
      <c r="D1844" s="4" t="str">
        <f>_xlfn.XLOOKUP(A1844,[1]!DadosGHD[CD_GEOCMU],[1]!DadosGHD[uf])</f>
        <v>PE</v>
      </c>
      <c r="E1844" s="5" t="str">
        <f>_xlfn.XLOOKUP(A1844,[1]!DadosGHD[CD_GEOCMU],[1]!DadosGHD[MUNICIPIO])</f>
        <v>RIO FORMOSO</v>
      </c>
      <c r="F1844" s="6">
        <v>33.768611907958999</v>
      </c>
      <c r="G1844" s="6">
        <v>33.809989929199197</v>
      </c>
      <c r="H1844" s="6">
        <v>33.826183319091797</v>
      </c>
      <c r="I1844" s="6">
        <v>33.825759887695298</v>
      </c>
      <c r="J1844" s="6">
        <v>33.864593505859403</v>
      </c>
      <c r="K1844" s="6">
        <v>33.895294189453097</v>
      </c>
      <c r="L1844" s="6">
        <v>35.145030975341797</v>
      </c>
    </row>
    <row r="1845" spans="1:12" x14ac:dyDescent="0.25">
      <c r="A1845">
        <v>2209401</v>
      </c>
      <c r="B1845" t="str">
        <f t="shared" si="28"/>
        <v>SANTO ANTONIO DE LISBOA, PI, Brasil</v>
      </c>
      <c r="C1845" s="4" t="str">
        <f>_xlfn.XLOOKUP(A1845,[1]!DadosGHD[CD_GEOCMU],[1]!DadosGHD[Região])</f>
        <v>NE</v>
      </c>
      <c r="D1845" s="4" t="str">
        <f>_xlfn.XLOOKUP(A1845,[1]!DadosGHD[CD_GEOCMU],[1]!DadosGHD[uf])</f>
        <v>PI</v>
      </c>
      <c r="E1845" s="5" t="str">
        <f>_xlfn.XLOOKUP(A1845,[1]!DadosGHD[CD_GEOCMU],[1]!DadosGHD[MUNICIPIO])</f>
        <v>SANTO ANTONIO DE LISBOA</v>
      </c>
      <c r="F1845" s="6">
        <v>33.7686767578125</v>
      </c>
      <c r="G1845" s="6">
        <v>33.809070587158203</v>
      </c>
      <c r="H1845" s="6">
        <v>33.839035034179702</v>
      </c>
      <c r="I1845" s="6">
        <v>33.817039489746101</v>
      </c>
      <c r="J1845" s="6">
        <v>33.845840454101598</v>
      </c>
      <c r="K1845" s="6">
        <v>33.871646881103501</v>
      </c>
      <c r="L1845" s="6">
        <v>30.6844997406006</v>
      </c>
    </row>
    <row r="1846" spans="1:12" x14ac:dyDescent="0.25">
      <c r="A1846">
        <v>2510204</v>
      </c>
      <c r="B1846" t="str">
        <f t="shared" si="28"/>
        <v>NOVA OLINDA, PB, Brasil</v>
      </c>
      <c r="C1846" s="4" t="str">
        <f>_xlfn.XLOOKUP(A1846,[1]!DadosGHD[CD_GEOCMU],[1]!DadosGHD[Região])</f>
        <v>NE</v>
      </c>
      <c r="D1846" s="4" t="str">
        <f>_xlfn.XLOOKUP(A1846,[1]!DadosGHD[CD_GEOCMU],[1]!DadosGHD[uf])</f>
        <v>PB</v>
      </c>
      <c r="E1846" s="5" t="str">
        <f>_xlfn.XLOOKUP(A1846,[1]!DadosGHD[CD_GEOCMU],[1]!DadosGHD[MUNICIPIO])</f>
        <v>NOVA OLINDA</v>
      </c>
      <c r="F1846" s="6">
        <v>33.768856048583999</v>
      </c>
      <c r="G1846" s="6">
        <v>33.814682006835902</v>
      </c>
      <c r="H1846" s="6">
        <v>33.848800659179702</v>
      </c>
      <c r="I1846" s="6">
        <v>38.756381988525398</v>
      </c>
      <c r="J1846" s="6">
        <v>38.762866973877003</v>
      </c>
      <c r="K1846" s="6">
        <v>33.910781860351598</v>
      </c>
      <c r="L1846" s="6">
        <v>30.6903476715088</v>
      </c>
    </row>
    <row r="1847" spans="1:12" x14ac:dyDescent="0.25">
      <c r="A1847">
        <v>2602704</v>
      </c>
      <c r="B1847" t="str">
        <f t="shared" si="28"/>
        <v>BUENOS AIRES, PE, Brasil</v>
      </c>
      <c r="C1847" s="4" t="str">
        <f>_xlfn.XLOOKUP(A1847,[1]!DadosGHD[CD_GEOCMU],[1]!DadosGHD[Região])</f>
        <v>NE</v>
      </c>
      <c r="D1847" s="4" t="str">
        <f>_xlfn.XLOOKUP(A1847,[1]!DadosGHD[CD_GEOCMU],[1]!DadosGHD[uf])</f>
        <v>PE</v>
      </c>
      <c r="E1847" s="5" t="str">
        <f>_xlfn.XLOOKUP(A1847,[1]!DadosGHD[CD_GEOCMU],[1]!DadosGHD[MUNICIPIO])</f>
        <v>BUENOS AIRES</v>
      </c>
      <c r="F1847" s="6">
        <v>33.768875122070298</v>
      </c>
      <c r="G1847" s="6">
        <v>33.836341857910199</v>
      </c>
      <c r="H1847" s="6">
        <v>33.837646484375</v>
      </c>
      <c r="I1847" s="6">
        <v>33.812759399414098</v>
      </c>
      <c r="J1847" s="6">
        <v>33.829792022705099</v>
      </c>
      <c r="K1847" s="6">
        <v>29.003034591674801</v>
      </c>
      <c r="L1847" s="6">
        <v>30.687791824340799</v>
      </c>
    </row>
    <row r="1848" spans="1:12" x14ac:dyDescent="0.25">
      <c r="A1848">
        <v>2903706</v>
      </c>
      <c r="B1848" t="str">
        <f t="shared" si="28"/>
        <v>BOA NOVA, BA, Brasil</v>
      </c>
      <c r="C1848" s="4" t="str">
        <f>_xlfn.XLOOKUP(A1848,[1]!DadosGHD[CD_GEOCMU],[1]!DadosGHD[Região])</f>
        <v>NE</v>
      </c>
      <c r="D1848" s="4" t="str">
        <f>_xlfn.XLOOKUP(A1848,[1]!DadosGHD[CD_GEOCMU],[1]!DadosGHD[uf])</f>
        <v>BA</v>
      </c>
      <c r="E1848" s="5" t="str">
        <f>_xlfn.XLOOKUP(A1848,[1]!DadosGHD[CD_GEOCMU],[1]!DadosGHD[MUNICIPIO])</f>
        <v>BOA NOVA</v>
      </c>
      <c r="F1848" s="6">
        <v>33.768886566162102</v>
      </c>
      <c r="G1848" s="6">
        <v>33.8111381530762</v>
      </c>
      <c r="H1848" s="6">
        <v>33.819465637207003</v>
      </c>
      <c r="I1848" s="6">
        <v>33.801712036132798</v>
      </c>
      <c r="J1848" s="6">
        <v>28.953517913818398</v>
      </c>
      <c r="K1848" s="6">
        <v>29.004022598266602</v>
      </c>
      <c r="L1848" s="6">
        <v>26.2928867340088</v>
      </c>
    </row>
    <row r="1849" spans="1:12" x14ac:dyDescent="0.25">
      <c r="A1849">
        <v>4311734</v>
      </c>
      <c r="B1849" t="str">
        <f t="shared" si="28"/>
        <v>MAMPITUBA, RS, Brasil</v>
      </c>
      <c r="C1849" s="4" t="str">
        <f>_xlfn.XLOOKUP(A1849,[1]!DadosGHD[CD_GEOCMU],[1]!DadosGHD[Região])</f>
        <v>SL</v>
      </c>
      <c r="D1849" s="4" t="str">
        <f>_xlfn.XLOOKUP(A1849,[1]!DadosGHD[CD_GEOCMU],[1]!DadosGHD[uf])</f>
        <v>RS</v>
      </c>
      <c r="E1849" s="5" t="str">
        <f>_xlfn.XLOOKUP(A1849,[1]!DadosGHD[CD_GEOCMU],[1]!DadosGHD[MUNICIPIO])</f>
        <v>MAMPITUBA</v>
      </c>
      <c r="F1849" s="6">
        <v>33.769088745117202</v>
      </c>
      <c r="G1849" s="6">
        <v>38.693946838378899</v>
      </c>
      <c r="H1849" s="6">
        <v>38.744407653808601</v>
      </c>
      <c r="I1849" s="6">
        <v>38.720420837402301</v>
      </c>
      <c r="J1849" s="6">
        <v>38.757114410400398</v>
      </c>
      <c r="K1849" s="6">
        <v>33.929401397705099</v>
      </c>
      <c r="L1849" s="6">
        <v>30.694896697998001</v>
      </c>
    </row>
    <row r="1850" spans="1:12" x14ac:dyDescent="0.25">
      <c r="A1850">
        <v>3120151</v>
      </c>
      <c r="B1850" t="str">
        <f t="shared" si="28"/>
        <v>CRISOLITA, MG, Brasil</v>
      </c>
      <c r="C1850" s="4" t="str">
        <f>_xlfn.XLOOKUP(A1850,[1]!DadosGHD[CD_GEOCMU],[1]!DadosGHD[Região])</f>
        <v>SD</v>
      </c>
      <c r="D1850" s="4" t="str">
        <f>_xlfn.XLOOKUP(A1850,[1]!DadosGHD[CD_GEOCMU],[1]!DadosGHD[uf])</f>
        <v>MG</v>
      </c>
      <c r="E1850" s="5" t="str">
        <f>_xlfn.XLOOKUP(A1850,[1]!DadosGHD[CD_GEOCMU],[1]!DadosGHD[MUNICIPIO])</f>
        <v>CRISOLITA</v>
      </c>
      <c r="F1850" s="6">
        <v>33.769191741943402</v>
      </c>
      <c r="G1850" s="6">
        <v>33.815013885498097</v>
      </c>
      <c r="H1850" s="6">
        <v>33.854530334472699</v>
      </c>
      <c r="I1850" s="6">
        <v>33.833103179931598</v>
      </c>
      <c r="J1850" s="6">
        <v>33.8522338867188</v>
      </c>
      <c r="K1850" s="6">
        <v>33.876468658447301</v>
      </c>
      <c r="L1850" s="6">
        <v>30.699243545532202</v>
      </c>
    </row>
    <row r="1851" spans="1:12" x14ac:dyDescent="0.25">
      <c r="A1851">
        <v>2612802</v>
      </c>
      <c r="B1851" t="str">
        <f t="shared" si="28"/>
        <v>SANTA TEREZINHA, PE, Brasil</v>
      </c>
      <c r="C1851" s="4" t="str">
        <f>_xlfn.XLOOKUP(A1851,[1]!DadosGHD[CD_GEOCMU],[1]!DadosGHD[Região])</f>
        <v>NE</v>
      </c>
      <c r="D1851" s="4" t="str">
        <f>_xlfn.XLOOKUP(A1851,[1]!DadosGHD[CD_GEOCMU],[1]!DadosGHD[uf])</f>
        <v>PE</v>
      </c>
      <c r="E1851" s="5" t="str">
        <f>_xlfn.XLOOKUP(A1851,[1]!DadosGHD[CD_GEOCMU],[1]!DadosGHD[MUNICIPIO])</f>
        <v>SANTA TEREZINHA</v>
      </c>
      <c r="F1851" s="6">
        <v>33.769233703613303</v>
      </c>
      <c r="G1851" s="6">
        <v>38.731540679931598</v>
      </c>
      <c r="H1851" s="6">
        <v>38.789157867431598</v>
      </c>
      <c r="I1851" s="6">
        <v>38.765407562255902</v>
      </c>
      <c r="J1851" s="6">
        <v>38.814144134521499</v>
      </c>
      <c r="K1851" s="6">
        <v>43.799041748046903</v>
      </c>
      <c r="L1851" s="6">
        <v>48.505538940429702</v>
      </c>
    </row>
    <row r="1852" spans="1:12" x14ac:dyDescent="0.25">
      <c r="A1852">
        <v>2109056</v>
      </c>
      <c r="B1852" t="str">
        <f t="shared" si="28"/>
        <v>PORTO RICO DO MARANHAO, MA, Brasil</v>
      </c>
      <c r="C1852" s="4" t="str">
        <f>_xlfn.XLOOKUP(A1852,[1]!DadosGHD[CD_GEOCMU],[1]!DadosGHD[Região])</f>
        <v>NE</v>
      </c>
      <c r="D1852" s="4" t="str">
        <f>_xlfn.XLOOKUP(A1852,[1]!DadosGHD[CD_GEOCMU],[1]!DadosGHD[uf])</f>
        <v>MA</v>
      </c>
      <c r="E1852" s="5" t="str">
        <f>_xlfn.XLOOKUP(A1852,[1]!DadosGHD[CD_GEOCMU],[1]!DadosGHD[MUNICIPIO])</f>
        <v>PORTO RICO DO MARANHAO</v>
      </c>
      <c r="F1852" s="6">
        <v>33.769279479980497</v>
      </c>
      <c r="G1852" s="6">
        <v>33.813541412353501</v>
      </c>
      <c r="H1852" s="6">
        <v>33.851806640625</v>
      </c>
      <c r="I1852" s="6">
        <v>33.827239990234403</v>
      </c>
      <c r="J1852" s="6">
        <v>33.843677520752003</v>
      </c>
      <c r="K1852" s="6">
        <v>33.874275207519503</v>
      </c>
      <c r="L1852" s="6">
        <v>26.290111541748001</v>
      </c>
    </row>
    <row r="1853" spans="1:12" x14ac:dyDescent="0.25">
      <c r="A1853">
        <v>4100202</v>
      </c>
      <c r="B1853" t="str">
        <f t="shared" si="28"/>
        <v>ADRIANOPOLIS, PR, Brasil</v>
      </c>
      <c r="C1853" s="4" t="str">
        <f>_xlfn.XLOOKUP(A1853,[1]!DadosGHD[CD_GEOCMU],[1]!DadosGHD[Região])</f>
        <v>SL</v>
      </c>
      <c r="D1853" s="4" t="str">
        <f>_xlfn.XLOOKUP(A1853,[1]!DadosGHD[CD_GEOCMU],[1]!DadosGHD[uf])</f>
        <v>PR</v>
      </c>
      <c r="E1853" s="5" t="str">
        <f>_xlfn.XLOOKUP(A1853,[1]!DadosGHD[CD_GEOCMU],[1]!DadosGHD[MUNICIPIO])</f>
        <v>ADRIANOPOLIS</v>
      </c>
      <c r="F1853" s="6">
        <v>33.769435882568402</v>
      </c>
      <c r="G1853" s="6">
        <v>38.701141357421903</v>
      </c>
      <c r="H1853" s="6">
        <v>38.760402679443402</v>
      </c>
      <c r="I1853" s="6">
        <v>38.7442817687988</v>
      </c>
      <c r="J1853" s="6">
        <v>38.743110656738303</v>
      </c>
      <c r="K1853" s="6">
        <v>33.906375885009801</v>
      </c>
      <c r="L1853" s="6">
        <v>26.294233322143601</v>
      </c>
    </row>
    <row r="1854" spans="1:12" x14ac:dyDescent="0.25">
      <c r="A1854">
        <v>2906600</v>
      </c>
      <c r="B1854" t="str">
        <f t="shared" si="28"/>
        <v>CANDIBA, BA, Brasil</v>
      </c>
      <c r="C1854" s="4" t="str">
        <f>_xlfn.XLOOKUP(A1854,[1]!DadosGHD[CD_GEOCMU],[1]!DadosGHD[Região])</f>
        <v>NE</v>
      </c>
      <c r="D1854" s="4" t="str">
        <f>_xlfn.XLOOKUP(A1854,[1]!DadosGHD[CD_GEOCMU],[1]!DadosGHD[uf])</f>
        <v>BA</v>
      </c>
      <c r="E1854" s="5" t="str">
        <f>_xlfn.XLOOKUP(A1854,[1]!DadosGHD[CD_GEOCMU],[1]!DadosGHD[MUNICIPIO])</f>
        <v>CANDIBA</v>
      </c>
      <c r="F1854" s="6">
        <v>33.769435882568402</v>
      </c>
      <c r="G1854" s="6">
        <v>33.818679809570298</v>
      </c>
      <c r="H1854" s="6">
        <v>33.859504699707003</v>
      </c>
      <c r="I1854" s="6">
        <v>33.835170745849602</v>
      </c>
      <c r="J1854" s="6">
        <v>33.850166320800803</v>
      </c>
      <c r="K1854" s="6">
        <v>33.880126953125</v>
      </c>
      <c r="L1854" s="6">
        <v>26.2905158996582</v>
      </c>
    </row>
    <row r="1855" spans="1:12" x14ac:dyDescent="0.25">
      <c r="A1855">
        <v>2208502</v>
      </c>
      <c r="B1855" t="str">
        <f t="shared" si="28"/>
        <v>PORTO, PI, Brasil</v>
      </c>
      <c r="C1855" s="4" t="str">
        <f>_xlfn.XLOOKUP(A1855,[1]!DadosGHD[CD_GEOCMU],[1]!DadosGHD[Região])</f>
        <v>NE</v>
      </c>
      <c r="D1855" s="4" t="str">
        <f>_xlfn.XLOOKUP(A1855,[1]!DadosGHD[CD_GEOCMU],[1]!DadosGHD[uf])</f>
        <v>PI</v>
      </c>
      <c r="E1855" s="5" t="str">
        <f>_xlfn.XLOOKUP(A1855,[1]!DadosGHD[CD_GEOCMU],[1]!DadosGHD[MUNICIPIO])</f>
        <v>PORTO</v>
      </c>
      <c r="F1855" s="6">
        <v>33.769641876220703</v>
      </c>
      <c r="G1855" s="6">
        <v>33.811012268066399</v>
      </c>
      <c r="H1855" s="6">
        <v>33.847843170166001</v>
      </c>
      <c r="I1855" s="6">
        <v>33.837211608886697</v>
      </c>
      <c r="J1855" s="6">
        <v>33.856559753417997</v>
      </c>
      <c r="K1855" s="6">
        <v>33.904678344726598</v>
      </c>
      <c r="L1855" s="6">
        <v>26.292295455932599</v>
      </c>
    </row>
    <row r="1856" spans="1:12" x14ac:dyDescent="0.25">
      <c r="A1856">
        <v>2503001</v>
      </c>
      <c r="B1856" t="str">
        <f t="shared" si="28"/>
        <v>CAAPORA, PB, Brasil</v>
      </c>
      <c r="C1856" s="4" t="str">
        <f>_xlfn.XLOOKUP(A1856,[1]!DadosGHD[CD_GEOCMU],[1]!DadosGHD[Região])</f>
        <v>NE</v>
      </c>
      <c r="D1856" s="4" t="str">
        <f>_xlfn.XLOOKUP(A1856,[1]!DadosGHD[CD_GEOCMU],[1]!DadosGHD[uf])</f>
        <v>PB</v>
      </c>
      <c r="E1856" s="5" t="str">
        <f>_xlfn.XLOOKUP(A1856,[1]!DadosGHD[CD_GEOCMU],[1]!DadosGHD[MUNICIPIO])</f>
        <v>CAAPORA</v>
      </c>
      <c r="F1856" s="6">
        <v>33.769710540771499</v>
      </c>
      <c r="G1856" s="6">
        <v>33.798641204833999</v>
      </c>
      <c r="H1856" s="6">
        <v>33.815990447998097</v>
      </c>
      <c r="I1856" s="6">
        <v>33.790794372558601</v>
      </c>
      <c r="J1856" s="6">
        <v>28.968635559081999</v>
      </c>
      <c r="K1856" s="6">
        <v>28.994338989257798</v>
      </c>
      <c r="L1856" s="6">
        <v>26.281202316284201</v>
      </c>
    </row>
    <row r="1857" spans="1:12" x14ac:dyDescent="0.25">
      <c r="A1857">
        <v>2606705</v>
      </c>
      <c r="B1857" t="str">
        <f t="shared" si="28"/>
        <v>IBIRAJUBA, PE, Brasil</v>
      </c>
      <c r="C1857" s="4" t="str">
        <f>_xlfn.XLOOKUP(A1857,[1]!DadosGHD[CD_GEOCMU],[1]!DadosGHD[Região])</f>
        <v>NE</v>
      </c>
      <c r="D1857" s="4" t="str">
        <f>_xlfn.XLOOKUP(A1857,[1]!DadosGHD[CD_GEOCMU],[1]!DadosGHD[uf])</f>
        <v>PE</v>
      </c>
      <c r="E1857" s="5" t="str">
        <f>_xlfn.XLOOKUP(A1857,[1]!DadosGHD[CD_GEOCMU],[1]!DadosGHD[MUNICIPIO])</f>
        <v>IBIRAJUBA</v>
      </c>
      <c r="F1857" s="6">
        <v>33.769821166992202</v>
      </c>
      <c r="G1857" s="6">
        <v>33.823188781738303</v>
      </c>
      <c r="H1857" s="6">
        <v>33.853122711181598</v>
      </c>
      <c r="I1857" s="6">
        <v>33.835460662841797</v>
      </c>
      <c r="J1857" s="6">
        <v>33.848075866699197</v>
      </c>
      <c r="K1857" s="6">
        <v>33.881649017333999</v>
      </c>
      <c r="L1857" s="6">
        <v>30.7157192230225</v>
      </c>
    </row>
    <row r="1858" spans="1:12" x14ac:dyDescent="0.25">
      <c r="A1858">
        <v>5105507</v>
      </c>
      <c r="B1858" t="str">
        <f t="shared" si="28"/>
        <v>VILA BELA DA SANTISSIMA TRINDADE, MT, Brasil</v>
      </c>
      <c r="C1858" s="4" t="str">
        <f>_xlfn.XLOOKUP(A1858,[1]!DadosGHD[CD_GEOCMU],[1]!DadosGHD[Região])</f>
        <v>CO</v>
      </c>
      <c r="D1858" s="4" t="str">
        <f>_xlfn.XLOOKUP(A1858,[1]!DadosGHD[CD_GEOCMU],[1]!DadosGHD[uf])</f>
        <v>MT</v>
      </c>
      <c r="E1858" s="5" t="str">
        <f>_xlfn.XLOOKUP(A1858,[1]!DadosGHD[CD_GEOCMU],[1]!DadosGHD[MUNICIPIO])</f>
        <v>VILA BELA DA SANTISSIMA TRINDADE</v>
      </c>
      <c r="F1858" s="6">
        <v>33.769863128662102</v>
      </c>
      <c r="G1858" s="6">
        <v>43.704597473144503</v>
      </c>
      <c r="H1858" s="6">
        <v>43.741386413574197</v>
      </c>
      <c r="I1858" s="6">
        <v>43.688022613525398</v>
      </c>
      <c r="J1858" s="6">
        <v>38.831478118896499</v>
      </c>
      <c r="K1858" s="6">
        <v>38.863971710205099</v>
      </c>
      <c r="L1858" s="6">
        <v>35.157314300537102</v>
      </c>
    </row>
    <row r="1859" spans="1:12" x14ac:dyDescent="0.25">
      <c r="A1859">
        <v>4323309</v>
      </c>
      <c r="B1859" t="str">
        <f t="shared" si="28"/>
        <v>VILA FLORES, RS, Brasil</v>
      </c>
      <c r="C1859" s="4" t="str">
        <f>_xlfn.XLOOKUP(A1859,[1]!DadosGHD[CD_GEOCMU],[1]!DadosGHD[Região])</f>
        <v>SL</v>
      </c>
      <c r="D1859" s="4" t="str">
        <f>_xlfn.XLOOKUP(A1859,[1]!DadosGHD[CD_GEOCMU],[1]!DadosGHD[uf])</f>
        <v>RS</v>
      </c>
      <c r="E1859" s="5" t="str">
        <f>_xlfn.XLOOKUP(A1859,[1]!DadosGHD[CD_GEOCMU],[1]!DadosGHD[MUNICIPIO])</f>
        <v>VILA FLORES</v>
      </c>
      <c r="F1859" s="6">
        <v>33.770172119140597</v>
      </c>
      <c r="G1859" s="6">
        <v>48.653160095214801</v>
      </c>
      <c r="H1859" s="6">
        <v>58.961544036865199</v>
      </c>
      <c r="I1859" s="6">
        <v>58.914363861083999</v>
      </c>
      <c r="J1859" s="6">
        <v>58.933483123779297</v>
      </c>
      <c r="K1859" s="6">
        <v>58.985504150390597</v>
      </c>
      <c r="L1859" s="6">
        <v>57.589881896972699</v>
      </c>
    </row>
    <row r="1860" spans="1:12" x14ac:dyDescent="0.25">
      <c r="A1860">
        <v>4110078</v>
      </c>
      <c r="B1860" t="str">
        <f t="shared" ref="B1860:B1923" si="29">_xlfn.CONCAT(E1860, ", ", D1860, ", Brasil")</f>
        <v>IMBAU, PR, Brasil</v>
      </c>
      <c r="C1860" s="4" t="str">
        <f>_xlfn.XLOOKUP(A1860,[1]!DadosGHD[CD_GEOCMU],[1]!DadosGHD[Região])</f>
        <v>SL</v>
      </c>
      <c r="D1860" s="4" t="str">
        <f>_xlfn.XLOOKUP(A1860,[1]!DadosGHD[CD_GEOCMU],[1]!DadosGHD[uf])</f>
        <v>PR</v>
      </c>
      <c r="E1860" s="5" t="str">
        <f>_xlfn.XLOOKUP(A1860,[1]!DadosGHD[CD_GEOCMU],[1]!DadosGHD[MUNICIPIO])</f>
        <v>IMBAU</v>
      </c>
      <c r="F1860" s="6">
        <v>33.770206451416001</v>
      </c>
      <c r="G1860" s="6">
        <v>33.841945648193402</v>
      </c>
      <c r="H1860" s="6">
        <v>38.752193450927699</v>
      </c>
      <c r="I1860" s="6">
        <v>38.754589080810597</v>
      </c>
      <c r="J1860" s="6">
        <v>38.823036193847699</v>
      </c>
      <c r="K1860" s="6">
        <v>38.879898071289098</v>
      </c>
      <c r="L1860" s="6">
        <v>44.051162719726598</v>
      </c>
    </row>
    <row r="1861" spans="1:12" x14ac:dyDescent="0.25">
      <c r="A1861">
        <v>5203559</v>
      </c>
      <c r="B1861" t="str">
        <f t="shared" si="29"/>
        <v>BONFINOPOLIS, GO, Brasil</v>
      </c>
      <c r="C1861" s="4" t="str">
        <f>_xlfn.XLOOKUP(A1861,[1]!DadosGHD[CD_GEOCMU],[1]!DadosGHD[Região])</f>
        <v>CO</v>
      </c>
      <c r="D1861" s="4" t="str">
        <f>_xlfn.XLOOKUP(A1861,[1]!DadosGHD[CD_GEOCMU],[1]!DadosGHD[uf])</f>
        <v>GO</v>
      </c>
      <c r="E1861" s="5" t="str">
        <f>_xlfn.XLOOKUP(A1861,[1]!DadosGHD[CD_GEOCMU],[1]!DadosGHD[MUNICIPIO])</f>
        <v>BONFINOPOLIS</v>
      </c>
      <c r="F1861" s="6">
        <v>33.770236968994098</v>
      </c>
      <c r="G1861" s="6">
        <v>33.843784332275398</v>
      </c>
      <c r="H1861" s="6">
        <v>33.853717803955099</v>
      </c>
      <c r="I1861" s="6">
        <v>38.751346588134801</v>
      </c>
      <c r="J1861" s="6">
        <v>38.803470611572301</v>
      </c>
      <c r="K1861" s="6">
        <v>38.870326995849602</v>
      </c>
      <c r="L1861" s="6">
        <v>39.606189727783203</v>
      </c>
    </row>
    <row r="1862" spans="1:12" x14ac:dyDescent="0.25">
      <c r="A1862">
        <v>2412104</v>
      </c>
      <c r="B1862" t="str">
        <f t="shared" si="29"/>
        <v>SAO JOAO DO SABUGI, RN, Brasil</v>
      </c>
      <c r="C1862" s="4" t="str">
        <f>_xlfn.XLOOKUP(A1862,[1]!DadosGHD[CD_GEOCMU],[1]!DadosGHD[Região])</f>
        <v>NE</v>
      </c>
      <c r="D1862" s="4" t="str">
        <f>_xlfn.XLOOKUP(A1862,[1]!DadosGHD[CD_GEOCMU],[1]!DadosGHD[uf])</f>
        <v>RN</v>
      </c>
      <c r="E1862" s="5" t="str">
        <f>_xlfn.XLOOKUP(A1862,[1]!DadosGHD[CD_GEOCMU],[1]!DadosGHD[MUNICIPIO])</f>
        <v>SAO JOAO DO SABUGI</v>
      </c>
      <c r="F1862" s="6">
        <v>33.770271301269503</v>
      </c>
      <c r="G1862" s="6">
        <v>33.826961517333999</v>
      </c>
      <c r="H1862" s="6">
        <v>33.8597221374512</v>
      </c>
      <c r="I1862" s="6">
        <v>33.850929260253899</v>
      </c>
      <c r="J1862" s="6">
        <v>38.745384216308601</v>
      </c>
      <c r="K1862" s="6">
        <v>43.778987884521499</v>
      </c>
      <c r="L1862" s="6">
        <v>44.049957275390597</v>
      </c>
    </row>
    <row r="1863" spans="1:12" x14ac:dyDescent="0.25">
      <c r="A1863">
        <v>2933257</v>
      </c>
      <c r="B1863" t="str">
        <f t="shared" si="29"/>
        <v>VEREDA, BA, Brasil</v>
      </c>
      <c r="C1863" s="4" t="str">
        <f>_xlfn.XLOOKUP(A1863,[1]!DadosGHD[CD_GEOCMU],[1]!DadosGHD[Região])</f>
        <v>NE</v>
      </c>
      <c r="D1863" s="4" t="str">
        <f>_xlfn.XLOOKUP(A1863,[1]!DadosGHD[CD_GEOCMU],[1]!DadosGHD[uf])</f>
        <v>BA</v>
      </c>
      <c r="E1863" s="5" t="str">
        <f>_xlfn.XLOOKUP(A1863,[1]!DadosGHD[CD_GEOCMU],[1]!DadosGHD[MUNICIPIO])</f>
        <v>VEREDA</v>
      </c>
      <c r="F1863" s="6">
        <v>33.770401000976598</v>
      </c>
      <c r="G1863" s="6">
        <v>38.733749389648402</v>
      </c>
      <c r="H1863" s="6">
        <v>38.828414916992202</v>
      </c>
      <c r="I1863" s="6">
        <v>43.688228607177699</v>
      </c>
      <c r="J1863" s="6">
        <v>38.793949127197301</v>
      </c>
      <c r="K1863" s="6">
        <v>38.805625915527301</v>
      </c>
      <c r="L1863" s="6">
        <v>26.286075592041001</v>
      </c>
    </row>
    <row r="1864" spans="1:12" x14ac:dyDescent="0.25">
      <c r="A1864">
        <v>2209658</v>
      </c>
      <c r="B1864" t="str">
        <f t="shared" si="29"/>
        <v>SAO FRANCISCO DE ASSIS DO PIAUI, PI, Brasil</v>
      </c>
      <c r="C1864" s="4" t="str">
        <f>_xlfn.XLOOKUP(A1864,[1]!DadosGHD[CD_GEOCMU],[1]!DadosGHD[Região])</f>
        <v>NE</v>
      </c>
      <c r="D1864" s="4" t="str">
        <f>_xlfn.XLOOKUP(A1864,[1]!DadosGHD[CD_GEOCMU],[1]!DadosGHD[uf])</f>
        <v>PI</v>
      </c>
      <c r="E1864" s="5" t="str">
        <f>_xlfn.XLOOKUP(A1864,[1]!DadosGHD[CD_GEOCMU],[1]!DadosGHD[MUNICIPIO])</f>
        <v>SAO FRANCISCO DE ASSIS DO PIAUI</v>
      </c>
      <c r="F1864" s="6">
        <v>33.770477294921903</v>
      </c>
      <c r="G1864" s="6">
        <v>33.817642211914098</v>
      </c>
      <c r="H1864" s="6">
        <v>33.853923797607401</v>
      </c>
      <c r="I1864" s="6">
        <v>33.8308296203613</v>
      </c>
      <c r="J1864" s="6">
        <v>33.846866607666001</v>
      </c>
      <c r="K1864" s="6">
        <v>33.877243041992202</v>
      </c>
      <c r="L1864" s="6">
        <v>30.693485260009801</v>
      </c>
    </row>
    <row r="1865" spans="1:12" x14ac:dyDescent="0.25">
      <c r="A1865">
        <v>4315552</v>
      </c>
      <c r="B1865" t="str">
        <f t="shared" si="29"/>
        <v>RIO DOS INDIOS, RS, Brasil</v>
      </c>
      <c r="C1865" s="4" t="str">
        <f>_xlfn.XLOOKUP(A1865,[1]!DadosGHD[CD_GEOCMU],[1]!DadosGHD[Região])</f>
        <v>SL</v>
      </c>
      <c r="D1865" s="4" t="str">
        <f>_xlfn.XLOOKUP(A1865,[1]!DadosGHD[CD_GEOCMU],[1]!DadosGHD[uf])</f>
        <v>RS</v>
      </c>
      <c r="E1865" s="5" t="str">
        <f>_xlfn.XLOOKUP(A1865,[1]!DadosGHD[CD_GEOCMU],[1]!DadosGHD[MUNICIPIO])</f>
        <v>RIO DOS INDIOS</v>
      </c>
      <c r="F1865" s="6">
        <v>33.770736694335902</v>
      </c>
      <c r="G1865" s="6">
        <v>43.742305755615199</v>
      </c>
      <c r="H1865" s="6">
        <v>43.830558776855497</v>
      </c>
      <c r="I1865" s="6">
        <v>48.727954864502003</v>
      </c>
      <c r="J1865" s="6">
        <v>48.777519226074197</v>
      </c>
      <c r="K1865" s="6">
        <v>48.8989067077637</v>
      </c>
      <c r="L1865" s="6">
        <v>44.022148132324197</v>
      </c>
    </row>
    <row r="1866" spans="1:12" x14ac:dyDescent="0.25">
      <c r="A1866">
        <v>3129806</v>
      </c>
      <c r="B1866" t="str">
        <f t="shared" si="29"/>
        <v>IBIRITE, MG, Brasil</v>
      </c>
      <c r="C1866" s="4" t="str">
        <f>_xlfn.XLOOKUP(A1866,[1]!DadosGHD[CD_GEOCMU],[1]!DadosGHD[Região])</f>
        <v>SD</v>
      </c>
      <c r="D1866" s="4" t="str">
        <f>_xlfn.XLOOKUP(A1866,[1]!DadosGHD[CD_GEOCMU],[1]!DadosGHD[uf])</f>
        <v>MG</v>
      </c>
      <c r="E1866" s="5" t="str">
        <f>_xlfn.XLOOKUP(A1866,[1]!DadosGHD[CD_GEOCMU],[1]!DadosGHD[MUNICIPIO])</f>
        <v>IBIRITE</v>
      </c>
      <c r="F1866" s="6">
        <v>33.770744323730497</v>
      </c>
      <c r="G1866" s="6">
        <v>38.686981201171903</v>
      </c>
      <c r="H1866" s="6">
        <v>33.884876251220703</v>
      </c>
      <c r="I1866" s="6">
        <v>38.760555267333999</v>
      </c>
      <c r="J1866" s="6">
        <v>38.764923095703097</v>
      </c>
      <c r="K1866" s="6">
        <v>33.926399230957003</v>
      </c>
      <c r="L1866" s="6">
        <v>39.560699462890597</v>
      </c>
    </row>
    <row r="1867" spans="1:12" x14ac:dyDescent="0.25">
      <c r="A1867">
        <v>4315354</v>
      </c>
      <c r="B1867" t="str">
        <f t="shared" si="29"/>
        <v>QUINZE DE NOVEMBRO, RS, Brasil</v>
      </c>
      <c r="C1867" s="4" t="str">
        <f>_xlfn.XLOOKUP(A1867,[1]!DadosGHD[CD_GEOCMU],[1]!DadosGHD[Região])</f>
        <v>SL</v>
      </c>
      <c r="D1867" s="4" t="str">
        <f>_xlfn.XLOOKUP(A1867,[1]!DadosGHD[CD_GEOCMU],[1]!DadosGHD[uf])</f>
        <v>RS</v>
      </c>
      <c r="E1867" s="5" t="str">
        <f>_xlfn.XLOOKUP(A1867,[1]!DadosGHD[CD_GEOCMU],[1]!DadosGHD[MUNICIPIO])</f>
        <v>QUINZE DE NOVEMBRO</v>
      </c>
      <c r="F1867" s="6">
        <v>33.770858764648402</v>
      </c>
      <c r="G1867" s="6">
        <v>43.705551147460902</v>
      </c>
      <c r="H1867" s="6">
        <v>43.761337280273402</v>
      </c>
      <c r="I1867" s="6">
        <v>53.796504974365199</v>
      </c>
      <c r="J1867" s="6">
        <v>58.843170166015597</v>
      </c>
      <c r="K1867" s="6">
        <v>53.991062164306598</v>
      </c>
      <c r="L1867" s="6">
        <v>57.589881896972699</v>
      </c>
    </row>
    <row r="1868" spans="1:12" x14ac:dyDescent="0.25">
      <c r="A1868">
        <v>3100500</v>
      </c>
      <c r="B1868" t="str">
        <f t="shared" si="29"/>
        <v>ACUCENA, MG, Brasil</v>
      </c>
      <c r="C1868" s="4" t="str">
        <f>_xlfn.XLOOKUP(A1868,[1]!DadosGHD[CD_GEOCMU],[1]!DadosGHD[Região])</f>
        <v>SD</v>
      </c>
      <c r="D1868" s="4" t="str">
        <f>_xlfn.XLOOKUP(A1868,[1]!DadosGHD[CD_GEOCMU],[1]!DadosGHD[uf])</f>
        <v>MG</v>
      </c>
      <c r="E1868" s="5" t="str">
        <f>_xlfn.XLOOKUP(A1868,[1]!DadosGHD[CD_GEOCMU],[1]!DadosGHD[MUNICIPIO])</f>
        <v>ACUCENA</v>
      </c>
      <c r="F1868" s="6">
        <v>33.770923614502003</v>
      </c>
      <c r="G1868" s="6">
        <v>38.726905822753899</v>
      </c>
      <c r="H1868" s="6">
        <v>38.743083953857401</v>
      </c>
      <c r="I1868" s="6">
        <v>38.729301452636697</v>
      </c>
      <c r="J1868" s="6">
        <v>38.759056091308601</v>
      </c>
      <c r="K1868" s="6">
        <v>38.828407287597699</v>
      </c>
      <c r="L1868" s="6">
        <v>35.117881774902301</v>
      </c>
    </row>
    <row r="1869" spans="1:12" x14ac:dyDescent="0.25">
      <c r="A1869">
        <v>5104906</v>
      </c>
      <c r="B1869" t="str">
        <f t="shared" si="29"/>
        <v>JANGADA, MT, Brasil</v>
      </c>
      <c r="C1869" s="4" t="str">
        <f>_xlfn.XLOOKUP(A1869,[1]!DadosGHD[CD_GEOCMU],[1]!DadosGHD[Região])</f>
        <v>CO</v>
      </c>
      <c r="D1869" s="4" t="str">
        <f>_xlfn.XLOOKUP(A1869,[1]!DadosGHD[CD_GEOCMU],[1]!DadosGHD[uf])</f>
        <v>MT</v>
      </c>
      <c r="E1869" s="5" t="str">
        <f>_xlfn.XLOOKUP(A1869,[1]!DadosGHD[CD_GEOCMU],[1]!DadosGHD[MUNICIPIO])</f>
        <v>JANGADA</v>
      </c>
      <c r="F1869" s="6">
        <v>33.7709350585938</v>
      </c>
      <c r="G1869" s="6">
        <v>33.834632873535199</v>
      </c>
      <c r="H1869" s="6">
        <v>33.874088287353501</v>
      </c>
      <c r="I1869" s="6">
        <v>33.852779388427699</v>
      </c>
      <c r="J1869" s="6">
        <v>33.858440399169901</v>
      </c>
      <c r="K1869" s="6">
        <v>38.784263610839801</v>
      </c>
      <c r="L1869" s="6">
        <v>35.136634826660199</v>
      </c>
    </row>
    <row r="1870" spans="1:12" x14ac:dyDescent="0.25">
      <c r="A1870">
        <v>2601409</v>
      </c>
      <c r="B1870" t="str">
        <f t="shared" si="29"/>
        <v>BARREIROS, PE, Brasil</v>
      </c>
      <c r="C1870" s="4" t="str">
        <f>_xlfn.XLOOKUP(A1870,[1]!DadosGHD[CD_GEOCMU],[1]!DadosGHD[Região])</f>
        <v>NE</v>
      </c>
      <c r="D1870" s="4" t="str">
        <f>_xlfn.XLOOKUP(A1870,[1]!DadosGHD[CD_GEOCMU],[1]!DadosGHD[uf])</f>
        <v>PE</v>
      </c>
      <c r="E1870" s="5" t="str">
        <f>_xlfn.XLOOKUP(A1870,[1]!DadosGHD[CD_GEOCMU],[1]!DadosGHD[MUNICIPIO])</f>
        <v>BARREIROS</v>
      </c>
      <c r="F1870" s="6">
        <v>33.770965576171903</v>
      </c>
      <c r="G1870" s="6">
        <v>38.690200805664098</v>
      </c>
      <c r="H1870" s="6">
        <v>33.893283843994098</v>
      </c>
      <c r="I1870" s="6">
        <v>33.8746337890625</v>
      </c>
      <c r="J1870" s="6">
        <v>38.740558624267599</v>
      </c>
      <c r="K1870" s="6">
        <v>38.800388336181598</v>
      </c>
      <c r="L1870" s="6">
        <v>35.120723724365199</v>
      </c>
    </row>
    <row r="1871" spans="1:12" x14ac:dyDescent="0.25">
      <c r="A1871">
        <v>2916609</v>
      </c>
      <c r="B1871" t="str">
        <f t="shared" si="29"/>
        <v>ITAPITANGA, BA, Brasil</v>
      </c>
      <c r="C1871" s="4" t="str">
        <f>_xlfn.XLOOKUP(A1871,[1]!DadosGHD[CD_GEOCMU],[1]!DadosGHD[Região])</f>
        <v>NE</v>
      </c>
      <c r="D1871" s="4" t="str">
        <f>_xlfn.XLOOKUP(A1871,[1]!DadosGHD[CD_GEOCMU],[1]!DadosGHD[uf])</f>
        <v>BA</v>
      </c>
      <c r="E1871" s="5" t="str">
        <f>_xlfn.XLOOKUP(A1871,[1]!DadosGHD[CD_GEOCMU],[1]!DadosGHD[MUNICIPIO])</f>
        <v>ITAPITANGA</v>
      </c>
      <c r="F1871" s="6">
        <v>33.7710151672363</v>
      </c>
      <c r="G1871" s="6">
        <v>33.789161682128899</v>
      </c>
      <c r="H1871" s="6">
        <v>33.829113006591797</v>
      </c>
      <c r="I1871" s="6">
        <v>33.804515838623097</v>
      </c>
      <c r="J1871" s="6">
        <v>33.819889068603501</v>
      </c>
      <c r="K1871" s="6">
        <v>33.847869873046903</v>
      </c>
      <c r="L1871" s="6">
        <v>26.284204483032202</v>
      </c>
    </row>
    <row r="1872" spans="1:12" x14ac:dyDescent="0.25">
      <c r="A1872">
        <v>2916005</v>
      </c>
      <c r="B1872" t="str">
        <f t="shared" si="29"/>
        <v>ITANHEM, BA, Brasil</v>
      </c>
      <c r="C1872" s="4" t="str">
        <f>_xlfn.XLOOKUP(A1872,[1]!DadosGHD[CD_GEOCMU],[1]!DadosGHD[Região])</f>
        <v>NE</v>
      </c>
      <c r="D1872" s="4" t="str">
        <f>_xlfn.XLOOKUP(A1872,[1]!DadosGHD[CD_GEOCMU],[1]!DadosGHD[uf])</f>
        <v>BA</v>
      </c>
      <c r="E1872" s="5" t="str">
        <f>_xlfn.XLOOKUP(A1872,[1]!DadosGHD[CD_GEOCMU],[1]!DadosGHD[MUNICIPIO])</f>
        <v>ITANHEM</v>
      </c>
      <c r="F1872" s="6">
        <v>33.771114349365199</v>
      </c>
      <c r="G1872" s="6">
        <v>38.690757751464801</v>
      </c>
      <c r="H1872" s="6">
        <v>38.747535705566399</v>
      </c>
      <c r="I1872" s="6">
        <v>33.873870849609403</v>
      </c>
      <c r="J1872" s="6">
        <v>33.859977722167997</v>
      </c>
      <c r="K1872" s="6">
        <v>33.908496856689503</v>
      </c>
      <c r="L1872" s="6">
        <v>30.689924240112301</v>
      </c>
    </row>
    <row r="1873" spans="1:12" x14ac:dyDescent="0.25">
      <c r="A1873">
        <v>4110201</v>
      </c>
      <c r="B1873" t="str">
        <f t="shared" si="29"/>
        <v>INACIO MARTINS, PR, Brasil</v>
      </c>
      <c r="C1873" s="4" t="str">
        <f>_xlfn.XLOOKUP(A1873,[1]!DadosGHD[CD_GEOCMU],[1]!DadosGHD[Região])</f>
        <v>SL</v>
      </c>
      <c r="D1873" s="4" t="str">
        <f>_xlfn.XLOOKUP(A1873,[1]!DadosGHD[CD_GEOCMU],[1]!DadosGHD[uf])</f>
        <v>PR</v>
      </c>
      <c r="E1873" s="5" t="str">
        <f>_xlfn.XLOOKUP(A1873,[1]!DadosGHD[CD_GEOCMU],[1]!DadosGHD[MUNICIPIO])</f>
        <v>INACIO MARTINS</v>
      </c>
      <c r="F1873" s="6">
        <v>33.771144866943402</v>
      </c>
      <c r="G1873" s="6">
        <v>33.8292846679688</v>
      </c>
      <c r="H1873" s="6">
        <v>33.839504241943402</v>
      </c>
      <c r="I1873" s="6">
        <v>28.9537467956543</v>
      </c>
      <c r="J1873" s="6">
        <v>33.826129913330099</v>
      </c>
      <c r="K1873" s="6">
        <v>33.865608215332003</v>
      </c>
      <c r="L1873" s="6">
        <v>30.705999374389702</v>
      </c>
    </row>
    <row r="1874" spans="1:12" x14ac:dyDescent="0.25">
      <c r="A1874">
        <v>2607703</v>
      </c>
      <c r="B1874" t="str">
        <f t="shared" si="29"/>
        <v>ITAPETIM, PE, Brasil</v>
      </c>
      <c r="C1874" s="4" t="str">
        <f>_xlfn.XLOOKUP(A1874,[1]!DadosGHD[CD_GEOCMU],[1]!DadosGHD[Região])</f>
        <v>NE</v>
      </c>
      <c r="D1874" s="4" t="str">
        <f>_xlfn.XLOOKUP(A1874,[1]!DadosGHD[CD_GEOCMU],[1]!DadosGHD[uf])</f>
        <v>PE</v>
      </c>
      <c r="E1874" s="5" t="str">
        <f>_xlfn.XLOOKUP(A1874,[1]!DadosGHD[CD_GEOCMU],[1]!DadosGHD[MUNICIPIO])</f>
        <v>ITAPETIM</v>
      </c>
      <c r="F1874" s="6">
        <v>33.771171569824197</v>
      </c>
      <c r="G1874" s="6">
        <v>38.7018852233887</v>
      </c>
      <c r="H1874" s="6">
        <v>38.7466430664063</v>
      </c>
      <c r="I1874" s="6">
        <v>38.721824645996101</v>
      </c>
      <c r="J1874" s="6">
        <v>33.892848968505902</v>
      </c>
      <c r="K1874" s="6">
        <v>38.786399841308601</v>
      </c>
      <c r="L1874" s="6">
        <v>30.7023525238037</v>
      </c>
    </row>
    <row r="1875" spans="1:12" x14ac:dyDescent="0.25">
      <c r="A1875">
        <v>2909000</v>
      </c>
      <c r="B1875" t="str">
        <f t="shared" si="29"/>
        <v>CORDEIROS, BA, Brasil</v>
      </c>
      <c r="C1875" s="4" t="str">
        <f>_xlfn.XLOOKUP(A1875,[1]!DadosGHD[CD_GEOCMU],[1]!DadosGHD[Região])</f>
        <v>NE</v>
      </c>
      <c r="D1875" s="4" t="str">
        <f>_xlfn.XLOOKUP(A1875,[1]!DadosGHD[CD_GEOCMU],[1]!DadosGHD[uf])</f>
        <v>BA</v>
      </c>
      <c r="E1875" s="5" t="str">
        <f>_xlfn.XLOOKUP(A1875,[1]!DadosGHD[CD_GEOCMU],[1]!DadosGHD[MUNICIPIO])</f>
        <v>CORDEIROS</v>
      </c>
      <c r="F1875" s="6">
        <v>33.771373748779297</v>
      </c>
      <c r="G1875" s="6">
        <v>33.795864105224602</v>
      </c>
      <c r="H1875" s="6">
        <v>33.839164733886697</v>
      </c>
      <c r="I1875" s="6">
        <v>33.817180633544901</v>
      </c>
      <c r="J1875" s="6">
        <v>33.831798553466797</v>
      </c>
      <c r="K1875" s="6">
        <v>33.863212585449197</v>
      </c>
      <c r="L1875" s="6">
        <v>26.291448593139702</v>
      </c>
    </row>
    <row r="1876" spans="1:12" x14ac:dyDescent="0.25">
      <c r="A1876">
        <v>4309654</v>
      </c>
      <c r="B1876" t="str">
        <f t="shared" si="29"/>
        <v>HULHA NEGRA, RS, Brasil</v>
      </c>
      <c r="C1876" s="4" t="str">
        <f>_xlfn.XLOOKUP(A1876,[1]!DadosGHD[CD_GEOCMU],[1]!DadosGHD[Região])</f>
        <v>SL</v>
      </c>
      <c r="D1876" s="4" t="str">
        <f>_xlfn.XLOOKUP(A1876,[1]!DadosGHD[CD_GEOCMU],[1]!DadosGHD[uf])</f>
        <v>RS</v>
      </c>
      <c r="E1876" s="5" t="str">
        <f>_xlfn.XLOOKUP(A1876,[1]!DadosGHD[CD_GEOCMU],[1]!DadosGHD[MUNICIPIO])</f>
        <v>HULHA NEGRA</v>
      </c>
      <c r="F1876" s="6">
        <v>33.771396636962898</v>
      </c>
      <c r="G1876" s="6">
        <v>38.755043029785199</v>
      </c>
      <c r="H1876" s="6">
        <v>38.7952270507813</v>
      </c>
      <c r="I1876" s="6">
        <v>38.776004791259801</v>
      </c>
      <c r="J1876" s="6">
        <v>38.806835174560597</v>
      </c>
      <c r="K1876" s="6">
        <v>38.845970153808601</v>
      </c>
      <c r="L1876" s="6">
        <v>35.153285980224602</v>
      </c>
    </row>
    <row r="1877" spans="1:12" x14ac:dyDescent="0.25">
      <c r="A1877">
        <v>2918506</v>
      </c>
      <c r="B1877" t="str">
        <f t="shared" si="29"/>
        <v>JUSSARA, BA, Brasil</v>
      </c>
      <c r="C1877" s="4" t="str">
        <f>_xlfn.XLOOKUP(A1877,[1]!DadosGHD[CD_GEOCMU],[1]!DadosGHD[Região])</f>
        <v>NE</v>
      </c>
      <c r="D1877" s="4" t="str">
        <f>_xlfn.XLOOKUP(A1877,[1]!DadosGHD[CD_GEOCMU],[1]!DadosGHD[uf])</f>
        <v>BA</v>
      </c>
      <c r="E1877" s="5" t="str">
        <f>_xlfn.XLOOKUP(A1877,[1]!DadosGHD[CD_GEOCMU],[1]!DadosGHD[MUNICIPIO])</f>
        <v>JUSSARA</v>
      </c>
      <c r="F1877" s="6">
        <v>33.771427154541001</v>
      </c>
      <c r="G1877" s="6">
        <v>33.829544067382798</v>
      </c>
      <c r="H1877" s="6">
        <v>33.877574920654297</v>
      </c>
      <c r="I1877" s="6">
        <v>33.841960906982401</v>
      </c>
      <c r="J1877" s="6">
        <v>33.8510932922363</v>
      </c>
      <c r="K1877" s="6">
        <v>33.908145904541001</v>
      </c>
      <c r="L1877" s="6">
        <v>35.115039825439503</v>
      </c>
    </row>
    <row r="1878" spans="1:12" x14ac:dyDescent="0.25">
      <c r="A1878">
        <v>2203404</v>
      </c>
      <c r="B1878" t="str">
        <f t="shared" si="29"/>
        <v>DOM EXPEDITO LOPES, PI, Brasil</v>
      </c>
      <c r="C1878" s="4" t="str">
        <f>_xlfn.XLOOKUP(A1878,[1]!DadosGHD[CD_GEOCMU],[1]!DadosGHD[Região])</f>
        <v>NE</v>
      </c>
      <c r="D1878" s="4" t="str">
        <f>_xlfn.XLOOKUP(A1878,[1]!DadosGHD[CD_GEOCMU],[1]!DadosGHD[uf])</f>
        <v>PI</v>
      </c>
      <c r="E1878" s="5" t="str">
        <f>_xlfn.XLOOKUP(A1878,[1]!DadosGHD[CD_GEOCMU],[1]!DadosGHD[MUNICIPIO])</f>
        <v>DOM EXPEDITO LOPES</v>
      </c>
      <c r="F1878" s="6">
        <v>33.771472930908203</v>
      </c>
      <c r="G1878" s="6">
        <v>33.841236114502003</v>
      </c>
      <c r="H1878" s="6">
        <v>38.749866485595703</v>
      </c>
      <c r="I1878" s="6">
        <v>38.719020843505902</v>
      </c>
      <c r="J1878" s="6">
        <v>38.755275726318402</v>
      </c>
      <c r="K1878" s="6">
        <v>38.802619934082003</v>
      </c>
      <c r="L1878" s="6">
        <v>39.581012725830099</v>
      </c>
    </row>
    <row r="1879" spans="1:12" x14ac:dyDescent="0.25">
      <c r="A1879">
        <v>1713809</v>
      </c>
      <c r="B1879" t="str">
        <f t="shared" si="29"/>
        <v>PALMEIRAS DO TOCANTINS, TO, Brasil</v>
      </c>
      <c r="C1879" s="4" t="str">
        <f>_xlfn.XLOOKUP(A1879,[1]!DadosGHD[CD_GEOCMU],[1]!DadosGHD[Região])</f>
        <v>NO</v>
      </c>
      <c r="D1879" s="4" t="str">
        <f>_xlfn.XLOOKUP(A1879,[1]!DadosGHD[CD_GEOCMU],[1]!DadosGHD[uf])</f>
        <v>TO</v>
      </c>
      <c r="E1879" s="5" t="str">
        <f>_xlfn.XLOOKUP(A1879,[1]!DadosGHD[CD_GEOCMU],[1]!DadosGHD[MUNICIPIO])</f>
        <v>PALMEIRAS DO TOCANTINS</v>
      </c>
      <c r="F1879" s="6">
        <v>33.771636962890597</v>
      </c>
      <c r="G1879" s="6">
        <v>33.814971923828097</v>
      </c>
      <c r="H1879" s="6">
        <v>33.849739074707003</v>
      </c>
      <c r="I1879" s="6">
        <v>33.824398040771499</v>
      </c>
      <c r="J1879" s="6">
        <v>33.836868286132798</v>
      </c>
      <c r="K1879" s="6">
        <v>33.875392913818402</v>
      </c>
      <c r="L1879" s="6">
        <v>30.694709777831999</v>
      </c>
    </row>
    <row r="1880" spans="1:12" x14ac:dyDescent="0.25">
      <c r="A1880">
        <v>2313005</v>
      </c>
      <c r="B1880" t="str">
        <f t="shared" si="29"/>
        <v>SOLONOPOLE, CE, Brasil</v>
      </c>
      <c r="C1880" s="4" t="str">
        <f>_xlfn.XLOOKUP(A1880,[1]!DadosGHD[CD_GEOCMU],[1]!DadosGHD[Região])</f>
        <v>NE</v>
      </c>
      <c r="D1880" s="4" t="str">
        <f>_xlfn.XLOOKUP(A1880,[1]!DadosGHD[CD_GEOCMU],[1]!DadosGHD[uf])</f>
        <v>CE</v>
      </c>
      <c r="E1880" s="5" t="str">
        <f>_xlfn.XLOOKUP(A1880,[1]!DadosGHD[CD_GEOCMU],[1]!DadosGHD[MUNICIPIO])</f>
        <v>SOLONOPOLE</v>
      </c>
      <c r="F1880" s="6">
        <v>33.7717475891113</v>
      </c>
      <c r="G1880" s="6">
        <v>38.725700378417997</v>
      </c>
      <c r="H1880" s="6">
        <v>38.789451599121101</v>
      </c>
      <c r="I1880" s="6">
        <v>38.755081176757798</v>
      </c>
      <c r="J1880" s="6">
        <v>33.845672607421903</v>
      </c>
      <c r="K1880" s="6">
        <v>33.885116577148402</v>
      </c>
      <c r="L1880" s="6">
        <v>30.713935852050799</v>
      </c>
    </row>
    <row r="1881" spans="1:12" x14ac:dyDescent="0.25">
      <c r="A1881">
        <v>2612505</v>
      </c>
      <c r="B1881" t="str">
        <f t="shared" si="29"/>
        <v>SANTA CRUZ DO CAPIBARIBE, PE, Brasil</v>
      </c>
      <c r="C1881" s="4" t="str">
        <f>_xlfn.XLOOKUP(A1881,[1]!DadosGHD[CD_GEOCMU],[1]!DadosGHD[Região])</f>
        <v>NE</v>
      </c>
      <c r="D1881" s="4" t="str">
        <f>_xlfn.XLOOKUP(A1881,[1]!DadosGHD[CD_GEOCMU],[1]!DadosGHD[uf])</f>
        <v>PE</v>
      </c>
      <c r="E1881" s="5" t="str">
        <f>_xlfn.XLOOKUP(A1881,[1]!DadosGHD[CD_GEOCMU],[1]!DadosGHD[MUNICIPIO])</f>
        <v>SANTA CRUZ DO CAPIBARIBE</v>
      </c>
      <c r="F1881" s="6">
        <v>33.771945953369098</v>
      </c>
      <c r="G1881" s="6">
        <v>33.823474884033203</v>
      </c>
      <c r="H1881" s="6">
        <v>33.866374969482401</v>
      </c>
      <c r="I1881" s="6">
        <v>38.722324371337898</v>
      </c>
      <c r="J1881" s="6">
        <v>38.747093200683601</v>
      </c>
      <c r="K1881" s="6">
        <v>38.802879333496101</v>
      </c>
      <c r="L1881" s="6">
        <v>35.149303436279297</v>
      </c>
    </row>
    <row r="1882" spans="1:12" x14ac:dyDescent="0.25">
      <c r="A1882">
        <v>2305357</v>
      </c>
      <c r="B1882" t="str">
        <f t="shared" si="29"/>
        <v>ICAPUI, CE, Brasil</v>
      </c>
      <c r="C1882" s="4" t="str">
        <f>_xlfn.XLOOKUP(A1882,[1]!DadosGHD[CD_GEOCMU],[1]!DadosGHD[Região])</f>
        <v>NE</v>
      </c>
      <c r="D1882" s="4" t="str">
        <f>_xlfn.XLOOKUP(A1882,[1]!DadosGHD[CD_GEOCMU],[1]!DadosGHD[uf])</f>
        <v>CE</v>
      </c>
      <c r="E1882" s="5" t="str">
        <f>_xlfn.XLOOKUP(A1882,[1]!DadosGHD[CD_GEOCMU],[1]!DadosGHD[MUNICIPIO])</f>
        <v>ICAPUI</v>
      </c>
      <c r="F1882" s="6">
        <v>33.771945953369098</v>
      </c>
      <c r="G1882" s="6">
        <v>33.843109130859403</v>
      </c>
      <c r="H1882" s="6">
        <v>33.887908935546903</v>
      </c>
      <c r="I1882" s="6">
        <v>38.716861724853501</v>
      </c>
      <c r="J1882" s="6">
        <v>33.8835639953613</v>
      </c>
      <c r="K1882" s="6">
        <v>38.805450439453097</v>
      </c>
      <c r="L1882" s="6">
        <v>39.584323883056598</v>
      </c>
    </row>
    <row r="1883" spans="1:12" x14ac:dyDescent="0.25">
      <c r="A1883">
        <v>2404705</v>
      </c>
      <c r="B1883" t="str">
        <f t="shared" si="29"/>
        <v>IPANGUACU, RN, Brasil</v>
      </c>
      <c r="C1883" s="4" t="str">
        <f>_xlfn.XLOOKUP(A1883,[1]!DadosGHD[CD_GEOCMU],[1]!DadosGHD[Região])</f>
        <v>NE</v>
      </c>
      <c r="D1883" s="4" t="str">
        <f>_xlfn.XLOOKUP(A1883,[1]!DadosGHD[CD_GEOCMU],[1]!DadosGHD[uf])</f>
        <v>RN</v>
      </c>
      <c r="E1883" s="5" t="str">
        <f>_xlfn.XLOOKUP(A1883,[1]!DadosGHD[CD_GEOCMU],[1]!DadosGHD[MUNICIPIO])</f>
        <v>IPANGUACU</v>
      </c>
      <c r="F1883" s="6">
        <v>33.772052764892599</v>
      </c>
      <c r="G1883" s="6">
        <v>38.725410461425803</v>
      </c>
      <c r="H1883" s="6">
        <v>33.849464416503899</v>
      </c>
      <c r="I1883" s="6">
        <v>33.838714599609403</v>
      </c>
      <c r="J1883" s="6">
        <v>33.872936248779297</v>
      </c>
      <c r="K1883" s="6">
        <v>33.912467956542997</v>
      </c>
      <c r="L1883" s="6">
        <v>26.294631958007798</v>
      </c>
    </row>
    <row r="1884" spans="1:12" x14ac:dyDescent="0.25">
      <c r="A1884">
        <v>3127073</v>
      </c>
      <c r="B1884" t="str">
        <f t="shared" si="29"/>
        <v>FRUTA DE LEITE, MG, Brasil</v>
      </c>
      <c r="C1884" s="4" t="str">
        <f>_xlfn.XLOOKUP(A1884,[1]!DadosGHD[CD_GEOCMU],[1]!DadosGHD[Região])</f>
        <v>SD</v>
      </c>
      <c r="D1884" s="4" t="str">
        <f>_xlfn.XLOOKUP(A1884,[1]!DadosGHD[CD_GEOCMU],[1]!DadosGHD[uf])</f>
        <v>MG</v>
      </c>
      <c r="E1884" s="5" t="str">
        <f>_xlfn.XLOOKUP(A1884,[1]!DadosGHD[CD_GEOCMU],[1]!DadosGHD[MUNICIPIO])</f>
        <v>FRUTA DE LEITE</v>
      </c>
      <c r="F1884" s="6">
        <v>33.772186279296903</v>
      </c>
      <c r="G1884" s="6">
        <v>33.824615478515597</v>
      </c>
      <c r="H1884" s="6">
        <v>38.746871948242202</v>
      </c>
      <c r="I1884" s="6">
        <v>38.729976654052699</v>
      </c>
      <c r="J1884" s="6">
        <v>33.8749389648438</v>
      </c>
      <c r="K1884" s="6">
        <v>33.892524719238303</v>
      </c>
      <c r="L1884" s="6">
        <v>35.153476715087898</v>
      </c>
    </row>
    <row r="1885" spans="1:12" x14ac:dyDescent="0.25">
      <c r="A1885">
        <v>2505006</v>
      </c>
      <c r="B1885" t="str">
        <f t="shared" si="29"/>
        <v>CUBATI, PB, Brasil</v>
      </c>
      <c r="C1885" s="4" t="str">
        <f>_xlfn.XLOOKUP(A1885,[1]!DadosGHD[CD_GEOCMU],[1]!DadosGHD[Região])</f>
        <v>NE</v>
      </c>
      <c r="D1885" s="4" t="str">
        <f>_xlfn.XLOOKUP(A1885,[1]!DadosGHD[CD_GEOCMU],[1]!DadosGHD[uf])</f>
        <v>PB</v>
      </c>
      <c r="E1885" s="5" t="str">
        <f>_xlfn.XLOOKUP(A1885,[1]!DadosGHD[CD_GEOCMU],[1]!DadosGHD[MUNICIPIO])</f>
        <v>CUBATI</v>
      </c>
      <c r="F1885" s="6">
        <v>33.772274017333999</v>
      </c>
      <c r="G1885" s="6">
        <v>33.826972961425803</v>
      </c>
      <c r="H1885" s="6">
        <v>33.849826812744098</v>
      </c>
      <c r="I1885" s="6">
        <v>33.833778381347699</v>
      </c>
      <c r="J1885" s="6">
        <v>33.887107849121101</v>
      </c>
      <c r="K1885" s="6">
        <v>38.818626403808601</v>
      </c>
      <c r="L1885" s="6">
        <v>39.594966888427699</v>
      </c>
    </row>
    <row r="1886" spans="1:12" x14ac:dyDescent="0.25">
      <c r="A1886">
        <v>2915007</v>
      </c>
      <c r="B1886" t="str">
        <f t="shared" si="29"/>
        <v>ITAETE, BA, Brasil</v>
      </c>
      <c r="C1886" s="4" t="str">
        <f>_xlfn.XLOOKUP(A1886,[1]!DadosGHD[CD_GEOCMU],[1]!DadosGHD[Região])</f>
        <v>NE</v>
      </c>
      <c r="D1886" s="4" t="str">
        <f>_xlfn.XLOOKUP(A1886,[1]!DadosGHD[CD_GEOCMU],[1]!DadosGHD[uf])</f>
        <v>BA</v>
      </c>
      <c r="E1886" s="5" t="str">
        <f>_xlfn.XLOOKUP(A1886,[1]!DadosGHD[CD_GEOCMU],[1]!DadosGHD[MUNICIPIO])</f>
        <v>ITAETE</v>
      </c>
      <c r="F1886" s="6">
        <v>33.7724800109863</v>
      </c>
      <c r="G1886" s="6">
        <v>33.806331634521499</v>
      </c>
      <c r="H1886" s="6">
        <v>33.850025177002003</v>
      </c>
      <c r="I1886" s="6">
        <v>33.826374053955099</v>
      </c>
      <c r="J1886" s="6">
        <v>33.838356018066399</v>
      </c>
      <c r="K1886" s="6">
        <v>33.890892028808601</v>
      </c>
      <c r="L1886" s="6">
        <v>30.721717834472699</v>
      </c>
    </row>
    <row r="1887" spans="1:12" x14ac:dyDescent="0.25">
      <c r="A1887">
        <v>2210300</v>
      </c>
      <c r="B1887" t="str">
        <f t="shared" si="29"/>
        <v>SAO JULIAO, PI, Brasil</v>
      </c>
      <c r="C1887" s="4" t="str">
        <f>_xlfn.XLOOKUP(A1887,[1]!DadosGHD[CD_GEOCMU],[1]!DadosGHD[Região])</f>
        <v>NE</v>
      </c>
      <c r="D1887" s="4" t="str">
        <f>_xlfn.XLOOKUP(A1887,[1]!DadosGHD[CD_GEOCMU],[1]!DadosGHD[uf])</f>
        <v>PI</v>
      </c>
      <c r="E1887" s="5" t="str">
        <f>_xlfn.XLOOKUP(A1887,[1]!DadosGHD[CD_GEOCMU],[1]!DadosGHD[MUNICIPIO])</f>
        <v>SAO JULIAO</v>
      </c>
      <c r="F1887" s="6">
        <v>33.772666931152301</v>
      </c>
      <c r="G1887" s="6">
        <v>33.819175720214801</v>
      </c>
      <c r="H1887" s="6">
        <v>33.860092163085902</v>
      </c>
      <c r="I1887" s="6">
        <v>33.825515747070298</v>
      </c>
      <c r="J1887" s="6">
        <v>33.894691467285199</v>
      </c>
      <c r="K1887" s="6">
        <v>33.852306365966797</v>
      </c>
      <c r="L1887" s="6">
        <v>35.139274597167997</v>
      </c>
    </row>
    <row r="1888" spans="1:12" x14ac:dyDescent="0.25">
      <c r="A1888">
        <v>2503902</v>
      </c>
      <c r="B1888" t="str">
        <f t="shared" si="29"/>
        <v>CAMALAU, PB, Brasil</v>
      </c>
      <c r="C1888" s="4" t="str">
        <f>_xlfn.XLOOKUP(A1888,[1]!DadosGHD[CD_GEOCMU],[1]!DadosGHD[Região])</f>
        <v>NE</v>
      </c>
      <c r="D1888" s="4" t="str">
        <f>_xlfn.XLOOKUP(A1888,[1]!DadosGHD[CD_GEOCMU],[1]!DadosGHD[uf])</f>
        <v>PB</v>
      </c>
      <c r="E1888" s="5" t="str">
        <f>_xlfn.XLOOKUP(A1888,[1]!DadosGHD[CD_GEOCMU],[1]!DadosGHD[MUNICIPIO])</f>
        <v>CAMALAU</v>
      </c>
      <c r="F1888" s="6">
        <v>33.772781372070298</v>
      </c>
      <c r="G1888" s="6">
        <v>33.8126411437988</v>
      </c>
      <c r="H1888" s="6">
        <v>33.859016418457003</v>
      </c>
      <c r="I1888" s="6">
        <v>33.858467102050803</v>
      </c>
      <c r="J1888" s="6">
        <v>33.879673004150398</v>
      </c>
      <c r="K1888" s="6">
        <v>43.801746368408203</v>
      </c>
      <c r="L1888" s="6">
        <v>39.586437225341797</v>
      </c>
    </row>
    <row r="1889" spans="1:12" x14ac:dyDescent="0.25">
      <c r="A1889">
        <v>2902054</v>
      </c>
      <c r="B1889" t="str">
        <f t="shared" si="29"/>
        <v>ARACAS, BA, Brasil</v>
      </c>
      <c r="C1889" s="4" t="str">
        <f>_xlfn.XLOOKUP(A1889,[1]!DadosGHD[CD_GEOCMU],[1]!DadosGHD[Região])</f>
        <v>NE</v>
      </c>
      <c r="D1889" s="4" t="str">
        <f>_xlfn.XLOOKUP(A1889,[1]!DadosGHD[CD_GEOCMU],[1]!DadosGHD[uf])</f>
        <v>BA</v>
      </c>
      <c r="E1889" s="5" t="str">
        <f>_xlfn.XLOOKUP(A1889,[1]!DadosGHD[CD_GEOCMU],[1]!DadosGHD[MUNICIPIO])</f>
        <v>ARACAS</v>
      </c>
      <c r="F1889" s="6">
        <v>33.772811889648402</v>
      </c>
      <c r="G1889" s="6">
        <v>33.778091430664098</v>
      </c>
      <c r="H1889" s="6">
        <v>28.971040725708001</v>
      </c>
      <c r="I1889" s="6">
        <v>28.9493808746338</v>
      </c>
      <c r="J1889" s="6">
        <v>28.975776672363299</v>
      </c>
      <c r="K1889" s="6">
        <v>33.8599853515625</v>
      </c>
      <c r="L1889" s="6">
        <v>35.143688201904297</v>
      </c>
    </row>
    <row r="1890" spans="1:12" x14ac:dyDescent="0.25">
      <c r="A1890">
        <v>2907301</v>
      </c>
      <c r="B1890" t="str">
        <f t="shared" si="29"/>
        <v>CASTRO ALVES, BA, Brasil</v>
      </c>
      <c r="C1890" s="4" t="str">
        <f>_xlfn.XLOOKUP(A1890,[1]!DadosGHD[CD_GEOCMU],[1]!DadosGHD[Região])</f>
        <v>NE</v>
      </c>
      <c r="D1890" s="4" t="str">
        <f>_xlfn.XLOOKUP(A1890,[1]!DadosGHD[CD_GEOCMU],[1]!DadosGHD[uf])</f>
        <v>BA</v>
      </c>
      <c r="E1890" s="5" t="str">
        <f>_xlfn.XLOOKUP(A1890,[1]!DadosGHD[CD_GEOCMU],[1]!DadosGHD[MUNICIPIO])</f>
        <v>CASTRO ALVES</v>
      </c>
      <c r="F1890" s="6">
        <v>33.7728881835938</v>
      </c>
      <c r="G1890" s="6">
        <v>38.688079833984403</v>
      </c>
      <c r="H1890" s="6">
        <v>38.764244079589801</v>
      </c>
      <c r="I1890" s="6">
        <v>38.735336303710902</v>
      </c>
      <c r="J1890" s="6">
        <v>38.773002624511697</v>
      </c>
      <c r="K1890" s="6">
        <v>38.800853729248097</v>
      </c>
      <c r="L1890" s="6">
        <v>30.707220077514702</v>
      </c>
    </row>
    <row r="1891" spans="1:12" x14ac:dyDescent="0.25">
      <c r="A1891">
        <v>2614402</v>
      </c>
      <c r="B1891" t="str">
        <f t="shared" si="29"/>
        <v>SOLIDAO, PE, Brasil</v>
      </c>
      <c r="C1891" s="4" t="str">
        <f>_xlfn.XLOOKUP(A1891,[1]!DadosGHD[CD_GEOCMU],[1]!DadosGHD[Região])</f>
        <v>NE</v>
      </c>
      <c r="D1891" s="4" t="str">
        <f>_xlfn.XLOOKUP(A1891,[1]!DadosGHD[CD_GEOCMU],[1]!DadosGHD[uf])</f>
        <v>PE</v>
      </c>
      <c r="E1891" s="5" t="str">
        <f>_xlfn.XLOOKUP(A1891,[1]!DadosGHD[CD_GEOCMU],[1]!DadosGHD[MUNICIPIO])</f>
        <v>SOLIDAO</v>
      </c>
      <c r="F1891" s="6">
        <v>33.773033142089801</v>
      </c>
      <c r="G1891" s="6">
        <v>33.830673217773402</v>
      </c>
      <c r="H1891" s="6">
        <v>33.876399993896499</v>
      </c>
      <c r="I1891" s="6">
        <v>33.857513427734403</v>
      </c>
      <c r="J1891" s="6">
        <v>33.886913299560597</v>
      </c>
      <c r="K1891" s="6">
        <v>33.864738464355497</v>
      </c>
      <c r="L1891" s="6">
        <v>35.144989013671903</v>
      </c>
    </row>
    <row r="1892" spans="1:12" x14ac:dyDescent="0.25">
      <c r="A1892">
        <v>2112274</v>
      </c>
      <c r="B1892" t="str">
        <f t="shared" si="29"/>
        <v>TUFILANDIA, MA, Brasil</v>
      </c>
      <c r="C1892" s="4" t="str">
        <f>_xlfn.XLOOKUP(A1892,[1]!DadosGHD[CD_GEOCMU],[1]!DadosGHD[Região])</f>
        <v>NE</v>
      </c>
      <c r="D1892" s="4" t="str">
        <f>_xlfn.XLOOKUP(A1892,[1]!DadosGHD[CD_GEOCMU],[1]!DadosGHD[uf])</f>
        <v>MA</v>
      </c>
      <c r="E1892" s="5" t="str">
        <f>_xlfn.XLOOKUP(A1892,[1]!DadosGHD[CD_GEOCMU],[1]!DadosGHD[MUNICIPIO])</f>
        <v>TUFILANDIA</v>
      </c>
      <c r="F1892" s="6">
        <v>33.773082733154297</v>
      </c>
      <c r="G1892" s="6">
        <v>33.815361022949197</v>
      </c>
      <c r="H1892" s="6">
        <v>33.8515625</v>
      </c>
      <c r="I1892" s="6">
        <v>33.833309173583999</v>
      </c>
      <c r="J1892" s="6">
        <v>33.854488372802699</v>
      </c>
      <c r="K1892" s="6">
        <v>33.908432006835902</v>
      </c>
      <c r="L1892" s="6">
        <v>35.135513305664098</v>
      </c>
    </row>
    <row r="1893" spans="1:12" x14ac:dyDescent="0.25">
      <c r="A1893">
        <v>2610806</v>
      </c>
      <c r="B1893" t="str">
        <f t="shared" si="29"/>
        <v>PEDRA, PE, Brasil</v>
      </c>
      <c r="C1893" s="4" t="str">
        <f>_xlfn.XLOOKUP(A1893,[1]!DadosGHD[CD_GEOCMU],[1]!DadosGHD[Região])</f>
        <v>NE</v>
      </c>
      <c r="D1893" s="4" t="str">
        <f>_xlfn.XLOOKUP(A1893,[1]!DadosGHD[CD_GEOCMU],[1]!DadosGHD[uf])</f>
        <v>PE</v>
      </c>
      <c r="E1893" s="5" t="str">
        <f>_xlfn.XLOOKUP(A1893,[1]!DadosGHD[CD_GEOCMU],[1]!DadosGHD[MUNICIPIO])</f>
        <v>PEDRA</v>
      </c>
      <c r="F1893" s="6">
        <v>38.597995758056598</v>
      </c>
      <c r="G1893" s="6">
        <v>33.826625823974602</v>
      </c>
      <c r="H1893" s="6">
        <v>33.855800628662102</v>
      </c>
      <c r="I1893" s="6">
        <v>33.820243835449197</v>
      </c>
      <c r="J1893" s="6">
        <v>28.976137161254901</v>
      </c>
      <c r="K1893" s="6">
        <v>33.856925964355497</v>
      </c>
      <c r="L1893" s="6">
        <v>30.716793060302699</v>
      </c>
    </row>
    <row r="1894" spans="1:12" x14ac:dyDescent="0.25">
      <c r="A1894">
        <v>4312443</v>
      </c>
      <c r="B1894" t="str">
        <f t="shared" si="29"/>
        <v>MORRINHOS DO SUL, RS, Brasil</v>
      </c>
      <c r="C1894" s="4" t="str">
        <f>_xlfn.XLOOKUP(A1894,[1]!DadosGHD[CD_GEOCMU],[1]!DadosGHD[Região])</f>
        <v>SL</v>
      </c>
      <c r="D1894" s="4" t="str">
        <f>_xlfn.XLOOKUP(A1894,[1]!DadosGHD[CD_GEOCMU],[1]!DadosGHD[uf])</f>
        <v>RS</v>
      </c>
      <c r="E1894" s="5" t="str">
        <f>_xlfn.XLOOKUP(A1894,[1]!DadosGHD[CD_GEOCMU],[1]!DadosGHD[MUNICIPIO])</f>
        <v>MORRINHOS DO SUL</v>
      </c>
      <c r="F1894" s="6">
        <v>38.5980033874512</v>
      </c>
      <c r="G1894" s="6">
        <v>43.743419647216797</v>
      </c>
      <c r="H1894" s="6">
        <v>43.8113403320313</v>
      </c>
      <c r="I1894" s="6">
        <v>43.781784057617202</v>
      </c>
      <c r="J1894" s="6">
        <v>43.806941986083999</v>
      </c>
      <c r="K1894" s="6">
        <v>43.852588653564503</v>
      </c>
      <c r="L1894" s="6">
        <v>35.117912292480497</v>
      </c>
    </row>
    <row r="1895" spans="1:12" x14ac:dyDescent="0.25">
      <c r="A1895">
        <v>2612406</v>
      </c>
      <c r="B1895" t="str">
        <f t="shared" si="29"/>
        <v>SANHARO, PE, Brasil</v>
      </c>
      <c r="C1895" s="4" t="str">
        <f>_xlfn.XLOOKUP(A1895,[1]!DadosGHD[CD_GEOCMU],[1]!DadosGHD[Região])</f>
        <v>NE</v>
      </c>
      <c r="D1895" s="4" t="str">
        <f>_xlfn.XLOOKUP(A1895,[1]!DadosGHD[CD_GEOCMU],[1]!DadosGHD[uf])</f>
        <v>PE</v>
      </c>
      <c r="E1895" s="5" t="str">
        <f>_xlfn.XLOOKUP(A1895,[1]!DadosGHD[CD_GEOCMU],[1]!DadosGHD[MUNICIPIO])</f>
        <v>SANHARO</v>
      </c>
      <c r="F1895" s="6">
        <v>38.598133087158203</v>
      </c>
      <c r="G1895" s="6">
        <v>33.825984954833999</v>
      </c>
      <c r="H1895" s="6">
        <v>33.863319396972699</v>
      </c>
      <c r="I1895" s="6">
        <v>33.870670318603501</v>
      </c>
      <c r="J1895" s="6">
        <v>33.887859344482401</v>
      </c>
      <c r="K1895" s="6">
        <v>33.915367126464801</v>
      </c>
      <c r="L1895" s="6">
        <v>39.601852416992202</v>
      </c>
    </row>
    <row r="1896" spans="1:12" x14ac:dyDescent="0.25">
      <c r="A1896">
        <v>2902906</v>
      </c>
      <c r="B1896" t="str">
        <f t="shared" si="29"/>
        <v>BARRA DO CHOCA, BA, Brasil</v>
      </c>
      <c r="C1896" s="4" t="str">
        <f>_xlfn.XLOOKUP(A1896,[1]!DadosGHD[CD_GEOCMU],[1]!DadosGHD[Região])</f>
        <v>NE</v>
      </c>
      <c r="D1896" s="4" t="str">
        <f>_xlfn.XLOOKUP(A1896,[1]!DadosGHD[CD_GEOCMU],[1]!DadosGHD[uf])</f>
        <v>BA</v>
      </c>
      <c r="E1896" s="5" t="str">
        <f>_xlfn.XLOOKUP(A1896,[1]!DadosGHD[CD_GEOCMU],[1]!DadosGHD[MUNICIPIO])</f>
        <v>BARRA DO CHOCA</v>
      </c>
      <c r="F1896" s="6">
        <v>38.598220825195298</v>
      </c>
      <c r="G1896" s="6">
        <v>33.844528198242202</v>
      </c>
      <c r="H1896" s="6">
        <v>33.888957977294901</v>
      </c>
      <c r="I1896" s="6">
        <v>33.871616363525398</v>
      </c>
      <c r="J1896" s="6">
        <v>38.794384002685597</v>
      </c>
      <c r="K1896" s="6">
        <v>38.782768249511697</v>
      </c>
      <c r="L1896" s="6">
        <v>30.6961765289307</v>
      </c>
    </row>
    <row r="1897" spans="1:12" x14ac:dyDescent="0.25">
      <c r="A1897">
        <v>2404408</v>
      </c>
      <c r="B1897" t="str">
        <f t="shared" si="29"/>
        <v>GROSSOS, RN, Brasil</v>
      </c>
      <c r="C1897" s="4" t="str">
        <f>_xlfn.XLOOKUP(A1897,[1]!DadosGHD[CD_GEOCMU],[1]!DadosGHD[Região])</f>
        <v>NE</v>
      </c>
      <c r="D1897" s="4" t="str">
        <f>_xlfn.XLOOKUP(A1897,[1]!DadosGHD[CD_GEOCMU],[1]!DadosGHD[uf])</f>
        <v>RN</v>
      </c>
      <c r="E1897" s="5" t="str">
        <f>_xlfn.XLOOKUP(A1897,[1]!DadosGHD[CD_GEOCMU],[1]!DadosGHD[MUNICIPIO])</f>
        <v>GROSSOS</v>
      </c>
      <c r="F1897" s="6">
        <v>38.598224639892599</v>
      </c>
      <c r="G1897" s="6">
        <v>38.695804595947301</v>
      </c>
      <c r="H1897" s="6">
        <v>38.7581787109375</v>
      </c>
      <c r="I1897" s="6">
        <v>43.717308044433601</v>
      </c>
      <c r="J1897" s="6">
        <v>38.801555633544901</v>
      </c>
      <c r="K1897" s="6">
        <v>38.827152252197301</v>
      </c>
      <c r="L1897" s="6">
        <v>39.605792999267599</v>
      </c>
    </row>
    <row r="1898" spans="1:12" x14ac:dyDescent="0.25">
      <c r="A1898">
        <v>2407104</v>
      </c>
      <c r="B1898" t="str">
        <f t="shared" si="29"/>
        <v>MACAIBA, RN, Brasil</v>
      </c>
      <c r="C1898" s="4" t="str">
        <f>_xlfn.XLOOKUP(A1898,[1]!DadosGHD[CD_GEOCMU],[1]!DadosGHD[Região])</f>
        <v>NE</v>
      </c>
      <c r="D1898" s="4" t="str">
        <f>_xlfn.XLOOKUP(A1898,[1]!DadosGHD[CD_GEOCMU],[1]!DadosGHD[uf])</f>
        <v>RN</v>
      </c>
      <c r="E1898" s="5" t="str">
        <f>_xlfn.XLOOKUP(A1898,[1]!DadosGHD[CD_GEOCMU],[1]!DadosGHD[MUNICIPIO])</f>
        <v>MACAIBA</v>
      </c>
      <c r="F1898" s="6">
        <v>38.598236083984403</v>
      </c>
      <c r="G1898" s="6">
        <v>38.684684753417997</v>
      </c>
      <c r="H1898" s="6">
        <v>33.8881645202637</v>
      </c>
      <c r="I1898" s="6">
        <v>33.851261138916001</v>
      </c>
      <c r="J1898" s="6">
        <v>33.860084533691399</v>
      </c>
      <c r="K1898" s="6">
        <v>38.799797058105497</v>
      </c>
      <c r="L1898" s="6">
        <v>39.563014984130902</v>
      </c>
    </row>
    <row r="1899" spans="1:12" x14ac:dyDescent="0.25">
      <c r="A1899">
        <v>2918555</v>
      </c>
      <c r="B1899" t="str">
        <f t="shared" si="29"/>
        <v>JUSSARI, BA, Brasil</v>
      </c>
      <c r="C1899" s="4" t="str">
        <f>_xlfn.XLOOKUP(A1899,[1]!DadosGHD[CD_GEOCMU],[1]!DadosGHD[Região])</f>
        <v>NE</v>
      </c>
      <c r="D1899" s="4" t="str">
        <f>_xlfn.XLOOKUP(A1899,[1]!DadosGHD[CD_GEOCMU],[1]!DadosGHD[uf])</f>
        <v>BA</v>
      </c>
      <c r="E1899" s="5" t="str">
        <f>_xlfn.XLOOKUP(A1899,[1]!DadosGHD[CD_GEOCMU],[1]!DadosGHD[MUNICIPIO])</f>
        <v>JUSSARI</v>
      </c>
      <c r="F1899" s="6">
        <v>38.598255157470703</v>
      </c>
      <c r="G1899" s="6">
        <v>33.826442718505902</v>
      </c>
      <c r="H1899" s="6">
        <v>33.874290466308601</v>
      </c>
      <c r="I1899" s="6">
        <v>33.849830627441399</v>
      </c>
      <c r="J1899" s="6">
        <v>33.861988067627003</v>
      </c>
      <c r="K1899" s="6">
        <v>33.888893127441399</v>
      </c>
      <c r="L1899" s="6">
        <v>26.293851852416999</v>
      </c>
    </row>
    <row r="1900" spans="1:12" x14ac:dyDescent="0.25">
      <c r="A1900">
        <v>1506203</v>
      </c>
      <c r="B1900" t="str">
        <f t="shared" si="29"/>
        <v>SALINOPOLIS, PA, Brasil</v>
      </c>
      <c r="C1900" s="4" t="str">
        <f>_xlfn.XLOOKUP(A1900,[1]!DadosGHD[CD_GEOCMU],[1]!DadosGHD[Região])</f>
        <v>NO</v>
      </c>
      <c r="D1900" s="4" t="str">
        <f>_xlfn.XLOOKUP(A1900,[1]!DadosGHD[CD_GEOCMU],[1]!DadosGHD[uf])</f>
        <v>PA</v>
      </c>
      <c r="E1900" s="5" t="str">
        <f>_xlfn.XLOOKUP(A1900,[1]!DadosGHD[CD_GEOCMU],[1]!DadosGHD[MUNICIPIO])</f>
        <v>SALINOPOLIS</v>
      </c>
      <c r="F1900" s="6">
        <v>38.5983276367188</v>
      </c>
      <c r="G1900" s="6">
        <v>33.828746795654297</v>
      </c>
      <c r="H1900" s="6">
        <v>33.8594970703125</v>
      </c>
      <c r="I1900" s="6">
        <v>33.856693267822301</v>
      </c>
      <c r="J1900" s="6">
        <v>38.773048400878899</v>
      </c>
      <c r="K1900" s="6">
        <v>38.8919677734375</v>
      </c>
      <c r="L1900" s="6">
        <v>39.611900329589801</v>
      </c>
    </row>
    <row r="1901" spans="1:12" x14ac:dyDescent="0.25">
      <c r="A1901">
        <v>1100130</v>
      </c>
      <c r="B1901" t="str">
        <f t="shared" si="29"/>
        <v>MACHADINHO D'OESTE, RO, Brasil</v>
      </c>
      <c r="C1901" s="4" t="str">
        <f>_xlfn.XLOOKUP(A1901,[1]!DadosGHD[CD_GEOCMU],[1]!DadosGHD[Região])</f>
        <v>NO</v>
      </c>
      <c r="D1901" s="4" t="str">
        <f>_xlfn.XLOOKUP(A1901,[1]!DadosGHD[CD_GEOCMU],[1]!DadosGHD[uf])</f>
        <v>RO</v>
      </c>
      <c r="E1901" s="5" t="str">
        <f>_xlfn.XLOOKUP(A1901,[1]!DadosGHD[CD_GEOCMU],[1]!DadosGHD[MUNICIPIO])</f>
        <v>MACHADINHO D'OESTE</v>
      </c>
      <c r="F1901" s="6">
        <v>38.598567962646499</v>
      </c>
      <c r="G1901" s="6">
        <v>38.713169097900398</v>
      </c>
      <c r="H1901" s="6">
        <v>38.782142639160199</v>
      </c>
      <c r="I1901" s="6">
        <v>38.782833099365199</v>
      </c>
      <c r="J1901" s="6">
        <v>38.772045135498097</v>
      </c>
      <c r="K1901" s="6">
        <v>38.817405700683601</v>
      </c>
      <c r="L1901" s="6">
        <v>39.5677490234375</v>
      </c>
    </row>
    <row r="1902" spans="1:12" x14ac:dyDescent="0.25">
      <c r="A1902">
        <v>2105658</v>
      </c>
      <c r="B1902" t="str">
        <f t="shared" si="29"/>
        <v>JUNCO DO MARANHAO, MA, Brasil</v>
      </c>
      <c r="C1902" s="4" t="str">
        <f>_xlfn.XLOOKUP(A1902,[1]!DadosGHD[CD_GEOCMU],[1]!DadosGHD[Região])</f>
        <v>NE</v>
      </c>
      <c r="D1902" s="4" t="str">
        <f>_xlfn.XLOOKUP(A1902,[1]!DadosGHD[CD_GEOCMU],[1]!DadosGHD[uf])</f>
        <v>MA</v>
      </c>
      <c r="E1902" s="5" t="str">
        <f>_xlfn.XLOOKUP(A1902,[1]!DadosGHD[CD_GEOCMU],[1]!DadosGHD[MUNICIPIO])</f>
        <v>JUNCO DO MARANHAO</v>
      </c>
      <c r="F1902" s="6">
        <v>38.598953247070298</v>
      </c>
      <c r="G1902" s="6">
        <v>28.907878875732401</v>
      </c>
      <c r="H1902" s="6">
        <v>28.942651748657202</v>
      </c>
      <c r="I1902" s="6">
        <v>28.925045013427699</v>
      </c>
      <c r="J1902" s="6">
        <v>28.9409065246582</v>
      </c>
      <c r="K1902" s="6">
        <v>28.9686679840088</v>
      </c>
      <c r="L1902" s="6">
        <v>26.2798957824707</v>
      </c>
    </row>
    <row r="1903" spans="1:12" x14ac:dyDescent="0.25">
      <c r="A1903">
        <v>2515906</v>
      </c>
      <c r="B1903" t="str">
        <f t="shared" si="29"/>
        <v>SERRARIA, PB, Brasil</v>
      </c>
      <c r="C1903" s="4" t="str">
        <f>_xlfn.XLOOKUP(A1903,[1]!DadosGHD[CD_GEOCMU],[1]!DadosGHD[Região])</f>
        <v>NE</v>
      </c>
      <c r="D1903" s="4" t="str">
        <f>_xlfn.XLOOKUP(A1903,[1]!DadosGHD[CD_GEOCMU],[1]!DadosGHD[uf])</f>
        <v>PB</v>
      </c>
      <c r="E1903" s="5" t="str">
        <f>_xlfn.XLOOKUP(A1903,[1]!DadosGHD[CD_GEOCMU],[1]!DadosGHD[MUNICIPIO])</f>
        <v>SERRARIA</v>
      </c>
      <c r="F1903" s="6">
        <v>38.599197387695298</v>
      </c>
      <c r="G1903" s="6">
        <v>28.907878875732401</v>
      </c>
      <c r="H1903" s="6">
        <v>28.942651748657202</v>
      </c>
      <c r="I1903" s="6">
        <v>28.925045013427699</v>
      </c>
      <c r="J1903" s="6">
        <v>28.9409065246582</v>
      </c>
      <c r="K1903" s="6">
        <v>28.9686679840088</v>
      </c>
      <c r="L1903" s="6">
        <v>26.2798957824707</v>
      </c>
    </row>
    <row r="1904" spans="1:12" x14ac:dyDescent="0.25">
      <c r="A1904">
        <v>2515500</v>
      </c>
      <c r="B1904" t="str">
        <f t="shared" si="29"/>
        <v>SERRA BRANCA, PB, Brasil</v>
      </c>
      <c r="C1904" s="4" t="str">
        <f>_xlfn.XLOOKUP(A1904,[1]!DadosGHD[CD_GEOCMU],[1]!DadosGHD[Região])</f>
        <v>NE</v>
      </c>
      <c r="D1904" s="4" t="str">
        <f>_xlfn.XLOOKUP(A1904,[1]!DadosGHD[CD_GEOCMU],[1]!DadosGHD[uf])</f>
        <v>PB</v>
      </c>
      <c r="E1904" s="5" t="str">
        <f>_xlfn.XLOOKUP(A1904,[1]!DadosGHD[CD_GEOCMU],[1]!DadosGHD[MUNICIPIO])</f>
        <v>SERRA BRANCA</v>
      </c>
      <c r="F1904" s="6">
        <v>38.599433898925803</v>
      </c>
      <c r="G1904" s="6">
        <v>33.780490875244098</v>
      </c>
      <c r="H1904" s="6">
        <v>38.784801483154297</v>
      </c>
      <c r="I1904" s="6">
        <v>38.727703094482401</v>
      </c>
      <c r="J1904" s="6">
        <v>33.873184204101598</v>
      </c>
      <c r="K1904" s="6">
        <v>38.818737030029297</v>
      </c>
      <c r="L1904" s="6">
        <v>35.140342712402301</v>
      </c>
    </row>
    <row r="1905" spans="1:12" x14ac:dyDescent="0.25">
      <c r="A1905">
        <v>2202539</v>
      </c>
      <c r="B1905" t="str">
        <f t="shared" si="29"/>
        <v>CARAUBAS DO PIAUI, PI, Brasil</v>
      </c>
      <c r="C1905" s="4" t="str">
        <f>_xlfn.XLOOKUP(A1905,[1]!DadosGHD[CD_GEOCMU],[1]!DadosGHD[Região])</f>
        <v>NE</v>
      </c>
      <c r="D1905" s="4" t="str">
        <f>_xlfn.XLOOKUP(A1905,[1]!DadosGHD[CD_GEOCMU],[1]!DadosGHD[uf])</f>
        <v>PI</v>
      </c>
      <c r="E1905" s="5" t="str">
        <f>_xlfn.XLOOKUP(A1905,[1]!DadosGHD[CD_GEOCMU],[1]!DadosGHD[MUNICIPIO])</f>
        <v>CARAUBAS DO PIAUI</v>
      </c>
      <c r="F1905" s="6">
        <v>38.599472045898402</v>
      </c>
      <c r="G1905" s="6">
        <v>33.822391510009801</v>
      </c>
      <c r="H1905" s="6">
        <v>33.865425109863303</v>
      </c>
      <c r="I1905" s="6">
        <v>33.834117889404297</v>
      </c>
      <c r="J1905" s="6">
        <v>33.844169616699197</v>
      </c>
      <c r="K1905" s="6">
        <v>33.899688720703097</v>
      </c>
      <c r="L1905" s="6">
        <v>35.122711181640597</v>
      </c>
    </row>
    <row r="1906" spans="1:12" x14ac:dyDescent="0.25">
      <c r="A1906">
        <v>2703700</v>
      </c>
      <c r="B1906" t="str">
        <f t="shared" si="29"/>
        <v>JARAMATAIA, AL, Brasil</v>
      </c>
      <c r="C1906" s="4" t="str">
        <f>_xlfn.XLOOKUP(A1906,[1]!DadosGHD[CD_GEOCMU],[1]!DadosGHD[Região])</f>
        <v>NE</v>
      </c>
      <c r="D1906" s="4" t="str">
        <f>_xlfn.XLOOKUP(A1906,[1]!DadosGHD[CD_GEOCMU],[1]!DadosGHD[uf])</f>
        <v>AL</v>
      </c>
      <c r="E1906" s="5" t="str">
        <f>_xlfn.XLOOKUP(A1906,[1]!DadosGHD[CD_GEOCMU],[1]!DadosGHD[MUNICIPIO])</f>
        <v>JARAMATAIA</v>
      </c>
      <c r="F1906" s="6">
        <v>38.599586486816399</v>
      </c>
      <c r="G1906" s="6">
        <v>33.817150115966797</v>
      </c>
      <c r="H1906" s="6">
        <v>33.857387542724602</v>
      </c>
      <c r="I1906" s="6">
        <v>33.830455780029297</v>
      </c>
      <c r="J1906" s="6">
        <v>33.847316741943402</v>
      </c>
      <c r="K1906" s="6">
        <v>33.878376007080099</v>
      </c>
      <c r="L1906" s="6">
        <v>26.2953071594238</v>
      </c>
    </row>
    <row r="1907" spans="1:12" x14ac:dyDescent="0.25">
      <c r="A1907">
        <v>2204709</v>
      </c>
      <c r="B1907" t="str">
        <f t="shared" si="29"/>
        <v>INHUMA, PI, Brasil</v>
      </c>
      <c r="C1907" s="4" t="str">
        <f>_xlfn.XLOOKUP(A1907,[1]!DadosGHD[CD_GEOCMU],[1]!DadosGHD[Região])</f>
        <v>NE</v>
      </c>
      <c r="D1907" s="4" t="str">
        <f>_xlfn.XLOOKUP(A1907,[1]!DadosGHD[CD_GEOCMU],[1]!DadosGHD[uf])</f>
        <v>PI</v>
      </c>
      <c r="E1907" s="5" t="str">
        <f>_xlfn.XLOOKUP(A1907,[1]!DadosGHD[CD_GEOCMU],[1]!DadosGHD[MUNICIPIO])</f>
        <v>INHUMA</v>
      </c>
      <c r="F1907" s="6">
        <v>38.599735260009801</v>
      </c>
      <c r="G1907" s="6">
        <v>33.807029724121101</v>
      </c>
      <c r="H1907" s="6">
        <v>33.873889923095703</v>
      </c>
      <c r="I1907" s="6">
        <v>33.862724304199197</v>
      </c>
      <c r="J1907" s="6">
        <v>38.740558624267599</v>
      </c>
      <c r="K1907" s="6">
        <v>38.7921333312988</v>
      </c>
      <c r="L1907" s="6">
        <v>35.158836364746101</v>
      </c>
    </row>
    <row r="1908" spans="1:12" x14ac:dyDescent="0.25">
      <c r="A1908">
        <v>1400027</v>
      </c>
      <c r="B1908" t="str">
        <f t="shared" si="29"/>
        <v>AMAJARI, RR, Brasil</v>
      </c>
      <c r="C1908" s="4" t="str">
        <f>_xlfn.XLOOKUP(A1908,[1]!DadosGHD[CD_GEOCMU],[1]!DadosGHD[Região])</f>
        <v>NO</v>
      </c>
      <c r="D1908" s="4" t="str">
        <f>_xlfn.XLOOKUP(A1908,[1]!DadosGHD[CD_GEOCMU],[1]!DadosGHD[uf])</f>
        <v>RR</v>
      </c>
      <c r="E1908" s="5" t="str">
        <f>_xlfn.XLOOKUP(A1908,[1]!DadosGHD[CD_GEOCMU],[1]!DadosGHD[MUNICIPIO])</f>
        <v>AMAJARI</v>
      </c>
      <c r="F1908" s="6">
        <v>38.599796295166001</v>
      </c>
      <c r="G1908" s="6">
        <v>33.813220977783203</v>
      </c>
      <c r="H1908" s="6">
        <v>33.842460632324197</v>
      </c>
      <c r="I1908" s="6">
        <v>33.815994262695298</v>
      </c>
      <c r="J1908" s="6">
        <v>33.829833984375</v>
      </c>
      <c r="K1908" s="6">
        <v>28.973560333251999</v>
      </c>
      <c r="L1908" s="6">
        <v>26.2798957824707</v>
      </c>
    </row>
    <row r="1909" spans="1:12" x14ac:dyDescent="0.25">
      <c r="A1909">
        <v>2708105</v>
      </c>
      <c r="B1909" t="str">
        <f t="shared" si="29"/>
        <v>SANTANA DO MUNDAU, AL, Brasil</v>
      </c>
      <c r="C1909" s="4" t="str">
        <f>_xlfn.XLOOKUP(A1909,[1]!DadosGHD[CD_GEOCMU],[1]!DadosGHD[Região])</f>
        <v>NE</v>
      </c>
      <c r="D1909" s="4" t="str">
        <f>_xlfn.XLOOKUP(A1909,[1]!DadosGHD[CD_GEOCMU],[1]!DadosGHD[uf])</f>
        <v>AL</v>
      </c>
      <c r="E1909" s="5" t="str">
        <f>_xlfn.XLOOKUP(A1909,[1]!DadosGHD[CD_GEOCMU],[1]!DadosGHD[MUNICIPIO])</f>
        <v>SANTANA DO MUNDAU</v>
      </c>
      <c r="F1909" s="6">
        <v>38.599861145019503</v>
      </c>
      <c r="G1909" s="6">
        <v>38.692691802978501</v>
      </c>
      <c r="H1909" s="6">
        <v>33.869419097900398</v>
      </c>
      <c r="I1909" s="6">
        <v>28.945013046264702</v>
      </c>
      <c r="J1909" s="6">
        <v>28.965131759643601</v>
      </c>
      <c r="K1909" s="6">
        <v>28.9918823242188</v>
      </c>
      <c r="L1909" s="6">
        <v>30.6909885406494</v>
      </c>
    </row>
    <row r="1910" spans="1:12" x14ac:dyDescent="0.25">
      <c r="A1910">
        <v>3132107</v>
      </c>
      <c r="B1910" t="str">
        <f t="shared" si="29"/>
        <v>ITACARAMBI, MG, Brasil</v>
      </c>
      <c r="C1910" s="4" t="str">
        <f>_xlfn.XLOOKUP(A1910,[1]!DadosGHD[CD_GEOCMU],[1]!DadosGHD[Região])</f>
        <v>SD</v>
      </c>
      <c r="D1910" s="4" t="str">
        <f>_xlfn.XLOOKUP(A1910,[1]!DadosGHD[CD_GEOCMU],[1]!DadosGHD[uf])</f>
        <v>MG</v>
      </c>
      <c r="E1910" s="5" t="str">
        <f>_xlfn.XLOOKUP(A1910,[1]!DadosGHD[CD_GEOCMU],[1]!DadosGHD[MUNICIPIO])</f>
        <v>ITACARAMBI</v>
      </c>
      <c r="F1910" s="6">
        <v>38.600101470947301</v>
      </c>
      <c r="G1910" s="6">
        <v>33.841594696044901</v>
      </c>
      <c r="H1910" s="6">
        <v>33.879165649414098</v>
      </c>
      <c r="I1910" s="6">
        <v>33.853363037109403</v>
      </c>
      <c r="J1910" s="6">
        <v>33.867282867431598</v>
      </c>
      <c r="K1910" s="6">
        <v>33.893035888671903</v>
      </c>
      <c r="L1910" s="6">
        <v>26.2883415222168</v>
      </c>
    </row>
    <row r="1911" spans="1:12" x14ac:dyDescent="0.25">
      <c r="A1911">
        <v>3168309</v>
      </c>
      <c r="B1911" t="str">
        <f t="shared" si="29"/>
        <v>TAQUARACU DE MINAS, MG, Brasil</v>
      </c>
      <c r="C1911" s="4" t="str">
        <f>_xlfn.XLOOKUP(A1911,[1]!DadosGHD[CD_GEOCMU],[1]!DadosGHD[Região])</f>
        <v>SD</v>
      </c>
      <c r="D1911" s="4" t="str">
        <f>_xlfn.XLOOKUP(A1911,[1]!DadosGHD[CD_GEOCMU],[1]!DadosGHD[uf])</f>
        <v>MG</v>
      </c>
      <c r="E1911" s="5" t="str">
        <f>_xlfn.XLOOKUP(A1911,[1]!DadosGHD[CD_GEOCMU],[1]!DadosGHD[MUNICIPIO])</f>
        <v>TAQUARACU DE MINAS</v>
      </c>
      <c r="F1911" s="6">
        <v>38.600246429443402</v>
      </c>
      <c r="G1911" s="6">
        <v>38.709835052490199</v>
      </c>
      <c r="H1911" s="6">
        <v>38.765617370605497</v>
      </c>
      <c r="I1911" s="6">
        <v>38.748950958252003</v>
      </c>
      <c r="J1911" s="6">
        <v>38.760204315185597</v>
      </c>
      <c r="K1911" s="6">
        <v>38.873325347900398</v>
      </c>
      <c r="L1911" s="6">
        <v>44.038860321044901</v>
      </c>
    </row>
    <row r="1912" spans="1:12" x14ac:dyDescent="0.25">
      <c r="A1912">
        <v>2611002</v>
      </c>
      <c r="B1912" t="str">
        <f t="shared" si="29"/>
        <v>PETROLANDIA, PE, Brasil</v>
      </c>
      <c r="C1912" s="4" t="str">
        <f>_xlfn.XLOOKUP(A1912,[1]!DadosGHD[CD_GEOCMU],[1]!DadosGHD[Região])</f>
        <v>NE</v>
      </c>
      <c r="D1912" s="4" t="str">
        <f>_xlfn.XLOOKUP(A1912,[1]!DadosGHD[CD_GEOCMU],[1]!DadosGHD[uf])</f>
        <v>PE</v>
      </c>
      <c r="E1912" s="5" t="str">
        <f>_xlfn.XLOOKUP(A1912,[1]!DadosGHD[CD_GEOCMU],[1]!DadosGHD[MUNICIPIO])</f>
        <v>PETROLANDIA</v>
      </c>
      <c r="F1912" s="6">
        <v>38.600368499755902</v>
      </c>
      <c r="G1912" s="6">
        <v>38.720222473144503</v>
      </c>
      <c r="H1912" s="6">
        <v>38.753303527832003</v>
      </c>
      <c r="I1912" s="6">
        <v>38.742469787597699</v>
      </c>
      <c r="J1912" s="6">
        <v>33.8921928405762</v>
      </c>
      <c r="K1912" s="6">
        <v>38.797962188720703</v>
      </c>
      <c r="L1912" s="6">
        <v>48.520267486572301</v>
      </c>
    </row>
    <row r="1913" spans="1:12" x14ac:dyDescent="0.25">
      <c r="A1913">
        <v>2601607</v>
      </c>
      <c r="B1913" t="str">
        <f t="shared" si="29"/>
        <v>BELEM DO SAO FRANCISCO, PE, Brasil</v>
      </c>
      <c r="C1913" s="4" t="str">
        <f>_xlfn.XLOOKUP(A1913,[1]!DadosGHD[CD_GEOCMU],[1]!DadosGHD[Região])</f>
        <v>NE</v>
      </c>
      <c r="D1913" s="4" t="str">
        <f>_xlfn.XLOOKUP(A1913,[1]!DadosGHD[CD_GEOCMU],[1]!DadosGHD[uf])</f>
        <v>PE</v>
      </c>
      <c r="E1913" s="5" t="str">
        <f>_xlfn.XLOOKUP(A1913,[1]!DadosGHD[CD_GEOCMU],[1]!DadosGHD[MUNICIPIO])</f>
        <v>BELEM DO SAO FRANCISCO</v>
      </c>
      <c r="F1913" s="6">
        <v>38.600471496582003</v>
      </c>
      <c r="G1913" s="6">
        <v>38.689807891845703</v>
      </c>
      <c r="H1913" s="6">
        <v>33.896858215332003</v>
      </c>
      <c r="I1913" s="6">
        <v>33.846115112304702</v>
      </c>
      <c r="J1913" s="6">
        <v>33.8459663391113</v>
      </c>
      <c r="K1913" s="6">
        <v>33.904811859130902</v>
      </c>
      <c r="L1913" s="6">
        <v>39.593517303466797</v>
      </c>
    </row>
    <row r="1914" spans="1:12" x14ac:dyDescent="0.25">
      <c r="A1914">
        <v>2203503</v>
      </c>
      <c r="B1914" t="str">
        <f t="shared" si="29"/>
        <v>ELESBAO VELOSO, PI, Brasil</v>
      </c>
      <c r="C1914" s="4" t="str">
        <f>_xlfn.XLOOKUP(A1914,[1]!DadosGHD[CD_GEOCMU],[1]!DadosGHD[Região])</f>
        <v>NE</v>
      </c>
      <c r="D1914" s="4" t="str">
        <f>_xlfn.XLOOKUP(A1914,[1]!DadosGHD[CD_GEOCMU],[1]!DadosGHD[uf])</f>
        <v>PI</v>
      </c>
      <c r="E1914" s="5" t="str">
        <f>_xlfn.XLOOKUP(A1914,[1]!DadosGHD[CD_GEOCMU],[1]!DadosGHD[MUNICIPIO])</f>
        <v>ELESBAO VELOSO</v>
      </c>
      <c r="F1914" s="6">
        <v>38.6005249023438</v>
      </c>
      <c r="G1914" s="6">
        <v>33.823684692382798</v>
      </c>
      <c r="H1914" s="6">
        <v>33.857772827148402</v>
      </c>
      <c r="I1914" s="6">
        <v>33.838607788085902</v>
      </c>
      <c r="J1914" s="6">
        <v>33.849273681640597</v>
      </c>
      <c r="K1914" s="6">
        <v>33.919666290283203</v>
      </c>
      <c r="L1914" s="6">
        <v>30.716566085815401</v>
      </c>
    </row>
    <row r="1915" spans="1:12" x14ac:dyDescent="0.25">
      <c r="A1915">
        <v>2304202</v>
      </c>
      <c r="B1915" t="str">
        <f t="shared" si="29"/>
        <v>CRATO, CE, Brasil</v>
      </c>
      <c r="C1915" s="4" t="str">
        <f>_xlfn.XLOOKUP(A1915,[1]!DadosGHD[CD_GEOCMU],[1]!DadosGHD[Região])</f>
        <v>NE</v>
      </c>
      <c r="D1915" s="4" t="str">
        <f>_xlfn.XLOOKUP(A1915,[1]!DadosGHD[CD_GEOCMU],[1]!DadosGHD[uf])</f>
        <v>CE</v>
      </c>
      <c r="E1915" s="5" t="str">
        <f>_xlfn.XLOOKUP(A1915,[1]!DadosGHD[CD_GEOCMU],[1]!DadosGHD[MUNICIPIO])</f>
        <v>CRATO</v>
      </c>
      <c r="F1915" s="6">
        <v>38.600582122802699</v>
      </c>
      <c r="G1915" s="6">
        <v>38.7272338867188</v>
      </c>
      <c r="H1915" s="6">
        <v>38.814685821533203</v>
      </c>
      <c r="I1915" s="6">
        <v>43.6825141906738</v>
      </c>
      <c r="J1915" s="6">
        <v>43.716144561767599</v>
      </c>
      <c r="K1915" s="6">
        <v>43.802383422851598</v>
      </c>
      <c r="L1915" s="6">
        <v>44.078071594238303</v>
      </c>
    </row>
    <row r="1916" spans="1:12" x14ac:dyDescent="0.25">
      <c r="A1916">
        <v>2402402</v>
      </c>
      <c r="B1916" t="str">
        <f t="shared" si="29"/>
        <v>CARNAUBA DOS DANTAS, RN, Brasil</v>
      </c>
      <c r="C1916" s="4" t="str">
        <f>_xlfn.XLOOKUP(A1916,[1]!DadosGHD[CD_GEOCMU],[1]!DadosGHD[Região])</f>
        <v>NE</v>
      </c>
      <c r="D1916" s="4" t="str">
        <f>_xlfn.XLOOKUP(A1916,[1]!DadosGHD[CD_GEOCMU],[1]!DadosGHD[uf])</f>
        <v>RN</v>
      </c>
      <c r="E1916" s="5" t="str">
        <f>_xlfn.XLOOKUP(A1916,[1]!DadosGHD[CD_GEOCMU],[1]!DadosGHD[MUNICIPIO])</f>
        <v>CARNAUBA DOS DANTAS</v>
      </c>
      <c r="F1916" s="6">
        <v>38.600700378417997</v>
      </c>
      <c r="G1916" s="6">
        <v>33.788455963134801</v>
      </c>
      <c r="H1916" s="6">
        <v>33.859931945800803</v>
      </c>
      <c r="I1916" s="6">
        <v>33.846511840820298</v>
      </c>
      <c r="J1916" s="6">
        <v>38.741672515869098</v>
      </c>
      <c r="K1916" s="6">
        <v>38.8343315124512</v>
      </c>
      <c r="L1916" s="6">
        <v>48.517250061035199</v>
      </c>
    </row>
    <row r="1917" spans="1:12" x14ac:dyDescent="0.25">
      <c r="A1917">
        <v>2905206</v>
      </c>
      <c r="B1917" t="str">
        <f t="shared" si="29"/>
        <v>CAETITE, BA, Brasil</v>
      </c>
      <c r="C1917" s="4" t="str">
        <f>_xlfn.XLOOKUP(A1917,[1]!DadosGHD[CD_GEOCMU],[1]!DadosGHD[Região])</f>
        <v>NE</v>
      </c>
      <c r="D1917" s="4" t="str">
        <f>_xlfn.XLOOKUP(A1917,[1]!DadosGHD[CD_GEOCMU],[1]!DadosGHD[uf])</f>
        <v>BA</v>
      </c>
      <c r="E1917" s="5" t="str">
        <f>_xlfn.XLOOKUP(A1917,[1]!DadosGHD[CD_GEOCMU],[1]!DadosGHD[MUNICIPIO])</f>
        <v>CAETITE</v>
      </c>
      <c r="F1917" s="6">
        <v>38.600875854492202</v>
      </c>
      <c r="G1917" s="6">
        <v>33.8335571289063</v>
      </c>
      <c r="H1917" s="6">
        <v>33.885932922363303</v>
      </c>
      <c r="I1917" s="6">
        <v>38.741497039794901</v>
      </c>
      <c r="J1917" s="6">
        <v>38.819664001464801</v>
      </c>
      <c r="K1917" s="6">
        <v>38.873695373535199</v>
      </c>
      <c r="L1917" s="6">
        <v>39.563865661621101</v>
      </c>
    </row>
    <row r="1918" spans="1:12" x14ac:dyDescent="0.25">
      <c r="A1918">
        <v>3200359</v>
      </c>
      <c r="B1918" t="str">
        <f t="shared" si="29"/>
        <v>ALTO RIO NOVO, ES, Brasil</v>
      </c>
      <c r="C1918" s="4" t="str">
        <f>_xlfn.XLOOKUP(A1918,[1]!DadosGHD[CD_GEOCMU],[1]!DadosGHD[Região])</f>
        <v>SD</v>
      </c>
      <c r="D1918" s="4" t="str">
        <f>_xlfn.XLOOKUP(A1918,[1]!DadosGHD[CD_GEOCMU],[1]!DadosGHD[uf])</f>
        <v>ES</v>
      </c>
      <c r="E1918" s="5" t="str">
        <f>_xlfn.XLOOKUP(A1918,[1]!DadosGHD[CD_GEOCMU],[1]!DadosGHD[MUNICIPIO])</f>
        <v>ALTO RIO NOVO</v>
      </c>
      <c r="F1918" s="6">
        <v>38.600902557373097</v>
      </c>
      <c r="G1918" s="6">
        <v>33.820430755615199</v>
      </c>
      <c r="H1918" s="6">
        <v>33.870956420898402</v>
      </c>
      <c r="I1918" s="6">
        <v>33.849071502685597</v>
      </c>
      <c r="J1918" s="6">
        <v>33.865898132324197</v>
      </c>
      <c r="K1918" s="6">
        <v>33.889186859130902</v>
      </c>
      <c r="L1918" s="6">
        <v>35.122810363769503</v>
      </c>
    </row>
    <row r="1919" spans="1:12" x14ac:dyDescent="0.25">
      <c r="A1919">
        <v>2919405</v>
      </c>
      <c r="B1919" t="str">
        <f t="shared" si="29"/>
        <v>LICINIO DE ALMEIDA, BA, Brasil</v>
      </c>
      <c r="C1919" s="4" t="str">
        <f>_xlfn.XLOOKUP(A1919,[1]!DadosGHD[CD_GEOCMU],[1]!DadosGHD[Região])</f>
        <v>NE</v>
      </c>
      <c r="D1919" s="4" t="str">
        <f>_xlfn.XLOOKUP(A1919,[1]!DadosGHD[CD_GEOCMU],[1]!DadosGHD[uf])</f>
        <v>BA</v>
      </c>
      <c r="E1919" s="5" t="str">
        <f>_xlfn.XLOOKUP(A1919,[1]!DadosGHD[CD_GEOCMU],[1]!DadosGHD[MUNICIPIO])</f>
        <v>LICINIO DE ALMEIDA</v>
      </c>
      <c r="F1919" s="6">
        <v>38.600902557373097</v>
      </c>
      <c r="G1919" s="6">
        <v>33.821018218994098</v>
      </c>
      <c r="H1919" s="6">
        <v>38.740810394287102</v>
      </c>
      <c r="I1919" s="6">
        <v>38.763301849365199</v>
      </c>
      <c r="J1919" s="6">
        <v>38.813682556152301</v>
      </c>
      <c r="K1919" s="6">
        <v>43.823558807373097</v>
      </c>
      <c r="L1919" s="6">
        <v>48.526454925537102</v>
      </c>
    </row>
    <row r="1920" spans="1:12" x14ac:dyDescent="0.25">
      <c r="A1920">
        <v>2700706</v>
      </c>
      <c r="B1920" t="str">
        <f t="shared" si="29"/>
        <v>BATALHA, AL, Brasil</v>
      </c>
      <c r="C1920" s="4" t="str">
        <f>_xlfn.XLOOKUP(A1920,[1]!DadosGHD[CD_GEOCMU],[1]!DadosGHD[Região])</f>
        <v>NE</v>
      </c>
      <c r="D1920" s="4" t="str">
        <f>_xlfn.XLOOKUP(A1920,[1]!DadosGHD[CD_GEOCMU],[1]!DadosGHD[uf])</f>
        <v>AL</v>
      </c>
      <c r="E1920" s="5" t="str">
        <f>_xlfn.XLOOKUP(A1920,[1]!DadosGHD[CD_GEOCMU],[1]!DadosGHD[MUNICIPIO])</f>
        <v>BATALHA</v>
      </c>
      <c r="F1920" s="6">
        <v>38.601264953613303</v>
      </c>
      <c r="G1920" s="6">
        <v>38.698089599609403</v>
      </c>
      <c r="H1920" s="6">
        <v>33.8737983703613</v>
      </c>
      <c r="I1920" s="6">
        <v>33.858860015869098</v>
      </c>
      <c r="J1920" s="6">
        <v>33.856372833252003</v>
      </c>
      <c r="K1920" s="6">
        <v>33.884048461914098</v>
      </c>
      <c r="L1920" s="6">
        <v>26.290830612182599</v>
      </c>
    </row>
    <row r="1921" spans="1:12" x14ac:dyDescent="0.25">
      <c r="A1921">
        <v>5106778</v>
      </c>
      <c r="B1921" t="str">
        <f t="shared" si="29"/>
        <v>PORTO ALEGRE DO NORTE, MT, Brasil</v>
      </c>
      <c r="C1921" s="4" t="str">
        <f>_xlfn.XLOOKUP(A1921,[1]!DadosGHD[CD_GEOCMU],[1]!DadosGHD[Região])</f>
        <v>CO</v>
      </c>
      <c r="D1921" s="4" t="str">
        <f>_xlfn.XLOOKUP(A1921,[1]!DadosGHD[CD_GEOCMU],[1]!DadosGHD[uf])</f>
        <v>MT</v>
      </c>
      <c r="E1921" s="5" t="str">
        <f>_xlfn.XLOOKUP(A1921,[1]!DadosGHD[CD_GEOCMU],[1]!DadosGHD[MUNICIPIO])</f>
        <v>PORTO ALEGRE DO NORTE</v>
      </c>
      <c r="F1921" s="6">
        <v>38.601284027099602</v>
      </c>
      <c r="G1921" s="6">
        <v>33.811275482177699</v>
      </c>
      <c r="H1921" s="6">
        <v>33.839241027832003</v>
      </c>
      <c r="I1921" s="6">
        <v>33.812252044677699</v>
      </c>
      <c r="J1921" s="6">
        <v>33.825119018554702</v>
      </c>
      <c r="K1921" s="6">
        <v>33.875373840332003</v>
      </c>
      <c r="L1921" s="6">
        <v>39.580036163330099</v>
      </c>
    </row>
    <row r="1922" spans="1:12" x14ac:dyDescent="0.25">
      <c r="A1922">
        <v>2312403</v>
      </c>
      <c r="B1922" t="str">
        <f t="shared" si="29"/>
        <v>SAO GONCALO DO AMARANTE, CE, Brasil</v>
      </c>
      <c r="C1922" s="4" t="str">
        <f>_xlfn.XLOOKUP(A1922,[1]!DadosGHD[CD_GEOCMU],[1]!DadosGHD[Região])</f>
        <v>NE</v>
      </c>
      <c r="D1922" s="4" t="str">
        <f>_xlfn.XLOOKUP(A1922,[1]!DadosGHD[CD_GEOCMU],[1]!DadosGHD[uf])</f>
        <v>CE</v>
      </c>
      <c r="E1922" s="5" t="str">
        <f>_xlfn.XLOOKUP(A1922,[1]!DadosGHD[CD_GEOCMU],[1]!DadosGHD[MUNICIPIO])</f>
        <v>SAO GONCALO DO AMARANTE</v>
      </c>
      <c r="F1922" s="6">
        <v>38.601406097412102</v>
      </c>
      <c r="G1922" s="6">
        <v>38.700782775878899</v>
      </c>
      <c r="H1922" s="6">
        <v>33.8534965515137</v>
      </c>
      <c r="I1922" s="6">
        <v>33.845062255859403</v>
      </c>
      <c r="J1922" s="6">
        <v>33.872749328613303</v>
      </c>
      <c r="K1922" s="6">
        <v>38.8886108398438</v>
      </c>
      <c r="L1922" s="6">
        <v>44.031040191650398</v>
      </c>
    </row>
    <row r="1923" spans="1:12" x14ac:dyDescent="0.25">
      <c r="A1923">
        <v>4100301</v>
      </c>
      <c r="B1923" t="str">
        <f t="shared" si="29"/>
        <v>AGUDOS DO SUL, PR, Brasil</v>
      </c>
      <c r="C1923" s="4" t="str">
        <f>_xlfn.XLOOKUP(A1923,[1]!DadosGHD[CD_GEOCMU],[1]!DadosGHD[Região])</f>
        <v>SL</v>
      </c>
      <c r="D1923" s="4" t="str">
        <f>_xlfn.XLOOKUP(A1923,[1]!DadosGHD[CD_GEOCMU],[1]!DadosGHD[uf])</f>
        <v>PR</v>
      </c>
      <c r="E1923" s="5" t="str">
        <f>_xlfn.XLOOKUP(A1923,[1]!DadosGHD[CD_GEOCMU],[1]!DadosGHD[MUNICIPIO])</f>
        <v>AGUDOS DO SUL</v>
      </c>
      <c r="F1923" s="6">
        <v>38.601486206054702</v>
      </c>
      <c r="G1923" s="6">
        <v>38.701099395752003</v>
      </c>
      <c r="H1923" s="6">
        <v>38.767951965332003</v>
      </c>
      <c r="I1923" s="6">
        <v>38.743095397949197</v>
      </c>
      <c r="J1923" s="6">
        <v>38.783664703369098</v>
      </c>
      <c r="K1923" s="6">
        <v>38.889690399169901</v>
      </c>
      <c r="L1923" s="6">
        <v>57.517173767089801</v>
      </c>
    </row>
    <row r="1924" spans="1:12" x14ac:dyDescent="0.25">
      <c r="A1924">
        <v>4203154</v>
      </c>
      <c r="B1924" t="str">
        <f t="shared" ref="B1924:B1987" si="30">_xlfn.CONCAT(E1924, ", ", D1924, ", Brasil")</f>
        <v>CALMON, SC, Brasil</v>
      </c>
      <c r="C1924" s="4" t="str">
        <f>_xlfn.XLOOKUP(A1924,[1]!DadosGHD[CD_GEOCMU],[1]!DadosGHD[Região])</f>
        <v>SL</v>
      </c>
      <c r="D1924" s="4" t="str">
        <f>_xlfn.XLOOKUP(A1924,[1]!DadosGHD[CD_GEOCMU],[1]!DadosGHD[uf])</f>
        <v>SC</v>
      </c>
      <c r="E1924" s="5" t="str">
        <f>_xlfn.XLOOKUP(A1924,[1]!DadosGHD[CD_GEOCMU],[1]!DadosGHD[MUNICIPIO])</f>
        <v>CALMON</v>
      </c>
      <c r="F1924" s="6">
        <v>38.601593017578097</v>
      </c>
      <c r="G1924" s="6">
        <v>38.7094917297363</v>
      </c>
      <c r="H1924" s="6">
        <v>28.946290969848601</v>
      </c>
      <c r="I1924" s="6">
        <v>38.724582672119098</v>
      </c>
      <c r="J1924" s="6">
        <v>33.893611907958999</v>
      </c>
      <c r="K1924" s="6">
        <v>33.912689208984403</v>
      </c>
      <c r="L1924" s="6">
        <v>30.6843662261963</v>
      </c>
    </row>
    <row r="1925" spans="1:12" x14ac:dyDescent="0.25">
      <c r="A1925">
        <v>4323770</v>
      </c>
      <c r="B1925" t="str">
        <f t="shared" si="30"/>
        <v>WESTFALIA, RS, Brasil</v>
      </c>
      <c r="C1925" s="4" t="str">
        <f>_xlfn.XLOOKUP(A1925,[1]!DadosGHD[CD_GEOCMU],[1]!DadosGHD[Região])</f>
        <v>SL</v>
      </c>
      <c r="D1925" s="4" t="str">
        <f>_xlfn.XLOOKUP(A1925,[1]!DadosGHD[CD_GEOCMU],[1]!DadosGHD[uf])</f>
        <v>RS</v>
      </c>
      <c r="E1925" s="5" t="str">
        <f>_xlfn.XLOOKUP(A1925,[1]!DadosGHD[CD_GEOCMU],[1]!DadosGHD[MUNICIPIO])</f>
        <v>WESTFALIA</v>
      </c>
      <c r="F1925" s="6">
        <v>38.601646423339801</v>
      </c>
      <c r="G1925" s="6">
        <v>43.7605171203613</v>
      </c>
      <c r="H1925" s="6">
        <v>48.747150421142599</v>
      </c>
      <c r="I1925" s="6">
        <v>58.875453948974602</v>
      </c>
      <c r="J1925" s="6">
        <v>58.958930969238303</v>
      </c>
      <c r="K1925" s="6">
        <v>59.013149261474602</v>
      </c>
      <c r="L1925" s="6">
        <v>57.589881896972699</v>
      </c>
    </row>
    <row r="1926" spans="1:12" x14ac:dyDescent="0.25">
      <c r="A1926">
        <v>2930501</v>
      </c>
      <c r="B1926" t="str">
        <f t="shared" si="30"/>
        <v>SERRINHA, BA, Brasil</v>
      </c>
      <c r="C1926" s="4" t="str">
        <f>_xlfn.XLOOKUP(A1926,[1]!DadosGHD[CD_GEOCMU],[1]!DadosGHD[Região])</f>
        <v>NE</v>
      </c>
      <c r="D1926" s="4" t="str">
        <f>_xlfn.XLOOKUP(A1926,[1]!DadosGHD[CD_GEOCMU],[1]!DadosGHD[uf])</f>
        <v>BA</v>
      </c>
      <c r="E1926" s="5" t="str">
        <f>_xlfn.XLOOKUP(A1926,[1]!DadosGHD[CD_GEOCMU],[1]!DadosGHD[MUNICIPIO])</f>
        <v>SERRINHA</v>
      </c>
      <c r="F1926" s="6">
        <v>38.601795196533203</v>
      </c>
      <c r="G1926" s="6">
        <v>33.838207244873097</v>
      </c>
      <c r="H1926" s="6">
        <v>33.876663208007798</v>
      </c>
      <c r="I1926" s="6">
        <v>33.851387023925803</v>
      </c>
      <c r="J1926" s="6">
        <v>33.8880424499512</v>
      </c>
      <c r="K1926" s="6">
        <v>33.923412322998097</v>
      </c>
      <c r="L1926" s="6">
        <v>30.695671081543001</v>
      </c>
    </row>
    <row r="1927" spans="1:12" x14ac:dyDescent="0.25">
      <c r="A1927">
        <v>2607901</v>
      </c>
      <c r="B1927" t="str">
        <f t="shared" si="30"/>
        <v>JABOATAO DOS GUARARAPES, PE, Brasil</v>
      </c>
      <c r="C1927" s="4" t="str">
        <f>_xlfn.XLOOKUP(A1927,[1]!DadosGHD[CD_GEOCMU],[1]!DadosGHD[Região])</f>
        <v>NE</v>
      </c>
      <c r="D1927" s="4" t="str">
        <f>_xlfn.XLOOKUP(A1927,[1]!DadosGHD[CD_GEOCMU],[1]!DadosGHD[uf])</f>
        <v>PE</v>
      </c>
      <c r="E1927" s="5" t="str">
        <f>_xlfn.XLOOKUP(A1927,[1]!DadosGHD[CD_GEOCMU],[1]!DadosGHD[MUNICIPIO])</f>
        <v>JABOATAO DOS GUARARAPES</v>
      </c>
      <c r="F1927" s="6">
        <v>38.602054595947301</v>
      </c>
      <c r="G1927" s="6">
        <v>38.697181701660199</v>
      </c>
      <c r="H1927" s="6">
        <v>33.885643005371101</v>
      </c>
      <c r="I1927" s="6">
        <v>33.858364105224602</v>
      </c>
      <c r="J1927" s="6">
        <v>33.870540618896499</v>
      </c>
      <c r="K1927" s="6">
        <v>33.879142761230497</v>
      </c>
      <c r="L1927" s="6">
        <v>30.700996398925799</v>
      </c>
    </row>
    <row r="1928" spans="1:12" x14ac:dyDescent="0.25">
      <c r="A1928">
        <v>3152402</v>
      </c>
      <c r="B1928" t="str">
        <f t="shared" si="30"/>
        <v>POTE, MG, Brasil</v>
      </c>
      <c r="C1928" s="4" t="str">
        <f>_xlfn.XLOOKUP(A1928,[1]!DadosGHD[CD_GEOCMU],[1]!DadosGHD[Região])</f>
        <v>SD</v>
      </c>
      <c r="D1928" s="4" t="str">
        <f>_xlfn.XLOOKUP(A1928,[1]!DadosGHD[CD_GEOCMU],[1]!DadosGHD[uf])</f>
        <v>MG</v>
      </c>
      <c r="E1928" s="5" t="str">
        <f>_xlfn.XLOOKUP(A1928,[1]!DadosGHD[CD_GEOCMU],[1]!DadosGHD[MUNICIPIO])</f>
        <v>POTE</v>
      </c>
      <c r="F1928" s="6">
        <v>38.602100372314503</v>
      </c>
      <c r="G1928" s="6">
        <v>38.689598083496101</v>
      </c>
      <c r="H1928" s="6">
        <v>33.882823944091797</v>
      </c>
      <c r="I1928" s="6">
        <v>33.8512573242188</v>
      </c>
      <c r="J1928" s="6">
        <v>33.865989685058601</v>
      </c>
      <c r="K1928" s="6">
        <v>33.894004821777301</v>
      </c>
      <c r="L1928" s="6">
        <v>30.700595855712901</v>
      </c>
    </row>
    <row r="1929" spans="1:12" x14ac:dyDescent="0.25">
      <c r="A1929">
        <v>2501708</v>
      </c>
      <c r="B1929" t="str">
        <f t="shared" si="30"/>
        <v>BARRA DE SAO MIGUEL, PB, Brasil</v>
      </c>
      <c r="C1929" s="4" t="str">
        <f>_xlfn.XLOOKUP(A1929,[1]!DadosGHD[CD_GEOCMU],[1]!DadosGHD[Região])</f>
        <v>NE</v>
      </c>
      <c r="D1929" s="4" t="str">
        <f>_xlfn.XLOOKUP(A1929,[1]!DadosGHD[CD_GEOCMU],[1]!DadosGHD[uf])</f>
        <v>PB</v>
      </c>
      <c r="E1929" s="5" t="str">
        <f>_xlfn.XLOOKUP(A1929,[1]!DadosGHD[CD_GEOCMU],[1]!DadosGHD[MUNICIPIO])</f>
        <v>BARRA DE SAO MIGUEL</v>
      </c>
      <c r="F1929" s="6">
        <v>38.602207183837898</v>
      </c>
      <c r="G1929" s="6">
        <v>33.815925598144503</v>
      </c>
      <c r="H1929" s="6">
        <v>33.851486206054702</v>
      </c>
      <c r="I1929" s="6">
        <v>33.825950622558601</v>
      </c>
      <c r="J1929" s="6">
        <v>33.841194152832003</v>
      </c>
      <c r="K1929" s="6">
        <v>33.8709526062012</v>
      </c>
      <c r="L1929" s="6">
        <v>26.290407180786101</v>
      </c>
    </row>
    <row r="1930" spans="1:12" x14ac:dyDescent="0.25">
      <c r="A1930">
        <v>3142007</v>
      </c>
      <c r="B1930" t="str">
        <f t="shared" si="30"/>
        <v>MIRABELA, MG, Brasil</v>
      </c>
      <c r="C1930" s="4" t="str">
        <f>_xlfn.XLOOKUP(A1930,[1]!DadosGHD[CD_GEOCMU],[1]!DadosGHD[Região])</f>
        <v>SD</v>
      </c>
      <c r="D1930" s="4" t="str">
        <f>_xlfn.XLOOKUP(A1930,[1]!DadosGHD[CD_GEOCMU],[1]!DadosGHD[uf])</f>
        <v>MG</v>
      </c>
      <c r="E1930" s="5" t="str">
        <f>_xlfn.XLOOKUP(A1930,[1]!DadosGHD[CD_GEOCMU],[1]!DadosGHD[MUNICIPIO])</f>
        <v>MIRABELA</v>
      </c>
      <c r="F1930" s="6">
        <v>38.602581024169901</v>
      </c>
      <c r="G1930" s="6">
        <v>33.829471588134801</v>
      </c>
      <c r="H1930" s="6">
        <v>38.799934387207003</v>
      </c>
      <c r="I1930" s="6">
        <v>38.769680023193402</v>
      </c>
      <c r="J1930" s="6">
        <v>33.892143249511697</v>
      </c>
      <c r="K1930" s="6">
        <v>38.781173706054702</v>
      </c>
      <c r="L1930" s="6">
        <v>35.150974273681598</v>
      </c>
    </row>
    <row r="1931" spans="1:12" x14ac:dyDescent="0.25">
      <c r="A1931">
        <v>2926806</v>
      </c>
      <c r="B1931" t="str">
        <f t="shared" si="30"/>
        <v>RIO DO ANTONIO, BA, Brasil</v>
      </c>
      <c r="C1931" s="4" t="str">
        <f>_xlfn.XLOOKUP(A1931,[1]!DadosGHD[CD_GEOCMU],[1]!DadosGHD[Região])</f>
        <v>NE</v>
      </c>
      <c r="D1931" s="4" t="str">
        <f>_xlfn.XLOOKUP(A1931,[1]!DadosGHD[CD_GEOCMU],[1]!DadosGHD[uf])</f>
        <v>BA</v>
      </c>
      <c r="E1931" s="5" t="str">
        <f>_xlfn.XLOOKUP(A1931,[1]!DadosGHD[CD_GEOCMU],[1]!DadosGHD[MUNICIPIO])</f>
        <v>RIO DO ANTONIO</v>
      </c>
      <c r="F1931" s="6">
        <v>38.602699279785199</v>
      </c>
      <c r="G1931" s="6">
        <v>33.829978942871101</v>
      </c>
      <c r="H1931" s="6">
        <v>33.872997283935597</v>
      </c>
      <c r="I1931" s="6">
        <v>33.816196441650398</v>
      </c>
      <c r="J1931" s="6">
        <v>33.832035064697301</v>
      </c>
      <c r="K1931" s="6">
        <v>33.863292694091797</v>
      </c>
      <c r="L1931" s="6">
        <v>26.289670944213899</v>
      </c>
    </row>
    <row r="1932" spans="1:12" x14ac:dyDescent="0.25">
      <c r="A1932">
        <v>2516508</v>
      </c>
      <c r="B1932" t="str">
        <f t="shared" si="30"/>
        <v>TAPEROA, PB, Brasil</v>
      </c>
      <c r="C1932" s="4" t="str">
        <f>_xlfn.XLOOKUP(A1932,[1]!DadosGHD[CD_GEOCMU],[1]!DadosGHD[Região])</f>
        <v>NE</v>
      </c>
      <c r="D1932" s="4" t="str">
        <f>_xlfn.XLOOKUP(A1932,[1]!DadosGHD[CD_GEOCMU],[1]!DadosGHD[uf])</f>
        <v>PB</v>
      </c>
      <c r="E1932" s="5" t="str">
        <f>_xlfn.XLOOKUP(A1932,[1]!DadosGHD[CD_GEOCMU],[1]!DadosGHD[MUNICIPIO])</f>
        <v>TAPEROA</v>
      </c>
      <c r="F1932" s="6">
        <v>38.602783203125</v>
      </c>
      <c r="G1932" s="6">
        <v>33.844310760498097</v>
      </c>
      <c r="H1932" s="6">
        <v>33.883491516113303</v>
      </c>
      <c r="I1932" s="6">
        <v>33.835922241210902</v>
      </c>
      <c r="J1932" s="6">
        <v>33.892650604248097</v>
      </c>
      <c r="K1932" s="6">
        <v>38.805809020996101</v>
      </c>
      <c r="L1932" s="6">
        <v>35.137821197509801</v>
      </c>
    </row>
    <row r="1933" spans="1:12" x14ac:dyDescent="0.25">
      <c r="A1933">
        <v>2928406</v>
      </c>
      <c r="B1933" t="str">
        <f t="shared" si="30"/>
        <v>SANTA RITA DE CASSIA, BA, Brasil</v>
      </c>
      <c r="C1933" s="4" t="str">
        <f>_xlfn.XLOOKUP(A1933,[1]!DadosGHD[CD_GEOCMU],[1]!DadosGHD[Região])</f>
        <v>NE</v>
      </c>
      <c r="D1933" s="4" t="str">
        <f>_xlfn.XLOOKUP(A1933,[1]!DadosGHD[CD_GEOCMU],[1]!DadosGHD[uf])</f>
        <v>BA</v>
      </c>
      <c r="E1933" s="5" t="str">
        <f>_xlfn.XLOOKUP(A1933,[1]!DadosGHD[CD_GEOCMU],[1]!DadosGHD[MUNICIPIO])</f>
        <v>SANTA RITA DE CASSIA</v>
      </c>
      <c r="F1933" s="6">
        <v>38.603023529052699</v>
      </c>
      <c r="G1933" s="6">
        <v>33.827651977539098</v>
      </c>
      <c r="H1933" s="6">
        <v>33.859611511230497</v>
      </c>
      <c r="I1933" s="6">
        <v>33.829833984375</v>
      </c>
      <c r="J1933" s="6">
        <v>33.8608589172363</v>
      </c>
      <c r="K1933" s="6">
        <v>33.882560729980497</v>
      </c>
      <c r="L1933" s="6">
        <v>26.2862148284912</v>
      </c>
    </row>
    <row r="1934" spans="1:12" x14ac:dyDescent="0.25">
      <c r="A1934">
        <v>3153707</v>
      </c>
      <c r="B1934" t="str">
        <f t="shared" si="30"/>
        <v>QUARTEL GERAL, MG, Brasil</v>
      </c>
      <c r="C1934" s="4" t="str">
        <f>_xlfn.XLOOKUP(A1934,[1]!DadosGHD[CD_GEOCMU],[1]!DadosGHD[Região])</f>
        <v>SD</v>
      </c>
      <c r="D1934" s="4" t="str">
        <f>_xlfn.XLOOKUP(A1934,[1]!DadosGHD[CD_GEOCMU],[1]!DadosGHD[uf])</f>
        <v>MG</v>
      </c>
      <c r="E1934" s="5" t="str">
        <f>_xlfn.XLOOKUP(A1934,[1]!DadosGHD[CD_GEOCMU],[1]!DadosGHD[MUNICIPIO])</f>
        <v>QUARTEL GERAL</v>
      </c>
      <c r="F1934" s="6">
        <v>38.6030883789063</v>
      </c>
      <c r="G1934" s="6">
        <v>43.661956787109403</v>
      </c>
      <c r="H1934" s="6">
        <v>48.833213806152301</v>
      </c>
      <c r="I1934" s="6">
        <v>48.774131774902301</v>
      </c>
      <c r="J1934" s="6">
        <v>43.786643981933601</v>
      </c>
      <c r="K1934" s="6">
        <v>43.864059448242202</v>
      </c>
      <c r="L1934" s="6">
        <v>53.026771545410199</v>
      </c>
    </row>
    <row r="1935" spans="1:12" x14ac:dyDescent="0.25">
      <c r="A1935">
        <v>2922706</v>
      </c>
      <c r="B1935" t="str">
        <f t="shared" si="30"/>
        <v>NOVA CANAA, BA, Brasil</v>
      </c>
      <c r="C1935" s="4" t="str">
        <f>_xlfn.XLOOKUP(A1935,[1]!DadosGHD[CD_GEOCMU],[1]!DadosGHD[Região])</f>
        <v>NE</v>
      </c>
      <c r="D1935" s="4" t="str">
        <f>_xlfn.XLOOKUP(A1935,[1]!DadosGHD[CD_GEOCMU],[1]!DadosGHD[uf])</f>
        <v>BA</v>
      </c>
      <c r="E1935" s="5" t="str">
        <f>_xlfn.XLOOKUP(A1935,[1]!DadosGHD[CD_GEOCMU],[1]!DadosGHD[MUNICIPIO])</f>
        <v>NOVA CANAA</v>
      </c>
      <c r="F1935" s="6">
        <v>38.603096008300803</v>
      </c>
      <c r="G1935" s="6">
        <v>38.684249877929702</v>
      </c>
      <c r="H1935" s="6">
        <v>33.891834259033203</v>
      </c>
      <c r="I1935" s="6">
        <v>38.7260932922363</v>
      </c>
      <c r="J1935" s="6">
        <v>38.775173187255902</v>
      </c>
      <c r="K1935" s="6">
        <v>38.818470001220703</v>
      </c>
      <c r="L1935" s="6">
        <v>26.298540115356399</v>
      </c>
    </row>
    <row r="1936" spans="1:12" x14ac:dyDescent="0.25">
      <c r="A1936">
        <v>2610707</v>
      </c>
      <c r="B1936" t="str">
        <f t="shared" si="30"/>
        <v>PAULISTA, PE, Brasil</v>
      </c>
      <c r="C1936" s="4" t="str">
        <f>_xlfn.XLOOKUP(A1936,[1]!DadosGHD[CD_GEOCMU],[1]!DadosGHD[Região])</f>
        <v>NE</v>
      </c>
      <c r="D1936" s="4" t="str">
        <f>_xlfn.XLOOKUP(A1936,[1]!DadosGHD[CD_GEOCMU],[1]!DadosGHD[uf])</f>
        <v>PE</v>
      </c>
      <c r="E1936" s="5" t="str">
        <f>_xlfn.XLOOKUP(A1936,[1]!DadosGHD[CD_GEOCMU],[1]!DadosGHD[MUNICIPIO])</f>
        <v>PAULISTA</v>
      </c>
      <c r="F1936" s="6">
        <v>38.603317260742202</v>
      </c>
      <c r="G1936" s="6">
        <v>38.685016632080099</v>
      </c>
      <c r="H1936" s="6">
        <v>33.870864868164098</v>
      </c>
      <c r="I1936" s="6">
        <v>33.833530426025398</v>
      </c>
      <c r="J1936" s="6">
        <v>33.8272094726563</v>
      </c>
      <c r="K1936" s="6">
        <v>33.875934600830099</v>
      </c>
      <c r="L1936" s="6">
        <v>30.714475631713899</v>
      </c>
    </row>
    <row r="1937" spans="1:12" x14ac:dyDescent="0.25">
      <c r="A1937">
        <v>2911659</v>
      </c>
      <c r="B1937" t="str">
        <f t="shared" si="30"/>
        <v>GUAJERU, BA, Brasil</v>
      </c>
      <c r="C1937" s="4" t="str">
        <f>_xlfn.XLOOKUP(A1937,[1]!DadosGHD[CD_GEOCMU],[1]!DadosGHD[Região])</f>
        <v>NE</v>
      </c>
      <c r="D1937" s="4" t="str">
        <f>_xlfn.XLOOKUP(A1937,[1]!DadosGHD[CD_GEOCMU],[1]!DadosGHD[uf])</f>
        <v>BA</v>
      </c>
      <c r="E1937" s="5" t="str">
        <f>_xlfn.XLOOKUP(A1937,[1]!DadosGHD[CD_GEOCMU],[1]!DadosGHD[MUNICIPIO])</f>
        <v>GUAJERU</v>
      </c>
      <c r="F1937" s="6">
        <v>38.603385925292997</v>
      </c>
      <c r="G1937" s="6">
        <v>33.807010650634801</v>
      </c>
      <c r="H1937" s="6">
        <v>33.859893798828097</v>
      </c>
      <c r="I1937" s="6">
        <v>33.8563842773438</v>
      </c>
      <c r="J1937" s="6">
        <v>33.888389587402301</v>
      </c>
      <c r="K1937" s="6">
        <v>38.853931427002003</v>
      </c>
      <c r="L1937" s="6">
        <v>35.152961730957003</v>
      </c>
    </row>
    <row r="1938" spans="1:12" x14ac:dyDescent="0.25">
      <c r="A1938">
        <v>4113734</v>
      </c>
      <c r="B1938" t="str">
        <f t="shared" si="30"/>
        <v>LUIZIANA, PR, Brasil</v>
      </c>
      <c r="C1938" s="4" t="str">
        <f>_xlfn.XLOOKUP(A1938,[1]!DadosGHD[CD_GEOCMU],[1]!DadosGHD[Região])</f>
        <v>SL</v>
      </c>
      <c r="D1938" s="4" t="str">
        <f>_xlfn.XLOOKUP(A1938,[1]!DadosGHD[CD_GEOCMU],[1]!DadosGHD[uf])</f>
        <v>PR</v>
      </c>
      <c r="E1938" s="5" t="str">
        <f>_xlfn.XLOOKUP(A1938,[1]!DadosGHD[CD_GEOCMU],[1]!DadosGHD[MUNICIPIO])</f>
        <v>LUIZIANA</v>
      </c>
      <c r="F1938" s="6">
        <v>38.603481292724602</v>
      </c>
      <c r="G1938" s="6">
        <v>38.7389526367188</v>
      </c>
      <c r="H1938" s="6">
        <v>38.776390075683601</v>
      </c>
      <c r="I1938" s="6">
        <v>38.747875213623097</v>
      </c>
      <c r="J1938" s="6">
        <v>38.753490447998097</v>
      </c>
      <c r="K1938" s="6">
        <v>38.790504455566399</v>
      </c>
      <c r="L1938" s="6">
        <v>30.695318222045898</v>
      </c>
    </row>
    <row r="1939" spans="1:12" x14ac:dyDescent="0.25">
      <c r="A1939">
        <v>3142700</v>
      </c>
      <c r="B1939" t="str">
        <f t="shared" si="30"/>
        <v>MONTALVANIA, MG, Brasil</v>
      </c>
      <c r="C1939" s="4" t="str">
        <f>_xlfn.XLOOKUP(A1939,[1]!DadosGHD[CD_GEOCMU],[1]!DadosGHD[Região])</f>
        <v>SD</v>
      </c>
      <c r="D1939" s="4" t="str">
        <f>_xlfn.XLOOKUP(A1939,[1]!DadosGHD[CD_GEOCMU],[1]!DadosGHD[uf])</f>
        <v>MG</v>
      </c>
      <c r="E1939" s="5" t="str">
        <f>_xlfn.XLOOKUP(A1939,[1]!DadosGHD[CD_GEOCMU],[1]!DadosGHD[MUNICIPIO])</f>
        <v>MONTALVANIA</v>
      </c>
      <c r="F1939" s="6">
        <v>38.603538513183601</v>
      </c>
      <c r="G1939" s="6">
        <v>33.826511383056598</v>
      </c>
      <c r="H1939" s="6">
        <v>33.874176025390597</v>
      </c>
      <c r="I1939" s="6">
        <v>33.858314514160199</v>
      </c>
      <c r="J1939" s="6">
        <v>33.866294860839801</v>
      </c>
      <c r="K1939" s="6">
        <v>33.913738250732401</v>
      </c>
      <c r="L1939" s="6">
        <v>30.685337066650401</v>
      </c>
    </row>
    <row r="1940" spans="1:12" x14ac:dyDescent="0.25">
      <c r="A1940">
        <v>2927804</v>
      </c>
      <c r="B1940" t="str">
        <f t="shared" si="30"/>
        <v>SANTA CRUZ DA VITORIA, BA, Brasil</v>
      </c>
      <c r="C1940" s="4" t="str">
        <f>_xlfn.XLOOKUP(A1940,[1]!DadosGHD[CD_GEOCMU],[1]!DadosGHD[Região])</f>
        <v>NE</v>
      </c>
      <c r="D1940" s="4" t="str">
        <f>_xlfn.XLOOKUP(A1940,[1]!DadosGHD[CD_GEOCMU],[1]!DadosGHD[uf])</f>
        <v>BA</v>
      </c>
      <c r="E1940" s="5" t="str">
        <f>_xlfn.XLOOKUP(A1940,[1]!DadosGHD[CD_GEOCMU],[1]!DadosGHD[MUNICIPIO])</f>
        <v>SANTA CRUZ DA VITORIA</v>
      </c>
      <c r="F1940" s="6">
        <v>38.603538513183601</v>
      </c>
      <c r="G1940" s="6">
        <v>33.825653076171903</v>
      </c>
      <c r="H1940" s="6">
        <v>33.866287231445298</v>
      </c>
      <c r="I1940" s="6">
        <v>33.8397216796875</v>
      </c>
      <c r="J1940" s="6">
        <v>33.853431701660199</v>
      </c>
      <c r="K1940" s="6">
        <v>33.892467498779297</v>
      </c>
      <c r="L1940" s="6">
        <v>30.6991157531738</v>
      </c>
    </row>
    <row r="1941" spans="1:12" x14ac:dyDescent="0.25">
      <c r="A1941">
        <v>4215679</v>
      </c>
      <c r="B1941" t="str">
        <f t="shared" si="30"/>
        <v>SANTA TEREZINHA, SC, Brasil</v>
      </c>
      <c r="C1941" s="4" t="str">
        <f>_xlfn.XLOOKUP(A1941,[1]!DadosGHD[CD_GEOCMU],[1]!DadosGHD[Região])</f>
        <v>SL</v>
      </c>
      <c r="D1941" s="4" t="str">
        <f>_xlfn.XLOOKUP(A1941,[1]!DadosGHD[CD_GEOCMU],[1]!DadosGHD[uf])</f>
        <v>SC</v>
      </c>
      <c r="E1941" s="5" t="str">
        <f>_xlfn.XLOOKUP(A1941,[1]!DadosGHD[CD_GEOCMU],[1]!DadosGHD[MUNICIPIO])</f>
        <v>SANTA TEREZINHA</v>
      </c>
      <c r="F1941" s="6">
        <v>38.603553771972699</v>
      </c>
      <c r="G1941" s="6">
        <v>43.6902046203613</v>
      </c>
      <c r="H1941" s="6">
        <v>38.807228088378899</v>
      </c>
      <c r="I1941" s="6">
        <v>43.7134819030762</v>
      </c>
      <c r="J1941" s="6">
        <v>43.762317657470703</v>
      </c>
      <c r="K1941" s="6">
        <v>48.797145843505902</v>
      </c>
      <c r="L1941" s="6">
        <v>48.525749206542997</v>
      </c>
    </row>
    <row r="1942" spans="1:12" x14ac:dyDescent="0.25">
      <c r="A1942">
        <v>2706901</v>
      </c>
      <c r="B1942" t="str">
        <f t="shared" si="30"/>
        <v>PILAR, AL, Brasil</v>
      </c>
      <c r="C1942" s="4" t="str">
        <f>_xlfn.XLOOKUP(A1942,[1]!DadosGHD[CD_GEOCMU],[1]!DadosGHD[Região])</f>
        <v>NE</v>
      </c>
      <c r="D1942" s="4" t="str">
        <f>_xlfn.XLOOKUP(A1942,[1]!DadosGHD[CD_GEOCMU],[1]!DadosGHD[uf])</f>
        <v>AL</v>
      </c>
      <c r="E1942" s="5" t="str">
        <f>_xlfn.XLOOKUP(A1942,[1]!DadosGHD[CD_GEOCMU],[1]!DadosGHD[MUNICIPIO])</f>
        <v>PILAR</v>
      </c>
      <c r="F1942" s="6">
        <v>38.603702545166001</v>
      </c>
      <c r="G1942" s="6">
        <v>33.837398529052699</v>
      </c>
      <c r="H1942" s="6">
        <v>33.883518218994098</v>
      </c>
      <c r="I1942" s="6">
        <v>33.862510681152301</v>
      </c>
      <c r="J1942" s="6">
        <v>33.871395111083999</v>
      </c>
      <c r="K1942" s="6">
        <v>33.894638061523402</v>
      </c>
      <c r="L1942" s="6">
        <v>26.296867370605501</v>
      </c>
    </row>
    <row r="1943" spans="1:12" x14ac:dyDescent="0.25">
      <c r="A1943">
        <v>1505007</v>
      </c>
      <c r="B1943" t="str">
        <f t="shared" si="30"/>
        <v>NOVA TIMBOTEUA, PA, Brasil</v>
      </c>
      <c r="C1943" s="4" t="str">
        <f>_xlfn.XLOOKUP(A1943,[1]!DadosGHD[CD_GEOCMU],[1]!DadosGHD[Região])</f>
        <v>NO</v>
      </c>
      <c r="D1943" s="4" t="str">
        <f>_xlfn.XLOOKUP(A1943,[1]!DadosGHD[CD_GEOCMU],[1]!DadosGHD[uf])</f>
        <v>PA</v>
      </c>
      <c r="E1943" s="5" t="str">
        <f>_xlfn.XLOOKUP(A1943,[1]!DadosGHD[CD_GEOCMU],[1]!DadosGHD[MUNICIPIO])</f>
        <v>NOVA TIMBOTEUA</v>
      </c>
      <c r="F1943" s="6">
        <v>38.603763580322301</v>
      </c>
      <c r="G1943" s="6">
        <v>33.833694458007798</v>
      </c>
      <c r="H1943" s="6">
        <v>33.870643615722699</v>
      </c>
      <c r="I1943" s="6">
        <v>33.825706481933601</v>
      </c>
      <c r="J1943" s="6">
        <v>28.975288391113299</v>
      </c>
      <c r="K1943" s="6">
        <v>33.861606597900398</v>
      </c>
      <c r="L1943" s="6">
        <v>30.7093906402588</v>
      </c>
    </row>
    <row r="1944" spans="1:12" x14ac:dyDescent="0.25">
      <c r="A1944">
        <v>2209104</v>
      </c>
      <c r="B1944" t="str">
        <f t="shared" si="30"/>
        <v>SANTA CRUZ DO PIAUI, PI, Brasil</v>
      </c>
      <c r="C1944" s="4" t="str">
        <f>_xlfn.XLOOKUP(A1944,[1]!DadosGHD[CD_GEOCMU],[1]!DadosGHD[Região])</f>
        <v>NE</v>
      </c>
      <c r="D1944" s="4" t="str">
        <f>_xlfn.XLOOKUP(A1944,[1]!DadosGHD[CD_GEOCMU],[1]!DadosGHD[uf])</f>
        <v>PI</v>
      </c>
      <c r="E1944" s="5" t="str">
        <f>_xlfn.XLOOKUP(A1944,[1]!DadosGHD[CD_GEOCMU],[1]!DadosGHD[MUNICIPIO])</f>
        <v>SANTA CRUZ DO PIAUI</v>
      </c>
      <c r="F1944" s="6">
        <v>38.603816986083999</v>
      </c>
      <c r="G1944" s="6">
        <v>33.819656372070298</v>
      </c>
      <c r="H1944" s="6">
        <v>33.850864410400398</v>
      </c>
      <c r="I1944" s="6">
        <v>33.825584411621101</v>
      </c>
      <c r="J1944" s="6">
        <v>33.857181549072301</v>
      </c>
      <c r="K1944" s="6">
        <v>38.8670845031738</v>
      </c>
      <c r="L1944" s="6">
        <v>44.0545043945313</v>
      </c>
    </row>
    <row r="1945" spans="1:12" x14ac:dyDescent="0.25">
      <c r="A1945">
        <v>2206902</v>
      </c>
      <c r="B1945" t="str">
        <f t="shared" si="30"/>
        <v>NOVO ORIENTE DO PIAUI, PI, Brasil</v>
      </c>
      <c r="C1945" s="4" t="str">
        <f>_xlfn.XLOOKUP(A1945,[1]!DadosGHD[CD_GEOCMU],[1]!DadosGHD[Região])</f>
        <v>NE</v>
      </c>
      <c r="D1945" s="4" t="str">
        <f>_xlfn.XLOOKUP(A1945,[1]!DadosGHD[CD_GEOCMU],[1]!DadosGHD[uf])</f>
        <v>PI</v>
      </c>
      <c r="E1945" s="5" t="str">
        <f>_xlfn.XLOOKUP(A1945,[1]!DadosGHD[CD_GEOCMU],[1]!DadosGHD[MUNICIPIO])</f>
        <v>NOVO ORIENTE DO PIAUI</v>
      </c>
      <c r="F1945" s="6">
        <v>38.603889465332003</v>
      </c>
      <c r="G1945" s="6">
        <v>33.829067230224602</v>
      </c>
      <c r="H1945" s="6">
        <v>33.864517211914098</v>
      </c>
      <c r="I1945" s="6">
        <v>33.853622436523402</v>
      </c>
      <c r="J1945" s="6">
        <v>38.762531280517599</v>
      </c>
      <c r="K1945" s="6">
        <v>38.795234680175803</v>
      </c>
      <c r="L1945" s="6">
        <v>35.140876770019503</v>
      </c>
    </row>
    <row r="1946" spans="1:12" x14ac:dyDescent="0.25">
      <c r="A1946">
        <v>2110203</v>
      </c>
      <c r="B1946" t="str">
        <f t="shared" si="30"/>
        <v>SANTA RITA, MA, Brasil</v>
      </c>
      <c r="C1946" s="4" t="str">
        <f>_xlfn.XLOOKUP(A1946,[1]!DadosGHD[CD_GEOCMU],[1]!DadosGHD[Região])</f>
        <v>NE</v>
      </c>
      <c r="D1946" s="4" t="str">
        <f>_xlfn.XLOOKUP(A1946,[1]!DadosGHD[CD_GEOCMU],[1]!DadosGHD[uf])</f>
        <v>MA</v>
      </c>
      <c r="E1946" s="5" t="str">
        <f>_xlfn.XLOOKUP(A1946,[1]!DadosGHD[CD_GEOCMU],[1]!DadosGHD[MUNICIPIO])</f>
        <v>SANTA RITA</v>
      </c>
      <c r="F1946" s="6">
        <v>38.603939056396499</v>
      </c>
      <c r="G1946" s="6">
        <v>33.779731750488303</v>
      </c>
      <c r="H1946" s="6">
        <v>33.816444396972699</v>
      </c>
      <c r="I1946" s="6">
        <v>33.793392181396499</v>
      </c>
      <c r="J1946" s="6">
        <v>28.978204727172901</v>
      </c>
      <c r="K1946" s="6">
        <v>29.001176834106399</v>
      </c>
      <c r="L1946" s="6">
        <v>26.280021667480501</v>
      </c>
    </row>
    <row r="1947" spans="1:12" x14ac:dyDescent="0.25">
      <c r="A1947">
        <v>2930600</v>
      </c>
      <c r="B1947" t="str">
        <f t="shared" si="30"/>
        <v>SERROLANDIA, BA, Brasil</v>
      </c>
      <c r="C1947" s="4" t="str">
        <f>_xlfn.XLOOKUP(A1947,[1]!DadosGHD[CD_GEOCMU],[1]!DadosGHD[Região])</f>
        <v>NE</v>
      </c>
      <c r="D1947" s="4" t="str">
        <f>_xlfn.XLOOKUP(A1947,[1]!DadosGHD[CD_GEOCMU],[1]!DadosGHD[uf])</f>
        <v>BA</v>
      </c>
      <c r="E1947" s="5" t="str">
        <f>_xlfn.XLOOKUP(A1947,[1]!DadosGHD[CD_GEOCMU],[1]!DadosGHD[MUNICIPIO])</f>
        <v>SERROLANDIA</v>
      </c>
      <c r="F1947" s="6">
        <v>38.604007720947301</v>
      </c>
      <c r="G1947" s="6">
        <v>38.740867614746101</v>
      </c>
      <c r="H1947" s="6">
        <v>38.791297912597699</v>
      </c>
      <c r="I1947" s="6">
        <v>33.8553466796875</v>
      </c>
      <c r="J1947" s="6">
        <v>33.885593414306598</v>
      </c>
      <c r="K1947" s="6">
        <v>38.836383819580099</v>
      </c>
      <c r="L1947" s="6">
        <v>44.014636993408203</v>
      </c>
    </row>
    <row r="1948" spans="1:12" x14ac:dyDescent="0.25">
      <c r="A1948">
        <v>2926301</v>
      </c>
      <c r="B1948" t="str">
        <f t="shared" si="30"/>
        <v>RIACHAO DO JACUIPE, BA, Brasil</v>
      </c>
      <c r="C1948" s="4" t="str">
        <f>_xlfn.XLOOKUP(A1948,[1]!DadosGHD[CD_GEOCMU],[1]!DadosGHD[Região])</f>
        <v>NE</v>
      </c>
      <c r="D1948" s="4" t="str">
        <f>_xlfn.XLOOKUP(A1948,[1]!DadosGHD[CD_GEOCMU],[1]!DadosGHD[uf])</f>
        <v>BA</v>
      </c>
      <c r="E1948" s="5" t="str">
        <f>_xlfn.XLOOKUP(A1948,[1]!DadosGHD[CD_GEOCMU],[1]!DadosGHD[MUNICIPIO])</f>
        <v>RIACHAO DO JACUIPE</v>
      </c>
      <c r="F1948" s="6">
        <v>38.604167938232401</v>
      </c>
      <c r="G1948" s="6">
        <v>38.686222076416001</v>
      </c>
      <c r="H1948" s="6">
        <v>38.753715515136697</v>
      </c>
      <c r="I1948" s="6">
        <v>38.757606506347699</v>
      </c>
      <c r="J1948" s="6">
        <v>38.752143859863303</v>
      </c>
      <c r="K1948" s="6">
        <v>38.871360778808601</v>
      </c>
      <c r="L1948" s="6">
        <v>39.5557670593262</v>
      </c>
    </row>
    <row r="1949" spans="1:12" x14ac:dyDescent="0.25">
      <c r="A1949">
        <v>3127206</v>
      </c>
      <c r="B1949" t="str">
        <f t="shared" si="30"/>
        <v>FUNILANDIA, MG, Brasil</v>
      </c>
      <c r="C1949" s="4" t="str">
        <f>_xlfn.XLOOKUP(A1949,[1]!DadosGHD[CD_GEOCMU],[1]!DadosGHD[Região])</f>
        <v>SD</v>
      </c>
      <c r="D1949" s="4" t="str">
        <f>_xlfn.XLOOKUP(A1949,[1]!DadosGHD[CD_GEOCMU],[1]!DadosGHD[uf])</f>
        <v>MG</v>
      </c>
      <c r="E1949" s="5" t="str">
        <f>_xlfn.XLOOKUP(A1949,[1]!DadosGHD[CD_GEOCMU],[1]!DadosGHD[MUNICIPIO])</f>
        <v>FUNILANDIA</v>
      </c>
      <c r="F1949" s="6">
        <v>38.604175567627003</v>
      </c>
      <c r="G1949" s="6">
        <v>43.658824920654297</v>
      </c>
      <c r="H1949" s="6">
        <v>43.707607269287102</v>
      </c>
      <c r="I1949" s="6">
        <v>33.870891571044901</v>
      </c>
      <c r="J1949" s="6">
        <v>33.877536773681598</v>
      </c>
      <c r="K1949" s="6">
        <v>38.827110290527301</v>
      </c>
      <c r="L1949" s="6">
        <v>44.049732208252003</v>
      </c>
    </row>
    <row r="1950" spans="1:12" x14ac:dyDescent="0.25">
      <c r="A1950">
        <v>2607752</v>
      </c>
      <c r="B1950" t="str">
        <f t="shared" si="30"/>
        <v>ITAPISSUMA, PE, Brasil</v>
      </c>
      <c r="C1950" s="4" t="str">
        <f>_xlfn.XLOOKUP(A1950,[1]!DadosGHD[CD_GEOCMU],[1]!DadosGHD[Região])</f>
        <v>NE</v>
      </c>
      <c r="D1950" s="4" t="str">
        <f>_xlfn.XLOOKUP(A1950,[1]!DadosGHD[CD_GEOCMU],[1]!DadosGHD[uf])</f>
        <v>PE</v>
      </c>
      <c r="E1950" s="5" t="str">
        <f>_xlfn.XLOOKUP(A1950,[1]!DadosGHD[CD_GEOCMU],[1]!DadosGHD[MUNICIPIO])</f>
        <v>ITAPISSUMA</v>
      </c>
      <c r="F1950" s="6">
        <v>38.604183197021499</v>
      </c>
      <c r="G1950" s="6">
        <v>38.708686828613303</v>
      </c>
      <c r="H1950" s="6">
        <v>33.869304656982401</v>
      </c>
      <c r="I1950" s="6">
        <v>33.826942443847699</v>
      </c>
      <c r="J1950" s="6">
        <v>33.839710235595703</v>
      </c>
      <c r="K1950" s="6">
        <v>33.861202239990199</v>
      </c>
      <c r="L1950" s="6">
        <v>26.291955947876001</v>
      </c>
    </row>
    <row r="1951" spans="1:12" x14ac:dyDescent="0.25">
      <c r="A1951">
        <v>2201929</v>
      </c>
      <c r="B1951" t="str">
        <f t="shared" si="30"/>
        <v>BONFIM DO PIAUI, PI, Brasil</v>
      </c>
      <c r="C1951" s="4" t="str">
        <f>_xlfn.XLOOKUP(A1951,[1]!DadosGHD[CD_GEOCMU],[1]!DadosGHD[Região])</f>
        <v>NE</v>
      </c>
      <c r="D1951" s="4" t="str">
        <f>_xlfn.XLOOKUP(A1951,[1]!DadosGHD[CD_GEOCMU],[1]!DadosGHD[uf])</f>
        <v>PI</v>
      </c>
      <c r="E1951" s="5" t="str">
        <f>_xlfn.XLOOKUP(A1951,[1]!DadosGHD[CD_GEOCMU],[1]!DadosGHD[MUNICIPIO])</f>
        <v>BONFIM DO PIAUI</v>
      </c>
      <c r="F1951" s="6">
        <v>38.604385375976598</v>
      </c>
      <c r="G1951" s="6">
        <v>33.819759368896499</v>
      </c>
      <c r="H1951" s="6">
        <v>33.855892181396499</v>
      </c>
      <c r="I1951" s="6">
        <v>33.832992553710902</v>
      </c>
      <c r="J1951" s="6">
        <v>33.860385894775398</v>
      </c>
      <c r="K1951" s="6">
        <v>33.886970520019503</v>
      </c>
      <c r="L1951" s="6">
        <v>26.2972297668457</v>
      </c>
    </row>
    <row r="1952" spans="1:12" x14ac:dyDescent="0.25">
      <c r="A1952">
        <v>2305233</v>
      </c>
      <c r="B1952" t="str">
        <f t="shared" si="30"/>
        <v>HORIZONTE, CE, Brasil</v>
      </c>
      <c r="C1952" s="4" t="str">
        <f>_xlfn.XLOOKUP(A1952,[1]!DadosGHD[CD_GEOCMU],[1]!DadosGHD[Região])</f>
        <v>NE</v>
      </c>
      <c r="D1952" s="4" t="str">
        <f>_xlfn.XLOOKUP(A1952,[1]!DadosGHD[CD_GEOCMU],[1]!DadosGHD[uf])</f>
        <v>CE</v>
      </c>
      <c r="E1952" s="5" t="str">
        <f>_xlfn.XLOOKUP(A1952,[1]!DadosGHD[CD_GEOCMU],[1]!DadosGHD[MUNICIPIO])</f>
        <v>HORIZONTE</v>
      </c>
      <c r="F1952" s="6">
        <v>38.604545593261697</v>
      </c>
      <c r="G1952" s="6">
        <v>38.683464050292997</v>
      </c>
      <c r="H1952" s="6">
        <v>38.770572662353501</v>
      </c>
      <c r="I1952" s="6">
        <v>38.800910949707003</v>
      </c>
      <c r="J1952" s="6">
        <v>38.842700958252003</v>
      </c>
      <c r="K1952" s="6">
        <v>43.821895599365199</v>
      </c>
      <c r="L1952" s="6">
        <v>44.038623809814503</v>
      </c>
    </row>
    <row r="1953" spans="1:12" x14ac:dyDescent="0.25">
      <c r="A1953">
        <v>1710508</v>
      </c>
      <c r="B1953" t="str">
        <f t="shared" si="30"/>
        <v>ITACAJA, TO, Brasil</v>
      </c>
      <c r="C1953" s="4" t="str">
        <f>_xlfn.XLOOKUP(A1953,[1]!DadosGHD[CD_GEOCMU],[1]!DadosGHD[Região])</f>
        <v>NO</v>
      </c>
      <c r="D1953" s="4" t="str">
        <f>_xlfn.XLOOKUP(A1953,[1]!DadosGHD[CD_GEOCMU],[1]!DadosGHD[uf])</f>
        <v>TO</v>
      </c>
      <c r="E1953" s="5" t="str">
        <f>_xlfn.XLOOKUP(A1953,[1]!DadosGHD[CD_GEOCMU],[1]!DadosGHD[MUNICIPIO])</f>
        <v>ITACAJA</v>
      </c>
      <c r="F1953" s="6">
        <v>38.604560852050803</v>
      </c>
      <c r="G1953" s="6">
        <v>33.828746795654297</v>
      </c>
      <c r="H1953" s="6">
        <v>33.865570068359403</v>
      </c>
      <c r="I1953" s="6">
        <v>38.730686187744098</v>
      </c>
      <c r="J1953" s="6">
        <v>33.857391357421903</v>
      </c>
      <c r="K1953" s="6">
        <v>33.872287750244098</v>
      </c>
      <c r="L1953" s="6">
        <v>30.707080841064499</v>
      </c>
    </row>
    <row r="1954" spans="1:12" x14ac:dyDescent="0.25">
      <c r="A1954">
        <v>2614105</v>
      </c>
      <c r="B1954" t="str">
        <f t="shared" si="30"/>
        <v>SERTANIA, PE, Brasil</v>
      </c>
      <c r="C1954" s="4" t="str">
        <f>_xlfn.XLOOKUP(A1954,[1]!DadosGHD[CD_GEOCMU],[1]!DadosGHD[Região])</f>
        <v>NE</v>
      </c>
      <c r="D1954" s="4" t="str">
        <f>_xlfn.XLOOKUP(A1954,[1]!DadosGHD[CD_GEOCMU],[1]!DadosGHD[uf])</f>
        <v>PE</v>
      </c>
      <c r="E1954" s="5" t="str">
        <f>_xlfn.XLOOKUP(A1954,[1]!DadosGHD[CD_GEOCMU],[1]!DadosGHD[MUNICIPIO])</f>
        <v>SERTANIA</v>
      </c>
      <c r="F1954" s="6">
        <v>38.604606628417997</v>
      </c>
      <c r="G1954" s="6">
        <v>33.837520599365199</v>
      </c>
      <c r="H1954" s="6">
        <v>33.873081207275398</v>
      </c>
      <c r="I1954" s="6">
        <v>33.870769500732401</v>
      </c>
      <c r="J1954" s="6">
        <v>38.745529174804702</v>
      </c>
      <c r="K1954" s="6">
        <v>43.769454956054702</v>
      </c>
      <c r="L1954" s="6">
        <v>39.563041687011697</v>
      </c>
    </row>
    <row r="1955" spans="1:12" x14ac:dyDescent="0.25">
      <c r="A1955">
        <v>4128633</v>
      </c>
      <c r="B1955" t="str">
        <f t="shared" si="30"/>
        <v>DOUTOR ULYSSES, PR, Brasil</v>
      </c>
      <c r="C1955" s="4" t="str">
        <f>_xlfn.XLOOKUP(A1955,[1]!DadosGHD[CD_GEOCMU],[1]!DadosGHD[Região])</f>
        <v>SL</v>
      </c>
      <c r="D1955" s="4" t="str">
        <f>_xlfn.XLOOKUP(A1955,[1]!DadosGHD[CD_GEOCMU],[1]!DadosGHD[uf])</f>
        <v>PR</v>
      </c>
      <c r="E1955" s="5" t="str">
        <f>_xlfn.XLOOKUP(A1955,[1]!DadosGHD[CD_GEOCMU],[1]!DadosGHD[MUNICIPIO])</f>
        <v>DOUTOR ULYSSES</v>
      </c>
      <c r="F1955" s="6">
        <v>38.604709625244098</v>
      </c>
      <c r="G1955" s="6">
        <v>33.8215522766113</v>
      </c>
      <c r="H1955" s="6">
        <v>33.865406036377003</v>
      </c>
      <c r="I1955" s="6">
        <v>33.848075866699197</v>
      </c>
      <c r="J1955" s="6">
        <v>33.867988586425803</v>
      </c>
      <c r="K1955" s="6">
        <v>33.8987846374512</v>
      </c>
      <c r="L1955" s="6">
        <v>26.2798957824707</v>
      </c>
    </row>
    <row r="1956" spans="1:12" x14ac:dyDescent="0.25">
      <c r="A1956">
        <v>2932507</v>
      </c>
      <c r="B1956" t="str">
        <f t="shared" si="30"/>
        <v>UNA, BA, Brasil</v>
      </c>
      <c r="C1956" s="4" t="str">
        <f>_xlfn.XLOOKUP(A1956,[1]!DadosGHD[CD_GEOCMU],[1]!DadosGHD[Região])</f>
        <v>NE</v>
      </c>
      <c r="D1956" s="4" t="str">
        <f>_xlfn.XLOOKUP(A1956,[1]!DadosGHD[CD_GEOCMU],[1]!DadosGHD[uf])</f>
        <v>BA</v>
      </c>
      <c r="E1956" s="5" t="str">
        <f>_xlfn.XLOOKUP(A1956,[1]!DadosGHD[CD_GEOCMU],[1]!DadosGHD[MUNICIPIO])</f>
        <v>UNA</v>
      </c>
      <c r="F1956" s="6">
        <v>38.604743957519503</v>
      </c>
      <c r="G1956" s="6">
        <v>33.822574615478501</v>
      </c>
      <c r="H1956" s="6">
        <v>33.884807586669901</v>
      </c>
      <c r="I1956" s="6">
        <v>33.872116088867202</v>
      </c>
      <c r="J1956" s="6">
        <v>38.743141174316399</v>
      </c>
      <c r="K1956" s="6">
        <v>38.805973052978501</v>
      </c>
      <c r="L1956" s="6">
        <v>35.121120452880902</v>
      </c>
    </row>
    <row r="1957" spans="1:12" x14ac:dyDescent="0.25">
      <c r="A1957">
        <v>2932804</v>
      </c>
      <c r="B1957" t="str">
        <f t="shared" si="30"/>
        <v>UTINGA, BA, Brasil</v>
      </c>
      <c r="C1957" s="4" t="str">
        <f>_xlfn.XLOOKUP(A1957,[1]!DadosGHD[CD_GEOCMU],[1]!DadosGHD[Região])</f>
        <v>NE</v>
      </c>
      <c r="D1957" s="4" t="str">
        <f>_xlfn.XLOOKUP(A1957,[1]!DadosGHD[CD_GEOCMU],[1]!DadosGHD[uf])</f>
        <v>BA</v>
      </c>
      <c r="E1957" s="5" t="str">
        <f>_xlfn.XLOOKUP(A1957,[1]!DadosGHD[CD_GEOCMU],[1]!DadosGHD[MUNICIPIO])</f>
        <v>UTINGA</v>
      </c>
      <c r="F1957" s="6">
        <v>38.604831695556598</v>
      </c>
      <c r="G1957" s="6">
        <v>38.713836669921903</v>
      </c>
      <c r="H1957" s="6">
        <v>38.783012390136697</v>
      </c>
      <c r="I1957" s="6">
        <v>38.747097015380902</v>
      </c>
      <c r="J1957" s="6">
        <v>38.793979644775398</v>
      </c>
      <c r="K1957" s="6">
        <v>38.830127716064503</v>
      </c>
      <c r="L1957" s="6">
        <v>39.579769134521499</v>
      </c>
    </row>
    <row r="1958" spans="1:12" x14ac:dyDescent="0.25">
      <c r="A1958">
        <v>2901106</v>
      </c>
      <c r="B1958" t="str">
        <f t="shared" si="30"/>
        <v>AMELIA RODRIGUES, BA, Brasil</v>
      </c>
      <c r="C1958" s="4" t="str">
        <f>_xlfn.XLOOKUP(A1958,[1]!DadosGHD[CD_GEOCMU],[1]!DadosGHD[Região])</f>
        <v>NE</v>
      </c>
      <c r="D1958" s="4" t="str">
        <f>_xlfn.XLOOKUP(A1958,[1]!DadosGHD[CD_GEOCMU],[1]!DadosGHD[uf])</f>
        <v>BA</v>
      </c>
      <c r="E1958" s="5" t="str">
        <f>_xlfn.XLOOKUP(A1958,[1]!DadosGHD[CD_GEOCMU],[1]!DadosGHD[MUNICIPIO])</f>
        <v>AMELIA RODRIGUES</v>
      </c>
      <c r="F1958" s="6">
        <v>38.604869842529297</v>
      </c>
      <c r="G1958" s="6">
        <v>33.833946228027301</v>
      </c>
      <c r="H1958" s="6">
        <v>33.874809265136697</v>
      </c>
      <c r="I1958" s="6">
        <v>33.848598480224602</v>
      </c>
      <c r="J1958" s="6">
        <v>33.859222412109403</v>
      </c>
      <c r="K1958" s="6">
        <v>33.8988227844238</v>
      </c>
      <c r="L1958" s="6">
        <v>30.6931476593018</v>
      </c>
    </row>
    <row r="1959" spans="1:12" x14ac:dyDescent="0.25">
      <c r="A1959">
        <v>2804706</v>
      </c>
      <c r="B1959" t="str">
        <f t="shared" si="30"/>
        <v>NOSSA SENHORA DE LOURDES, SE, Brasil</v>
      </c>
      <c r="C1959" s="4" t="str">
        <f>_xlfn.XLOOKUP(A1959,[1]!DadosGHD[CD_GEOCMU],[1]!DadosGHD[Região])</f>
        <v>NE</v>
      </c>
      <c r="D1959" s="4" t="str">
        <f>_xlfn.XLOOKUP(A1959,[1]!DadosGHD[CD_GEOCMU],[1]!DadosGHD[uf])</f>
        <v>SE</v>
      </c>
      <c r="E1959" s="5" t="str">
        <f>_xlfn.XLOOKUP(A1959,[1]!DadosGHD[CD_GEOCMU],[1]!DadosGHD[MUNICIPIO])</f>
        <v>NOSSA SENHORA DE LOURDES</v>
      </c>
      <c r="F1959" s="6">
        <v>38.605018615722699</v>
      </c>
      <c r="G1959" s="6">
        <v>38.696163177490199</v>
      </c>
      <c r="H1959" s="6">
        <v>33.889331817627003</v>
      </c>
      <c r="I1959" s="6">
        <v>33.862014770507798</v>
      </c>
      <c r="J1959" s="6">
        <v>38.7652587890625</v>
      </c>
      <c r="K1959" s="6">
        <v>43.762397766113303</v>
      </c>
      <c r="L1959" s="6">
        <v>48.498157501220703</v>
      </c>
    </row>
    <row r="1960" spans="1:12" x14ac:dyDescent="0.25">
      <c r="A1960">
        <v>2915106</v>
      </c>
      <c r="B1960" t="str">
        <f t="shared" si="30"/>
        <v>ITAGI, BA, Brasil</v>
      </c>
      <c r="C1960" s="4" t="str">
        <f>_xlfn.XLOOKUP(A1960,[1]!DadosGHD[CD_GEOCMU],[1]!DadosGHD[Região])</f>
        <v>NE</v>
      </c>
      <c r="D1960" s="4" t="str">
        <f>_xlfn.XLOOKUP(A1960,[1]!DadosGHD[CD_GEOCMU],[1]!DadosGHD[uf])</f>
        <v>BA</v>
      </c>
      <c r="E1960" s="5" t="str">
        <f>_xlfn.XLOOKUP(A1960,[1]!DadosGHD[CD_GEOCMU],[1]!DadosGHD[MUNICIPIO])</f>
        <v>ITAGI</v>
      </c>
      <c r="F1960" s="6">
        <v>38.605125427246101</v>
      </c>
      <c r="G1960" s="6">
        <v>33.821189880371101</v>
      </c>
      <c r="H1960" s="6">
        <v>33.864173889160199</v>
      </c>
      <c r="I1960" s="6">
        <v>33.848930358886697</v>
      </c>
      <c r="J1960" s="6">
        <v>33.855785369873097</v>
      </c>
      <c r="K1960" s="6">
        <v>33.849891662597699</v>
      </c>
      <c r="L1960" s="6">
        <v>26.286556243896499</v>
      </c>
    </row>
    <row r="1961" spans="1:12" x14ac:dyDescent="0.25">
      <c r="A1961">
        <v>5002803</v>
      </c>
      <c r="B1961" t="str">
        <f t="shared" si="30"/>
        <v>CARACOL, MS, Brasil</v>
      </c>
      <c r="C1961" s="4" t="str">
        <f>_xlfn.XLOOKUP(A1961,[1]!DadosGHD[CD_GEOCMU],[1]!DadosGHD[Região])</f>
        <v>CO</v>
      </c>
      <c r="D1961" s="4" t="str">
        <f>_xlfn.XLOOKUP(A1961,[1]!DadosGHD[CD_GEOCMU],[1]!DadosGHD[uf])</f>
        <v>MS</v>
      </c>
      <c r="E1961" s="5" t="str">
        <f>_xlfn.XLOOKUP(A1961,[1]!DadosGHD[CD_GEOCMU],[1]!DadosGHD[MUNICIPIO])</f>
        <v>CARACOL</v>
      </c>
      <c r="F1961" s="6">
        <v>38.605144500732401</v>
      </c>
      <c r="G1961" s="6">
        <v>33.826328277587898</v>
      </c>
      <c r="H1961" s="6">
        <v>33.894371032714801</v>
      </c>
      <c r="I1961" s="6">
        <v>33.869285583496101</v>
      </c>
      <c r="J1961" s="6">
        <v>33.887882232666001</v>
      </c>
      <c r="K1961" s="6">
        <v>38.890445709228501</v>
      </c>
      <c r="L1961" s="6">
        <v>39.5587768554688</v>
      </c>
    </row>
    <row r="1962" spans="1:12" x14ac:dyDescent="0.25">
      <c r="A1962">
        <v>2800209</v>
      </c>
      <c r="B1962" t="str">
        <f t="shared" si="30"/>
        <v>AQUIDABA, SE, Brasil</v>
      </c>
      <c r="C1962" s="4" t="str">
        <f>_xlfn.XLOOKUP(A1962,[1]!DadosGHD[CD_GEOCMU],[1]!DadosGHD[Região])</f>
        <v>NE</v>
      </c>
      <c r="D1962" s="4" t="str">
        <f>_xlfn.XLOOKUP(A1962,[1]!DadosGHD[CD_GEOCMU],[1]!DadosGHD[uf])</f>
        <v>SE</v>
      </c>
      <c r="E1962" s="5" t="str">
        <f>_xlfn.XLOOKUP(A1962,[1]!DadosGHD[CD_GEOCMU],[1]!DadosGHD[MUNICIPIO])</f>
        <v>AQUIDABA</v>
      </c>
      <c r="F1962" s="6">
        <v>38.605175018310597</v>
      </c>
      <c r="G1962" s="6">
        <v>33.8419380187988</v>
      </c>
      <c r="H1962" s="6">
        <v>33.880176544189503</v>
      </c>
      <c r="I1962" s="6">
        <v>33.861019134521499</v>
      </c>
      <c r="J1962" s="6">
        <v>33.860359191894503</v>
      </c>
      <c r="K1962" s="6">
        <v>38.786174774169901</v>
      </c>
      <c r="L1962" s="6">
        <v>30.699813842773398</v>
      </c>
    </row>
    <row r="1963" spans="1:12" x14ac:dyDescent="0.25">
      <c r="A1963">
        <v>2403301</v>
      </c>
      <c r="B1963" t="str">
        <f t="shared" si="30"/>
        <v>ENCANTO, RN, Brasil</v>
      </c>
      <c r="C1963" s="4" t="str">
        <f>_xlfn.XLOOKUP(A1963,[1]!DadosGHD[CD_GEOCMU],[1]!DadosGHD[Região])</f>
        <v>NE</v>
      </c>
      <c r="D1963" s="4" t="str">
        <f>_xlfn.XLOOKUP(A1963,[1]!DadosGHD[CD_GEOCMU],[1]!DadosGHD[uf])</f>
        <v>RN</v>
      </c>
      <c r="E1963" s="5" t="str">
        <f>_xlfn.XLOOKUP(A1963,[1]!DadosGHD[CD_GEOCMU],[1]!DadosGHD[MUNICIPIO])</f>
        <v>ENCANTO</v>
      </c>
      <c r="F1963" s="6">
        <v>38.605201721191399</v>
      </c>
      <c r="G1963" s="6">
        <v>38.7508544921875</v>
      </c>
      <c r="H1963" s="6">
        <v>43.771270751953097</v>
      </c>
      <c r="I1963" s="6">
        <v>38.753623962402301</v>
      </c>
      <c r="J1963" s="6">
        <v>38.752403259277301</v>
      </c>
      <c r="K1963" s="6">
        <v>43.754379272460902</v>
      </c>
      <c r="L1963" s="6">
        <v>48.495914459228501</v>
      </c>
    </row>
    <row r="1964" spans="1:12" x14ac:dyDescent="0.25">
      <c r="A1964">
        <v>4306072</v>
      </c>
      <c r="B1964" t="str">
        <f t="shared" si="30"/>
        <v>CRISTAL DO SUL, RS, Brasil</v>
      </c>
      <c r="C1964" s="4" t="str">
        <f>_xlfn.XLOOKUP(A1964,[1]!DadosGHD[CD_GEOCMU],[1]!DadosGHD[Região])</f>
        <v>SL</v>
      </c>
      <c r="D1964" s="4" t="str">
        <f>_xlfn.XLOOKUP(A1964,[1]!DadosGHD[CD_GEOCMU],[1]!DadosGHD[uf])</f>
        <v>RS</v>
      </c>
      <c r="E1964" s="5" t="str">
        <f>_xlfn.XLOOKUP(A1964,[1]!DadosGHD[CD_GEOCMU],[1]!DadosGHD[MUNICIPIO])</f>
        <v>CRISTAL DO SUL</v>
      </c>
      <c r="F1964" s="6">
        <v>38.605239868164098</v>
      </c>
      <c r="G1964" s="6">
        <v>43.677677154541001</v>
      </c>
      <c r="H1964" s="6">
        <v>43.732559204101598</v>
      </c>
      <c r="I1964" s="6">
        <v>43.721622467041001</v>
      </c>
      <c r="J1964" s="6">
        <v>43.764453887939503</v>
      </c>
      <c r="K1964" s="6">
        <v>48.848918914794901</v>
      </c>
      <c r="L1964" s="6">
        <v>53.063068389892599</v>
      </c>
    </row>
    <row r="1965" spans="1:12" x14ac:dyDescent="0.25">
      <c r="A1965">
        <v>2927705</v>
      </c>
      <c r="B1965" t="str">
        <f t="shared" si="30"/>
        <v>SANTA CRUZ CABRALIA, BA, Brasil</v>
      </c>
      <c r="C1965" s="4" t="str">
        <f>_xlfn.XLOOKUP(A1965,[1]!DadosGHD[CD_GEOCMU],[1]!DadosGHD[Região])</f>
        <v>NE</v>
      </c>
      <c r="D1965" s="4" t="str">
        <f>_xlfn.XLOOKUP(A1965,[1]!DadosGHD[CD_GEOCMU],[1]!DadosGHD[uf])</f>
        <v>BA</v>
      </c>
      <c r="E1965" s="5" t="str">
        <f>_xlfn.XLOOKUP(A1965,[1]!DadosGHD[CD_GEOCMU],[1]!DadosGHD[MUNICIPIO])</f>
        <v>SANTA CRUZ CABRALIA</v>
      </c>
      <c r="F1965" s="6">
        <v>38.605270385742202</v>
      </c>
      <c r="G1965" s="6">
        <v>38.682765960693402</v>
      </c>
      <c r="H1965" s="6">
        <v>38.770709991455099</v>
      </c>
      <c r="I1965" s="6">
        <v>38.762985229492202</v>
      </c>
      <c r="J1965" s="6">
        <v>38.795787811279297</v>
      </c>
      <c r="K1965" s="6">
        <v>38.803077697753899</v>
      </c>
      <c r="L1965" s="6">
        <v>35.117988586425803</v>
      </c>
    </row>
    <row r="1966" spans="1:12" x14ac:dyDescent="0.25">
      <c r="A1966">
        <v>2412500</v>
      </c>
      <c r="B1966" t="str">
        <f t="shared" si="30"/>
        <v>SAO MIGUEL, RN, Brasil</v>
      </c>
      <c r="C1966" s="4" t="str">
        <f>_xlfn.XLOOKUP(A1966,[1]!DadosGHD[CD_GEOCMU],[1]!DadosGHD[Região])</f>
        <v>NE</v>
      </c>
      <c r="D1966" s="4" t="str">
        <f>_xlfn.XLOOKUP(A1966,[1]!DadosGHD[CD_GEOCMU],[1]!DadosGHD[uf])</f>
        <v>RN</v>
      </c>
      <c r="E1966" s="5" t="str">
        <f>_xlfn.XLOOKUP(A1966,[1]!DadosGHD[CD_GEOCMU],[1]!DadosGHD[MUNICIPIO])</f>
        <v>SAO MIGUEL</v>
      </c>
      <c r="F1966" s="6">
        <v>38.605289459228501</v>
      </c>
      <c r="G1966" s="6">
        <v>43.661895751953097</v>
      </c>
      <c r="H1966" s="6">
        <v>43.832530975341797</v>
      </c>
      <c r="I1966" s="6">
        <v>43.790489196777301</v>
      </c>
      <c r="J1966" s="6">
        <v>43.8040161132813</v>
      </c>
      <c r="K1966" s="6">
        <v>43.865310668945298</v>
      </c>
      <c r="L1966" s="6">
        <v>53.057949066162102</v>
      </c>
    </row>
    <row r="1967" spans="1:12" x14ac:dyDescent="0.25">
      <c r="A1967">
        <v>3543006</v>
      </c>
      <c r="B1967" t="str">
        <f t="shared" si="30"/>
        <v>RIBEIRAO BRANCO, SP, Brasil</v>
      </c>
      <c r="C1967" s="4" t="str">
        <f>_xlfn.XLOOKUP(A1967,[1]!DadosGHD[CD_GEOCMU],[1]!DadosGHD[Região])</f>
        <v>SD</v>
      </c>
      <c r="D1967" s="4" t="str">
        <f>_xlfn.XLOOKUP(A1967,[1]!DadosGHD[CD_GEOCMU],[1]!DadosGHD[uf])</f>
        <v>SP</v>
      </c>
      <c r="E1967" s="5" t="str">
        <f>_xlfn.XLOOKUP(A1967,[1]!DadosGHD[CD_GEOCMU],[1]!DadosGHD[MUNICIPIO])</f>
        <v>RIBEIRAO BRANCO</v>
      </c>
      <c r="F1967" s="6">
        <v>38.605331420898402</v>
      </c>
      <c r="G1967" s="6">
        <v>33.824504852294901</v>
      </c>
      <c r="H1967" s="6">
        <v>33.8641166687012</v>
      </c>
      <c r="I1967" s="6">
        <v>33.841121673583999</v>
      </c>
      <c r="J1967" s="6">
        <v>33.8114204406738</v>
      </c>
      <c r="K1967" s="6">
        <v>29.0031852722168</v>
      </c>
      <c r="L1967" s="6">
        <v>26.2798957824707</v>
      </c>
    </row>
    <row r="1968" spans="1:12" x14ac:dyDescent="0.25">
      <c r="A1968">
        <v>3126802</v>
      </c>
      <c r="B1968" t="str">
        <f t="shared" si="30"/>
        <v>FREI GASPAR, MG, Brasil</v>
      </c>
      <c r="C1968" s="4" t="str">
        <f>_xlfn.XLOOKUP(A1968,[1]!DadosGHD[CD_GEOCMU],[1]!DadosGHD[Região])</f>
        <v>SD</v>
      </c>
      <c r="D1968" s="4" t="str">
        <f>_xlfn.XLOOKUP(A1968,[1]!DadosGHD[CD_GEOCMU],[1]!DadosGHD[uf])</f>
        <v>MG</v>
      </c>
      <c r="E1968" s="5" t="str">
        <f>_xlfn.XLOOKUP(A1968,[1]!DadosGHD[CD_GEOCMU],[1]!DadosGHD[MUNICIPIO])</f>
        <v>FREI GASPAR</v>
      </c>
      <c r="F1968" s="6">
        <v>38.605476379394503</v>
      </c>
      <c r="G1968" s="6">
        <v>33.840324401855497</v>
      </c>
      <c r="H1968" s="6">
        <v>38.754802703857401</v>
      </c>
      <c r="I1968" s="6">
        <v>38.722953796386697</v>
      </c>
      <c r="J1968" s="6">
        <v>38.755970001220703</v>
      </c>
      <c r="K1968" s="6">
        <v>38.791069030761697</v>
      </c>
      <c r="L1968" s="6">
        <v>35.126853942871101</v>
      </c>
    </row>
    <row r="1969" spans="1:12" x14ac:dyDescent="0.25">
      <c r="A1969">
        <v>3121407</v>
      </c>
      <c r="B1969" t="str">
        <f t="shared" si="30"/>
        <v>DESTERRO DE ENTRE RIOS, MG, Brasil</v>
      </c>
      <c r="C1969" s="4" t="str">
        <f>_xlfn.XLOOKUP(A1969,[1]!DadosGHD[CD_GEOCMU],[1]!DadosGHD[Região])</f>
        <v>SD</v>
      </c>
      <c r="D1969" s="4" t="str">
        <f>_xlfn.XLOOKUP(A1969,[1]!DadosGHD[CD_GEOCMU],[1]!DadosGHD[uf])</f>
        <v>MG</v>
      </c>
      <c r="E1969" s="5" t="str">
        <f>_xlfn.XLOOKUP(A1969,[1]!DadosGHD[CD_GEOCMU],[1]!DadosGHD[MUNICIPIO])</f>
        <v>DESTERRO DE ENTRE RIOS</v>
      </c>
      <c r="F1969" s="6">
        <v>38.605522155761697</v>
      </c>
      <c r="G1969" s="6">
        <v>38.755832672119098</v>
      </c>
      <c r="H1969" s="6">
        <v>38.806076049804702</v>
      </c>
      <c r="I1969" s="6">
        <v>38.801731109619098</v>
      </c>
      <c r="J1969" s="6">
        <v>38.809707641601598</v>
      </c>
      <c r="K1969" s="6">
        <v>38.828121185302699</v>
      </c>
      <c r="L1969" s="6">
        <v>26.299018859863299</v>
      </c>
    </row>
    <row r="1970" spans="1:12" x14ac:dyDescent="0.25">
      <c r="A1970">
        <v>2109700</v>
      </c>
      <c r="B1970" t="str">
        <f t="shared" si="30"/>
        <v>SAMBAIBA, MA, Brasil</v>
      </c>
      <c r="C1970" s="4" t="str">
        <f>_xlfn.XLOOKUP(A1970,[1]!DadosGHD[CD_GEOCMU],[1]!DadosGHD[Região])</f>
        <v>NE</v>
      </c>
      <c r="D1970" s="4" t="str">
        <f>_xlfn.XLOOKUP(A1970,[1]!DadosGHD[CD_GEOCMU],[1]!DadosGHD[uf])</f>
        <v>MA</v>
      </c>
      <c r="E1970" s="5" t="str">
        <f>_xlfn.XLOOKUP(A1970,[1]!DadosGHD[CD_GEOCMU],[1]!DadosGHD[MUNICIPIO])</f>
        <v>SAMBAIBA</v>
      </c>
      <c r="F1970" s="6">
        <v>38.605541229248097</v>
      </c>
      <c r="G1970" s="6">
        <v>33.820072174072301</v>
      </c>
      <c r="H1970" s="6">
        <v>33.857814788818402</v>
      </c>
      <c r="I1970" s="6">
        <v>33.832965850830099</v>
      </c>
      <c r="J1970" s="6">
        <v>33.8493843078613</v>
      </c>
      <c r="K1970" s="6">
        <v>33.879875183105497</v>
      </c>
      <c r="L1970" s="6">
        <v>26.2798957824707</v>
      </c>
    </row>
    <row r="1971" spans="1:12" x14ac:dyDescent="0.25">
      <c r="A1971">
        <v>4121307</v>
      </c>
      <c r="B1971" t="str">
        <f t="shared" si="30"/>
        <v>RANCHO ALEGRE, PR, Brasil</v>
      </c>
      <c r="C1971" s="4" t="str">
        <f>_xlfn.XLOOKUP(A1971,[1]!DadosGHD[CD_GEOCMU],[1]!DadosGHD[Região])</f>
        <v>SL</v>
      </c>
      <c r="D1971" s="4" t="str">
        <f>_xlfn.XLOOKUP(A1971,[1]!DadosGHD[CD_GEOCMU],[1]!DadosGHD[uf])</f>
        <v>PR</v>
      </c>
      <c r="E1971" s="5" t="str">
        <f>_xlfn.XLOOKUP(A1971,[1]!DadosGHD[CD_GEOCMU],[1]!DadosGHD[MUNICIPIO])</f>
        <v>RANCHO ALEGRE</v>
      </c>
      <c r="F1971" s="6">
        <v>38.605567932128899</v>
      </c>
      <c r="G1971" s="6">
        <v>43.698341369628899</v>
      </c>
      <c r="H1971" s="6">
        <v>38.815135955810597</v>
      </c>
      <c r="I1971" s="6">
        <v>38.776710510253899</v>
      </c>
      <c r="J1971" s="6">
        <v>43.723716735839801</v>
      </c>
      <c r="K1971" s="6">
        <v>43.826240539550803</v>
      </c>
      <c r="L1971" s="6">
        <v>53.0075073242188</v>
      </c>
    </row>
    <row r="1972" spans="1:12" x14ac:dyDescent="0.25">
      <c r="A1972">
        <v>2502508</v>
      </c>
      <c r="B1972" t="str">
        <f t="shared" si="30"/>
        <v>BOQUEIRAO, PB, Brasil</v>
      </c>
      <c r="C1972" s="4" t="str">
        <f>_xlfn.XLOOKUP(A1972,[1]!DadosGHD[CD_GEOCMU],[1]!DadosGHD[Região])</f>
        <v>NE</v>
      </c>
      <c r="D1972" s="4" t="str">
        <f>_xlfn.XLOOKUP(A1972,[1]!DadosGHD[CD_GEOCMU],[1]!DadosGHD[uf])</f>
        <v>PB</v>
      </c>
      <c r="E1972" s="5" t="str">
        <f>_xlfn.XLOOKUP(A1972,[1]!DadosGHD[CD_GEOCMU],[1]!DadosGHD[MUNICIPIO])</f>
        <v>BOQUEIRAO</v>
      </c>
      <c r="F1972" s="6">
        <v>38.6055908203125</v>
      </c>
      <c r="G1972" s="6">
        <v>38.695945739746101</v>
      </c>
      <c r="H1972" s="6">
        <v>33.866321563720703</v>
      </c>
      <c r="I1972" s="6">
        <v>33.804595947265597</v>
      </c>
      <c r="J1972" s="6">
        <v>33.8224067687988</v>
      </c>
      <c r="K1972" s="6">
        <v>33.852588653564503</v>
      </c>
      <c r="L1972" s="6">
        <v>30.688549041748001</v>
      </c>
    </row>
    <row r="1973" spans="1:12" x14ac:dyDescent="0.25">
      <c r="A1973">
        <v>3139250</v>
      </c>
      <c r="B1973" t="str">
        <f t="shared" si="30"/>
        <v>MAMONAS, MG, Brasil</v>
      </c>
      <c r="C1973" s="4" t="str">
        <f>_xlfn.XLOOKUP(A1973,[1]!DadosGHD[CD_GEOCMU],[1]!DadosGHD[Região])</f>
        <v>SD</v>
      </c>
      <c r="D1973" s="4" t="str">
        <f>_xlfn.XLOOKUP(A1973,[1]!DadosGHD[CD_GEOCMU],[1]!DadosGHD[uf])</f>
        <v>MG</v>
      </c>
      <c r="E1973" s="5" t="str">
        <f>_xlfn.XLOOKUP(A1973,[1]!DadosGHD[CD_GEOCMU],[1]!DadosGHD[MUNICIPIO])</f>
        <v>MAMONAS</v>
      </c>
      <c r="F1973" s="6">
        <v>38.605628967285199</v>
      </c>
      <c r="G1973" s="6">
        <v>33.834957122802699</v>
      </c>
      <c r="H1973" s="6">
        <v>33.873264312744098</v>
      </c>
      <c r="I1973" s="6">
        <v>33.813449859619098</v>
      </c>
      <c r="J1973" s="6">
        <v>33.830509185791001</v>
      </c>
      <c r="K1973" s="6">
        <v>33.862064361572301</v>
      </c>
      <c r="L1973" s="6">
        <v>30.6848754882813</v>
      </c>
    </row>
    <row r="1974" spans="1:12" x14ac:dyDescent="0.25">
      <c r="A1974">
        <v>2708303</v>
      </c>
      <c r="B1974" t="str">
        <f t="shared" si="30"/>
        <v>SAO JOSE DA LAJE, AL, Brasil</v>
      </c>
      <c r="C1974" s="4" t="str">
        <f>_xlfn.XLOOKUP(A1974,[1]!DadosGHD[CD_GEOCMU],[1]!DadosGHD[Região])</f>
        <v>NE</v>
      </c>
      <c r="D1974" s="4" t="str">
        <f>_xlfn.XLOOKUP(A1974,[1]!DadosGHD[CD_GEOCMU],[1]!DadosGHD[uf])</f>
        <v>AL</v>
      </c>
      <c r="E1974" s="5" t="str">
        <f>_xlfn.XLOOKUP(A1974,[1]!DadosGHD[CD_GEOCMU],[1]!DadosGHD[MUNICIPIO])</f>
        <v>SAO JOSE DA LAJE</v>
      </c>
      <c r="F1974" s="6">
        <v>38.605739593505902</v>
      </c>
      <c r="G1974" s="6">
        <v>33.815559387207003</v>
      </c>
      <c r="H1974" s="6">
        <v>33.852836608886697</v>
      </c>
      <c r="I1974" s="6">
        <v>33.840602874755902</v>
      </c>
      <c r="J1974" s="6">
        <v>33.884971618652301</v>
      </c>
      <c r="K1974" s="6">
        <v>33.880203247070298</v>
      </c>
      <c r="L1974" s="6">
        <v>30.7147216796875</v>
      </c>
    </row>
    <row r="1975" spans="1:12" x14ac:dyDescent="0.25">
      <c r="A1975">
        <v>3534005</v>
      </c>
      <c r="B1975" t="str">
        <f t="shared" si="30"/>
        <v>ONDA VERDE, SP, Brasil</v>
      </c>
      <c r="C1975" s="4" t="str">
        <f>_xlfn.XLOOKUP(A1975,[1]!DadosGHD[CD_GEOCMU],[1]!DadosGHD[Região])</f>
        <v>SD</v>
      </c>
      <c r="D1975" s="4" t="str">
        <f>_xlfn.XLOOKUP(A1975,[1]!DadosGHD[CD_GEOCMU],[1]!DadosGHD[uf])</f>
        <v>SP</v>
      </c>
      <c r="E1975" s="5" t="str">
        <f>_xlfn.XLOOKUP(A1975,[1]!DadosGHD[CD_GEOCMU],[1]!DadosGHD[MUNICIPIO])</f>
        <v>ONDA VERDE</v>
      </c>
      <c r="F1975" s="6">
        <v>38.605796813964801</v>
      </c>
      <c r="G1975" s="6">
        <v>38.733695983886697</v>
      </c>
      <c r="H1975" s="6">
        <v>33.893482208252003</v>
      </c>
      <c r="I1975" s="6">
        <v>33.866619110107401</v>
      </c>
      <c r="J1975" s="6">
        <v>33.871280670166001</v>
      </c>
      <c r="K1975" s="6">
        <v>33.894580841064503</v>
      </c>
      <c r="L1975" s="6">
        <v>35.128959655761697</v>
      </c>
    </row>
    <row r="1976" spans="1:12" x14ac:dyDescent="0.25">
      <c r="A1976">
        <v>2514305</v>
      </c>
      <c r="B1976" t="str">
        <f t="shared" si="30"/>
        <v>SAO JOSE DE CAIANA, PB, Brasil</v>
      </c>
      <c r="C1976" s="4" t="str">
        <f>_xlfn.XLOOKUP(A1976,[1]!DadosGHD[CD_GEOCMU],[1]!DadosGHD[Região])</f>
        <v>NE</v>
      </c>
      <c r="D1976" s="4" t="str">
        <f>_xlfn.XLOOKUP(A1976,[1]!DadosGHD[CD_GEOCMU],[1]!DadosGHD[uf])</f>
        <v>PB</v>
      </c>
      <c r="E1976" s="5" t="str">
        <f>_xlfn.XLOOKUP(A1976,[1]!DadosGHD[CD_GEOCMU],[1]!DadosGHD[MUNICIPIO])</f>
        <v>SAO JOSE DE CAIANA</v>
      </c>
      <c r="F1976" s="6">
        <v>38.605842590332003</v>
      </c>
      <c r="G1976" s="6">
        <v>33.839069366455099</v>
      </c>
      <c r="H1976" s="6">
        <v>33.889839172363303</v>
      </c>
      <c r="I1976" s="6">
        <v>33.859275817871101</v>
      </c>
      <c r="J1976" s="6">
        <v>33.864459991455099</v>
      </c>
      <c r="K1976" s="6">
        <v>33.898246765136697</v>
      </c>
      <c r="L1976" s="6">
        <v>35.125637054443402</v>
      </c>
    </row>
    <row r="1977" spans="1:12" x14ac:dyDescent="0.25">
      <c r="A1977">
        <v>4321832</v>
      </c>
      <c r="B1977" t="str">
        <f t="shared" si="30"/>
        <v>TRES FORQUILHAS, RS, Brasil</v>
      </c>
      <c r="C1977" s="4" t="str">
        <f>_xlfn.XLOOKUP(A1977,[1]!DadosGHD[CD_GEOCMU],[1]!DadosGHD[Região])</f>
        <v>SL</v>
      </c>
      <c r="D1977" s="4" t="str">
        <f>_xlfn.XLOOKUP(A1977,[1]!DadosGHD[CD_GEOCMU],[1]!DadosGHD[uf])</f>
        <v>RS</v>
      </c>
      <c r="E1977" s="5" t="str">
        <f>_xlfn.XLOOKUP(A1977,[1]!DadosGHD[CD_GEOCMU],[1]!DadosGHD[MUNICIPIO])</f>
        <v>TRES FORQUILHAS</v>
      </c>
      <c r="F1977" s="6">
        <v>38.605861663818402</v>
      </c>
      <c r="G1977" s="6">
        <v>38.707275390625</v>
      </c>
      <c r="H1977" s="6">
        <v>38.765724182128899</v>
      </c>
      <c r="I1977" s="6">
        <v>38.743705749511697</v>
      </c>
      <c r="J1977" s="6">
        <v>38.763786315917997</v>
      </c>
      <c r="K1977" s="6">
        <v>38.798622131347699</v>
      </c>
      <c r="L1977" s="6">
        <v>30.688722610473601</v>
      </c>
    </row>
    <row r="1978" spans="1:12" x14ac:dyDescent="0.25">
      <c r="A1978">
        <v>2100501</v>
      </c>
      <c r="B1978" t="str">
        <f t="shared" si="30"/>
        <v>ALTO PARNAIBA, MA, Brasil</v>
      </c>
      <c r="C1978" s="4" t="str">
        <f>_xlfn.XLOOKUP(A1978,[1]!DadosGHD[CD_GEOCMU],[1]!DadosGHD[Região])</f>
        <v>NE</v>
      </c>
      <c r="D1978" s="4" t="str">
        <f>_xlfn.XLOOKUP(A1978,[1]!DadosGHD[CD_GEOCMU],[1]!DadosGHD[uf])</f>
        <v>MA</v>
      </c>
      <c r="E1978" s="5" t="str">
        <f>_xlfn.XLOOKUP(A1978,[1]!DadosGHD[CD_GEOCMU],[1]!DadosGHD[MUNICIPIO])</f>
        <v>ALTO PARNAIBA</v>
      </c>
      <c r="F1978" s="6">
        <v>38.605926513671903</v>
      </c>
      <c r="G1978" s="6">
        <v>38.7026176452637</v>
      </c>
      <c r="H1978" s="6">
        <v>38.794628143310597</v>
      </c>
      <c r="I1978" s="6">
        <v>38.785984039306598</v>
      </c>
      <c r="J1978" s="6">
        <v>38.805000305175803</v>
      </c>
      <c r="K1978" s="6">
        <v>38.850635528564503</v>
      </c>
      <c r="L1978" s="6">
        <v>30.7020778656006</v>
      </c>
    </row>
    <row r="1979" spans="1:12" x14ac:dyDescent="0.25">
      <c r="A1979">
        <v>2928703</v>
      </c>
      <c r="B1979" t="str">
        <f t="shared" si="30"/>
        <v>SANTO ANTONIO DE JESUS, BA, Brasil</v>
      </c>
      <c r="C1979" s="4" t="str">
        <f>_xlfn.XLOOKUP(A1979,[1]!DadosGHD[CD_GEOCMU],[1]!DadosGHD[Região])</f>
        <v>NE</v>
      </c>
      <c r="D1979" s="4" t="str">
        <f>_xlfn.XLOOKUP(A1979,[1]!DadosGHD[CD_GEOCMU],[1]!DadosGHD[uf])</f>
        <v>BA</v>
      </c>
      <c r="E1979" s="5" t="str">
        <f>_xlfn.XLOOKUP(A1979,[1]!DadosGHD[CD_GEOCMU],[1]!DadosGHD[MUNICIPIO])</f>
        <v>SANTO ANTONIO DE JESUS</v>
      </c>
      <c r="F1979" s="6">
        <v>38.605991363525398</v>
      </c>
      <c r="G1979" s="6">
        <v>38.702507019042997</v>
      </c>
      <c r="H1979" s="6">
        <v>38.783790588378899</v>
      </c>
      <c r="I1979" s="6">
        <v>38.754688262939503</v>
      </c>
      <c r="J1979" s="6">
        <v>38.783432006835902</v>
      </c>
      <c r="K1979" s="6">
        <v>43.771282196044901</v>
      </c>
      <c r="L1979" s="6">
        <v>44.051792144775398</v>
      </c>
    </row>
    <row r="1980" spans="1:12" x14ac:dyDescent="0.25">
      <c r="A1980">
        <v>2101806</v>
      </c>
      <c r="B1980" t="str">
        <f t="shared" si="30"/>
        <v>BENEDITO LEITE, MA, Brasil</v>
      </c>
      <c r="C1980" s="4" t="str">
        <f>_xlfn.XLOOKUP(A1980,[1]!DadosGHD[CD_GEOCMU],[1]!DadosGHD[Região])</f>
        <v>NE</v>
      </c>
      <c r="D1980" s="4" t="str">
        <f>_xlfn.XLOOKUP(A1980,[1]!DadosGHD[CD_GEOCMU],[1]!DadosGHD[uf])</f>
        <v>MA</v>
      </c>
      <c r="E1980" s="5" t="str">
        <f>_xlfn.XLOOKUP(A1980,[1]!DadosGHD[CD_GEOCMU],[1]!DadosGHD[MUNICIPIO])</f>
        <v>BENEDITO LEITE</v>
      </c>
      <c r="F1980" s="6">
        <v>38.606021881103501</v>
      </c>
      <c r="G1980" s="6">
        <v>33.821086883544901</v>
      </c>
      <c r="H1980" s="6">
        <v>33.856594085693402</v>
      </c>
      <c r="I1980" s="6">
        <v>33.833980560302699</v>
      </c>
      <c r="J1980" s="6">
        <v>33.8504447937012</v>
      </c>
      <c r="K1980" s="6">
        <v>33.880912780761697</v>
      </c>
      <c r="L1980" s="6">
        <v>26.292404174804702</v>
      </c>
    </row>
    <row r="1981" spans="1:12" x14ac:dyDescent="0.25">
      <c r="A1981">
        <v>2500205</v>
      </c>
      <c r="B1981" t="str">
        <f t="shared" si="30"/>
        <v>AGUIAR, PB, Brasil</v>
      </c>
      <c r="C1981" s="4" t="str">
        <f>_xlfn.XLOOKUP(A1981,[1]!DadosGHD[CD_GEOCMU],[1]!DadosGHD[Região])</f>
        <v>NE</v>
      </c>
      <c r="D1981" s="4" t="str">
        <f>_xlfn.XLOOKUP(A1981,[1]!DadosGHD[CD_GEOCMU],[1]!DadosGHD[uf])</f>
        <v>PB</v>
      </c>
      <c r="E1981" s="5" t="str">
        <f>_xlfn.XLOOKUP(A1981,[1]!DadosGHD[CD_GEOCMU],[1]!DadosGHD[MUNICIPIO])</f>
        <v>AGUIAR</v>
      </c>
      <c r="F1981" s="6">
        <v>38.606128692627003</v>
      </c>
      <c r="G1981" s="6">
        <v>33.822601318359403</v>
      </c>
      <c r="H1981" s="6">
        <v>33.858078002929702</v>
      </c>
      <c r="I1981" s="6">
        <v>33.833770751953097</v>
      </c>
      <c r="J1981" s="6">
        <v>33.8506469726563</v>
      </c>
      <c r="K1981" s="6">
        <v>33.8814697265625</v>
      </c>
      <c r="L1981" s="6">
        <v>26.295141220092798</v>
      </c>
    </row>
    <row r="1982" spans="1:12" x14ac:dyDescent="0.25">
      <c r="A1982">
        <v>2806701</v>
      </c>
      <c r="B1982" t="str">
        <f t="shared" si="30"/>
        <v>SAO CRISTOVAO, SE, Brasil</v>
      </c>
      <c r="C1982" s="4" t="str">
        <f>_xlfn.XLOOKUP(A1982,[1]!DadosGHD[CD_GEOCMU],[1]!DadosGHD[Região])</f>
        <v>NE</v>
      </c>
      <c r="D1982" s="4" t="str">
        <f>_xlfn.XLOOKUP(A1982,[1]!DadosGHD[CD_GEOCMU],[1]!DadosGHD[uf])</f>
        <v>SE</v>
      </c>
      <c r="E1982" s="5" t="str">
        <f>_xlfn.XLOOKUP(A1982,[1]!DadosGHD[CD_GEOCMU],[1]!DadosGHD[MUNICIPIO])</f>
        <v>SAO CRISTOVAO</v>
      </c>
      <c r="F1982" s="6">
        <v>38.606178283691399</v>
      </c>
      <c r="G1982" s="6">
        <v>38.685413360595703</v>
      </c>
      <c r="H1982" s="6">
        <v>33.8886909484863</v>
      </c>
      <c r="I1982" s="6">
        <v>38.718387603759801</v>
      </c>
      <c r="J1982" s="6">
        <v>43.717514038085902</v>
      </c>
      <c r="K1982" s="6">
        <v>43.760498046875</v>
      </c>
      <c r="L1982" s="6">
        <v>44.030735015869098</v>
      </c>
    </row>
    <row r="1983" spans="1:12" x14ac:dyDescent="0.25">
      <c r="A1983">
        <v>2708600</v>
      </c>
      <c r="B1983" t="str">
        <f t="shared" si="30"/>
        <v>SAO MIGUEL DOS CAMPOS, AL, Brasil</v>
      </c>
      <c r="C1983" s="4" t="str">
        <f>_xlfn.XLOOKUP(A1983,[1]!DadosGHD[CD_GEOCMU],[1]!DadosGHD[Região])</f>
        <v>NE</v>
      </c>
      <c r="D1983" s="4" t="str">
        <f>_xlfn.XLOOKUP(A1983,[1]!DadosGHD[CD_GEOCMU],[1]!DadosGHD[uf])</f>
        <v>AL</v>
      </c>
      <c r="E1983" s="5" t="str">
        <f>_xlfn.XLOOKUP(A1983,[1]!DadosGHD[CD_GEOCMU],[1]!DadosGHD[MUNICIPIO])</f>
        <v>SAO MIGUEL DOS CAMPOS</v>
      </c>
      <c r="F1983" s="6">
        <v>38.606529235839801</v>
      </c>
      <c r="G1983" s="6">
        <v>33.8228950500488</v>
      </c>
      <c r="H1983" s="6">
        <v>33.861129760742202</v>
      </c>
      <c r="I1983" s="6">
        <v>33.840320587158203</v>
      </c>
      <c r="J1983" s="6">
        <v>33.847522735595703</v>
      </c>
      <c r="K1983" s="6">
        <v>33.865604400634801</v>
      </c>
      <c r="L1983" s="6">
        <v>30.714309692382798</v>
      </c>
    </row>
    <row r="1984" spans="1:12" x14ac:dyDescent="0.25">
      <c r="A1984">
        <v>2903102</v>
      </c>
      <c r="B1984" t="str">
        <f t="shared" si="30"/>
        <v>BARRA DO ROCHA, BA, Brasil</v>
      </c>
      <c r="C1984" s="4" t="str">
        <f>_xlfn.XLOOKUP(A1984,[1]!DadosGHD[CD_GEOCMU],[1]!DadosGHD[Região])</f>
        <v>NE</v>
      </c>
      <c r="D1984" s="4" t="str">
        <f>_xlfn.XLOOKUP(A1984,[1]!DadosGHD[CD_GEOCMU],[1]!DadosGHD[uf])</f>
        <v>BA</v>
      </c>
      <c r="E1984" s="5" t="str">
        <f>_xlfn.XLOOKUP(A1984,[1]!DadosGHD[CD_GEOCMU],[1]!DadosGHD[MUNICIPIO])</f>
        <v>BARRA DO ROCHA</v>
      </c>
      <c r="F1984" s="6">
        <v>38.606643676757798</v>
      </c>
      <c r="G1984" s="6">
        <v>33.821872711181598</v>
      </c>
      <c r="H1984" s="6">
        <v>33.863681793212898</v>
      </c>
      <c r="I1984" s="6">
        <v>33.849899291992202</v>
      </c>
      <c r="J1984" s="6">
        <v>38.739025115966797</v>
      </c>
      <c r="K1984" s="6">
        <v>33.898345947265597</v>
      </c>
      <c r="L1984" s="6">
        <v>26.287340164184599</v>
      </c>
    </row>
    <row r="1985" spans="1:12" x14ac:dyDescent="0.25">
      <c r="A1985">
        <v>2105948</v>
      </c>
      <c r="B1985" t="str">
        <f t="shared" si="30"/>
        <v>LAGO DOS RODRIGUES, MA, Brasil</v>
      </c>
      <c r="C1985" s="4" t="str">
        <f>_xlfn.XLOOKUP(A1985,[1]!DadosGHD[CD_GEOCMU],[1]!DadosGHD[Região])</f>
        <v>NE</v>
      </c>
      <c r="D1985" s="4" t="str">
        <f>_xlfn.XLOOKUP(A1985,[1]!DadosGHD[CD_GEOCMU],[1]!DadosGHD[uf])</f>
        <v>MA</v>
      </c>
      <c r="E1985" s="5" t="str">
        <f>_xlfn.XLOOKUP(A1985,[1]!DadosGHD[CD_GEOCMU],[1]!DadosGHD[MUNICIPIO])</f>
        <v>LAGO DOS RODRIGUES</v>
      </c>
      <c r="F1985" s="6">
        <v>38.606788635253899</v>
      </c>
      <c r="G1985" s="6">
        <v>33.803661346435597</v>
      </c>
      <c r="H1985" s="6">
        <v>33.8344535827637</v>
      </c>
      <c r="I1985" s="6">
        <v>33.812034606933601</v>
      </c>
      <c r="J1985" s="6">
        <v>33.828964233398402</v>
      </c>
      <c r="K1985" s="6">
        <v>33.902744293212898</v>
      </c>
      <c r="L1985" s="6">
        <v>35.124313354492202</v>
      </c>
    </row>
    <row r="1986" spans="1:12" x14ac:dyDescent="0.25">
      <c r="A1986">
        <v>2606903</v>
      </c>
      <c r="B1986" t="str">
        <f t="shared" si="30"/>
        <v>IGUARACY, PE, Brasil</v>
      </c>
      <c r="C1986" s="4" t="str">
        <f>_xlfn.XLOOKUP(A1986,[1]!DadosGHD[CD_GEOCMU],[1]!DadosGHD[Região])</f>
        <v>NE</v>
      </c>
      <c r="D1986" s="4" t="str">
        <f>_xlfn.XLOOKUP(A1986,[1]!DadosGHD[CD_GEOCMU],[1]!DadosGHD[uf])</f>
        <v>PE</v>
      </c>
      <c r="E1986" s="5" t="str">
        <f>_xlfn.XLOOKUP(A1986,[1]!DadosGHD[CD_GEOCMU],[1]!DadosGHD[MUNICIPIO])</f>
        <v>IGUARACY</v>
      </c>
      <c r="F1986" s="6">
        <v>38.606803894042997</v>
      </c>
      <c r="G1986" s="6">
        <v>33.837146759033203</v>
      </c>
      <c r="H1986" s="6">
        <v>33.831794738769503</v>
      </c>
      <c r="I1986" s="6">
        <v>33.806018829345703</v>
      </c>
      <c r="J1986" s="6">
        <v>28.959142684936499</v>
      </c>
      <c r="K1986" s="6">
        <v>28.992555618286101</v>
      </c>
      <c r="L1986" s="6">
        <v>26.2890529632568</v>
      </c>
    </row>
    <row r="1987" spans="1:12" x14ac:dyDescent="0.25">
      <c r="A1987">
        <v>4315750</v>
      </c>
      <c r="B1987" t="str">
        <f t="shared" si="30"/>
        <v>RIOZINHO, RS, Brasil</v>
      </c>
      <c r="C1987" s="4" t="str">
        <f>_xlfn.XLOOKUP(A1987,[1]!DadosGHD[CD_GEOCMU],[1]!DadosGHD[Região])</f>
        <v>SL</v>
      </c>
      <c r="D1987" s="4" t="str">
        <f>_xlfn.XLOOKUP(A1987,[1]!DadosGHD[CD_GEOCMU],[1]!DadosGHD[uf])</f>
        <v>RS</v>
      </c>
      <c r="E1987" s="5" t="str">
        <f>_xlfn.XLOOKUP(A1987,[1]!DadosGHD[CD_GEOCMU],[1]!DadosGHD[MUNICIPIO])</f>
        <v>RIOZINHO</v>
      </c>
      <c r="F1987" s="6">
        <v>38.606880187988303</v>
      </c>
      <c r="G1987" s="6">
        <v>43.745956420898402</v>
      </c>
      <c r="H1987" s="6">
        <v>58.8221244812012</v>
      </c>
      <c r="I1987" s="6">
        <v>43.789222717285199</v>
      </c>
      <c r="J1987" s="6">
        <v>48.738780975341797</v>
      </c>
      <c r="K1987" s="6">
        <v>48.860633850097699</v>
      </c>
      <c r="L1987" s="6">
        <v>52.995193481445298</v>
      </c>
    </row>
    <row r="1988" spans="1:12" x14ac:dyDescent="0.25">
      <c r="A1988">
        <v>5008008</v>
      </c>
      <c r="B1988" t="str">
        <f t="shared" ref="B1988:B2051" si="31">_xlfn.CONCAT(E1988, ", ", D1988, ", Brasil")</f>
        <v>TERENOS, MS, Brasil</v>
      </c>
      <c r="C1988" s="4" t="str">
        <f>_xlfn.XLOOKUP(A1988,[1]!DadosGHD[CD_GEOCMU],[1]!DadosGHD[Região])</f>
        <v>CO</v>
      </c>
      <c r="D1988" s="4" t="str">
        <f>_xlfn.XLOOKUP(A1988,[1]!DadosGHD[CD_GEOCMU],[1]!DadosGHD[uf])</f>
        <v>MS</v>
      </c>
      <c r="E1988" s="5" t="str">
        <f>_xlfn.XLOOKUP(A1988,[1]!DadosGHD[CD_GEOCMU],[1]!DadosGHD[MUNICIPIO])</f>
        <v>TERENOS</v>
      </c>
      <c r="F1988" s="6">
        <v>38.60693359375</v>
      </c>
      <c r="G1988" s="6">
        <v>33.829414367675803</v>
      </c>
      <c r="H1988" s="6">
        <v>33.889369964599602</v>
      </c>
      <c r="I1988" s="6">
        <v>33.870357513427699</v>
      </c>
      <c r="J1988" s="6">
        <v>33.875492095947301</v>
      </c>
      <c r="K1988" s="6">
        <v>33.906826019287102</v>
      </c>
      <c r="L1988" s="6">
        <v>35.132839202880902</v>
      </c>
    </row>
    <row r="1989" spans="1:12" x14ac:dyDescent="0.25">
      <c r="A1989">
        <v>3300456</v>
      </c>
      <c r="B1989" t="str">
        <f t="shared" si="31"/>
        <v>BELFORD ROXO, RJ, Brasil</v>
      </c>
      <c r="C1989" s="4" t="str">
        <f>_xlfn.XLOOKUP(A1989,[1]!DadosGHD[CD_GEOCMU],[1]!DadosGHD[Região])</f>
        <v>SD</v>
      </c>
      <c r="D1989" s="4" t="str">
        <f>_xlfn.XLOOKUP(A1989,[1]!DadosGHD[CD_GEOCMU],[1]!DadosGHD[uf])</f>
        <v>RJ</v>
      </c>
      <c r="E1989" s="5" t="str">
        <f>_xlfn.XLOOKUP(A1989,[1]!DadosGHD[CD_GEOCMU],[1]!DadosGHD[MUNICIPIO])</f>
        <v>BELFORD ROXO</v>
      </c>
      <c r="F1989" s="6">
        <v>38.607009887695298</v>
      </c>
      <c r="G1989" s="6">
        <v>38.700084686279297</v>
      </c>
      <c r="H1989" s="6">
        <v>33.891193389892599</v>
      </c>
      <c r="I1989" s="6">
        <v>33.860237121582003</v>
      </c>
      <c r="J1989" s="6">
        <v>33.871456146240199</v>
      </c>
      <c r="K1989" s="6">
        <v>33.901641845703097</v>
      </c>
      <c r="L1989" s="6">
        <v>35.141937255859403</v>
      </c>
    </row>
    <row r="1990" spans="1:12" x14ac:dyDescent="0.25">
      <c r="A1990">
        <v>1715705</v>
      </c>
      <c r="B1990" t="str">
        <f t="shared" si="31"/>
        <v>PALMEIRANTE, TO, Brasil</v>
      </c>
      <c r="C1990" s="4" t="str">
        <f>_xlfn.XLOOKUP(A1990,[1]!DadosGHD[CD_GEOCMU],[1]!DadosGHD[Região])</f>
        <v>NO</v>
      </c>
      <c r="D1990" s="4" t="str">
        <f>_xlfn.XLOOKUP(A1990,[1]!DadosGHD[CD_GEOCMU],[1]!DadosGHD[uf])</f>
        <v>TO</v>
      </c>
      <c r="E1990" s="5" t="str">
        <f>_xlfn.XLOOKUP(A1990,[1]!DadosGHD[CD_GEOCMU],[1]!DadosGHD[MUNICIPIO])</f>
        <v>PALMEIRANTE</v>
      </c>
      <c r="F1990" s="6">
        <v>38.607017517089801</v>
      </c>
      <c r="G1990" s="6">
        <v>33.8197631835938</v>
      </c>
      <c r="H1990" s="6">
        <v>33.870353698730497</v>
      </c>
      <c r="I1990" s="6">
        <v>33.838130950927699</v>
      </c>
      <c r="J1990" s="6">
        <v>33.858367919921903</v>
      </c>
      <c r="K1990" s="6">
        <v>33.881523132324197</v>
      </c>
      <c r="L1990" s="6">
        <v>30.6987495422363</v>
      </c>
    </row>
    <row r="1991" spans="1:12" x14ac:dyDescent="0.25">
      <c r="A1991">
        <v>3139300</v>
      </c>
      <c r="B1991" t="str">
        <f t="shared" si="31"/>
        <v>MANGA, MG, Brasil</v>
      </c>
      <c r="C1991" s="4" t="str">
        <f>_xlfn.XLOOKUP(A1991,[1]!DadosGHD[CD_GEOCMU],[1]!DadosGHD[Região])</f>
        <v>SD</v>
      </c>
      <c r="D1991" s="4" t="str">
        <f>_xlfn.XLOOKUP(A1991,[1]!DadosGHD[CD_GEOCMU],[1]!DadosGHD[uf])</f>
        <v>MG</v>
      </c>
      <c r="E1991" s="5" t="str">
        <f>_xlfn.XLOOKUP(A1991,[1]!DadosGHD[CD_GEOCMU],[1]!DadosGHD[MUNICIPIO])</f>
        <v>MANGA</v>
      </c>
      <c r="F1991" s="6">
        <v>38.607051849365199</v>
      </c>
      <c r="G1991" s="6">
        <v>38.682647705078097</v>
      </c>
      <c r="H1991" s="6">
        <v>38.786994934082003</v>
      </c>
      <c r="I1991" s="6">
        <v>38.746696472167997</v>
      </c>
      <c r="J1991" s="6">
        <v>38.739459991455099</v>
      </c>
      <c r="K1991" s="6">
        <v>38.787075042724602</v>
      </c>
      <c r="L1991" s="6">
        <v>26.2913913726807</v>
      </c>
    </row>
    <row r="1992" spans="1:12" x14ac:dyDescent="0.25">
      <c r="A1992">
        <v>2507804</v>
      </c>
      <c r="B1992" t="str">
        <f t="shared" si="31"/>
        <v>JUNCO DO SERIDO, PB, Brasil</v>
      </c>
      <c r="C1992" s="4" t="str">
        <f>_xlfn.XLOOKUP(A1992,[1]!DadosGHD[CD_GEOCMU],[1]!DadosGHD[Região])</f>
        <v>NE</v>
      </c>
      <c r="D1992" s="4" t="str">
        <f>_xlfn.XLOOKUP(A1992,[1]!DadosGHD[CD_GEOCMU],[1]!DadosGHD[uf])</f>
        <v>PB</v>
      </c>
      <c r="E1992" s="5" t="str">
        <f>_xlfn.XLOOKUP(A1992,[1]!DadosGHD[CD_GEOCMU],[1]!DadosGHD[MUNICIPIO])</f>
        <v>JUNCO DO SERIDO</v>
      </c>
      <c r="F1992" s="6">
        <v>38.607265472412102</v>
      </c>
      <c r="G1992" s="6">
        <v>33.811920166015597</v>
      </c>
      <c r="H1992" s="6">
        <v>33.853507995605497</v>
      </c>
      <c r="I1992" s="6">
        <v>33.848079681396499</v>
      </c>
      <c r="J1992" s="6">
        <v>38.751289367675803</v>
      </c>
      <c r="K1992" s="6">
        <v>43.776279449462898</v>
      </c>
      <c r="L1992" s="6">
        <v>48.4906196594238</v>
      </c>
    </row>
    <row r="1993" spans="1:12" x14ac:dyDescent="0.25">
      <c r="A1993">
        <v>2912905</v>
      </c>
      <c r="B1993" t="str">
        <f t="shared" si="31"/>
        <v>IBIRATAIA, BA, Brasil</v>
      </c>
      <c r="C1993" s="4" t="str">
        <f>_xlfn.XLOOKUP(A1993,[1]!DadosGHD[CD_GEOCMU],[1]!DadosGHD[Região])</f>
        <v>NE</v>
      </c>
      <c r="D1993" s="4" t="str">
        <f>_xlfn.XLOOKUP(A1993,[1]!DadosGHD[CD_GEOCMU],[1]!DadosGHD[uf])</f>
        <v>BA</v>
      </c>
      <c r="E1993" s="5" t="str">
        <f>_xlfn.XLOOKUP(A1993,[1]!DadosGHD[CD_GEOCMU],[1]!DadosGHD[MUNICIPIO])</f>
        <v>IBIRATAIA</v>
      </c>
      <c r="F1993" s="6">
        <v>38.607616424560597</v>
      </c>
      <c r="G1993" s="6">
        <v>33.825935363769503</v>
      </c>
      <c r="H1993" s="6">
        <v>33.866798400878899</v>
      </c>
      <c r="I1993" s="6">
        <v>33.845371246337898</v>
      </c>
      <c r="J1993" s="6">
        <v>33.893333435058601</v>
      </c>
      <c r="K1993" s="6">
        <v>33.908679962158203</v>
      </c>
      <c r="L1993" s="6">
        <v>26.290651321411101</v>
      </c>
    </row>
    <row r="1994" spans="1:12" x14ac:dyDescent="0.25">
      <c r="A1994">
        <v>4306379</v>
      </c>
      <c r="B1994" t="str">
        <f t="shared" si="31"/>
        <v>DILERMANDO DE AGUIAR, RS, Brasil</v>
      </c>
      <c r="C1994" s="4" t="str">
        <f>_xlfn.XLOOKUP(A1994,[1]!DadosGHD[CD_GEOCMU],[1]!DadosGHD[Região])</f>
        <v>SL</v>
      </c>
      <c r="D1994" s="4" t="str">
        <f>_xlfn.XLOOKUP(A1994,[1]!DadosGHD[CD_GEOCMU],[1]!DadosGHD[uf])</f>
        <v>RS</v>
      </c>
      <c r="E1994" s="5" t="str">
        <f>_xlfn.XLOOKUP(A1994,[1]!DadosGHD[CD_GEOCMU],[1]!DadosGHD[MUNICIPIO])</f>
        <v>DILERMANDO DE AGUIAR</v>
      </c>
      <c r="F1994" s="6">
        <v>38.607620239257798</v>
      </c>
      <c r="G1994" s="6">
        <v>38.709556579589801</v>
      </c>
      <c r="H1994" s="6">
        <v>38.814872741699197</v>
      </c>
      <c r="I1994" s="6">
        <v>38.814765930175803</v>
      </c>
      <c r="J1994" s="6">
        <v>43.72119140625</v>
      </c>
      <c r="K1994" s="6">
        <v>43.820602416992202</v>
      </c>
      <c r="L1994" s="6">
        <v>44.068824768066399</v>
      </c>
    </row>
    <row r="1995" spans="1:12" x14ac:dyDescent="0.25">
      <c r="A1995">
        <v>2911204</v>
      </c>
      <c r="B1995" t="str">
        <f t="shared" si="31"/>
        <v>GANDU, BA, Brasil</v>
      </c>
      <c r="C1995" s="4" t="str">
        <f>_xlfn.XLOOKUP(A1995,[1]!DadosGHD[CD_GEOCMU],[1]!DadosGHD[Região])</f>
        <v>NE</v>
      </c>
      <c r="D1995" s="4" t="str">
        <f>_xlfn.XLOOKUP(A1995,[1]!DadosGHD[CD_GEOCMU],[1]!DadosGHD[uf])</f>
        <v>BA</v>
      </c>
      <c r="E1995" s="5" t="str">
        <f>_xlfn.XLOOKUP(A1995,[1]!DadosGHD[CD_GEOCMU],[1]!DadosGHD[MUNICIPIO])</f>
        <v>GANDU</v>
      </c>
      <c r="F1995" s="6">
        <v>38.607872009277301</v>
      </c>
      <c r="G1995" s="6">
        <v>33.833820343017599</v>
      </c>
      <c r="H1995" s="6">
        <v>38.742446899414098</v>
      </c>
      <c r="I1995" s="6">
        <v>38.7313041687012</v>
      </c>
      <c r="J1995" s="6">
        <v>38.765266418457003</v>
      </c>
      <c r="K1995" s="6">
        <v>38.819553375244098</v>
      </c>
      <c r="L1995" s="6">
        <v>35.159774780273402</v>
      </c>
    </row>
    <row r="1996" spans="1:12" x14ac:dyDescent="0.25">
      <c r="A1996">
        <v>2701209</v>
      </c>
      <c r="B1996" t="str">
        <f t="shared" si="31"/>
        <v>CACIMBINHAS, AL, Brasil</v>
      </c>
      <c r="C1996" s="4" t="str">
        <f>_xlfn.XLOOKUP(A1996,[1]!DadosGHD[CD_GEOCMU],[1]!DadosGHD[Região])</f>
        <v>NE</v>
      </c>
      <c r="D1996" s="4" t="str">
        <f>_xlfn.XLOOKUP(A1996,[1]!DadosGHD[CD_GEOCMU],[1]!DadosGHD[uf])</f>
        <v>AL</v>
      </c>
      <c r="E1996" s="5" t="str">
        <f>_xlfn.XLOOKUP(A1996,[1]!DadosGHD[CD_GEOCMU],[1]!DadosGHD[MUNICIPIO])</f>
        <v>CACIMBINHAS</v>
      </c>
      <c r="F1996" s="6">
        <v>38.608062744140597</v>
      </c>
      <c r="G1996" s="6">
        <v>33.821376800537102</v>
      </c>
      <c r="H1996" s="6">
        <v>33.866954803466797</v>
      </c>
      <c r="I1996" s="6">
        <v>33.845493316650398</v>
      </c>
      <c r="J1996" s="6">
        <v>33.859580993652301</v>
      </c>
      <c r="K1996" s="6">
        <v>33.899131774902301</v>
      </c>
      <c r="L1996" s="6">
        <v>30.6951694488525</v>
      </c>
    </row>
    <row r="1997" spans="1:12" x14ac:dyDescent="0.25">
      <c r="A1997">
        <v>5004601</v>
      </c>
      <c r="B1997" t="str">
        <f t="shared" si="31"/>
        <v>ITAQUIRAI, MS, Brasil</v>
      </c>
      <c r="C1997" s="4" t="str">
        <f>_xlfn.XLOOKUP(A1997,[1]!DadosGHD[CD_GEOCMU],[1]!DadosGHD[Região])</f>
        <v>CO</v>
      </c>
      <c r="D1997" s="4" t="str">
        <f>_xlfn.XLOOKUP(A1997,[1]!DadosGHD[CD_GEOCMU],[1]!DadosGHD[uf])</f>
        <v>MS</v>
      </c>
      <c r="E1997" s="5" t="str">
        <f>_xlfn.XLOOKUP(A1997,[1]!DadosGHD[CD_GEOCMU],[1]!DadosGHD[MUNICIPIO])</f>
        <v>ITAQUIRAI</v>
      </c>
      <c r="F1997" s="6">
        <v>38.608364105224602</v>
      </c>
      <c r="G1997" s="6">
        <v>38.700916290283203</v>
      </c>
      <c r="H1997" s="6">
        <v>33.887340545654297</v>
      </c>
      <c r="I1997" s="6">
        <v>38.720207214355497</v>
      </c>
      <c r="J1997" s="6">
        <v>33.885429382324197</v>
      </c>
      <c r="K1997" s="6">
        <v>33.921459197998097</v>
      </c>
      <c r="L1997" s="6">
        <v>35.133205413818402</v>
      </c>
    </row>
    <row r="1998" spans="1:12" x14ac:dyDescent="0.25">
      <c r="A1998">
        <v>4119004</v>
      </c>
      <c r="B1998" t="str">
        <f t="shared" si="31"/>
        <v>PEROLA D'OESTE, PR, Brasil</v>
      </c>
      <c r="C1998" s="4" t="str">
        <f>_xlfn.XLOOKUP(A1998,[1]!DadosGHD[CD_GEOCMU],[1]!DadosGHD[Região])</f>
        <v>SL</v>
      </c>
      <c r="D1998" s="4" t="str">
        <f>_xlfn.XLOOKUP(A1998,[1]!DadosGHD[CD_GEOCMU],[1]!DadosGHD[uf])</f>
        <v>PR</v>
      </c>
      <c r="E1998" s="5" t="str">
        <f>_xlfn.XLOOKUP(A1998,[1]!DadosGHD[CD_GEOCMU],[1]!DadosGHD[MUNICIPIO])</f>
        <v>PEROLA D'OESTE</v>
      </c>
      <c r="F1998" s="6">
        <v>38.608505249023402</v>
      </c>
      <c r="G1998" s="6">
        <v>38.779140472412102</v>
      </c>
      <c r="H1998" s="6">
        <v>38.837982177734403</v>
      </c>
      <c r="I1998" s="6">
        <v>43.7976684570313</v>
      </c>
      <c r="J1998" s="6">
        <v>48.760833740234403</v>
      </c>
      <c r="K1998" s="6">
        <v>48.833900451660199</v>
      </c>
      <c r="L1998" s="6">
        <v>48.520362854003899</v>
      </c>
    </row>
    <row r="1999" spans="1:12" x14ac:dyDescent="0.25">
      <c r="A1999">
        <v>3125705</v>
      </c>
      <c r="B1999" t="str">
        <f t="shared" si="31"/>
        <v>FELIXLANDIA, MG, Brasil</v>
      </c>
      <c r="C1999" s="4" t="str">
        <f>_xlfn.XLOOKUP(A1999,[1]!DadosGHD[CD_GEOCMU],[1]!DadosGHD[Região])</f>
        <v>SD</v>
      </c>
      <c r="D1999" s="4" t="str">
        <f>_xlfn.XLOOKUP(A1999,[1]!DadosGHD[CD_GEOCMU],[1]!DadosGHD[uf])</f>
        <v>MG</v>
      </c>
      <c r="E1999" s="5" t="str">
        <f>_xlfn.XLOOKUP(A1999,[1]!DadosGHD[CD_GEOCMU],[1]!DadosGHD[MUNICIPIO])</f>
        <v>FELIXLANDIA</v>
      </c>
      <c r="F1999" s="6">
        <v>38.608913421630902</v>
      </c>
      <c r="G1999" s="6">
        <v>38.687667846679702</v>
      </c>
      <c r="H1999" s="6">
        <v>33.872837066650398</v>
      </c>
      <c r="I1999" s="6">
        <v>33.808586120605497</v>
      </c>
      <c r="J1999" s="6">
        <v>33.829521179199197</v>
      </c>
      <c r="K1999" s="6">
        <v>33.874298095703097</v>
      </c>
      <c r="L1999" s="6">
        <v>30.700965881347699</v>
      </c>
    </row>
    <row r="2000" spans="1:12" x14ac:dyDescent="0.25">
      <c r="A2000">
        <v>2303907</v>
      </c>
      <c r="B2000" t="str">
        <f t="shared" si="31"/>
        <v>CHAVAL, CE, Brasil</v>
      </c>
      <c r="C2000" s="4" t="str">
        <f>_xlfn.XLOOKUP(A2000,[1]!DadosGHD[CD_GEOCMU],[1]!DadosGHD[Região])</f>
        <v>NE</v>
      </c>
      <c r="D2000" s="4" t="str">
        <f>_xlfn.XLOOKUP(A2000,[1]!DadosGHD[CD_GEOCMU],[1]!DadosGHD[uf])</f>
        <v>CE</v>
      </c>
      <c r="E2000" s="5" t="str">
        <f>_xlfn.XLOOKUP(A2000,[1]!DadosGHD[CD_GEOCMU],[1]!DadosGHD[MUNICIPIO])</f>
        <v>CHAVAL</v>
      </c>
      <c r="F2000" s="6">
        <v>38.608951568603501</v>
      </c>
      <c r="G2000" s="6">
        <v>33.838161468505902</v>
      </c>
      <c r="H2000" s="6">
        <v>33.851982116699197</v>
      </c>
      <c r="I2000" s="6">
        <v>33.823635101318402</v>
      </c>
      <c r="J2000" s="6">
        <v>33.836494445800803</v>
      </c>
      <c r="K2000" s="6">
        <v>33.862220764160199</v>
      </c>
      <c r="L2000" s="6">
        <v>26.29518699646</v>
      </c>
    </row>
    <row r="2001" spans="1:12" x14ac:dyDescent="0.25">
      <c r="A2001">
        <v>2707602</v>
      </c>
      <c r="B2001" t="str">
        <f t="shared" si="31"/>
        <v>QUEBRANGULO, AL, Brasil</v>
      </c>
      <c r="C2001" s="4" t="str">
        <f>_xlfn.XLOOKUP(A2001,[1]!DadosGHD[CD_GEOCMU],[1]!DadosGHD[Região])</f>
        <v>NE</v>
      </c>
      <c r="D2001" s="4" t="str">
        <f>_xlfn.XLOOKUP(A2001,[1]!DadosGHD[CD_GEOCMU],[1]!DadosGHD[uf])</f>
        <v>AL</v>
      </c>
      <c r="E2001" s="5" t="str">
        <f>_xlfn.XLOOKUP(A2001,[1]!DadosGHD[CD_GEOCMU],[1]!DadosGHD[MUNICIPIO])</f>
        <v>QUEBRANGULO</v>
      </c>
      <c r="F2001" s="6">
        <v>38.609054565429702</v>
      </c>
      <c r="G2001" s="6">
        <v>38.732864379882798</v>
      </c>
      <c r="H2001" s="6">
        <v>38.766151428222699</v>
      </c>
      <c r="I2001" s="6">
        <v>33.852890014648402</v>
      </c>
      <c r="J2001" s="6">
        <v>33.871368408203097</v>
      </c>
      <c r="K2001" s="6">
        <v>33.895820617675803</v>
      </c>
      <c r="L2001" s="6">
        <v>26.293706893920898</v>
      </c>
    </row>
    <row r="2002" spans="1:12" x14ac:dyDescent="0.25">
      <c r="A2002">
        <v>2311702</v>
      </c>
      <c r="B2002" t="str">
        <f t="shared" si="31"/>
        <v>RERIUTABA, CE, Brasil</v>
      </c>
      <c r="C2002" s="4" t="str">
        <f>_xlfn.XLOOKUP(A2002,[1]!DadosGHD[CD_GEOCMU],[1]!DadosGHD[Região])</f>
        <v>NE</v>
      </c>
      <c r="D2002" s="4" t="str">
        <f>_xlfn.XLOOKUP(A2002,[1]!DadosGHD[CD_GEOCMU],[1]!DadosGHD[uf])</f>
        <v>CE</v>
      </c>
      <c r="E2002" s="5" t="str">
        <f>_xlfn.XLOOKUP(A2002,[1]!DadosGHD[CD_GEOCMU],[1]!DadosGHD[MUNICIPIO])</f>
        <v>RERIUTABA</v>
      </c>
      <c r="F2002" s="6">
        <v>38.609077453613303</v>
      </c>
      <c r="G2002" s="6">
        <v>33.791629791259801</v>
      </c>
      <c r="H2002" s="6">
        <v>33.839668273925803</v>
      </c>
      <c r="I2002" s="6">
        <v>33.8429145812988</v>
      </c>
      <c r="J2002" s="6">
        <v>33.849498748779297</v>
      </c>
      <c r="K2002" s="6">
        <v>33.9204292297363</v>
      </c>
      <c r="L2002" s="6">
        <v>30.6953449249268</v>
      </c>
    </row>
    <row r="2003" spans="1:12" x14ac:dyDescent="0.25">
      <c r="A2003">
        <v>3165552</v>
      </c>
      <c r="B2003" t="str">
        <f t="shared" si="31"/>
        <v>SETUBINHA, MG, Brasil</v>
      </c>
      <c r="C2003" s="4" t="str">
        <f>_xlfn.XLOOKUP(A2003,[1]!DadosGHD[CD_GEOCMU],[1]!DadosGHD[Região])</f>
        <v>SD</v>
      </c>
      <c r="D2003" s="4" t="str">
        <f>_xlfn.XLOOKUP(A2003,[1]!DadosGHD[CD_GEOCMU],[1]!DadosGHD[uf])</f>
        <v>MG</v>
      </c>
      <c r="E2003" s="5" t="str">
        <f>_xlfn.XLOOKUP(A2003,[1]!DadosGHD[CD_GEOCMU],[1]!DadosGHD[MUNICIPIO])</f>
        <v>SETUBINHA</v>
      </c>
      <c r="F2003" s="6">
        <v>38.609123229980497</v>
      </c>
      <c r="G2003" s="6">
        <v>33.829944610595703</v>
      </c>
      <c r="H2003" s="6">
        <v>33.869045257568402</v>
      </c>
      <c r="I2003" s="6">
        <v>33.841529846191399</v>
      </c>
      <c r="J2003" s="6">
        <v>33.854694366455099</v>
      </c>
      <c r="K2003" s="6">
        <v>29.004903793335</v>
      </c>
      <c r="L2003" s="6">
        <v>26.296409606933601</v>
      </c>
    </row>
    <row r="2004" spans="1:12" x14ac:dyDescent="0.25">
      <c r="A2004">
        <v>2500304</v>
      </c>
      <c r="B2004" t="str">
        <f t="shared" si="31"/>
        <v>ALAGOA GRANDE, PB, Brasil</v>
      </c>
      <c r="C2004" s="4" t="str">
        <f>_xlfn.XLOOKUP(A2004,[1]!DadosGHD[CD_GEOCMU],[1]!DadosGHD[Região])</f>
        <v>NE</v>
      </c>
      <c r="D2004" s="4" t="str">
        <f>_xlfn.XLOOKUP(A2004,[1]!DadosGHD[CD_GEOCMU],[1]!DadosGHD[uf])</f>
        <v>PB</v>
      </c>
      <c r="E2004" s="5" t="str">
        <f>_xlfn.XLOOKUP(A2004,[1]!DadosGHD[CD_GEOCMU],[1]!DadosGHD[MUNICIPIO])</f>
        <v>ALAGOA GRANDE</v>
      </c>
      <c r="F2004" s="6">
        <v>38.609176635742202</v>
      </c>
      <c r="G2004" s="6">
        <v>38.684608459472699</v>
      </c>
      <c r="H2004" s="6">
        <v>33.879581451416001</v>
      </c>
      <c r="I2004" s="6">
        <v>33.861526489257798</v>
      </c>
      <c r="J2004" s="6">
        <v>33.875202178955099</v>
      </c>
      <c r="K2004" s="6">
        <v>33.861240386962898</v>
      </c>
      <c r="L2004" s="6">
        <v>30.6935119628906</v>
      </c>
    </row>
    <row r="2005" spans="1:12" x14ac:dyDescent="0.25">
      <c r="A2005">
        <v>2922300</v>
      </c>
      <c r="B2005" t="str">
        <f t="shared" si="31"/>
        <v>MURITIBA, BA, Brasil</v>
      </c>
      <c r="C2005" s="4" t="str">
        <f>_xlfn.XLOOKUP(A2005,[1]!DadosGHD[CD_GEOCMU],[1]!DadosGHD[Região])</f>
        <v>NE</v>
      </c>
      <c r="D2005" s="4" t="str">
        <f>_xlfn.XLOOKUP(A2005,[1]!DadosGHD[CD_GEOCMU],[1]!DadosGHD[uf])</f>
        <v>BA</v>
      </c>
      <c r="E2005" s="5" t="str">
        <f>_xlfn.XLOOKUP(A2005,[1]!DadosGHD[CD_GEOCMU],[1]!DadosGHD[MUNICIPIO])</f>
        <v>MURITIBA</v>
      </c>
      <c r="F2005" s="6">
        <v>38.609184265136697</v>
      </c>
      <c r="G2005" s="6">
        <v>33.833900451660199</v>
      </c>
      <c r="H2005" s="6">
        <v>33.890331268310597</v>
      </c>
      <c r="I2005" s="6">
        <v>38.714973449707003</v>
      </c>
      <c r="J2005" s="6">
        <v>33.881969451904297</v>
      </c>
      <c r="K2005" s="6">
        <v>33.921375274658203</v>
      </c>
      <c r="L2005" s="6">
        <v>30.720018386840799</v>
      </c>
    </row>
    <row r="2006" spans="1:12" x14ac:dyDescent="0.25">
      <c r="A2006">
        <v>2202109</v>
      </c>
      <c r="B2006" t="str">
        <f t="shared" si="31"/>
        <v>CAMPINAS DO PIAUI, PI, Brasil</v>
      </c>
      <c r="C2006" s="4" t="str">
        <f>_xlfn.XLOOKUP(A2006,[1]!DadosGHD[CD_GEOCMU],[1]!DadosGHD[Região])</f>
        <v>NE</v>
      </c>
      <c r="D2006" s="4" t="str">
        <f>_xlfn.XLOOKUP(A2006,[1]!DadosGHD[CD_GEOCMU],[1]!DadosGHD[uf])</f>
        <v>PI</v>
      </c>
      <c r="E2006" s="5" t="str">
        <f>_xlfn.XLOOKUP(A2006,[1]!DadosGHD[CD_GEOCMU],[1]!DadosGHD[MUNICIPIO])</f>
        <v>CAMPINAS DO PIAUI</v>
      </c>
      <c r="F2006" s="6">
        <v>38.609287261962898</v>
      </c>
      <c r="G2006" s="6">
        <v>33.823703765869098</v>
      </c>
      <c r="H2006" s="6">
        <v>33.870582580566399</v>
      </c>
      <c r="I2006" s="6">
        <v>33.850303649902301</v>
      </c>
      <c r="J2006" s="6">
        <v>33.862327575683601</v>
      </c>
      <c r="K2006" s="6">
        <v>28.9712238311768</v>
      </c>
      <c r="L2006" s="6">
        <v>26.286556243896499</v>
      </c>
    </row>
    <row r="2007" spans="1:12" x14ac:dyDescent="0.25">
      <c r="A2007">
        <v>2603405</v>
      </c>
      <c r="B2007" t="str">
        <f t="shared" si="31"/>
        <v>CALUMBI, PE, Brasil</v>
      </c>
      <c r="C2007" s="4" t="str">
        <f>_xlfn.XLOOKUP(A2007,[1]!DadosGHD[CD_GEOCMU],[1]!DadosGHD[Região])</f>
        <v>NE</v>
      </c>
      <c r="D2007" s="4" t="str">
        <f>_xlfn.XLOOKUP(A2007,[1]!DadosGHD[CD_GEOCMU],[1]!DadosGHD[uf])</f>
        <v>PE</v>
      </c>
      <c r="E2007" s="5" t="str">
        <f>_xlfn.XLOOKUP(A2007,[1]!DadosGHD[CD_GEOCMU],[1]!DadosGHD[MUNICIPIO])</f>
        <v>CALUMBI</v>
      </c>
      <c r="F2007" s="6">
        <v>38.6094360351563</v>
      </c>
      <c r="G2007" s="6">
        <v>33.825630187988303</v>
      </c>
      <c r="H2007" s="6">
        <v>33.860179901123097</v>
      </c>
      <c r="I2007" s="6">
        <v>33.8318901062012</v>
      </c>
      <c r="J2007" s="6">
        <v>33.847663879394503</v>
      </c>
      <c r="K2007" s="6">
        <v>33.878536224365199</v>
      </c>
      <c r="L2007" s="6">
        <v>26.2936401367188</v>
      </c>
    </row>
    <row r="2008" spans="1:12" x14ac:dyDescent="0.25">
      <c r="A2008">
        <v>5202155</v>
      </c>
      <c r="B2008" t="str">
        <f t="shared" si="31"/>
        <v>ARAGUAPAZ, GO, Brasil</v>
      </c>
      <c r="C2008" s="4" t="str">
        <f>_xlfn.XLOOKUP(A2008,[1]!DadosGHD[CD_GEOCMU],[1]!DadosGHD[Região])</f>
        <v>CO</v>
      </c>
      <c r="D2008" s="4" t="str">
        <f>_xlfn.XLOOKUP(A2008,[1]!DadosGHD[CD_GEOCMU],[1]!DadosGHD[uf])</f>
        <v>GO</v>
      </c>
      <c r="E2008" s="5" t="str">
        <f>_xlfn.XLOOKUP(A2008,[1]!DadosGHD[CD_GEOCMU],[1]!DadosGHD[MUNICIPIO])</f>
        <v>ARAGUAPAZ</v>
      </c>
      <c r="F2008" s="6">
        <v>38.609493255615199</v>
      </c>
      <c r="G2008" s="6">
        <v>38.682868957519503</v>
      </c>
      <c r="H2008" s="6">
        <v>33.890773773193402</v>
      </c>
      <c r="I2008" s="6">
        <v>38.721599578857401</v>
      </c>
      <c r="J2008" s="6">
        <v>38.754104614257798</v>
      </c>
      <c r="K2008" s="6">
        <v>33.908760070800803</v>
      </c>
      <c r="L2008" s="6">
        <v>30.707567214965799</v>
      </c>
    </row>
    <row r="2009" spans="1:12" x14ac:dyDescent="0.25">
      <c r="A2009">
        <v>2925204</v>
      </c>
      <c r="B2009" t="str">
        <f t="shared" si="31"/>
        <v>POJUCA, BA, Brasil</v>
      </c>
      <c r="C2009" s="4" t="str">
        <f>_xlfn.XLOOKUP(A2009,[1]!DadosGHD[CD_GEOCMU],[1]!DadosGHD[Região])</f>
        <v>NE</v>
      </c>
      <c r="D2009" s="4" t="str">
        <f>_xlfn.XLOOKUP(A2009,[1]!DadosGHD[CD_GEOCMU],[1]!DadosGHD[uf])</f>
        <v>BA</v>
      </c>
      <c r="E2009" s="5" t="str">
        <f>_xlfn.XLOOKUP(A2009,[1]!DadosGHD[CD_GEOCMU],[1]!DadosGHD[MUNICIPIO])</f>
        <v>POJUCA</v>
      </c>
      <c r="F2009" s="6">
        <v>38.609584808349602</v>
      </c>
      <c r="G2009" s="6">
        <v>33.821418762207003</v>
      </c>
      <c r="H2009" s="6">
        <v>33.8709907531738</v>
      </c>
      <c r="I2009" s="6">
        <v>33.837085723877003</v>
      </c>
      <c r="J2009" s="6">
        <v>33.840946197509801</v>
      </c>
      <c r="K2009" s="6">
        <v>33.900318145752003</v>
      </c>
      <c r="L2009" s="6">
        <v>35.119598388671903</v>
      </c>
    </row>
    <row r="2010" spans="1:12" x14ac:dyDescent="0.25">
      <c r="A2010">
        <v>1505551</v>
      </c>
      <c r="B2010" t="str">
        <f t="shared" si="31"/>
        <v>PAU D'ARCO, PA, Brasil</v>
      </c>
      <c r="C2010" s="4" t="str">
        <f>_xlfn.XLOOKUP(A2010,[1]!DadosGHD[CD_GEOCMU],[1]!DadosGHD[Região])</f>
        <v>NO</v>
      </c>
      <c r="D2010" s="4" t="str">
        <f>_xlfn.XLOOKUP(A2010,[1]!DadosGHD[CD_GEOCMU],[1]!DadosGHD[uf])</f>
        <v>PA</v>
      </c>
      <c r="E2010" s="5" t="str">
        <f>_xlfn.XLOOKUP(A2010,[1]!DadosGHD[CD_GEOCMU],[1]!DadosGHD[MUNICIPIO])</f>
        <v>PAU D'ARCO</v>
      </c>
      <c r="F2010" s="6">
        <v>38.609699249267599</v>
      </c>
      <c r="G2010" s="6">
        <v>33.826366424560597</v>
      </c>
      <c r="H2010" s="6">
        <v>33.858455657958999</v>
      </c>
      <c r="I2010" s="6">
        <v>38.792186737060597</v>
      </c>
      <c r="J2010" s="6">
        <v>38.810977935791001</v>
      </c>
      <c r="K2010" s="6">
        <v>43.838329315185597</v>
      </c>
      <c r="L2010" s="6">
        <v>35.141269683837898</v>
      </c>
    </row>
    <row r="2011" spans="1:12" x14ac:dyDescent="0.25">
      <c r="A2011">
        <v>5108907</v>
      </c>
      <c r="B2011" t="str">
        <f t="shared" si="31"/>
        <v>NOVA MARINGA, MT, Brasil</v>
      </c>
      <c r="C2011" s="4" t="str">
        <f>_xlfn.XLOOKUP(A2011,[1]!DadosGHD[CD_GEOCMU],[1]!DadosGHD[Região])</f>
        <v>CO</v>
      </c>
      <c r="D2011" s="4" t="str">
        <f>_xlfn.XLOOKUP(A2011,[1]!DadosGHD[CD_GEOCMU],[1]!DadosGHD[uf])</f>
        <v>MT</v>
      </c>
      <c r="E2011" s="5" t="str">
        <f>_xlfn.XLOOKUP(A2011,[1]!DadosGHD[CD_GEOCMU],[1]!DadosGHD[MUNICIPIO])</f>
        <v>NOVA MARINGA</v>
      </c>
      <c r="F2011" s="6">
        <v>38.609706878662102</v>
      </c>
      <c r="G2011" s="6">
        <v>33.836986541748097</v>
      </c>
      <c r="H2011" s="6">
        <v>33.870250701904297</v>
      </c>
      <c r="I2011" s="6">
        <v>33.855026245117202</v>
      </c>
      <c r="J2011" s="6">
        <v>33.877033233642599</v>
      </c>
      <c r="K2011" s="6">
        <v>33.910041809082003</v>
      </c>
      <c r="L2011" s="6">
        <v>35.1175537109375</v>
      </c>
    </row>
    <row r="2012" spans="1:12" x14ac:dyDescent="0.25">
      <c r="A2012">
        <v>3108602</v>
      </c>
      <c r="B2012" t="str">
        <f t="shared" si="31"/>
        <v>BRASILIA DE MINAS, MG, Brasil</v>
      </c>
      <c r="C2012" s="4" t="str">
        <f>_xlfn.XLOOKUP(A2012,[1]!DadosGHD[CD_GEOCMU],[1]!DadosGHD[Região])</f>
        <v>SD</v>
      </c>
      <c r="D2012" s="4" t="str">
        <f>_xlfn.XLOOKUP(A2012,[1]!DadosGHD[CD_GEOCMU],[1]!DadosGHD[uf])</f>
        <v>MG</v>
      </c>
      <c r="E2012" s="5" t="str">
        <f>_xlfn.XLOOKUP(A2012,[1]!DadosGHD[CD_GEOCMU],[1]!DadosGHD[MUNICIPIO])</f>
        <v>BRASILIA DE MINAS</v>
      </c>
      <c r="F2012" s="6">
        <v>38.609790802002003</v>
      </c>
      <c r="G2012" s="6">
        <v>33.832572937011697</v>
      </c>
      <c r="H2012" s="6">
        <v>33.883480072021499</v>
      </c>
      <c r="I2012" s="6">
        <v>33.86083984375</v>
      </c>
      <c r="J2012" s="6">
        <v>33.860610961914098</v>
      </c>
      <c r="K2012" s="6">
        <v>38.783027648925803</v>
      </c>
      <c r="L2012" s="6">
        <v>35.1320991516113</v>
      </c>
    </row>
    <row r="2013" spans="1:12" x14ac:dyDescent="0.25">
      <c r="A2013">
        <v>2605509</v>
      </c>
      <c r="B2013" t="str">
        <f t="shared" si="31"/>
        <v>FERREIROS, PE, Brasil</v>
      </c>
      <c r="C2013" s="4" t="str">
        <f>_xlfn.XLOOKUP(A2013,[1]!DadosGHD[CD_GEOCMU],[1]!DadosGHD[Região])</f>
        <v>NE</v>
      </c>
      <c r="D2013" s="4" t="str">
        <f>_xlfn.XLOOKUP(A2013,[1]!DadosGHD[CD_GEOCMU],[1]!DadosGHD[uf])</f>
        <v>PE</v>
      </c>
      <c r="E2013" s="5" t="str">
        <f>_xlfn.XLOOKUP(A2013,[1]!DadosGHD[CD_GEOCMU],[1]!DadosGHD[MUNICIPIO])</f>
        <v>FERREIROS</v>
      </c>
      <c r="F2013" s="6">
        <v>38.609825134277301</v>
      </c>
      <c r="G2013" s="6">
        <v>33.841854095458999</v>
      </c>
      <c r="H2013" s="6">
        <v>33.8375053405762</v>
      </c>
      <c r="I2013" s="6">
        <v>33.834064483642599</v>
      </c>
      <c r="J2013" s="6">
        <v>33.860294342041001</v>
      </c>
      <c r="K2013" s="6">
        <v>33.884525299072301</v>
      </c>
      <c r="L2013" s="6">
        <v>57.589881896972699</v>
      </c>
    </row>
    <row r="2014" spans="1:12" x14ac:dyDescent="0.25">
      <c r="A2014">
        <v>2307601</v>
      </c>
      <c r="B2014" t="str">
        <f t="shared" si="31"/>
        <v>LIMOEIRO DO NORTE, CE, Brasil</v>
      </c>
      <c r="C2014" s="4" t="str">
        <f>_xlfn.XLOOKUP(A2014,[1]!DadosGHD[CD_GEOCMU],[1]!DadosGHD[Região])</f>
        <v>NE</v>
      </c>
      <c r="D2014" s="4" t="str">
        <f>_xlfn.XLOOKUP(A2014,[1]!DadosGHD[CD_GEOCMU],[1]!DadosGHD[uf])</f>
        <v>CE</v>
      </c>
      <c r="E2014" s="5" t="str">
        <f>_xlfn.XLOOKUP(A2014,[1]!DadosGHD[CD_GEOCMU],[1]!DadosGHD[MUNICIPIO])</f>
        <v>LIMOEIRO DO NORTE</v>
      </c>
      <c r="F2014" s="6">
        <v>38.609893798828097</v>
      </c>
      <c r="G2014" s="6">
        <v>43.673229217529297</v>
      </c>
      <c r="H2014" s="6">
        <v>43.799613952636697</v>
      </c>
      <c r="I2014" s="6">
        <v>48.681900024414098</v>
      </c>
      <c r="J2014" s="6">
        <v>48.730125427246101</v>
      </c>
      <c r="K2014" s="6">
        <v>43.878410339355497</v>
      </c>
      <c r="L2014" s="6">
        <v>48.491992950439503</v>
      </c>
    </row>
    <row r="2015" spans="1:12" x14ac:dyDescent="0.25">
      <c r="A2015">
        <v>5004809</v>
      </c>
      <c r="B2015" t="str">
        <f t="shared" si="31"/>
        <v>JAPORA, MS, Brasil</v>
      </c>
      <c r="C2015" s="4" t="str">
        <f>_xlfn.XLOOKUP(A2015,[1]!DadosGHD[CD_GEOCMU],[1]!DadosGHD[Região])</f>
        <v>CO</v>
      </c>
      <c r="D2015" s="4" t="str">
        <f>_xlfn.XLOOKUP(A2015,[1]!DadosGHD[CD_GEOCMU],[1]!DadosGHD[uf])</f>
        <v>MS</v>
      </c>
      <c r="E2015" s="5" t="str">
        <f>_xlfn.XLOOKUP(A2015,[1]!DadosGHD[CD_GEOCMU],[1]!DadosGHD[MUNICIPIO])</f>
        <v>JAPORA</v>
      </c>
      <c r="F2015" s="6">
        <v>38.609928131103501</v>
      </c>
      <c r="G2015" s="6">
        <v>33.808300018310597</v>
      </c>
      <c r="H2015" s="6">
        <v>33.8488578796387</v>
      </c>
      <c r="I2015" s="6">
        <v>33.822265625</v>
      </c>
      <c r="J2015" s="6">
        <v>33.828155517578097</v>
      </c>
      <c r="K2015" s="6">
        <v>33.863792419433601</v>
      </c>
      <c r="L2015" s="6">
        <v>30.721643447876001</v>
      </c>
    </row>
    <row r="2016" spans="1:12" x14ac:dyDescent="0.25">
      <c r="A2016">
        <v>3171501</v>
      </c>
      <c r="B2016" t="str">
        <f t="shared" si="31"/>
        <v>MATHIAS LOBATO, MG, Brasil</v>
      </c>
      <c r="C2016" s="4" t="str">
        <f>_xlfn.XLOOKUP(A2016,[1]!DadosGHD[CD_GEOCMU],[1]!DadosGHD[Região])</f>
        <v>SD</v>
      </c>
      <c r="D2016" s="4" t="str">
        <f>_xlfn.XLOOKUP(A2016,[1]!DadosGHD[CD_GEOCMU],[1]!DadosGHD[uf])</f>
        <v>MG</v>
      </c>
      <c r="E2016" s="5" t="str">
        <f>_xlfn.XLOOKUP(A2016,[1]!DadosGHD[CD_GEOCMU],[1]!DadosGHD[MUNICIPIO])</f>
        <v>MATHIAS LOBATO</v>
      </c>
      <c r="F2016" s="6">
        <v>38.609947204589801</v>
      </c>
      <c r="G2016" s="6">
        <v>38.721931457519503</v>
      </c>
      <c r="H2016" s="6">
        <v>38.816066741943402</v>
      </c>
      <c r="I2016" s="6">
        <v>38.772171020507798</v>
      </c>
      <c r="J2016" s="6">
        <v>38.793209075927699</v>
      </c>
      <c r="K2016" s="6">
        <v>38.861049652099602</v>
      </c>
      <c r="L2016" s="6">
        <v>35.139488220214801</v>
      </c>
    </row>
    <row r="2017" spans="1:12" x14ac:dyDescent="0.25">
      <c r="A2017">
        <v>2915304</v>
      </c>
      <c r="B2017" t="str">
        <f t="shared" si="31"/>
        <v>ITAGIMIRIM, BA, Brasil</v>
      </c>
      <c r="C2017" s="4" t="str">
        <f>_xlfn.XLOOKUP(A2017,[1]!DadosGHD[CD_GEOCMU],[1]!DadosGHD[Região])</f>
        <v>NE</v>
      </c>
      <c r="D2017" s="4" t="str">
        <f>_xlfn.XLOOKUP(A2017,[1]!DadosGHD[CD_GEOCMU],[1]!DadosGHD[uf])</f>
        <v>BA</v>
      </c>
      <c r="E2017" s="5" t="str">
        <f>_xlfn.XLOOKUP(A2017,[1]!DadosGHD[CD_GEOCMU],[1]!DadosGHD[MUNICIPIO])</f>
        <v>ITAGIMIRIM</v>
      </c>
      <c r="F2017" s="6">
        <v>38.610328674316399</v>
      </c>
      <c r="G2017" s="6">
        <v>33.841880798339801</v>
      </c>
      <c r="H2017" s="6">
        <v>33.8860473632813</v>
      </c>
      <c r="I2017" s="6">
        <v>33.850505828857401</v>
      </c>
      <c r="J2017" s="6">
        <v>33.854320526123097</v>
      </c>
      <c r="K2017" s="6">
        <v>33.8756713867188</v>
      </c>
      <c r="L2017" s="6">
        <v>26.2868766784668</v>
      </c>
    </row>
    <row r="2018" spans="1:12" x14ac:dyDescent="0.25">
      <c r="A2018">
        <v>2705309</v>
      </c>
      <c r="B2018" t="str">
        <f t="shared" si="31"/>
        <v>MINADOR DO NEGRAO, AL, Brasil</v>
      </c>
      <c r="C2018" s="4" t="str">
        <f>_xlfn.XLOOKUP(A2018,[1]!DadosGHD[CD_GEOCMU],[1]!DadosGHD[Região])</f>
        <v>NE</v>
      </c>
      <c r="D2018" s="4" t="str">
        <f>_xlfn.XLOOKUP(A2018,[1]!DadosGHD[CD_GEOCMU],[1]!DadosGHD[uf])</f>
        <v>AL</v>
      </c>
      <c r="E2018" s="5" t="str">
        <f>_xlfn.XLOOKUP(A2018,[1]!DadosGHD[CD_GEOCMU],[1]!DadosGHD[MUNICIPIO])</f>
        <v>MINADOR DO NEGRAO</v>
      </c>
      <c r="F2018" s="6">
        <v>38.610427856445298</v>
      </c>
      <c r="G2018" s="6">
        <v>33.824291229248097</v>
      </c>
      <c r="H2018" s="6">
        <v>38.755348205566399</v>
      </c>
      <c r="I2018" s="6">
        <v>33.858066558837898</v>
      </c>
      <c r="J2018" s="6">
        <v>33.873062133789098</v>
      </c>
      <c r="K2018" s="6">
        <v>33.909217834472699</v>
      </c>
      <c r="L2018" s="6">
        <v>30.704908370971701</v>
      </c>
    </row>
    <row r="2019" spans="1:12" x14ac:dyDescent="0.25">
      <c r="A2019">
        <v>4322525</v>
      </c>
      <c r="B2019" t="str">
        <f t="shared" si="31"/>
        <v>VALE VERDE, RS, Brasil</v>
      </c>
      <c r="C2019" s="4" t="str">
        <f>_xlfn.XLOOKUP(A2019,[1]!DadosGHD[CD_GEOCMU],[1]!DadosGHD[Região])</f>
        <v>SL</v>
      </c>
      <c r="D2019" s="4" t="str">
        <f>_xlfn.XLOOKUP(A2019,[1]!DadosGHD[CD_GEOCMU],[1]!DadosGHD[uf])</f>
        <v>RS</v>
      </c>
      <c r="E2019" s="5" t="str">
        <f>_xlfn.XLOOKUP(A2019,[1]!DadosGHD[CD_GEOCMU],[1]!DadosGHD[MUNICIPIO])</f>
        <v>VALE VERDE</v>
      </c>
      <c r="F2019" s="6">
        <v>38.610458374023402</v>
      </c>
      <c r="G2019" s="6">
        <v>43.737960815429702</v>
      </c>
      <c r="H2019" s="6">
        <v>43.792350769042997</v>
      </c>
      <c r="I2019" s="6">
        <v>43.7833442687988</v>
      </c>
      <c r="J2019" s="6">
        <v>48.806453704833999</v>
      </c>
      <c r="K2019" s="6">
        <v>48.876937866210902</v>
      </c>
      <c r="L2019" s="6">
        <v>48.514194488525398</v>
      </c>
    </row>
    <row r="2020" spans="1:12" x14ac:dyDescent="0.25">
      <c r="A2020">
        <v>1505502</v>
      </c>
      <c r="B2020" t="str">
        <f t="shared" si="31"/>
        <v>PARAGOMINAS, PA, Brasil</v>
      </c>
      <c r="C2020" s="4" t="str">
        <f>_xlfn.XLOOKUP(A2020,[1]!DadosGHD[CD_GEOCMU],[1]!DadosGHD[Região])</f>
        <v>NO</v>
      </c>
      <c r="D2020" s="4" t="str">
        <f>_xlfn.XLOOKUP(A2020,[1]!DadosGHD[CD_GEOCMU],[1]!DadosGHD[uf])</f>
        <v>PA</v>
      </c>
      <c r="E2020" s="5" t="str">
        <f>_xlfn.XLOOKUP(A2020,[1]!DadosGHD[CD_GEOCMU],[1]!DadosGHD[MUNICIPIO])</f>
        <v>PARAGOMINAS</v>
      </c>
      <c r="F2020" s="6">
        <v>38.610511779785199</v>
      </c>
      <c r="G2020" s="6">
        <v>38.709724426269503</v>
      </c>
      <c r="H2020" s="6">
        <v>38.777809143066399</v>
      </c>
      <c r="I2020" s="6">
        <v>38.778984069824197</v>
      </c>
      <c r="J2020" s="6">
        <v>38.827384948730497</v>
      </c>
      <c r="K2020" s="6">
        <v>38.886276245117202</v>
      </c>
      <c r="L2020" s="6">
        <v>39.577919006347699</v>
      </c>
    </row>
    <row r="2021" spans="1:12" x14ac:dyDescent="0.25">
      <c r="A2021">
        <v>2903276</v>
      </c>
      <c r="B2021" t="str">
        <f t="shared" si="31"/>
        <v>BARROCAS, BA, Brasil</v>
      </c>
      <c r="C2021" s="4" t="str">
        <f>_xlfn.XLOOKUP(A2021,[1]!DadosGHD[CD_GEOCMU],[1]!DadosGHD[Região])</f>
        <v>NE</v>
      </c>
      <c r="D2021" s="4" t="str">
        <f>_xlfn.XLOOKUP(A2021,[1]!DadosGHD[CD_GEOCMU],[1]!DadosGHD[uf])</f>
        <v>BA</v>
      </c>
      <c r="E2021" s="5" t="str">
        <f>_xlfn.XLOOKUP(A2021,[1]!DadosGHD[CD_GEOCMU],[1]!DadosGHD[MUNICIPIO])</f>
        <v>BARROCAS</v>
      </c>
      <c r="F2021" s="6">
        <v>38.6106567382813</v>
      </c>
      <c r="G2021" s="6">
        <v>38.6896781921387</v>
      </c>
      <c r="H2021" s="6">
        <v>33.895904541015597</v>
      </c>
      <c r="I2021" s="6">
        <v>33.871360778808601</v>
      </c>
      <c r="J2021" s="6">
        <v>33.887248992919901</v>
      </c>
      <c r="K2021" s="6">
        <v>33.886703491210902</v>
      </c>
      <c r="L2021" s="6">
        <v>26.2876300811768</v>
      </c>
    </row>
    <row r="2022" spans="1:12" x14ac:dyDescent="0.25">
      <c r="A2022">
        <v>4314605</v>
      </c>
      <c r="B2022" t="str">
        <f t="shared" si="31"/>
        <v>PIRATINI, RS, Brasil</v>
      </c>
      <c r="C2022" s="4" t="str">
        <f>_xlfn.XLOOKUP(A2022,[1]!DadosGHD[CD_GEOCMU],[1]!DadosGHD[Região])</f>
        <v>SL</v>
      </c>
      <c r="D2022" s="4" t="str">
        <f>_xlfn.XLOOKUP(A2022,[1]!DadosGHD[CD_GEOCMU],[1]!DadosGHD[uf])</f>
        <v>RS</v>
      </c>
      <c r="E2022" s="5" t="str">
        <f>_xlfn.XLOOKUP(A2022,[1]!DadosGHD[CD_GEOCMU],[1]!DadosGHD[MUNICIPIO])</f>
        <v>PIRATINI</v>
      </c>
      <c r="F2022" s="6">
        <v>38.610828399658203</v>
      </c>
      <c r="G2022" s="6">
        <v>38.720119476318402</v>
      </c>
      <c r="H2022" s="6">
        <v>38.759025573730497</v>
      </c>
      <c r="I2022" s="6">
        <v>38.742931365966797</v>
      </c>
      <c r="J2022" s="6">
        <v>38.752819061279297</v>
      </c>
      <c r="K2022" s="6">
        <v>38.848716735839801</v>
      </c>
      <c r="L2022" s="6">
        <v>39.585178375244098</v>
      </c>
    </row>
    <row r="2023" spans="1:12" x14ac:dyDescent="0.25">
      <c r="A2023">
        <v>2309003</v>
      </c>
      <c r="B2023" t="str">
        <f t="shared" si="31"/>
        <v>MUCAMBO, CE, Brasil</v>
      </c>
      <c r="C2023" s="4" t="str">
        <f>_xlfn.XLOOKUP(A2023,[1]!DadosGHD[CD_GEOCMU],[1]!DadosGHD[Região])</f>
        <v>NE</v>
      </c>
      <c r="D2023" s="4" t="str">
        <f>_xlfn.XLOOKUP(A2023,[1]!DadosGHD[CD_GEOCMU],[1]!DadosGHD[uf])</f>
        <v>CE</v>
      </c>
      <c r="E2023" s="5" t="str">
        <f>_xlfn.XLOOKUP(A2023,[1]!DadosGHD[CD_GEOCMU],[1]!DadosGHD[MUNICIPIO])</f>
        <v>MUCAMBO</v>
      </c>
      <c r="F2023" s="6">
        <v>38.610843658447301</v>
      </c>
      <c r="G2023" s="6">
        <v>38.735599517822301</v>
      </c>
      <c r="H2023" s="6">
        <v>38.790260314941399</v>
      </c>
      <c r="I2023" s="6">
        <v>33.868862152099602</v>
      </c>
      <c r="J2023" s="6">
        <v>33.8309326171875</v>
      </c>
      <c r="K2023" s="6">
        <v>43.784915924072301</v>
      </c>
      <c r="L2023" s="6">
        <v>35.149181365966797</v>
      </c>
    </row>
    <row r="2024" spans="1:12" x14ac:dyDescent="0.25">
      <c r="A2024">
        <v>4314548</v>
      </c>
      <c r="B2024" t="str">
        <f t="shared" si="31"/>
        <v>PINTO BANDEIRA, RS, Brasil</v>
      </c>
      <c r="C2024" s="4" t="str">
        <f>_xlfn.XLOOKUP(A2024,[1]!DadosGHD[CD_GEOCMU],[1]!DadosGHD[Região])</f>
        <v>SL</v>
      </c>
      <c r="D2024" s="4" t="str">
        <f>_xlfn.XLOOKUP(A2024,[1]!DadosGHD[CD_GEOCMU],[1]!DadosGHD[uf])</f>
        <v>RS</v>
      </c>
      <c r="E2024" s="5" t="str">
        <f>_xlfn.XLOOKUP(A2024,[1]!DadosGHD[CD_GEOCMU],[1]!DadosGHD[MUNICIPIO])</f>
        <v>PINTO BANDEIRA</v>
      </c>
      <c r="F2024" s="6">
        <v>38.610893249511697</v>
      </c>
      <c r="G2024" s="6">
        <v>48.642501831054702</v>
      </c>
      <c r="H2024" s="6">
        <v>43.808444976806598</v>
      </c>
      <c r="I2024" s="6">
        <v>43.785892486572301</v>
      </c>
      <c r="J2024" s="6">
        <v>48.773571014404297</v>
      </c>
      <c r="K2024" s="6">
        <v>53.904384613037102</v>
      </c>
      <c r="L2024" s="6">
        <v>57.561592102050803</v>
      </c>
    </row>
    <row r="2025" spans="1:12" x14ac:dyDescent="0.25">
      <c r="A2025">
        <v>2611309</v>
      </c>
      <c r="B2025" t="str">
        <f t="shared" si="31"/>
        <v>POMBOS, PE, Brasil</v>
      </c>
      <c r="C2025" s="4" t="str">
        <f>_xlfn.XLOOKUP(A2025,[1]!DadosGHD[CD_GEOCMU],[1]!DadosGHD[Região])</f>
        <v>NE</v>
      </c>
      <c r="D2025" s="4" t="str">
        <f>_xlfn.XLOOKUP(A2025,[1]!DadosGHD[CD_GEOCMU],[1]!DadosGHD[uf])</f>
        <v>PE</v>
      </c>
      <c r="E2025" s="5" t="str">
        <f>_xlfn.XLOOKUP(A2025,[1]!DadosGHD[CD_GEOCMU],[1]!DadosGHD[MUNICIPIO])</f>
        <v>POMBOS</v>
      </c>
      <c r="F2025" s="6">
        <v>38.610908508300803</v>
      </c>
      <c r="G2025" s="6">
        <v>33.820682525634801</v>
      </c>
      <c r="H2025" s="6">
        <v>33.834148406982401</v>
      </c>
      <c r="I2025" s="6">
        <v>33.810337066650398</v>
      </c>
      <c r="J2025" s="6">
        <v>33.852916717529297</v>
      </c>
      <c r="K2025" s="6">
        <v>33.892341613769503</v>
      </c>
      <c r="L2025" s="6">
        <v>39.555965423583999</v>
      </c>
    </row>
    <row r="2026" spans="1:12" x14ac:dyDescent="0.25">
      <c r="A2026">
        <v>4117206</v>
      </c>
      <c r="B2026" t="str">
        <f t="shared" si="31"/>
        <v>NOVA OLIMPIA, PR, Brasil</v>
      </c>
      <c r="C2026" s="4" t="str">
        <f>_xlfn.XLOOKUP(A2026,[1]!DadosGHD[CD_GEOCMU],[1]!DadosGHD[Região])</f>
        <v>SL</v>
      </c>
      <c r="D2026" s="4" t="str">
        <f>_xlfn.XLOOKUP(A2026,[1]!DadosGHD[CD_GEOCMU],[1]!DadosGHD[uf])</f>
        <v>PR</v>
      </c>
      <c r="E2026" s="5" t="str">
        <f>_xlfn.XLOOKUP(A2026,[1]!DadosGHD[CD_GEOCMU],[1]!DadosGHD[MUNICIPIO])</f>
        <v>NOVA OLIMPIA</v>
      </c>
      <c r="F2026" s="6">
        <v>38.610939025878899</v>
      </c>
      <c r="G2026" s="6">
        <v>43.666259765625</v>
      </c>
      <c r="H2026" s="6">
        <v>48.754634857177699</v>
      </c>
      <c r="I2026" s="6">
        <v>48.761116027832003</v>
      </c>
      <c r="J2026" s="6">
        <v>48.741996765136697</v>
      </c>
      <c r="K2026" s="6">
        <v>48.769329071044901</v>
      </c>
      <c r="L2026" s="6">
        <v>44.074180603027301</v>
      </c>
    </row>
    <row r="2027" spans="1:12" x14ac:dyDescent="0.25">
      <c r="A2027">
        <v>1721109</v>
      </c>
      <c r="B2027" t="str">
        <f t="shared" si="31"/>
        <v>TOCANTINIA, TO, Brasil</v>
      </c>
      <c r="C2027" s="4" t="str">
        <f>_xlfn.XLOOKUP(A2027,[1]!DadosGHD[CD_GEOCMU],[1]!DadosGHD[Região])</f>
        <v>NO</v>
      </c>
      <c r="D2027" s="4" t="str">
        <f>_xlfn.XLOOKUP(A2027,[1]!DadosGHD[CD_GEOCMU],[1]!DadosGHD[uf])</f>
        <v>TO</v>
      </c>
      <c r="E2027" s="5" t="str">
        <f>_xlfn.XLOOKUP(A2027,[1]!DadosGHD[CD_GEOCMU],[1]!DadosGHD[MUNICIPIO])</f>
        <v>TOCANTINIA</v>
      </c>
      <c r="F2027" s="6">
        <v>38.6109619140625</v>
      </c>
      <c r="G2027" s="6">
        <v>33.799404144287102</v>
      </c>
      <c r="H2027" s="6">
        <v>33.835739135742202</v>
      </c>
      <c r="I2027" s="6">
        <v>33.813041687011697</v>
      </c>
      <c r="J2027" s="6">
        <v>33.832523345947301</v>
      </c>
      <c r="K2027" s="6">
        <v>28.980014801025401</v>
      </c>
      <c r="L2027" s="6">
        <v>26.2831420898438</v>
      </c>
    </row>
    <row r="2028" spans="1:12" x14ac:dyDescent="0.25">
      <c r="A2028">
        <v>2923605</v>
      </c>
      <c r="B2028" t="str">
        <f t="shared" si="31"/>
        <v>PARAMIRIM, BA, Brasil</v>
      </c>
      <c r="C2028" s="4" t="str">
        <f>_xlfn.XLOOKUP(A2028,[1]!DadosGHD[CD_GEOCMU],[1]!DadosGHD[Região])</f>
        <v>NE</v>
      </c>
      <c r="D2028" s="4" t="str">
        <f>_xlfn.XLOOKUP(A2028,[1]!DadosGHD[CD_GEOCMU],[1]!DadosGHD[uf])</f>
        <v>BA</v>
      </c>
      <c r="E2028" s="5" t="str">
        <f>_xlfn.XLOOKUP(A2028,[1]!DadosGHD[CD_GEOCMU],[1]!DadosGHD[MUNICIPIO])</f>
        <v>PARAMIRIM</v>
      </c>
      <c r="F2028" s="6">
        <v>38.611122131347699</v>
      </c>
      <c r="G2028" s="6">
        <v>33.833503723144503</v>
      </c>
      <c r="H2028" s="6">
        <v>33.875446319580099</v>
      </c>
      <c r="I2028" s="6">
        <v>33.850978851318402</v>
      </c>
      <c r="J2028" s="6">
        <v>33.869560241699197</v>
      </c>
      <c r="K2028" s="6">
        <v>33.897232055664098</v>
      </c>
      <c r="L2028" s="6">
        <v>26.291345596313501</v>
      </c>
    </row>
    <row r="2029" spans="1:12" x14ac:dyDescent="0.25">
      <c r="A2029">
        <v>2307809</v>
      </c>
      <c r="B2029" t="str">
        <f t="shared" si="31"/>
        <v>MARCO, CE, Brasil</v>
      </c>
      <c r="C2029" s="4" t="str">
        <f>_xlfn.XLOOKUP(A2029,[1]!DadosGHD[CD_GEOCMU],[1]!DadosGHD[Região])</f>
        <v>NE</v>
      </c>
      <c r="D2029" s="4" t="str">
        <f>_xlfn.XLOOKUP(A2029,[1]!DadosGHD[CD_GEOCMU],[1]!DadosGHD[uf])</f>
        <v>CE</v>
      </c>
      <c r="E2029" s="5" t="str">
        <f>_xlfn.XLOOKUP(A2029,[1]!DadosGHD[CD_GEOCMU],[1]!DadosGHD[MUNICIPIO])</f>
        <v>MARCO</v>
      </c>
      <c r="F2029" s="6">
        <v>38.611148834228501</v>
      </c>
      <c r="G2029" s="6">
        <v>33.841999053955099</v>
      </c>
      <c r="H2029" s="6">
        <v>33.875877380371101</v>
      </c>
      <c r="I2029" s="6">
        <v>33.864837646484403</v>
      </c>
      <c r="J2029" s="6">
        <v>43.728446960449197</v>
      </c>
      <c r="K2029" s="6">
        <v>38.873500823974602</v>
      </c>
      <c r="L2029" s="6">
        <v>44.014934539794901</v>
      </c>
    </row>
    <row r="2030" spans="1:12" x14ac:dyDescent="0.25">
      <c r="A2030">
        <v>2913507</v>
      </c>
      <c r="B2030" t="str">
        <f t="shared" si="31"/>
        <v>IGUAI, BA, Brasil</v>
      </c>
      <c r="C2030" s="4" t="str">
        <f>_xlfn.XLOOKUP(A2030,[1]!DadosGHD[CD_GEOCMU],[1]!DadosGHD[Região])</f>
        <v>NE</v>
      </c>
      <c r="D2030" s="4" t="str">
        <f>_xlfn.XLOOKUP(A2030,[1]!DadosGHD[CD_GEOCMU],[1]!DadosGHD[uf])</f>
        <v>BA</v>
      </c>
      <c r="E2030" s="5" t="str">
        <f>_xlfn.XLOOKUP(A2030,[1]!DadosGHD[CD_GEOCMU],[1]!DadosGHD[MUNICIPIO])</f>
        <v>IGUAI</v>
      </c>
      <c r="F2030" s="6">
        <v>38.611255645752003</v>
      </c>
      <c r="G2030" s="6">
        <v>33.827060699462898</v>
      </c>
      <c r="H2030" s="6">
        <v>33.870296478271499</v>
      </c>
      <c r="I2030" s="6">
        <v>33.845821380615199</v>
      </c>
      <c r="J2030" s="6">
        <v>33.870807647705099</v>
      </c>
      <c r="K2030" s="6">
        <v>33.884605407714801</v>
      </c>
      <c r="L2030" s="6">
        <v>30.6868495941162</v>
      </c>
    </row>
    <row r="2031" spans="1:12" x14ac:dyDescent="0.25">
      <c r="A2031">
        <v>2615706</v>
      </c>
      <c r="B2031" t="str">
        <f t="shared" si="31"/>
        <v>TRIUNFO, PE, Brasil</v>
      </c>
      <c r="C2031" s="4" t="str">
        <f>_xlfn.XLOOKUP(A2031,[1]!DadosGHD[CD_GEOCMU],[1]!DadosGHD[Região])</f>
        <v>NE</v>
      </c>
      <c r="D2031" s="4" t="str">
        <f>_xlfn.XLOOKUP(A2031,[1]!DadosGHD[CD_GEOCMU],[1]!DadosGHD[uf])</f>
        <v>PE</v>
      </c>
      <c r="E2031" s="5" t="str">
        <f>_xlfn.XLOOKUP(A2031,[1]!DadosGHD[CD_GEOCMU],[1]!DadosGHD[MUNICIPIO])</f>
        <v>TRIUNFO</v>
      </c>
      <c r="F2031" s="6">
        <v>38.611270904541001</v>
      </c>
      <c r="G2031" s="6">
        <v>33.845546722412102</v>
      </c>
      <c r="H2031" s="6">
        <v>33.879940032958999</v>
      </c>
      <c r="I2031" s="6">
        <v>33.867786407470703</v>
      </c>
      <c r="J2031" s="6">
        <v>33.896133422851598</v>
      </c>
      <c r="K2031" s="6">
        <v>38.7976684570313</v>
      </c>
      <c r="L2031" s="6">
        <v>26.298612594604499</v>
      </c>
    </row>
    <row r="2032" spans="1:12" x14ac:dyDescent="0.25">
      <c r="A2032">
        <v>2923308</v>
      </c>
      <c r="B2032" t="str">
        <f t="shared" si="31"/>
        <v>OURICANGAS, BA, Brasil</v>
      </c>
      <c r="C2032" s="4" t="str">
        <f>_xlfn.XLOOKUP(A2032,[1]!DadosGHD[CD_GEOCMU],[1]!DadosGHD[Região])</f>
        <v>NE</v>
      </c>
      <c r="D2032" s="4" t="str">
        <f>_xlfn.XLOOKUP(A2032,[1]!DadosGHD[CD_GEOCMU],[1]!DadosGHD[uf])</f>
        <v>BA</v>
      </c>
      <c r="E2032" s="5" t="str">
        <f>_xlfn.XLOOKUP(A2032,[1]!DadosGHD[CD_GEOCMU],[1]!DadosGHD[MUNICIPIO])</f>
        <v>OURICANGAS</v>
      </c>
      <c r="F2032" s="6">
        <v>38.611503601074197</v>
      </c>
      <c r="G2032" s="6">
        <v>33.8128471374512</v>
      </c>
      <c r="H2032" s="6">
        <v>33.8239555358887</v>
      </c>
      <c r="I2032" s="6">
        <v>33.799800872802699</v>
      </c>
      <c r="J2032" s="6">
        <v>33.815757751464801</v>
      </c>
      <c r="K2032" s="6">
        <v>33.843151092529297</v>
      </c>
      <c r="L2032" s="6">
        <v>26.298681259155298</v>
      </c>
    </row>
    <row r="2033" spans="1:12" x14ac:dyDescent="0.25">
      <c r="A2033">
        <v>2703403</v>
      </c>
      <c r="B2033" t="str">
        <f t="shared" si="31"/>
        <v>JACARE DOS HOMENS, AL, Brasil</v>
      </c>
      <c r="C2033" s="4" t="str">
        <f>_xlfn.XLOOKUP(A2033,[1]!DadosGHD[CD_GEOCMU],[1]!DadosGHD[Região])</f>
        <v>NE</v>
      </c>
      <c r="D2033" s="4" t="str">
        <f>_xlfn.XLOOKUP(A2033,[1]!DadosGHD[CD_GEOCMU],[1]!DadosGHD[uf])</f>
        <v>AL</v>
      </c>
      <c r="E2033" s="5" t="str">
        <f>_xlfn.XLOOKUP(A2033,[1]!DadosGHD[CD_GEOCMU],[1]!DadosGHD[MUNICIPIO])</f>
        <v>JACARE DOS HOMENS</v>
      </c>
      <c r="F2033" s="6">
        <v>38.611625671386697</v>
      </c>
      <c r="G2033" s="6">
        <v>33.825931549072301</v>
      </c>
      <c r="H2033" s="6">
        <v>33.866043090820298</v>
      </c>
      <c r="I2033" s="6">
        <v>33.844612121582003</v>
      </c>
      <c r="J2033" s="6">
        <v>33.862205505371101</v>
      </c>
      <c r="K2033" s="6">
        <v>33.893970489502003</v>
      </c>
      <c r="L2033" s="6">
        <v>26.294631958007798</v>
      </c>
    </row>
    <row r="2034" spans="1:12" x14ac:dyDescent="0.25">
      <c r="A2034">
        <v>3122355</v>
      </c>
      <c r="B2034" t="str">
        <f t="shared" si="31"/>
        <v>DIVISA ALEGRE, MG, Brasil</v>
      </c>
      <c r="C2034" s="4" t="str">
        <f>_xlfn.XLOOKUP(A2034,[1]!DadosGHD[CD_GEOCMU],[1]!DadosGHD[Região])</f>
        <v>SD</v>
      </c>
      <c r="D2034" s="4" t="str">
        <f>_xlfn.XLOOKUP(A2034,[1]!DadosGHD[CD_GEOCMU],[1]!DadosGHD[uf])</f>
        <v>MG</v>
      </c>
      <c r="E2034" s="5" t="str">
        <f>_xlfn.XLOOKUP(A2034,[1]!DadosGHD[CD_GEOCMU],[1]!DadosGHD[MUNICIPIO])</f>
        <v>DIVISA ALEGRE</v>
      </c>
      <c r="F2034" s="6">
        <v>38.611667633056598</v>
      </c>
      <c r="G2034" s="6">
        <v>38.6957817077637</v>
      </c>
      <c r="H2034" s="6">
        <v>33.880783081054702</v>
      </c>
      <c r="I2034" s="6">
        <v>33.8399848937988</v>
      </c>
      <c r="J2034" s="6">
        <v>33.850639343261697</v>
      </c>
      <c r="K2034" s="6">
        <v>33.887939453125</v>
      </c>
      <c r="L2034" s="6">
        <v>30.707038879394499</v>
      </c>
    </row>
    <row r="2035" spans="1:12" x14ac:dyDescent="0.25">
      <c r="A2035">
        <v>2801702</v>
      </c>
      <c r="B2035" t="str">
        <f t="shared" si="31"/>
        <v>CRISTINAPOLIS, SE, Brasil</v>
      </c>
      <c r="C2035" s="4" t="str">
        <f>_xlfn.XLOOKUP(A2035,[1]!DadosGHD[CD_GEOCMU],[1]!DadosGHD[Região])</f>
        <v>NE</v>
      </c>
      <c r="D2035" s="4" t="str">
        <f>_xlfn.XLOOKUP(A2035,[1]!DadosGHD[CD_GEOCMU],[1]!DadosGHD[uf])</f>
        <v>SE</v>
      </c>
      <c r="E2035" s="5" t="str">
        <f>_xlfn.XLOOKUP(A2035,[1]!DadosGHD[CD_GEOCMU],[1]!DadosGHD[MUNICIPIO])</f>
        <v>CRISTINAPOLIS</v>
      </c>
      <c r="F2035" s="6">
        <v>38.611747741699197</v>
      </c>
      <c r="G2035" s="6">
        <v>33.830974578857401</v>
      </c>
      <c r="H2035" s="6">
        <v>33.8650932312012</v>
      </c>
      <c r="I2035" s="6">
        <v>33.841854095458999</v>
      </c>
      <c r="J2035" s="6">
        <v>33.8574028015137</v>
      </c>
      <c r="K2035" s="6">
        <v>33.882404327392599</v>
      </c>
      <c r="L2035" s="6">
        <v>30.6868782043457</v>
      </c>
    </row>
    <row r="2036" spans="1:12" x14ac:dyDescent="0.25">
      <c r="A2036">
        <v>2914505</v>
      </c>
      <c r="B2036" t="str">
        <f t="shared" si="31"/>
        <v>IRARA, BA, Brasil</v>
      </c>
      <c r="C2036" s="4" t="str">
        <f>_xlfn.XLOOKUP(A2036,[1]!DadosGHD[CD_GEOCMU],[1]!DadosGHD[Região])</f>
        <v>NE</v>
      </c>
      <c r="D2036" s="4" t="str">
        <f>_xlfn.XLOOKUP(A2036,[1]!DadosGHD[CD_GEOCMU],[1]!DadosGHD[uf])</f>
        <v>BA</v>
      </c>
      <c r="E2036" s="5" t="str">
        <f>_xlfn.XLOOKUP(A2036,[1]!DadosGHD[CD_GEOCMU],[1]!DadosGHD[MUNICIPIO])</f>
        <v>IRARA</v>
      </c>
      <c r="F2036" s="6">
        <v>38.611766815185597</v>
      </c>
      <c r="G2036" s="6">
        <v>33.834911346435597</v>
      </c>
      <c r="H2036" s="6">
        <v>38.743282318115199</v>
      </c>
      <c r="I2036" s="6">
        <v>38.741065979003899</v>
      </c>
      <c r="J2036" s="6">
        <v>38.775138854980497</v>
      </c>
      <c r="K2036" s="6">
        <v>38.807750701904297</v>
      </c>
      <c r="L2036" s="6">
        <v>35.127349853515597</v>
      </c>
    </row>
    <row r="2037" spans="1:12" x14ac:dyDescent="0.25">
      <c r="A2037">
        <v>2902500</v>
      </c>
      <c r="B2037" t="str">
        <f t="shared" si="31"/>
        <v>BAIANOPOLIS, BA, Brasil</v>
      </c>
      <c r="C2037" s="4" t="str">
        <f>_xlfn.XLOOKUP(A2037,[1]!DadosGHD[CD_GEOCMU],[1]!DadosGHD[Região])</f>
        <v>NE</v>
      </c>
      <c r="D2037" s="4" t="str">
        <f>_xlfn.XLOOKUP(A2037,[1]!DadosGHD[CD_GEOCMU],[1]!DadosGHD[uf])</f>
        <v>BA</v>
      </c>
      <c r="E2037" s="5" t="str">
        <f>_xlfn.XLOOKUP(A2037,[1]!DadosGHD[CD_GEOCMU],[1]!DadosGHD[MUNICIPIO])</f>
        <v>BAIANOPOLIS</v>
      </c>
      <c r="F2037" s="6">
        <v>38.611858367919901</v>
      </c>
      <c r="G2037" s="6">
        <v>38.686103820800803</v>
      </c>
      <c r="H2037" s="6">
        <v>38.7678413391113</v>
      </c>
      <c r="I2037" s="6">
        <v>38.742637634277301</v>
      </c>
      <c r="J2037" s="6">
        <v>38.7578125</v>
      </c>
      <c r="K2037" s="6">
        <v>38.793251037597699</v>
      </c>
      <c r="L2037" s="6">
        <v>30.704494476318398</v>
      </c>
    </row>
    <row r="2038" spans="1:12" x14ac:dyDescent="0.25">
      <c r="A2038">
        <v>1701309</v>
      </c>
      <c r="B2038" t="str">
        <f t="shared" si="31"/>
        <v>ARAGOMINAS, TO, Brasil</v>
      </c>
      <c r="C2038" s="4" t="str">
        <f>_xlfn.XLOOKUP(A2038,[1]!DadosGHD[CD_GEOCMU],[1]!DadosGHD[Região])</f>
        <v>NO</v>
      </c>
      <c r="D2038" s="4" t="str">
        <f>_xlfn.XLOOKUP(A2038,[1]!DadosGHD[CD_GEOCMU],[1]!DadosGHD[uf])</f>
        <v>TO</v>
      </c>
      <c r="E2038" s="5" t="str">
        <f>_xlfn.XLOOKUP(A2038,[1]!DadosGHD[CD_GEOCMU],[1]!DadosGHD[MUNICIPIO])</f>
        <v>ARAGOMINAS</v>
      </c>
      <c r="F2038" s="6">
        <v>38.611888885498097</v>
      </c>
      <c r="G2038" s="6">
        <v>33.827766418457003</v>
      </c>
      <c r="H2038" s="6">
        <v>33.863010406494098</v>
      </c>
      <c r="I2038" s="6">
        <v>33.849159240722699</v>
      </c>
      <c r="J2038" s="6">
        <v>33.8625297546387</v>
      </c>
      <c r="K2038" s="6">
        <v>33.895225524902301</v>
      </c>
      <c r="L2038" s="6">
        <v>26.290037155151399</v>
      </c>
    </row>
    <row r="2039" spans="1:12" x14ac:dyDescent="0.25">
      <c r="A2039">
        <v>2106805</v>
      </c>
      <c r="B2039" t="str">
        <f t="shared" si="31"/>
        <v>MIRINZAL, MA, Brasil</v>
      </c>
      <c r="C2039" s="4" t="str">
        <f>_xlfn.XLOOKUP(A2039,[1]!DadosGHD[CD_GEOCMU],[1]!DadosGHD[Região])</f>
        <v>NE</v>
      </c>
      <c r="D2039" s="4" t="str">
        <f>_xlfn.XLOOKUP(A2039,[1]!DadosGHD[CD_GEOCMU],[1]!DadosGHD[uf])</f>
        <v>MA</v>
      </c>
      <c r="E2039" s="5" t="str">
        <f>_xlfn.XLOOKUP(A2039,[1]!DadosGHD[CD_GEOCMU],[1]!DadosGHD[MUNICIPIO])</f>
        <v>MIRINZAL</v>
      </c>
      <c r="F2039" s="6">
        <v>38.612060546875</v>
      </c>
      <c r="G2039" s="6">
        <v>33.834117889404297</v>
      </c>
      <c r="H2039" s="6">
        <v>33.882064819335902</v>
      </c>
      <c r="I2039" s="6">
        <v>38.725334167480497</v>
      </c>
      <c r="J2039" s="6">
        <v>38.760513305664098</v>
      </c>
      <c r="K2039" s="6">
        <v>38.784156799316399</v>
      </c>
      <c r="L2039" s="6">
        <v>26.286361694335898</v>
      </c>
    </row>
    <row r="2040" spans="1:12" x14ac:dyDescent="0.25">
      <c r="A2040">
        <v>3157658</v>
      </c>
      <c r="B2040" t="str">
        <f t="shared" si="31"/>
        <v>SANTA HELENA DE MINAS, MG, Brasil</v>
      </c>
      <c r="C2040" s="4" t="str">
        <f>_xlfn.XLOOKUP(A2040,[1]!DadosGHD[CD_GEOCMU],[1]!DadosGHD[Região])</f>
        <v>SD</v>
      </c>
      <c r="D2040" s="4" t="str">
        <f>_xlfn.XLOOKUP(A2040,[1]!DadosGHD[CD_GEOCMU],[1]!DadosGHD[uf])</f>
        <v>MG</v>
      </c>
      <c r="E2040" s="5" t="str">
        <f>_xlfn.XLOOKUP(A2040,[1]!DadosGHD[CD_GEOCMU],[1]!DadosGHD[MUNICIPIO])</f>
        <v>SANTA HELENA DE MINAS</v>
      </c>
      <c r="F2040" s="6">
        <v>38.612174987792997</v>
      </c>
      <c r="G2040" s="6">
        <v>38.705638885498097</v>
      </c>
      <c r="H2040" s="6">
        <v>38.757186889648402</v>
      </c>
      <c r="I2040" s="6">
        <v>38.730602264404297</v>
      </c>
      <c r="J2040" s="6">
        <v>38.741901397705099</v>
      </c>
      <c r="K2040" s="6">
        <v>33.923938751220703</v>
      </c>
      <c r="L2040" s="6">
        <v>30.721918106079102</v>
      </c>
    </row>
    <row r="2041" spans="1:12" x14ac:dyDescent="0.25">
      <c r="A2041">
        <v>2933208</v>
      </c>
      <c r="B2041" t="str">
        <f t="shared" si="31"/>
        <v>VERA CRUZ, BA, Brasil</v>
      </c>
      <c r="C2041" s="4" t="str">
        <f>_xlfn.XLOOKUP(A2041,[1]!DadosGHD[CD_GEOCMU],[1]!DadosGHD[Região])</f>
        <v>NE</v>
      </c>
      <c r="D2041" s="4" t="str">
        <f>_xlfn.XLOOKUP(A2041,[1]!DadosGHD[CD_GEOCMU],[1]!DadosGHD[uf])</f>
        <v>BA</v>
      </c>
      <c r="E2041" s="5" t="str">
        <f>_xlfn.XLOOKUP(A2041,[1]!DadosGHD[CD_GEOCMU],[1]!DadosGHD[MUNICIPIO])</f>
        <v>VERA CRUZ</v>
      </c>
      <c r="F2041" s="6">
        <v>38.612194061279297</v>
      </c>
      <c r="G2041" s="6">
        <v>38.682701110839801</v>
      </c>
      <c r="H2041" s="6">
        <v>33.882331848144503</v>
      </c>
      <c r="I2041" s="6">
        <v>33.845252990722699</v>
      </c>
      <c r="J2041" s="6">
        <v>33.839103698730497</v>
      </c>
      <c r="K2041" s="6">
        <v>33.874946594238303</v>
      </c>
      <c r="L2041" s="6">
        <v>35.118743896484403</v>
      </c>
    </row>
    <row r="2042" spans="1:12" x14ac:dyDescent="0.25">
      <c r="A2042">
        <v>2307304</v>
      </c>
      <c r="B2042" t="str">
        <f t="shared" si="31"/>
        <v>JUAZEIRO DO NORTE, CE, Brasil</v>
      </c>
      <c r="C2042" s="4" t="str">
        <f>_xlfn.XLOOKUP(A2042,[1]!DadosGHD[CD_GEOCMU],[1]!DadosGHD[Região])</f>
        <v>NE</v>
      </c>
      <c r="D2042" s="4" t="str">
        <f>_xlfn.XLOOKUP(A2042,[1]!DadosGHD[CD_GEOCMU],[1]!DadosGHD[uf])</f>
        <v>CE</v>
      </c>
      <c r="E2042" s="5" t="str">
        <f>_xlfn.XLOOKUP(A2042,[1]!DadosGHD[CD_GEOCMU],[1]!DadosGHD[MUNICIPIO])</f>
        <v>JUAZEIRO DO NORTE</v>
      </c>
      <c r="F2042" s="6">
        <v>38.6122016906738</v>
      </c>
      <c r="G2042" s="6">
        <v>38.784778594970703</v>
      </c>
      <c r="H2042" s="6">
        <v>43.740070343017599</v>
      </c>
      <c r="I2042" s="6">
        <v>43.7315673828125</v>
      </c>
      <c r="J2042" s="6">
        <v>43.784374237060597</v>
      </c>
      <c r="K2042" s="6">
        <v>43.845222473144503</v>
      </c>
      <c r="L2042" s="6">
        <v>52.979534149169901</v>
      </c>
    </row>
    <row r="2043" spans="1:12" x14ac:dyDescent="0.25">
      <c r="A2043">
        <v>2306009</v>
      </c>
      <c r="B2043" t="str">
        <f t="shared" si="31"/>
        <v>IRACEMA, CE, Brasil</v>
      </c>
      <c r="C2043" s="4" t="str">
        <f>_xlfn.XLOOKUP(A2043,[1]!DadosGHD[CD_GEOCMU],[1]!DadosGHD[Região])</f>
        <v>NE</v>
      </c>
      <c r="D2043" s="4" t="str">
        <f>_xlfn.XLOOKUP(A2043,[1]!DadosGHD[CD_GEOCMU],[1]!DadosGHD[uf])</f>
        <v>CE</v>
      </c>
      <c r="E2043" s="5" t="str">
        <f>_xlfn.XLOOKUP(A2043,[1]!DadosGHD[CD_GEOCMU],[1]!DadosGHD[MUNICIPIO])</f>
        <v>IRACEMA</v>
      </c>
      <c r="F2043" s="6">
        <v>38.612281799316399</v>
      </c>
      <c r="G2043" s="6">
        <v>38.704067230224602</v>
      </c>
      <c r="H2043" s="6">
        <v>38.785018920898402</v>
      </c>
      <c r="I2043" s="6">
        <v>38.801528930664098</v>
      </c>
      <c r="J2043" s="6">
        <v>38.825439453125</v>
      </c>
      <c r="K2043" s="6">
        <v>38.889705657958999</v>
      </c>
      <c r="L2043" s="6">
        <v>39.593246459960902</v>
      </c>
    </row>
    <row r="2044" spans="1:12" x14ac:dyDescent="0.25">
      <c r="A2044">
        <v>3120300</v>
      </c>
      <c r="B2044" t="str">
        <f t="shared" si="31"/>
        <v>CRISTALIA, MG, Brasil</v>
      </c>
      <c r="C2044" s="4" t="str">
        <f>_xlfn.XLOOKUP(A2044,[1]!DadosGHD[CD_GEOCMU],[1]!DadosGHD[Região])</f>
        <v>SD</v>
      </c>
      <c r="D2044" s="4" t="str">
        <f>_xlfn.XLOOKUP(A2044,[1]!DadosGHD[CD_GEOCMU],[1]!DadosGHD[uf])</f>
        <v>MG</v>
      </c>
      <c r="E2044" s="5" t="str">
        <f>_xlfn.XLOOKUP(A2044,[1]!DadosGHD[CD_GEOCMU],[1]!DadosGHD[MUNICIPIO])</f>
        <v>CRISTALIA</v>
      </c>
      <c r="F2044" s="6">
        <v>38.6123237609863</v>
      </c>
      <c r="G2044" s="6">
        <v>33.8082466125488</v>
      </c>
      <c r="H2044" s="6">
        <v>33.878883361816399</v>
      </c>
      <c r="I2044" s="6">
        <v>33.867774963378899</v>
      </c>
      <c r="J2044" s="6">
        <v>38.756729125976598</v>
      </c>
      <c r="K2044" s="6">
        <v>38.799354553222699</v>
      </c>
      <c r="L2044" s="6">
        <v>35.137897491455099</v>
      </c>
    </row>
    <row r="2045" spans="1:12" x14ac:dyDescent="0.25">
      <c r="A2045">
        <v>1400159</v>
      </c>
      <c r="B2045" t="str">
        <f t="shared" si="31"/>
        <v>BONFIM, RR, Brasil</v>
      </c>
      <c r="C2045" s="4" t="str">
        <f>_xlfn.XLOOKUP(A2045,[1]!DadosGHD[CD_GEOCMU],[1]!DadosGHD[Região])</f>
        <v>NO</v>
      </c>
      <c r="D2045" s="4" t="str">
        <f>_xlfn.XLOOKUP(A2045,[1]!DadosGHD[CD_GEOCMU],[1]!DadosGHD[uf])</f>
        <v>RR</v>
      </c>
      <c r="E2045" s="5" t="str">
        <f>_xlfn.XLOOKUP(A2045,[1]!DadosGHD[CD_GEOCMU],[1]!DadosGHD[MUNICIPIO])</f>
        <v>BONFIM</v>
      </c>
      <c r="F2045" s="6">
        <v>38.612331390380902</v>
      </c>
      <c r="G2045" s="6">
        <v>33.825874328613303</v>
      </c>
      <c r="H2045" s="6">
        <v>33.855278015136697</v>
      </c>
      <c r="I2045" s="6">
        <v>33.832347869873097</v>
      </c>
      <c r="J2045" s="6">
        <v>33.845291137695298</v>
      </c>
      <c r="K2045" s="6">
        <v>28.983812332153299</v>
      </c>
      <c r="L2045" s="6">
        <v>26.2798957824707</v>
      </c>
    </row>
    <row r="2046" spans="1:12" x14ac:dyDescent="0.25">
      <c r="A2046">
        <v>3148301</v>
      </c>
      <c r="B2046" t="str">
        <f t="shared" si="31"/>
        <v>PAULA CANDIDO, MG, Brasil</v>
      </c>
      <c r="C2046" s="4" t="str">
        <f>_xlfn.XLOOKUP(A2046,[1]!DadosGHD[CD_GEOCMU],[1]!DadosGHD[Região])</f>
        <v>SD</v>
      </c>
      <c r="D2046" s="4" t="str">
        <f>_xlfn.XLOOKUP(A2046,[1]!DadosGHD[CD_GEOCMU],[1]!DadosGHD[uf])</f>
        <v>MG</v>
      </c>
      <c r="E2046" s="5" t="str">
        <f>_xlfn.XLOOKUP(A2046,[1]!DadosGHD[CD_GEOCMU],[1]!DadosGHD[MUNICIPIO])</f>
        <v>PAULA CANDIDO</v>
      </c>
      <c r="F2046" s="6">
        <v>38.612335205078097</v>
      </c>
      <c r="G2046" s="6">
        <v>33.839897155761697</v>
      </c>
      <c r="H2046" s="6">
        <v>33.877620697021499</v>
      </c>
      <c r="I2046" s="6">
        <v>33.855331420898402</v>
      </c>
      <c r="J2046" s="6">
        <v>33.815383911132798</v>
      </c>
      <c r="K2046" s="6">
        <v>33.845947265625</v>
      </c>
      <c r="L2046" s="6">
        <v>30.690956115722699</v>
      </c>
    </row>
    <row r="2047" spans="1:12" x14ac:dyDescent="0.25">
      <c r="A2047">
        <v>1600212</v>
      </c>
      <c r="B2047" t="str">
        <f t="shared" si="31"/>
        <v>CUTIAS, AP, Brasil</v>
      </c>
      <c r="C2047" s="4" t="str">
        <f>_xlfn.XLOOKUP(A2047,[1]!DadosGHD[CD_GEOCMU],[1]!DadosGHD[Região])</f>
        <v>NO</v>
      </c>
      <c r="D2047" s="4" t="str">
        <f>_xlfn.XLOOKUP(A2047,[1]!DadosGHD[CD_GEOCMU],[1]!DadosGHD[uf])</f>
        <v>AP</v>
      </c>
      <c r="E2047" s="5" t="str">
        <f>_xlfn.XLOOKUP(A2047,[1]!DadosGHD[CD_GEOCMU],[1]!DadosGHD[MUNICIPIO])</f>
        <v>CUTIAS</v>
      </c>
      <c r="F2047" s="6">
        <v>38.612392425537102</v>
      </c>
      <c r="G2047" s="6">
        <v>33.823043823242202</v>
      </c>
      <c r="H2047" s="6">
        <v>33.854057312011697</v>
      </c>
      <c r="I2047" s="6">
        <v>33.8360786437988</v>
      </c>
      <c r="J2047" s="6">
        <v>33.879589080810597</v>
      </c>
      <c r="K2047" s="6">
        <v>33.882923126220703</v>
      </c>
      <c r="L2047" s="6">
        <v>26.294977188110401</v>
      </c>
    </row>
    <row r="2048" spans="1:12" x14ac:dyDescent="0.25">
      <c r="A2048">
        <v>2927200</v>
      </c>
      <c r="B2048" t="str">
        <f t="shared" si="31"/>
        <v>RUY BARBOSA, BA, Brasil</v>
      </c>
      <c r="C2048" s="4" t="str">
        <f>_xlfn.XLOOKUP(A2048,[1]!DadosGHD[CD_GEOCMU],[1]!DadosGHD[Região])</f>
        <v>NE</v>
      </c>
      <c r="D2048" s="4" t="str">
        <f>_xlfn.XLOOKUP(A2048,[1]!DadosGHD[CD_GEOCMU],[1]!DadosGHD[uf])</f>
        <v>BA</v>
      </c>
      <c r="E2048" s="5" t="str">
        <f>_xlfn.XLOOKUP(A2048,[1]!DadosGHD[CD_GEOCMU],[1]!DadosGHD[MUNICIPIO])</f>
        <v>RUY BARBOSA</v>
      </c>
      <c r="F2048" s="6">
        <v>38.612648010253899</v>
      </c>
      <c r="G2048" s="6">
        <v>38.724433898925803</v>
      </c>
      <c r="H2048" s="6">
        <v>38.790153503417997</v>
      </c>
      <c r="I2048" s="6">
        <v>38.753868103027301</v>
      </c>
      <c r="J2048" s="6">
        <v>38.778770446777301</v>
      </c>
      <c r="K2048" s="6">
        <v>38.799201965332003</v>
      </c>
      <c r="L2048" s="6">
        <v>35.135414123535199</v>
      </c>
    </row>
    <row r="2049" spans="1:12" x14ac:dyDescent="0.25">
      <c r="A2049">
        <v>2200509</v>
      </c>
      <c r="B2049" t="str">
        <f t="shared" si="31"/>
        <v>AMARANTE, PI, Brasil</v>
      </c>
      <c r="C2049" s="4" t="str">
        <f>_xlfn.XLOOKUP(A2049,[1]!DadosGHD[CD_GEOCMU],[1]!DadosGHD[Região])</f>
        <v>NE</v>
      </c>
      <c r="D2049" s="4" t="str">
        <f>_xlfn.XLOOKUP(A2049,[1]!DadosGHD[CD_GEOCMU],[1]!DadosGHD[uf])</f>
        <v>PI</v>
      </c>
      <c r="E2049" s="5" t="str">
        <f>_xlfn.XLOOKUP(A2049,[1]!DadosGHD[CD_GEOCMU],[1]!DadosGHD[MUNICIPIO])</f>
        <v>AMARANTE</v>
      </c>
      <c r="F2049" s="6">
        <v>38.612709045410199</v>
      </c>
      <c r="G2049" s="6">
        <v>33.8246040344238</v>
      </c>
      <c r="H2049" s="6">
        <v>33.854751586914098</v>
      </c>
      <c r="I2049" s="6">
        <v>33.827949523925803</v>
      </c>
      <c r="J2049" s="6">
        <v>33.864299774169901</v>
      </c>
      <c r="K2049" s="6">
        <v>38.803276062011697</v>
      </c>
      <c r="L2049" s="6">
        <v>30.688026428222699</v>
      </c>
    </row>
    <row r="2050" spans="1:12" x14ac:dyDescent="0.25">
      <c r="A2050">
        <v>3146206</v>
      </c>
      <c r="B2050" t="str">
        <f t="shared" si="31"/>
        <v>OURO VERDE DE MINAS, MG, Brasil</v>
      </c>
      <c r="C2050" s="4" t="str">
        <f>_xlfn.XLOOKUP(A2050,[1]!DadosGHD[CD_GEOCMU],[1]!DadosGHD[Região])</f>
        <v>SD</v>
      </c>
      <c r="D2050" s="4" t="str">
        <f>_xlfn.XLOOKUP(A2050,[1]!DadosGHD[CD_GEOCMU],[1]!DadosGHD[uf])</f>
        <v>MG</v>
      </c>
      <c r="E2050" s="5" t="str">
        <f>_xlfn.XLOOKUP(A2050,[1]!DadosGHD[CD_GEOCMU],[1]!DadosGHD[MUNICIPIO])</f>
        <v>OURO VERDE DE MINAS</v>
      </c>
      <c r="F2050" s="6">
        <v>38.612766265869098</v>
      </c>
      <c r="G2050" s="6">
        <v>33.826667785644503</v>
      </c>
      <c r="H2050" s="6">
        <v>33.864284515380902</v>
      </c>
      <c r="I2050" s="6">
        <v>33.828899383544901</v>
      </c>
      <c r="J2050" s="6">
        <v>33.870021820068402</v>
      </c>
      <c r="K2050" s="6">
        <v>38.780719757080099</v>
      </c>
      <c r="L2050" s="6">
        <v>35.128505706787102</v>
      </c>
    </row>
    <row r="2051" spans="1:12" x14ac:dyDescent="0.25">
      <c r="A2051">
        <v>1303536</v>
      </c>
      <c r="B2051" t="str">
        <f t="shared" si="31"/>
        <v>PRESIDENTE FIGUEIREDO, AM, Brasil</v>
      </c>
      <c r="C2051" s="4" t="str">
        <f>_xlfn.XLOOKUP(A2051,[1]!DadosGHD[CD_GEOCMU],[1]!DadosGHD[Região])</f>
        <v>NO</v>
      </c>
      <c r="D2051" s="4" t="str">
        <f>_xlfn.XLOOKUP(A2051,[1]!DadosGHD[CD_GEOCMU],[1]!DadosGHD[uf])</f>
        <v>AM</v>
      </c>
      <c r="E2051" s="5" t="str">
        <f>_xlfn.XLOOKUP(A2051,[1]!DadosGHD[CD_GEOCMU],[1]!DadosGHD[MUNICIPIO])</f>
        <v>PRESIDENTE FIGUEIREDO</v>
      </c>
      <c r="F2051" s="6">
        <v>38.612972259521499</v>
      </c>
      <c r="G2051" s="6">
        <v>33.836540222167997</v>
      </c>
      <c r="H2051" s="6">
        <v>33.869144439697301</v>
      </c>
      <c r="I2051" s="6">
        <v>33.865032196044901</v>
      </c>
      <c r="J2051" s="6">
        <v>33.892066955566399</v>
      </c>
      <c r="K2051" s="6">
        <v>33.911922454833999</v>
      </c>
      <c r="L2051" s="6">
        <v>35.113548278808601</v>
      </c>
    </row>
    <row r="2052" spans="1:12" x14ac:dyDescent="0.25">
      <c r="A2052">
        <v>2404309</v>
      </c>
      <c r="B2052" t="str">
        <f t="shared" ref="B2052:B2115" si="32">_xlfn.CONCAT(E2052, ", ", D2052, ", Brasil")</f>
        <v>GOVERNADOR DIX-SEPT ROSADO, RN, Brasil</v>
      </c>
      <c r="C2052" s="4" t="str">
        <f>_xlfn.XLOOKUP(A2052,[1]!DadosGHD[CD_GEOCMU],[1]!DadosGHD[Região])</f>
        <v>NE</v>
      </c>
      <c r="D2052" s="4" t="str">
        <f>_xlfn.XLOOKUP(A2052,[1]!DadosGHD[CD_GEOCMU],[1]!DadosGHD[uf])</f>
        <v>RN</v>
      </c>
      <c r="E2052" s="5" t="str">
        <f>_xlfn.XLOOKUP(A2052,[1]!DadosGHD[CD_GEOCMU],[1]!DadosGHD[MUNICIPIO])</f>
        <v>GOVERNADOR DIX-SEPT ROSADO</v>
      </c>
      <c r="F2052" s="6">
        <v>38.613109588623097</v>
      </c>
      <c r="G2052" s="6">
        <v>33.831600189208999</v>
      </c>
      <c r="H2052" s="6">
        <v>33.884304046630902</v>
      </c>
      <c r="I2052" s="6">
        <v>33.872322082519503</v>
      </c>
      <c r="J2052" s="6">
        <v>38.767005920410199</v>
      </c>
      <c r="K2052" s="6">
        <v>38.854988098144503</v>
      </c>
      <c r="L2052" s="6">
        <v>39.603427886962898</v>
      </c>
    </row>
    <row r="2053" spans="1:12" x14ac:dyDescent="0.25">
      <c r="A2053">
        <v>4321469</v>
      </c>
      <c r="B2053" t="str">
        <f t="shared" si="32"/>
        <v>TIO HUGO, RS, Brasil</v>
      </c>
      <c r="C2053" s="4" t="str">
        <f>_xlfn.XLOOKUP(A2053,[1]!DadosGHD[CD_GEOCMU],[1]!DadosGHD[Região])</f>
        <v>SL</v>
      </c>
      <c r="D2053" s="4" t="str">
        <f>_xlfn.XLOOKUP(A2053,[1]!DadosGHD[CD_GEOCMU],[1]!DadosGHD[uf])</f>
        <v>RS</v>
      </c>
      <c r="E2053" s="5" t="str">
        <f>_xlfn.XLOOKUP(A2053,[1]!DadosGHD[CD_GEOCMU],[1]!DadosGHD[MUNICIPIO])</f>
        <v>TIO HUGO</v>
      </c>
      <c r="F2053" s="6">
        <v>38.613182067871101</v>
      </c>
      <c r="G2053" s="6">
        <v>48.6397895812988</v>
      </c>
      <c r="H2053" s="6">
        <v>43.813858032226598</v>
      </c>
      <c r="I2053" s="6">
        <v>53.738319396972699</v>
      </c>
      <c r="J2053" s="6">
        <v>53.878490447998097</v>
      </c>
      <c r="K2053" s="6">
        <v>53.925201416015597</v>
      </c>
      <c r="L2053" s="6">
        <v>52.9875679016113</v>
      </c>
    </row>
    <row r="2054" spans="1:12" x14ac:dyDescent="0.25">
      <c r="A2054">
        <v>2803708</v>
      </c>
      <c r="B2054" t="str">
        <f t="shared" si="32"/>
        <v>MACAMBIRA, SE, Brasil</v>
      </c>
      <c r="C2054" s="4" t="str">
        <f>_xlfn.XLOOKUP(A2054,[1]!DadosGHD[CD_GEOCMU],[1]!DadosGHD[Região])</f>
        <v>NE</v>
      </c>
      <c r="D2054" s="4" t="str">
        <f>_xlfn.XLOOKUP(A2054,[1]!DadosGHD[CD_GEOCMU],[1]!DadosGHD[uf])</f>
        <v>SE</v>
      </c>
      <c r="E2054" s="5" t="str">
        <f>_xlfn.XLOOKUP(A2054,[1]!DadosGHD[CD_GEOCMU],[1]!DadosGHD[MUNICIPIO])</f>
        <v>MACAMBIRA</v>
      </c>
      <c r="F2054" s="6">
        <v>38.613185882568402</v>
      </c>
      <c r="G2054" s="6">
        <v>33.808334350585902</v>
      </c>
      <c r="H2054" s="6">
        <v>33.853939056396499</v>
      </c>
      <c r="I2054" s="6">
        <v>38.8229370117188</v>
      </c>
      <c r="J2054" s="6">
        <v>38.844596862792997</v>
      </c>
      <c r="K2054" s="6">
        <v>33.864925384521499</v>
      </c>
      <c r="L2054" s="6">
        <v>35.120193481445298</v>
      </c>
    </row>
    <row r="2055" spans="1:12" x14ac:dyDescent="0.25">
      <c r="A2055">
        <v>1706506</v>
      </c>
      <c r="B2055" t="str">
        <f t="shared" si="32"/>
        <v>DARCINOPOLIS, TO, Brasil</v>
      </c>
      <c r="C2055" s="4" t="str">
        <f>_xlfn.XLOOKUP(A2055,[1]!DadosGHD[CD_GEOCMU],[1]!DadosGHD[Região])</f>
        <v>NO</v>
      </c>
      <c r="D2055" s="4" t="str">
        <f>_xlfn.XLOOKUP(A2055,[1]!DadosGHD[CD_GEOCMU],[1]!DadosGHD[uf])</f>
        <v>TO</v>
      </c>
      <c r="E2055" s="5" t="str">
        <f>_xlfn.XLOOKUP(A2055,[1]!DadosGHD[CD_GEOCMU],[1]!DadosGHD[MUNICIPIO])</f>
        <v>DARCINOPOLIS</v>
      </c>
      <c r="F2055" s="6">
        <v>38.613193511962898</v>
      </c>
      <c r="G2055" s="6">
        <v>33.838386535644503</v>
      </c>
      <c r="H2055" s="6">
        <v>33.871555328369098</v>
      </c>
      <c r="I2055" s="6">
        <v>33.846138000488303</v>
      </c>
      <c r="J2055" s="6">
        <v>33.860713958740199</v>
      </c>
      <c r="K2055" s="6">
        <v>33.882190704345703</v>
      </c>
      <c r="L2055" s="6">
        <v>26.294288635253899</v>
      </c>
    </row>
    <row r="2056" spans="1:12" x14ac:dyDescent="0.25">
      <c r="A2056">
        <v>5222203</v>
      </c>
      <c r="B2056" t="str">
        <f t="shared" si="32"/>
        <v>VILA BOA, GO, Brasil</v>
      </c>
      <c r="C2056" s="4" t="str">
        <f>_xlfn.XLOOKUP(A2056,[1]!DadosGHD[CD_GEOCMU],[1]!DadosGHD[Região])</f>
        <v>CO</v>
      </c>
      <c r="D2056" s="4" t="str">
        <f>_xlfn.XLOOKUP(A2056,[1]!DadosGHD[CD_GEOCMU],[1]!DadosGHD[uf])</f>
        <v>GO</v>
      </c>
      <c r="E2056" s="5" t="str">
        <f>_xlfn.XLOOKUP(A2056,[1]!DadosGHD[CD_GEOCMU],[1]!DadosGHD[MUNICIPIO])</f>
        <v>VILA BOA</v>
      </c>
      <c r="F2056" s="6">
        <v>38.613250732421903</v>
      </c>
      <c r="G2056" s="6">
        <v>38.686538696289098</v>
      </c>
      <c r="H2056" s="6">
        <v>33.884181976318402</v>
      </c>
      <c r="I2056" s="6">
        <v>33.867843627929702</v>
      </c>
      <c r="J2056" s="6">
        <v>33.894859313964801</v>
      </c>
      <c r="K2056" s="6">
        <v>33.894149780273402</v>
      </c>
      <c r="L2056" s="6">
        <v>30.704788208007798</v>
      </c>
    </row>
    <row r="2057" spans="1:12" x14ac:dyDescent="0.25">
      <c r="A2057">
        <v>2915601</v>
      </c>
      <c r="B2057" t="str">
        <f t="shared" si="32"/>
        <v>ITAMARAJU, BA, Brasil</v>
      </c>
      <c r="C2057" s="4" t="str">
        <f>_xlfn.XLOOKUP(A2057,[1]!DadosGHD[CD_GEOCMU],[1]!DadosGHD[Região])</f>
        <v>NE</v>
      </c>
      <c r="D2057" s="4" t="str">
        <f>_xlfn.XLOOKUP(A2057,[1]!DadosGHD[CD_GEOCMU],[1]!DadosGHD[uf])</f>
        <v>BA</v>
      </c>
      <c r="E2057" s="5" t="str">
        <f>_xlfn.XLOOKUP(A2057,[1]!DadosGHD[CD_GEOCMU],[1]!DadosGHD[MUNICIPIO])</f>
        <v>ITAMARAJU</v>
      </c>
      <c r="F2057" s="6">
        <v>38.613590240478501</v>
      </c>
      <c r="G2057" s="6">
        <v>38.711006164550803</v>
      </c>
      <c r="H2057" s="6">
        <v>38.8104057312012</v>
      </c>
      <c r="I2057" s="6">
        <v>38.787639617919901</v>
      </c>
      <c r="J2057" s="6">
        <v>38.788154602050803</v>
      </c>
      <c r="K2057" s="6">
        <v>38.842483520507798</v>
      </c>
      <c r="L2057" s="6">
        <v>39.589351654052699</v>
      </c>
    </row>
    <row r="2058" spans="1:12" x14ac:dyDescent="0.25">
      <c r="A2058">
        <v>4323507</v>
      </c>
      <c r="B2058" t="str">
        <f t="shared" si="32"/>
        <v>VISTA ALEGRE, RS, Brasil</v>
      </c>
      <c r="C2058" s="4" t="str">
        <f>_xlfn.XLOOKUP(A2058,[1]!DadosGHD[CD_GEOCMU],[1]!DadosGHD[Região])</f>
        <v>SL</v>
      </c>
      <c r="D2058" s="4" t="str">
        <f>_xlfn.XLOOKUP(A2058,[1]!DadosGHD[CD_GEOCMU],[1]!DadosGHD[uf])</f>
        <v>RS</v>
      </c>
      <c r="E2058" s="5" t="str">
        <f>_xlfn.XLOOKUP(A2058,[1]!DadosGHD[CD_GEOCMU],[1]!DadosGHD[MUNICIPIO])</f>
        <v>VISTA ALEGRE</v>
      </c>
      <c r="F2058" s="6">
        <v>38.613658905029297</v>
      </c>
      <c r="G2058" s="6">
        <v>48.646396636962898</v>
      </c>
      <c r="H2058" s="6">
        <v>48.7605590820313</v>
      </c>
      <c r="I2058" s="6">
        <v>53.753326416015597</v>
      </c>
      <c r="J2058" s="6">
        <v>63.968112945556598</v>
      </c>
      <c r="K2058" s="6">
        <v>59.105735778808601</v>
      </c>
      <c r="L2058" s="6">
        <v>57.544025421142599</v>
      </c>
    </row>
    <row r="2059" spans="1:12" x14ac:dyDescent="0.25">
      <c r="A2059">
        <v>3132008</v>
      </c>
      <c r="B2059" t="str">
        <f t="shared" si="32"/>
        <v>ITACAMBIRA, MG, Brasil</v>
      </c>
      <c r="C2059" s="4" t="str">
        <f>_xlfn.XLOOKUP(A2059,[1]!DadosGHD[CD_GEOCMU],[1]!DadosGHD[Região])</f>
        <v>SD</v>
      </c>
      <c r="D2059" s="4" t="str">
        <f>_xlfn.XLOOKUP(A2059,[1]!DadosGHD[CD_GEOCMU],[1]!DadosGHD[uf])</f>
        <v>MG</v>
      </c>
      <c r="E2059" s="5" t="str">
        <f>_xlfn.XLOOKUP(A2059,[1]!DadosGHD[CD_GEOCMU],[1]!DadosGHD[MUNICIPIO])</f>
        <v>ITACAMBIRA</v>
      </c>
      <c r="F2059" s="6">
        <v>38.613719940185597</v>
      </c>
      <c r="G2059" s="6">
        <v>33.825408935546903</v>
      </c>
      <c r="H2059" s="6">
        <v>33.8641357421875</v>
      </c>
      <c r="I2059" s="6">
        <v>33.840740203857401</v>
      </c>
      <c r="J2059" s="6">
        <v>33.856418609619098</v>
      </c>
      <c r="K2059" s="6">
        <v>33.886234283447301</v>
      </c>
      <c r="L2059" s="6">
        <v>30.692340850830099</v>
      </c>
    </row>
    <row r="2060" spans="1:12" x14ac:dyDescent="0.25">
      <c r="A2060">
        <v>3128600</v>
      </c>
      <c r="B2060" t="str">
        <f t="shared" si="32"/>
        <v>GUARDA-MOR, MG, Brasil</v>
      </c>
      <c r="C2060" s="4" t="str">
        <f>_xlfn.XLOOKUP(A2060,[1]!DadosGHD[CD_GEOCMU],[1]!DadosGHD[Região])</f>
        <v>SD</v>
      </c>
      <c r="D2060" s="4" t="str">
        <f>_xlfn.XLOOKUP(A2060,[1]!DadosGHD[CD_GEOCMU],[1]!DadosGHD[uf])</f>
        <v>MG</v>
      </c>
      <c r="E2060" s="5" t="str">
        <f>_xlfn.XLOOKUP(A2060,[1]!DadosGHD[CD_GEOCMU],[1]!DadosGHD[MUNICIPIO])</f>
        <v>GUARDA-MOR</v>
      </c>
      <c r="F2060" s="6">
        <v>38.613746643066399</v>
      </c>
      <c r="G2060" s="6">
        <v>38.758613586425803</v>
      </c>
      <c r="H2060" s="6">
        <v>43.726467132568402</v>
      </c>
      <c r="I2060" s="6">
        <v>43.719417572021499</v>
      </c>
      <c r="J2060" s="6">
        <v>43.722042083740199</v>
      </c>
      <c r="K2060" s="6">
        <v>38.886619567871101</v>
      </c>
      <c r="L2060" s="6">
        <v>35.1445121765137</v>
      </c>
    </row>
    <row r="2061" spans="1:12" x14ac:dyDescent="0.25">
      <c r="A2061">
        <v>5200175</v>
      </c>
      <c r="B2061" t="str">
        <f t="shared" si="32"/>
        <v>AGUA FRIA DE GOIAS, GO, Brasil</v>
      </c>
      <c r="C2061" s="4" t="str">
        <f>_xlfn.XLOOKUP(A2061,[1]!DadosGHD[CD_GEOCMU],[1]!DadosGHD[Região])</f>
        <v>CO</v>
      </c>
      <c r="D2061" s="4" t="str">
        <f>_xlfn.XLOOKUP(A2061,[1]!DadosGHD[CD_GEOCMU],[1]!DadosGHD[uf])</f>
        <v>GO</v>
      </c>
      <c r="E2061" s="5" t="str">
        <f>_xlfn.XLOOKUP(A2061,[1]!DadosGHD[CD_GEOCMU],[1]!DadosGHD[MUNICIPIO])</f>
        <v>AGUA FRIA DE GOIAS</v>
      </c>
      <c r="F2061" s="6">
        <v>38.613906860351598</v>
      </c>
      <c r="G2061" s="6">
        <v>33.834117889404297</v>
      </c>
      <c r="H2061" s="6">
        <v>33.887908935546903</v>
      </c>
      <c r="I2061" s="6">
        <v>38.722469329833999</v>
      </c>
      <c r="J2061" s="6">
        <v>38.758766174316399</v>
      </c>
      <c r="K2061" s="6">
        <v>38.789939880371101</v>
      </c>
      <c r="L2061" s="6">
        <v>35.157554626464801</v>
      </c>
    </row>
    <row r="2062" spans="1:12" x14ac:dyDescent="0.25">
      <c r="A2062">
        <v>3305901</v>
      </c>
      <c r="B2062" t="str">
        <f t="shared" si="32"/>
        <v>TRAJANO DE MORAES, RJ, Brasil</v>
      </c>
      <c r="C2062" s="4" t="str">
        <f>_xlfn.XLOOKUP(A2062,[1]!DadosGHD[CD_GEOCMU],[1]!DadosGHD[Região])</f>
        <v>SD</v>
      </c>
      <c r="D2062" s="4" t="str">
        <f>_xlfn.XLOOKUP(A2062,[1]!DadosGHD[CD_GEOCMU],[1]!DadosGHD[uf])</f>
        <v>RJ</v>
      </c>
      <c r="E2062" s="5" t="str">
        <f>_xlfn.XLOOKUP(A2062,[1]!DadosGHD[CD_GEOCMU],[1]!DadosGHD[MUNICIPIO])</f>
        <v>TRAJANO DE MORAES</v>
      </c>
      <c r="F2062" s="6">
        <v>38.613914489746101</v>
      </c>
      <c r="G2062" s="6">
        <v>33.842430114746101</v>
      </c>
      <c r="H2062" s="6">
        <v>33.875064849853501</v>
      </c>
      <c r="I2062" s="6">
        <v>33.8524360656738</v>
      </c>
      <c r="J2062" s="6">
        <v>33.867576599121101</v>
      </c>
      <c r="K2062" s="6">
        <v>33.901504516601598</v>
      </c>
      <c r="L2062" s="6">
        <v>30.687198638916001</v>
      </c>
    </row>
    <row r="2063" spans="1:12" x14ac:dyDescent="0.25">
      <c r="A2063">
        <v>4311130</v>
      </c>
      <c r="B2063" t="str">
        <f t="shared" si="32"/>
        <v>JARI, RS, Brasil</v>
      </c>
      <c r="C2063" s="4" t="str">
        <f>_xlfn.XLOOKUP(A2063,[1]!DadosGHD[CD_GEOCMU],[1]!DadosGHD[Região])</f>
        <v>SL</v>
      </c>
      <c r="D2063" s="4" t="str">
        <f>_xlfn.XLOOKUP(A2063,[1]!DadosGHD[CD_GEOCMU],[1]!DadosGHD[uf])</f>
        <v>RS</v>
      </c>
      <c r="E2063" s="5" t="str">
        <f>_xlfn.XLOOKUP(A2063,[1]!DadosGHD[CD_GEOCMU],[1]!DadosGHD[MUNICIPIO])</f>
        <v>JARI</v>
      </c>
      <c r="F2063" s="6">
        <v>38.613960266113303</v>
      </c>
      <c r="G2063" s="6">
        <v>43.743125915527301</v>
      </c>
      <c r="H2063" s="6">
        <v>43.808017730712898</v>
      </c>
      <c r="I2063" s="6">
        <v>48.689685821533203</v>
      </c>
      <c r="J2063" s="6">
        <v>48.738502502441399</v>
      </c>
      <c r="K2063" s="6">
        <v>48.805492401123097</v>
      </c>
      <c r="L2063" s="6">
        <v>44.018211364746101</v>
      </c>
    </row>
    <row r="2064" spans="1:12" x14ac:dyDescent="0.25">
      <c r="A2064">
        <v>2516904</v>
      </c>
      <c r="B2064" t="str">
        <f t="shared" si="32"/>
        <v>UIRAUNA, PB, Brasil</v>
      </c>
      <c r="C2064" s="4" t="str">
        <f>_xlfn.XLOOKUP(A2064,[1]!DadosGHD[CD_GEOCMU],[1]!DadosGHD[Região])</f>
        <v>NE</v>
      </c>
      <c r="D2064" s="4" t="str">
        <f>_xlfn.XLOOKUP(A2064,[1]!DadosGHD[CD_GEOCMU],[1]!DadosGHD[uf])</f>
        <v>PB</v>
      </c>
      <c r="E2064" s="5" t="str">
        <f>_xlfn.XLOOKUP(A2064,[1]!DadosGHD[CD_GEOCMU],[1]!DadosGHD[MUNICIPIO])</f>
        <v>UIRAUNA</v>
      </c>
      <c r="F2064" s="6">
        <v>38.6139945983887</v>
      </c>
      <c r="G2064" s="6">
        <v>38.724327087402301</v>
      </c>
      <c r="H2064" s="6">
        <v>38.820060729980497</v>
      </c>
      <c r="I2064" s="6">
        <v>43.678920745849602</v>
      </c>
      <c r="J2064" s="6">
        <v>43.703441619873097</v>
      </c>
      <c r="K2064" s="6">
        <v>43.768928527832003</v>
      </c>
      <c r="L2064" s="6">
        <v>44.061027526855497</v>
      </c>
    </row>
    <row r="2065" spans="1:12" x14ac:dyDescent="0.25">
      <c r="A2065">
        <v>1506609</v>
      </c>
      <c r="B2065" t="str">
        <f t="shared" si="32"/>
        <v>SANTA MARIA DO PARA, PA, Brasil</v>
      </c>
      <c r="C2065" s="4" t="str">
        <f>_xlfn.XLOOKUP(A2065,[1]!DadosGHD[CD_GEOCMU],[1]!DadosGHD[Região])</f>
        <v>NO</v>
      </c>
      <c r="D2065" s="4" t="str">
        <f>_xlfn.XLOOKUP(A2065,[1]!DadosGHD[CD_GEOCMU],[1]!DadosGHD[uf])</f>
        <v>PA</v>
      </c>
      <c r="E2065" s="5" t="str">
        <f>_xlfn.XLOOKUP(A2065,[1]!DadosGHD[CD_GEOCMU],[1]!DadosGHD[MUNICIPIO])</f>
        <v>SANTA MARIA DO PARA</v>
      </c>
      <c r="F2065" s="6">
        <v>38.614158630371101</v>
      </c>
      <c r="G2065" s="6">
        <v>33.8446235656738</v>
      </c>
      <c r="H2065" s="6">
        <v>33.882087707519503</v>
      </c>
      <c r="I2065" s="6">
        <v>33.873355865478501</v>
      </c>
      <c r="J2065" s="6">
        <v>33.892536163330099</v>
      </c>
      <c r="K2065" s="6">
        <v>33.907302856445298</v>
      </c>
      <c r="L2065" s="6">
        <v>30.711189270019499</v>
      </c>
    </row>
    <row r="2066" spans="1:12" x14ac:dyDescent="0.25">
      <c r="A2066">
        <v>2603009</v>
      </c>
      <c r="B2066" t="str">
        <f t="shared" si="32"/>
        <v>CABROBO, PE, Brasil</v>
      </c>
      <c r="C2066" s="4" t="str">
        <f>_xlfn.XLOOKUP(A2066,[1]!DadosGHD[CD_GEOCMU],[1]!DadosGHD[Região])</f>
        <v>NE</v>
      </c>
      <c r="D2066" s="4" t="str">
        <f>_xlfn.XLOOKUP(A2066,[1]!DadosGHD[CD_GEOCMU],[1]!DadosGHD[uf])</f>
        <v>PE</v>
      </c>
      <c r="E2066" s="5" t="str">
        <f>_xlfn.XLOOKUP(A2066,[1]!DadosGHD[CD_GEOCMU],[1]!DadosGHD[MUNICIPIO])</f>
        <v>CABROBO</v>
      </c>
      <c r="F2066" s="6">
        <v>38.614265441894503</v>
      </c>
      <c r="G2066" s="6">
        <v>38.706501007080099</v>
      </c>
      <c r="H2066" s="6">
        <v>38.7404174804688</v>
      </c>
      <c r="I2066" s="6">
        <v>33.859920501708999</v>
      </c>
      <c r="J2066" s="6">
        <v>33.878227233886697</v>
      </c>
      <c r="K2066" s="6">
        <v>38.791835784912102</v>
      </c>
      <c r="L2066" s="6">
        <v>39.5676879882813</v>
      </c>
    </row>
    <row r="2067" spans="1:12" x14ac:dyDescent="0.25">
      <c r="A2067">
        <v>2510006</v>
      </c>
      <c r="B2067" t="str">
        <f t="shared" si="32"/>
        <v>NAZAREZINHO, PB, Brasil</v>
      </c>
      <c r="C2067" s="4" t="str">
        <f>_xlfn.XLOOKUP(A2067,[1]!DadosGHD[CD_GEOCMU],[1]!DadosGHD[Região])</f>
        <v>NE</v>
      </c>
      <c r="D2067" s="4" t="str">
        <f>_xlfn.XLOOKUP(A2067,[1]!DadosGHD[CD_GEOCMU],[1]!DadosGHD[uf])</f>
        <v>PB</v>
      </c>
      <c r="E2067" s="5" t="str">
        <f>_xlfn.XLOOKUP(A2067,[1]!DadosGHD[CD_GEOCMU],[1]!DadosGHD[MUNICIPIO])</f>
        <v>NAZAREZINHO</v>
      </c>
      <c r="F2067" s="6">
        <v>38.614479064941399</v>
      </c>
      <c r="G2067" s="6">
        <v>33.843742370605497</v>
      </c>
      <c r="H2067" s="6">
        <v>33.8759574890137</v>
      </c>
      <c r="I2067" s="6">
        <v>33.862388610839801</v>
      </c>
      <c r="J2067" s="6">
        <v>38.752918243408203</v>
      </c>
      <c r="K2067" s="6">
        <v>33.913661956787102</v>
      </c>
      <c r="L2067" s="6">
        <v>35.126419067382798</v>
      </c>
    </row>
    <row r="2068" spans="1:12" x14ac:dyDescent="0.25">
      <c r="A2068">
        <v>3302502</v>
      </c>
      <c r="B2068" t="str">
        <f t="shared" si="32"/>
        <v>MAGE, RJ, Brasil</v>
      </c>
      <c r="C2068" s="4" t="str">
        <f>_xlfn.XLOOKUP(A2068,[1]!DadosGHD[CD_GEOCMU],[1]!DadosGHD[Região])</f>
        <v>SD</v>
      </c>
      <c r="D2068" s="4" t="str">
        <f>_xlfn.XLOOKUP(A2068,[1]!DadosGHD[CD_GEOCMU],[1]!DadosGHD[uf])</f>
        <v>RJ</v>
      </c>
      <c r="E2068" s="5" t="str">
        <f>_xlfn.XLOOKUP(A2068,[1]!DadosGHD[CD_GEOCMU],[1]!DadosGHD[MUNICIPIO])</f>
        <v>MAGE</v>
      </c>
      <c r="F2068" s="6">
        <v>38.614566802978501</v>
      </c>
      <c r="G2068" s="6">
        <v>38.718204498291001</v>
      </c>
      <c r="H2068" s="6">
        <v>38.780769348144503</v>
      </c>
      <c r="I2068" s="6">
        <v>38.760105133056598</v>
      </c>
      <c r="J2068" s="6">
        <v>38.775733947753899</v>
      </c>
      <c r="K2068" s="6">
        <v>38.799247741699197</v>
      </c>
      <c r="L2068" s="6">
        <v>39.558261871337898</v>
      </c>
    </row>
    <row r="2069" spans="1:12" x14ac:dyDescent="0.25">
      <c r="A2069">
        <v>3152303</v>
      </c>
      <c r="B2069" t="str">
        <f t="shared" si="32"/>
        <v>PORTO FIRME, MG, Brasil</v>
      </c>
      <c r="C2069" s="4" t="str">
        <f>_xlfn.XLOOKUP(A2069,[1]!DadosGHD[CD_GEOCMU],[1]!DadosGHD[Região])</f>
        <v>SD</v>
      </c>
      <c r="D2069" s="4" t="str">
        <f>_xlfn.XLOOKUP(A2069,[1]!DadosGHD[CD_GEOCMU],[1]!DadosGHD[uf])</f>
        <v>MG</v>
      </c>
      <c r="E2069" s="5" t="str">
        <f>_xlfn.XLOOKUP(A2069,[1]!DadosGHD[CD_GEOCMU],[1]!DadosGHD[MUNICIPIO])</f>
        <v>PORTO FIRME</v>
      </c>
      <c r="F2069" s="6">
        <v>38.614669799804702</v>
      </c>
      <c r="G2069" s="6">
        <v>38.682582855224602</v>
      </c>
      <c r="H2069" s="6">
        <v>38.747447967529297</v>
      </c>
      <c r="I2069" s="6">
        <v>38.745437622070298</v>
      </c>
      <c r="J2069" s="6">
        <v>38.765438079833999</v>
      </c>
      <c r="K2069" s="6">
        <v>33.9234428405762</v>
      </c>
      <c r="L2069" s="6">
        <v>30.700637817382798</v>
      </c>
    </row>
    <row r="2070" spans="1:12" x14ac:dyDescent="0.25">
      <c r="A2070">
        <v>2613602</v>
      </c>
      <c r="B2070" t="str">
        <f t="shared" si="32"/>
        <v>SAO JOSE DO EGITO, PE, Brasil</v>
      </c>
      <c r="C2070" s="4" t="str">
        <f>_xlfn.XLOOKUP(A2070,[1]!DadosGHD[CD_GEOCMU],[1]!DadosGHD[Região])</f>
        <v>NE</v>
      </c>
      <c r="D2070" s="4" t="str">
        <f>_xlfn.XLOOKUP(A2070,[1]!DadosGHD[CD_GEOCMU],[1]!DadosGHD[uf])</f>
        <v>PE</v>
      </c>
      <c r="E2070" s="5" t="str">
        <f>_xlfn.XLOOKUP(A2070,[1]!DadosGHD[CD_GEOCMU],[1]!DadosGHD[MUNICIPIO])</f>
        <v>SAO JOSE DO EGITO</v>
      </c>
      <c r="F2070" s="6">
        <v>38.614776611328097</v>
      </c>
      <c r="G2070" s="6">
        <v>38.685623168945298</v>
      </c>
      <c r="H2070" s="6">
        <v>38.745597839355497</v>
      </c>
      <c r="I2070" s="6">
        <v>38.723751068115199</v>
      </c>
      <c r="J2070" s="6">
        <v>38.761314392089801</v>
      </c>
      <c r="K2070" s="6">
        <v>38.798374176025398</v>
      </c>
      <c r="L2070" s="6">
        <v>35.1204223632813</v>
      </c>
    </row>
    <row r="2071" spans="1:12" x14ac:dyDescent="0.25">
      <c r="A2071">
        <v>2807402</v>
      </c>
      <c r="B2071" t="str">
        <f t="shared" si="32"/>
        <v>TOBIAS BARRETO, SE, Brasil</v>
      </c>
      <c r="C2071" s="4" t="str">
        <f>_xlfn.XLOOKUP(A2071,[1]!DadosGHD[CD_GEOCMU],[1]!DadosGHD[Região])</f>
        <v>NE</v>
      </c>
      <c r="D2071" s="4" t="str">
        <f>_xlfn.XLOOKUP(A2071,[1]!DadosGHD[CD_GEOCMU],[1]!DadosGHD[uf])</f>
        <v>SE</v>
      </c>
      <c r="E2071" s="5" t="str">
        <f>_xlfn.XLOOKUP(A2071,[1]!DadosGHD[CD_GEOCMU],[1]!DadosGHD[MUNICIPIO])</f>
        <v>TOBIAS BARRETO</v>
      </c>
      <c r="F2071" s="6">
        <v>38.614906311035199</v>
      </c>
      <c r="G2071" s="6">
        <v>38.691566467285199</v>
      </c>
      <c r="H2071" s="6">
        <v>38.7604789733887</v>
      </c>
      <c r="I2071" s="6">
        <v>38.733306884765597</v>
      </c>
      <c r="J2071" s="6">
        <v>38.7598686218262</v>
      </c>
      <c r="K2071" s="6">
        <v>38.8027534484863</v>
      </c>
      <c r="L2071" s="6">
        <v>35.130649566650398</v>
      </c>
    </row>
    <row r="2072" spans="1:12" x14ac:dyDescent="0.25">
      <c r="A2072">
        <v>4108908</v>
      </c>
      <c r="B2072" t="str">
        <f t="shared" si="32"/>
        <v>GUAIRACA, PR, Brasil</v>
      </c>
      <c r="C2072" s="4" t="str">
        <f>_xlfn.XLOOKUP(A2072,[1]!DadosGHD[CD_GEOCMU],[1]!DadosGHD[Região])</f>
        <v>SL</v>
      </c>
      <c r="D2072" s="4" t="str">
        <f>_xlfn.XLOOKUP(A2072,[1]!DadosGHD[CD_GEOCMU],[1]!DadosGHD[uf])</f>
        <v>PR</v>
      </c>
      <c r="E2072" s="5" t="str">
        <f>_xlfn.XLOOKUP(A2072,[1]!DadosGHD[CD_GEOCMU],[1]!DadosGHD[MUNICIPIO])</f>
        <v>GUAIRACA</v>
      </c>
      <c r="F2072" s="6">
        <v>38.614936828613303</v>
      </c>
      <c r="G2072" s="6">
        <v>38.761405944824197</v>
      </c>
      <c r="H2072" s="6">
        <v>38.795482635498097</v>
      </c>
      <c r="I2072" s="6">
        <v>38.763099670410199</v>
      </c>
      <c r="J2072" s="6">
        <v>38.804203033447301</v>
      </c>
      <c r="K2072" s="6">
        <v>38.831897735595703</v>
      </c>
      <c r="L2072" s="6">
        <v>35.129848480224602</v>
      </c>
    </row>
    <row r="2073" spans="1:12" x14ac:dyDescent="0.25">
      <c r="A2073">
        <v>2506608</v>
      </c>
      <c r="B2073" t="str">
        <f t="shared" si="32"/>
        <v>IBIARA, PB, Brasil</v>
      </c>
      <c r="C2073" s="4" t="str">
        <f>_xlfn.XLOOKUP(A2073,[1]!DadosGHD[CD_GEOCMU],[1]!DadosGHD[Região])</f>
        <v>NE</v>
      </c>
      <c r="D2073" s="4" t="str">
        <f>_xlfn.XLOOKUP(A2073,[1]!DadosGHD[CD_GEOCMU],[1]!DadosGHD[uf])</f>
        <v>PB</v>
      </c>
      <c r="E2073" s="5" t="str">
        <f>_xlfn.XLOOKUP(A2073,[1]!DadosGHD[CD_GEOCMU],[1]!DadosGHD[MUNICIPIO])</f>
        <v>IBIARA</v>
      </c>
      <c r="F2073" s="6">
        <v>38.615081787109403</v>
      </c>
      <c r="G2073" s="6">
        <v>33.826747894287102</v>
      </c>
      <c r="H2073" s="6">
        <v>33.851776123046903</v>
      </c>
      <c r="I2073" s="6">
        <v>33.8265991210938</v>
      </c>
      <c r="J2073" s="6">
        <v>33.843864440917997</v>
      </c>
      <c r="K2073" s="6">
        <v>38.783893585205099</v>
      </c>
      <c r="L2073" s="6">
        <v>26.2916049957275</v>
      </c>
    </row>
    <row r="2074" spans="1:12" x14ac:dyDescent="0.25">
      <c r="A2074">
        <v>2513307</v>
      </c>
      <c r="B2074" t="str">
        <f t="shared" si="32"/>
        <v>SANTA HELENA, PB, Brasil</v>
      </c>
      <c r="C2074" s="4" t="str">
        <f>_xlfn.XLOOKUP(A2074,[1]!DadosGHD[CD_GEOCMU],[1]!DadosGHD[Região])</f>
        <v>NE</v>
      </c>
      <c r="D2074" s="4" t="str">
        <f>_xlfn.XLOOKUP(A2074,[1]!DadosGHD[CD_GEOCMU],[1]!DadosGHD[uf])</f>
        <v>PB</v>
      </c>
      <c r="E2074" s="5" t="str">
        <f>_xlfn.XLOOKUP(A2074,[1]!DadosGHD[CD_GEOCMU],[1]!DadosGHD[MUNICIPIO])</f>
        <v>SANTA HELENA</v>
      </c>
      <c r="F2074" s="6">
        <v>38.615158081054702</v>
      </c>
      <c r="G2074" s="6">
        <v>33.837482452392599</v>
      </c>
      <c r="H2074" s="6">
        <v>33.874542236328097</v>
      </c>
      <c r="I2074" s="6">
        <v>33.859203338623097</v>
      </c>
      <c r="J2074" s="6">
        <v>33.886890411377003</v>
      </c>
      <c r="K2074" s="6">
        <v>38.790454864502003</v>
      </c>
      <c r="L2074" s="6">
        <v>35.126453399658203</v>
      </c>
    </row>
    <row r="2075" spans="1:12" x14ac:dyDescent="0.25">
      <c r="A2075">
        <v>3202553</v>
      </c>
      <c r="B2075" t="str">
        <f t="shared" si="32"/>
        <v>IBITIRAMA, ES, Brasil</v>
      </c>
      <c r="C2075" s="4" t="str">
        <f>_xlfn.XLOOKUP(A2075,[1]!DadosGHD[CD_GEOCMU],[1]!DadosGHD[Região])</f>
        <v>SD</v>
      </c>
      <c r="D2075" s="4" t="str">
        <f>_xlfn.XLOOKUP(A2075,[1]!DadosGHD[CD_GEOCMU],[1]!DadosGHD[uf])</f>
        <v>ES</v>
      </c>
      <c r="E2075" s="5" t="str">
        <f>_xlfn.XLOOKUP(A2075,[1]!DadosGHD[CD_GEOCMU],[1]!DadosGHD[MUNICIPIO])</f>
        <v>IBITIRAMA</v>
      </c>
      <c r="F2075" s="6">
        <v>38.615230560302699</v>
      </c>
      <c r="G2075" s="6">
        <v>38.7523193359375</v>
      </c>
      <c r="H2075" s="6">
        <v>38.810569763183601</v>
      </c>
      <c r="I2075" s="6">
        <v>38.785488128662102</v>
      </c>
      <c r="J2075" s="6">
        <v>38.8027954101563</v>
      </c>
      <c r="K2075" s="6">
        <v>38.831413269042997</v>
      </c>
      <c r="L2075" s="6">
        <v>35.159339904785199</v>
      </c>
    </row>
    <row r="2076" spans="1:12" x14ac:dyDescent="0.25">
      <c r="A2076">
        <v>4114351</v>
      </c>
      <c r="B2076" t="str">
        <f t="shared" si="32"/>
        <v>MANFRINOPOLIS, PR, Brasil</v>
      </c>
      <c r="C2076" s="4" t="str">
        <f>_xlfn.XLOOKUP(A2076,[1]!DadosGHD[CD_GEOCMU],[1]!DadosGHD[Região])</f>
        <v>SL</v>
      </c>
      <c r="D2076" s="4" t="str">
        <f>_xlfn.XLOOKUP(A2076,[1]!DadosGHD[CD_GEOCMU],[1]!DadosGHD[uf])</f>
        <v>PR</v>
      </c>
      <c r="E2076" s="5" t="str">
        <f>_xlfn.XLOOKUP(A2076,[1]!DadosGHD[CD_GEOCMU],[1]!DadosGHD[MUNICIPIO])</f>
        <v>MANFRINOPOLIS</v>
      </c>
      <c r="F2076" s="6">
        <v>38.615474700927699</v>
      </c>
      <c r="G2076" s="6">
        <v>48.649364471435597</v>
      </c>
      <c r="H2076" s="6">
        <v>53.890785217285199</v>
      </c>
      <c r="I2076" s="6">
        <v>48.695926666259801</v>
      </c>
      <c r="J2076" s="6">
        <v>48.776332855224602</v>
      </c>
      <c r="K2076" s="6">
        <v>58.9212646484375</v>
      </c>
      <c r="L2076" s="6">
        <v>44.021286010742202</v>
      </c>
    </row>
    <row r="2077" spans="1:12" x14ac:dyDescent="0.25">
      <c r="A2077">
        <v>2309607</v>
      </c>
      <c r="B2077" t="str">
        <f t="shared" si="32"/>
        <v>PACAJUS, CE, Brasil</v>
      </c>
      <c r="C2077" s="4" t="str">
        <f>_xlfn.XLOOKUP(A2077,[1]!DadosGHD[CD_GEOCMU],[1]!DadosGHD[Região])</f>
        <v>NE</v>
      </c>
      <c r="D2077" s="4" t="str">
        <f>_xlfn.XLOOKUP(A2077,[1]!DadosGHD[CD_GEOCMU],[1]!DadosGHD[uf])</f>
        <v>CE</v>
      </c>
      <c r="E2077" s="5" t="str">
        <f>_xlfn.XLOOKUP(A2077,[1]!DadosGHD[CD_GEOCMU],[1]!DadosGHD[MUNICIPIO])</f>
        <v>PACAJUS</v>
      </c>
      <c r="F2077" s="6">
        <v>38.615486145019503</v>
      </c>
      <c r="G2077" s="6">
        <v>33.843490600585902</v>
      </c>
      <c r="H2077" s="6">
        <v>38.761192321777301</v>
      </c>
      <c r="I2077" s="6">
        <v>38.756500244140597</v>
      </c>
      <c r="J2077" s="6">
        <v>43.723915100097699</v>
      </c>
      <c r="K2077" s="6">
        <v>43.761119842529297</v>
      </c>
      <c r="L2077" s="6">
        <v>44.066921234130902</v>
      </c>
    </row>
    <row r="2078" spans="1:12" x14ac:dyDescent="0.25">
      <c r="A2078">
        <v>2510907</v>
      </c>
      <c r="B2078" t="str">
        <f t="shared" si="32"/>
        <v>PAULISTA, PB, Brasil</v>
      </c>
      <c r="C2078" s="4" t="str">
        <f>_xlfn.XLOOKUP(A2078,[1]!DadosGHD[CD_GEOCMU],[1]!DadosGHD[Região])</f>
        <v>NE</v>
      </c>
      <c r="D2078" s="4" t="str">
        <f>_xlfn.XLOOKUP(A2078,[1]!DadosGHD[CD_GEOCMU],[1]!DadosGHD[uf])</f>
        <v>PB</v>
      </c>
      <c r="E2078" s="5" t="str">
        <f>_xlfn.XLOOKUP(A2078,[1]!DadosGHD[CD_GEOCMU],[1]!DadosGHD[MUNICIPIO])</f>
        <v>PAULISTA</v>
      </c>
      <c r="F2078" s="6">
        <v>38.615524291992202</v>
      </c>
      <c r="G2078" s="6">
        <v>33.834056854248097</v>
      </c>
      <c r="H2078" s="6">
        <v>33.871608734130902</v>
      </c>
      <c r="I2078" s="6">
        <v>33.844070434570298</v>
      </c>
      <c r="J2078" s="6">
        <v>38.791893005371101</v>
      </c>
      <c r="K2078" s="6">
        <v>38.796401977539098</v>
      </c>
      <c r="L2078" s="6">
        <v>30.697231292724599</v>
      </c>
    </row>
    <row r="2079" spans="1:12" x14ac:dyDescent="0.25">
      <c r="A2079">
        <v>4302253</v>
      </c>
      <c r="B2079" t="str">
        <f t="shared" si="32"/>
        <v>BOA VISTA DO SUL, RS, Brasil</v>
      </c>
      <c r="C2079" s="4" t="str">
        <f>_xlfn.XLOOKUP(A2079,[1]!DadosGHD[CD_GEOCMU],[1]!DadosGHD[Região])</f>
        <v>SL</v>
      </c>
      <c r="D2079" s="4" t="str">
        <f>_xlfn.XLOOKUP(A2079,[1]!DadosGHD[CD_GEOCMU],[1]!DadosGHD[uf])</f>
        <v>RS</v>
      </c>
      <c r="E2079" s="5" t="str">
        <f>_xlfn.XLOOKUP(A2079,[1]!DadosGHD[CD_GEOCMU],[1]!DadosGHD[MUNICIPIO])</f>
        <v>BOA VISTA DO SUL</v>
      </c>
      <c r="F2079" s="6">
        <v>38.615604400634801</v>
      </c>
      <c r="G2079" s="6">
        <v>48.677677154541001</v>
      </c>
      <c r="H2079" s="6">
        <v>48.790531158447301</v>
      </c>
      <c r="I2079" s="6">
        <v>53.802646636962898</v>
      </c>
      <c r="J2079" s="6">
        <v>53.866786956787102</v>
      </c>
      <c r="K2079" s="6">
        <v>58.954948425292997</v>
      </c>
      <c r="L2079" s="6">
        <v>57.579887390136697</v>
      </c>
    </row>
    <row r="2080" spans="1:12" x14ac:dyDescent="0.25">
      <c r="A2080">
        <v>2903300</v>
      </c>
      <c r="B2080" t="str">
        <f t="shared" si="32"/>
        <v>BARRO PRETO, BA, Brasil</v>
      </c>
      <c r="C2080" s="4" t="str">
        <f>_xlfn.XLOOKUP(A2080,[1]!DadosGHD[CD_GEOCMU],[1]!DadosGHD[Região])</f>
        <v>NE</v>
      </c>
      <c r="D2080" s="4" t="str">
        <f>_xlfn.XLOOKUP(A2080,[1]!DadosGHD[CD_GEOCMU],[1]!DadosGHD[uf])</f>
        <v>BA</v>
      </c>
      <c r="E2080" s="5" t="str">
        <f>_xlfn.XLOOKUP(A2080,[1]!DadosGHD[CD_GEOCMU],[1]!DadosGHD[MUNICIPIO])</f>
        <v>BARRO PRETO</v>
      </c>
      <c r="F2080" s="6">
        <v>38.615756988525398</v>
      </c>
      <c r="G2080" s="6">
        <v>33.840457916259801</v>
      </c>
      <c r="H2080" s="6">
        <v>33.895076751708999</v>
      </c>
      <c r="I2080" s="6">
        <v>38.723655700683601</v>
      </c>
      <c r="J2080" s="6">
        <v>33.895999908447301</v>
      </c>
      <c r="K2080" s="6">
        <v>33.920616149902301</v>
      </c>
      <c r="L2080" s="6">
        <v>30.688148498535199</v>
      </c>
    </row>
    <row r="2081" spans="1:12" x14ac:dyDescent="0.25">
      <c r="A2081">
        <v>4119509</v>
      </c>
      <c r="B2081" t="str">
        <f t="shared" si="32"/>
        <v>PIRAQUARA, PR, Brasil</v>
      </c>
      <c r="C2081" s="4" t="str">
        <f>_xlfn.XLOOKUP(A2081,[1]!DadosGHD[CD_GEOCMU],[1]!DadosGHD[Região])</f>
        <v>SL</v>
      </c>
      <c r="D2081" s="4" t="str">
        <f>_xlfn.XLOOKUP(A2081,[1]!DadosGHD[CD_GEOCMU],[1]!DadosGHD[uf])</f>
        <v>PR</v>
      </c>
      <c r="E2081" s="5" t="str">
        <f>_xlfn.XLOOKUP(A2081,[1]!DadosGHD[CD_GEOCMU],[1]!DadosGHD[MUNICIPIO])</f>
        <v>PIRAQUARA</v>
      </c>
      <c r="F2081" s="6">
        <v>38.615798950195298</v>
      </c>
      <c r="G2081" s="6">
        <v>38.700958251953097</v>
      </c>
      <c r="H2081" s="6">
        <v>38.740547180175803</v>
      </c>
      <c r="I2081" s="6">
        <v>33.8703804016113</v>
      </c>
      <c r="J2081" s="6">
        <v>33.868602752685597</v>
      </c>
      <c r="K2081" s="6">
        <v>38.823200225830099</v>
      </c>
      <c r="L2081" s="6">
        <v>39.589462280273402</v>
      </c>
    </row>
    <row r="2082" spans="1:12" x14ac:dyDescent="0.25">
      <c r="A2082">
        <v>2906303</v>
      </c>
      <c r="B2082" t="str">
        <f t="shared" si="32"/>
        <v>CANAVIEIRAS, BA, Brasil</v>
      </c>
      <c r="C2082" s="4" t="str">
        <f>_xlfn.XLOOKUP(A2082,[1]!DadosGHD[CD_GEOCMU],[1]!DadosGHD[Região])</f>
        <v>NE</v>
      </c>
      <c r="D2082" s="4" t="str">
        <f>_xlfn.XLOOKUP(A2082,[1]!DadosGHD[CD_GEOCMU],[1]!DadosGHD[uf])</f>
        <v>BA</v>
      </c>
      <c r="E2082" s="5" t="str">
        <f>_xlfn.XLOOKUP(A2082,[1]!DadosGHD[CD_GEOCMU],[1]!DadosGHD[MUNICIPIO])</f>
        <v>CANAVIEIRAS</v>
      </c>
      <c r="F2082" s="6">
        <v>38.615882873535199</v>
      </c>
      <c r="G2082" s="6">
        <v>33.843494415283203</v>
      </c>
      <c r="H2082" s="6">
        <v>33.884609222412102</v>
      </c>
      <c r="I2082" s="6">
        <v>33.863536834716797</v>
      </c>
      <c r="J2082" s="6">
        <v>38.751529693603501</v>
      </c>
      <c r="K2082" s="6">
        <v>33.930274963378899</v>
      </c>
      <c r="L2082" s="6">
        <v>35.129020690917997</v>
      </c>
    </row>
    <row r="2083" spans="1:12" x14ac:dyDescent="0.25">
      <c r="A2083">
        <v>3135050</v>
      </c>
      <c r="B2083" t="str">
        <f t="shared" si="32"/>
        <v>JAIBA, MG, Brasil</v>
      </c>
      <c r="C2083" s="4" t="str">
        <f>_xlfn.XLOOKUP(A2083,[1]!DadosGHD[CD_GEOCMU],[1]!DadosGHD[Região])</f>
        <v>SD</v>
      </c>
      <c r="D2083" s="4" t="str">
        <f>_xlfn.XLOOKUP(A2083,[1]!DadosGHD[CD_GEOCMU],[1]!DadosGHD[uf])</f>
        <v>MG</v>
      </c>
      <c r="E2083" s="5" t="str">
        <f>_xlfn.XLOOKUP(A2083,[1]!DadosGHD[CD_GEOCMU],[1]!DadosGHD[MUNICIPIO])</f>
        <v>JAIBA</v>
      </c>
      <c r="F2083" s="6">
        <v>38.615894317627003</v>
      </c>
      <c r="G2083" s="6">
        <v>38.6999320983887</v>
      </c>
      <c r="H2083" s="6">
        <v>38.802242279052699</v>
      </c>
      <c r="I2083" s="6">
        <v>38.787189483642599</v>
      </c>
      <c r="J2083" s="6">
        <v>38.7686767578125</v>
      </c>
      <c r="K2083" s="6">
        <v>33.910709381103501</v>
      </c>
      <c r="L2083" s="6">
        <v>39.605838775634801</v>
      </c>
    </row>
    <row r="2084" spans="1:12" x14ac:dyDescent="0.25">
      <c r="A2084">
        <v>2502102</v>
      </c>
      <c r="B2084" t="str">
        <f t="shared" si="32"/>
        <v>BOA VENTURA, PB, Brasil</v>
      </c>
      <c r="C2084" s="4" t="str">
        <f>_xlfn.XLOOKUP(A2084,[1]!DadosGHD[CD_GEOCMU],[1]!DadosGHD[Região])</f>
        <v>NE</v>
      </c>
      <c r="D2084" s="4" t="str">
        <f>_xlfn.XLOOKUP(A2084,[1]!DadosGHD[CD_GEOCMU],[1]!DadosGHD[uf])</f>
        <v>PB</v>
      </c>
      <c r="E2084" s="5" t="str">
        <f>_xlfn.XLOOKUP(A2084,[1]!DadosGHD[CD_GEOCMU],[1]!DadosGHD[MUNICIPIO])</f>
        <v>BOA VENTURA</v>
      </c>
      <c r="F2084" s="6">
        <v>38.615943908691399</v>
      </c>
      <c r="G2084" s="6">
        <v>33.831005096435597</v>
      </c>
      <c r="H2084" s="6">
        <v>33.864772796630902</v>
      </c>
      <c r="I2084" s="6">
        <v>38.731742858886697</v>
      </c>
      <c r="J2084" s="6">
        <v>38.749446868896499</v>
      </c>
      <c r="K2084" s="6">
        <v>33.925167083740199</v>
      </c>
      <c r="L2084" s="6">
        <v>30.698207855224599</v>
      </c>
    </row>
    <row r="2085" spans="1:12" x14ac:dyDescent="0.25">
      <c r="A2085">
        <v>2904506</v>
      </c>
      <c r="B2085" t="str">
        <f t="shared" si="32"/>
        <v>BROTAS DE MACAUBAS, BA, Brasil</v>
      </c>
      <c r="C2085" s="4" t="str">
        <f>_xlfn.XLOOKUP(A2085,[1]!DadosGHD[CD_GEOCMU],[1]!DadosGHD[Região])</f>
        <v>NE</v>
      </c>
      <c r="D2085" s="4" t="str">
        <f>_xlfn.XLOOKUP(A2085,[1]!DadosGHD[CD_GEOCMU],[1]!DadosGHD[uf])</f>
        <v>BA</v>
      </c>
      <c r="E2085" s="5" t="str">
        <f>_xlfn.XLOOKUP(A2085,[1]!DadosGHD[CD_GEOCMU],[1]!DadosGHD[MUNICIPIO])</f>
        <v>BROTAS DE MACAUBAS</v>
      </c>
      <c r="F2085" s="6">
        <v>38.615959167480497</v>
      </c>
      <c r="G2085" s="6">
        <v>33.830051422119098</v>
      </c>
      <c r="H2085" s="6">
        <v>33.875514984130902</v>
      </c>
      <c r="I2085" s="6">
        <v>33.827560424804702</v>
      </c>
      <c r="J2085" s="6">
        <v>28.965652465820298</v>
      </c>
      <c r="K2085" s="6">
        <v>28.9686679840088</v>
      </c>
      <c r="L2085" s="6">
        <v>26.2798957824707</v>
      </c>
    </row>
    <row r="2086" spans="1:12" x14ac:dyDescent="0.25">
      <c r="A2086">
        <v>3163805</v>
      </c>
      <c r="B2086" t="str">
        <f t="shared" si="32"/>
        <v>SAO MIGUEL DO ANTA, MG, Brasil</v>
      </c>
      <c r="C2086" s="4" t="str">
        <f>_xlfn.XLOOKUP(A2086,[1]!DadosGHD[CD_GEOCMU],[1]!DadosGHD[Região])</f>
        <v>SD</v>
      </c>
      <c r="D2086" s="4" t="str">
        <f>_xlfn.XLOOKUP(A2086,[1]!DadosGHD[CD_GEOCMU],[1]!DadosGHD[uf])</f>
        <v>MG</v>
      </c>
      <c r="E2086" s="5" t="str">
        <f>_xlfn.XLOOKUP(A2086,[1]!DadosGHD[CD_GEOCMU],[1]!DadosGHD[MUNICIPIO])</f>
        <v>SAO MIGUEL DO ANTA</v>
      </c>
      <c r="F2086" s="6">
        <v>38.615974426269503</v>
      </c>
      <c r="G2086" s="6">
        <v>33.821971893310597</v>
      </c>
      <c r="H2086" s="6">
        <v>38.743049621582003</v>
      </c>
      <c r="I2086" s="6">
        <v>33.838455200195298</v>
      </c>
      <c r="J2086" s="6">
        <v>38.741371154785199</v>
      </c>
      <c r="K2086" s="6">
        <v>33.916496276855497</v>
      </c>
      <c r="L2086" s="6">
        <v>35.112579345703097</v>
      </c>
    </row>
    <row r="2087" spans="1:12" x14ac:dyDescent="0.25">
      <c r="A2087">
        <v>2706422</v>
      </c>
      <c r="B2087" t="str">
        <f t="shared" si="32"/>
        <v>PARICONHA, AL, Brasil</v>
      </c>
      <c r="C2087" s="4" t="str">
        <f>_xlfn.XLOOKUP(A2087,[1]!DadosGHD[CD_GEOCMU],[1]!DadosGHD[Região])</f>
        <v>NE</v>
      </c>
      <c r="D2087" s="4" t="str">
        <f>_xlfn.XLOOKUP(A2087,[1]!DadosGHD[CD_GEOCMU],[1]!DadosGHD[uf])</f>
        <v>AL</v>
      </c>
      <c r="E2087" s="5" t="str">
        <f>_xlfn.XLOOKUP(A2087,[1]!DadosGHD[CD_GEOCMU],[1]!DadosGHD[MUNICIPIO])</f>
        <v>PARICONHA</v>
      </c>
      <c r="F2087" s="6">
        <v>38.616020202636697</v>
      </c>
      <c r="G2087" s="6">
        <v>33.824798583984403</v>
      </c>
      <c r="H2087" s="6">
        <v>33.864322662353501</v>
      </c>
      <c r="I2087" s="6">
        <v>33.861175537109403</v>
      </c>
      <c r="J2087" s="6">
        <v>33.879520416259801</v>
      </c>
      <c r="K2087" s="6">
        <v>33.9264106750488</v>
      </c>
      <c r="L2087" s="6">
        <v>30.712194442748999</v>
      </c>
    </row>
    <row r="2088" spans="1:12" x14ac:dyDescent="0.25">
      <c r="A2088">
        <v>5220686</v>
      </c>
      <c r="B2088" t="str">
        <f t="shared" si="32"/>
        <v>SIMOLANDIA, GO, Brasil</v>
      </c>
      <c r="C2088" s="4" t="str">
        <f>_xlfn.XLOOKUP(A2088,[1]!DadosGHD[CD_GEOCMU],[1]!DadosGHD[Região])</f>
        <v>CO</v>
      </c>
      <c r="D2088" s="4" t="str">
        <f>_xlfn.XLOOKUP(A2088,[1]!DadosGHD[CD_GEOCMU],[1]!DadosGHD[uf])</f>
        <v>GO</v>
      </c>
      <c r="E2088" s="5" t="str">
        <f>_xlfn.XLOOKUP(A2088,[1]!DadosGHD[CD_GEOCMU],[1]!DadosGHD[MUNICIPIO])</f>
        <v>SIMOLANDIA</v>
      </c>
      <c r="F2088" s="6">
        <v>38.6160278320313</v>
      </c>
      <c r="G2088" s="6">
        <v>38.688949584960902</v>
      </c>
      <c r="H2088" s="6">
        <v>33.890621185302699</v>
      </c>
      <c r="I2088" s="6">
        <v>33.863636016845703</v>
      </c>
      <c r="J2088" s="6">
        <v>33.89111328125</v>
      </c>
      <c r="K2088" s="6">
        <v>33.922843933105497</v>
      </c>
      <c r="L2088" s="6">
        <v>35.114131927490199</v>
      </c>
    </row>
    <row r="2089" spans="1:12" x14ac:dyDescent="0.25">
      <c r="A2089">
        <v>2933000</v>
      </c>
      <c r="B2089" t="str">
        <f t="shared" si="32"/>
        <v>VALENTE, BA, Brasil</v>
      </c>
      <c r="C2089" s="4" t="str">
        <f>_xlfn.XLOOKUP(A2089,[1]!DadosGHD[CD_GEOCMU],[1]!DadosGHD[Região])</f>
        <v>NE</v>
      </c>
      <c r="D2089" s="4" t="str">
        <f>_xlfn.XLOOKUP(A2089,[1]!DadosGHD[CD_GEOCMU],[1]!DadosGHD[uf])</f>
        <v>BA</v>
      </c>
      <c r="E2089" s="5" t="str">
        <f>_xlfn.XLOOKUP(A2089,[1]!DadosGHD[CD_GEOCMU],[1]!DadosGHD[MUNICIPIO])</f>
        <v>VALENTE</v>
      </c>
      <c r="F2089" s="6">
        <v>38.616077423095703</v>
      </c>
      <c r="G2089" s="6">
        <v>38.703380584716797</v>
      </c>
      <c r="H2089" s="6">
        <v>38.750308990478501</v>
      </c>
      <c r="I2089" s="6">
        <v>33.848747253417997</v>
      </c>
      <c r="J2089" s="6">
        <v>33.883743286132798</v>
      </c>
      <c r="K2089" s="6">
        <v>33.925201416015597</v>
      </c>
      <c r="L2089" s="6">
        <v>35.143558502197301</v>
      </c>
    </row>
    <row r="2090" spans="1:12" x14ac:dyDescent="0.25">
      <c r="A2090">
        <v>3100609</v>
      </c>
      <c r="B2090" t="str">
        <f t="shared" si="32"/>
        <v>AGUA BOA, MG, Brasil</v>
      </c>
      <c r="C2090" s="4" t="str">
        <f>_xlfn.XLOOKUP(A2090,[1]!DadosGHD[CD_GEOCMU],[1]!DadosGHD[Região])</f>
        <v>SD</v>
      </c>
      <c r="D2090" s="4" t="str">
        <f>_xlfn.XLOOKUP(A2090,[1]!DadosGHD[CD_GEOCMU],[1]!DadosGHD[uf])</f>
        <v>MG</v>
      </c>
      <c r="E2090" s="5" t="str">
        <f>_xlfn.XLOOKUP(A2090,[1]!DadosGHD[CD_GEOCMU],[1]!DadosGHD[MUNICIPIO])</f>
        <v>AGUA BOA</v>
      </c>
      <c r="F2090" s="6">
        <v>38.616081237792997</v>
      </c>
      <c r="G2090" s="6">
        <v>33.845165252685597</v>
      </c>
      <c r="H2090" s="6">
        <v>33.896595001220703</v>
      </c>
      <c r="I2090" s="6">
        <v>38.734043121337898</v>
      </c>
      <c r="J2090" s="6">
        <v>38.752132415771499</v>
      </c>
      <c r="K2090" s="6">
        <v>38.782848358154297</v>
      </c>
      <c r="L2090" s="6">
        <v>35.1396484375</v>
      </c>
    </row>
    <row r="2091" spans="1:12" x14ac:dyDescent="0.25">
      <c r="A2091">
        <v>3110806</v>
      </c>
      <c r="B2091" t="str">
        <f t="shared" si="32"/>
        <v>CAMPANARIO, MG, Brasil</v>
      </c>
      <c r="C2091" s="4" t="str">
        <f>_xlfn.XLOOKUP(A2091,[1]!DadosGHD[CD_GEOCMU],[1]!DadosGHD[Região])</f>
        <v>SD</v>
      </c>
      <c r="D2091" s="4" t="str">
        <f>_xlfn.XLOOKUP(A2091,[1]!DadosGHD[CD_GEOCMU],[1]!DadosGHD[uf])</f>
        <v>MG</v>
      </c>
      <c r="E2091" s="5" t="str">
        <f>_xlfn.XLOOKUP(A2091,[1]!DadosGHD[CD_GEOCMU],[1]!DadosGHD[MUNICIPIO])</f>
        <v>CAMPANARIO</v>
      </c>
      <c r="F2091" s="6">
        <v>38.616142272949197</v>
      </c>
      <c r="G2091" s="6">
        <v>38.724861145019503</v>
      </c>
      <c r="H2091" s="6">
        <v>38.829254150390597</v>
      </c>
      <c r="I2091" s="6">
        <v>38.730148315429702</v>
      </c>
      <c r="J2091" s="6">
        <v>33.885398864746101</v>
      </c>
      <c r="K2091" s="6">
        <v>33.912483215332003</v>
      </c>
      <c r="L2091" s="6">
        <v>30.701450347900401</v>
      </c>
    </row>
    <row r="2092" spans="1:12" x14ac:dyDescent="0.25">
      <c r="A2092">
        <v>3115458</v>
      </c>
      <c r="B2092" t="str">
        <f t="shared" si="32"/>
        <v>CATUJI, MG, Brasil</v>
      </c>
      <c r="C2092" s="4" t="str">
        <f>_xlfn.XLOOKUP(A2092,[1]!DadosGHD[CD_GEOCMU],[1]!DadosGHD[Região])</f>
        <v>SD</v>
      </c>
      <c r="D2092" s="4" t="str">
        <f>_xlfn.XLOOKUP(A2092,[1]!DadosGHD[CD_GEOCMU],[1]!DadosGHD[uf])</f>
        <v>MG</v>
      </c>
      <c r="E2092" s="5" t="str">
        <f>_xlfn.XLOOKUP(A2092,[1]!DadosGHD[CD_GEOCMU],[1]!DadosGHD[MUNICIPIO])</f>
        <v>CATUJI</v>
      </c>
      <c r="F2092" s="6">
        <v>38.616252899169901</v>
      </c>
      <c r="G2092" s="6">
        <v>38.761695861816399</v>
      </c>
      <c r="H2092" s="6">
        <v>38.811286926269503</v>
      </c>
      <c r="I2092" s="6">
        <v>38.788478851318402</v>
      </c>
      <c r="J2092" s="6">
        <v>38.816814422607401</v>
      </c>
      <c r="K2092" s="6">
        <v>38.852485656738303</v>
      </c>
      <c r="L2092" s="6">
        <v>30.702934265136701</v>
      </c>
    </row>
    <row r="2093" spans="1:12" x14ac:dyDescent="0.25">
      <c r="A2093">
        <v>2804300</v>
      </c>
      <c r="B2093" t="str">
        <f t="shared" si="32"/>
        <v>MURIBECA, SE, Brasil</v>
      </c>
      <c r="C2093" s="4" t="str">
        <f>_xlfn.XLOOKUP(A2093,[1]!DadosGHD[CD_GEOCMU],[1]!DadosGHD[Região])</f>
        <v>NE</v>
      </c>
      <c r="D2093" s="4" t="str">
        <f>_xlfn.XLOOKUP(A2093,[1]!DadosGHD[CD_GEOCMU],[1]!DadosGHD[uf])</f>
        <v>SE</v>
      </c>
      <c r="E2093" s="5" t="str">
        <f>_xlfn.XLOOKUP(A2093,[1]!DadosGHD[CD_GEOCMU],[1]!DadosGHD[MUNICIPIO])</f>
        <v>MURIBECA</v>
      </c>
      <c r="F2093" s="6">
        <v>38.616386413574197</v>
      </c>
      <c r="G2093" s="6">
        <v>33.838771820068402</v>
      </c>
      <c r="H2093" s="6">
        <v>33.882164001464801</v>
      </c>
      <c r="I2093" s="6">
        <v>33.862602233886697</v>
      </c>
      <c r="J2093" s="6">
        <v>33.887062072753899</v>
      </c>
      <c r="K2093" s="6">
        <v>38.870368957519503</v>
      </c>
      <c r="L2093" s="6">
        <v>30.709936141967798</v>
      </c>
    </row>
    <row r="2094" spans="1:12" x14ac:dyDescent="0.25">
      <c r="A2094">
        <v>3145372</v>
      </c>
      <c r="B2094" t="str">
        <f t="shared" si="32"/>
        <v>NOVORIZONTE, MG, Brasil</v>
      </c>
      <c r="C2094" s="4" t="str">
        <f>_xlfn.XLOOKUP(A2094,[1]!DadosGHD[CD_GEOCMU],[1]!DadosGHD[Região])</f>
        <v>SD</v>
      </c>
      <c r="D2094" s="4" t="str">
        <f>_xlfn.XLOOKUP(A2094,[1]!DadosGHD[CD_GEOCMU],[1]!DadosGHD[uf])</f>
        <v>MG</v>
      </c>
      <c r="E2094" s="5" t="str">
        <f>_xlfn.XLOOKUP(A2094,[1]!DadosGHD[CD_GEOCMU],[1]!DadosGHD[MUNICIPIO])</f>
        <v>NOVORIZONTE</v>
      </c>
      <c r="F2094" s="6">
        <v>38.616432189941399</v>
      </c>
      <c r="G2094" s="6">
        <v>33.827335357666001</v>
      </c>
      <c r="H2094" s="6">
        <v>33.866485595703097</v>
      </c>
      <c r="I2094" s="6">
        <v>33.8432426452637</v>
      </c>
      <c r="J2094" s="6">
        <v>33.859081268310597</v>
      </c>
      <c r="K2094" s="6">
        <v>33.889068603515597</v>
      </c>
      <c r="L2094" s="6">
        <v>26.299566268920898</v>
      </c>
    </row>
    <row r="2095" spans="1:12" x14ac:dyDescent="0.25">
      <c r="A2095">
        <v>4202081</v>
      </c>
      <c r="B2095" t="str">
        <f t="shared" si="32"/>
        <v>BANDEIRANTE, SC, Brasil</v>
      </c>
      <c r="C2095" s="4" t="str">
        <f>_xlfn.XLOOKUP(A2095,[1]!DadosGHD[CD_GEOCMU],[1]!DadosGHD[Região])</f>
        <v>SL</v>
      </c>
      <c r="D2095" s="4" t="str">
        <f>_xlfn.XLOOKUP(A2095,[1]!DadosGHD[CD_GEOCMU],[1]!DadosGHD[uf])</f>
        <v>SC</v>
      </c>
      <c r="E2095" s="5" t="str">
        <f>_xlfn.XLOOKUP(A2095,[1]!DadosGHD[CD_GEOCMU],[1]!DadosGHD[MUNICIPIO])</f>
        <v>BANDEIRANTE</v>
      </c>
      <c r="F2095" s="6">
        <v>38.616573333740199</v>
      </c>
      <c r="G2095" s="6">
        <v>48.669078826904297</v>
      </c>
      <c r="H2095" s="6">
        <v>48.728355407714801</v>
      </c>
      <c r="I2095" s="6">
        <v>48.754142761230497</v>
      </c>
      <c r="J2095" s="6">
        <v>58.837673187255902</v>
      </c>
      <c r="K2095" s="6">
        <v>53.948482513427699</v>
      </c>
      <c r="L2095" s="6">
        <v>48.526954650878899</v>
      </c>
    </row>
    <row r="2096" spans="1:12" x14ac:dyDescent="0.25">
      <c r="A2096">
        <v>2101202</v>
      </c>
      <c r="B2096" t="str">
        <f t="shared" si="32"/>
        <v>BACABAL, MA, Brasil</v>
      </c>
      <c r="C2096" s="4" t="str">
        <f>_xlfn.XLOOKUP(A2096,[1]!DadosGHD[CD_GEOCMU],[1]!DadosGHD[Região])</f>
        <v>NE</v>
      </c>
      <c r="D2096" s="4" t="str">
        <f>_xlfn.XLOOKUP(A2096,[1]!DadosGHD[CD_GEOCMU],[1]!DadosGHD[uf])</f>
        <v>MA</v>
      </c>
      <c r="E2096" s="5" t="str">
        <f>_xlfn.XLOOKUP(A2096,[1]!DadosGHD[CD_GEOCMU],[1]!DadosGHD[MUNICIPIO])</f>
        <v>BACABAL</v>
      </c>
      <c r="F2096" s="6">
        <v>38.616855621337898</v>
      </c>
      <c r="G2096" s="6">
        <v>38.703224182128899</v>
      </c>
      <c r="H2096" s="6">
        <v>38.740756988525398</v>
      </c>
      <c r="I2096" s="6">
        <v>33.866340637207003</v>
      </c>
      <c r="J2096" s="6">
        <v>38.740676879882798</v>
      </c>
      <c r="K2096" s="6">
        <v>38.784420013427699</v>
      </c>
      <c r="L2096" s="6">
        <v>30.6985683441162</v>
      </c>
    </row>
    <row r="2097" spans="1:12" x14ac:dyDescent="0.25">
      <c r="A2097">
        <v>2701704</v>
      </c>
      <c r="B2097" t="str">
        <f t="shared" si="32"/>
        <v>CAPELA, AL, Brasil</v>
      </c>
      <c r="C2097" s="4" t="str">
        <f>_xlfn.XLOOKUP(A2097,[1]!DadosGHD[CD_GEOCMU],[1]!DadosGHD[Região])</f>
        <v>NE</v>
      </c>
      <c r="D2097" s="4" t="str">
        <f>_xlfn.XLOOKUP(A2097,[1]!DadosGHD[CD_GEOCMU],[1]!DadosGHD[uf])</f>
        <v>AL</v>
      </c>
      <c r="E2097" s="5" t="str">
        <f>_xlfn.XLOOKUP(A2097,[1]!DadosGHD[CD_GEOCMU],[1]!DadosGHD[MUNICIPIO])</f>
        <v>CAPELA</v>
      </c>
      <c r="F2097" s="6">
        <v>38.616920471191399</v>
      </c>
      <c r="G2097" s="6">
        <v>38.688499450683601</v>
      </c>
      <c r="H2097" s="6">
        <v>33.8924560546875</v>
      </c>
      <c r="I2097" s="6">
        <v>38.720558166503899</v>
      </c>
      <c r="J2097" s="6">
        <v>38.744941711425803</v>
      </c>
      <c r="K2097" s="6">
        <v>38.793510437011697</v>
      </c>
      <c r="L2097" s="6">
        <v>26.2899570465088</v>
      </c>
    </row>
    <row r="2098" spans="1:12" x14ac:dyDescent="0.25">
      <c r="A2098">
        <v>2208809</v>
      </c>
      <c r="B2098" t="str">
        <f t="shared" si="32"/>
        <v>REGENERACAO, PI, Brasil</v>
      </c>
      <c r="C2098" s="4" t="str">
        <f>_xlfn.XLOOKUP(A2098,[1]!DadosGHD[CD_GEOCMU],[1]!DadosGHD[Região])</f>
        <v>NE</v>
      </c>
      <c r="D2098" s="4" t="str">
        <f>_xlfn.XLOOKUP(A2098,[1]!DadosGHD[CD_GEOCMU],[1]!DadosGHD[uf])</f>
        <v>PI</v>
      </c>
      <c r="E2098" s="5" t="str">
        <f>_xlfn.XLOOKUP(A2098,[1]!DadosGHD[CD_GEOCMU],[1]!DadosGHD[MUNICIPIO])</f>
        <v>REGENERACAO</v>
      </c>
      <c r="F2098" s="6">
        <v>38.617069244384801</v>
      </c>
      <c r="G2098" s="6">
        <v>38.708000183105497</v>
      </c>
      <c r="H2098" s="6">
        <v>38.746288299560597</v>
      </c>
      <c r="I2098" s="6">
        <v>33.86328125</v>
      </c>
      <c r="J2098" s="6">
        <v>38.7443237304688</v>
      </c>
      <c r="K2098" s="6">
        <v>38.811122894287102</v>
      </c>
      <c r="L2098" s="6">
        <v>30.7100009918213</v>
      </c>
    </row>
    <row r="2099" spans="1:12" x14ac:dyDescent="0.25">
      <c r="A2099">
        <v>4302600</v>
      </c>
      <c r="B2099" t="str">
        <f t="shared" si="32"/>
        <v>BRAGA, RS, Brasil</v>
      </c>
      <c r="C2099" s="4" t="str">
        <f>_xlfn.XLOOKUP(A2099,[1]!DadosGHD[CD_GEOCMU],[1]!DadosGHD[Região])</f>
        <v>SL</v>
      </c>
      <c r="D2099" s="4" t="str">
        <f>_xlfn.XLOOKUP(A2099,[1]!DadosGHD[CD_GEOCMU],[1]!DadosGHD[uf])</f>
        <v>RS</v>
      </c>
      <c r="E2099" s="5" t="str">
        <f>_xlfn.XLOOKUP(A2099,[1]!DadosGHD[CD_GEOCMU],[1]!DadosGHD[MUNICIPIO])</f>
        <v>BRAGA</v>
      </c>
      <c r="F2099" s="6">
        <v>38.617183685302699</v>
      </c>
      <c r="G2099" s="6">
        <v>43.737129211425803</v>
      </c>
      <c r="H2099" s="6">
        <v>43.8115425109863</v>
      </c>
      <c r="I2099" s="6">
        <v>43.789741516113303</v>
      </c>
      <c r="J2099" s="6">
        <v>43.799861907958999</v>
      </c>
      <c r="K2099" s="6">
        <v>43.861083984375</v>
      </c>
      <c r="L2099" s="6">
        <v>39.584419250488303</v>
      </c>
    </row>
    <row r="2100" spans="1:12" x14ac:dyDescent="0.25">
      <c r="A2100">
        <v>1200252</v>
      </c>
      <c r="B2100" t="str">
        <f t="shared" si="32"/>
        <v>EPITACIOLANDIA, AC, Brasil</v>
      </c>
      <c r="C2100" s="4" t="str">
        <f>_xlfn.XLOOKUP(A2100,[1]!DadosGHD[CD_GEOCMU],[1]!DadosGHD[Região])</f>
        <v>NO</v>
      </c>
      <c r="D2100" s="4" t="str">
        <f>_xlfn.XLOOKUP(A2100,[1]!DadosGHD[CD_GEOCMU],[1]!DadosGHD[uf])</f>
        <v>AC</v>
      </c>
      <c r="E2100" s="5" t="str">
        <f>_xlfn.XLOOKUP(A2100,[1]!DadosGHD[CD_GEOCMU],[1]!DadosGHD[MUNICIPIO])</f>
        <v>EPITACIOLANDIA</v>
      </c>
      <c r="F2100" s="6">
        <v>38.617511749267599</v>
      </c>
      <c r="G2100" s="6">
        <v>33.8432807922363</v>
      </c>
      <c r="H2100" s="6">
        <v>33.876628875732401</v>
      </c>
      <c r="I2100" s="6">
        <v>33.858547210693402</v>
      </c>
      <c r="J2100" s="6">
        <v>38.753589630127003</v>
      </c>
      <c r="K2100" s="6">
        <v>43.790138244628899</v>
      </c>
      <c r="L2100" s="6">
        <v>57.530738830566399</v>
      </c>
    </row>
    <row r="2101" spans="1:12" x14ac:dyDescent="0.25">
      <c r="A2101">
        <v>4218251</v>
      </c>
      <c r="B2101" t="str">
        <f t="shared" si="32"/>
        <v>TIMBO GRANDE, SC, Brasil</v>
      </c>
      <c r="C2101" s="4" t="str">
        <f>_xlfn.XLOOKUP(A2101,[1]!DadosGHD[CD_GEOCMU],[1]!DadosGHD[Região])</f>
        <v>SL</v>
      </c>
      <c r="D2101" s="4" t="str">
        <f>_xlfn.XLOOKUP(A2101,[1]!DadosGHD[CD_GEOCMU],[1]!DadosGHD[uf])</f>
        <v>SC</v>
      </c>
      <c r="E2101" s="5" t="str">
        <f>_xlfn.XLOOKUP(A2101,[1]!DadosGHD[CD_GEOCMU],[1]!DadosGHD[MUNICIPIO])</f>
        <v>TIMBO GRANDE</v>
      </c>
      <c r="F2101" s="6">
        <v>38.61767578125</v>
      </c>
      <c r="G2101" s="6">
        <v>33.808547973632798</v>
      </c>
      <c r="H2101" s="6">
        <v>38.744842529296903</v>
      </c>
      <c r="I2101" s="6">
        <v>38.781272888183601</v>
      </c>
      <c r="J2101" s="6">
        <v>38.792190551757798</v>
      </c>
      <c r="K2101" s="6">
        <v>38.831138610839801</v>
      </c>
      <c r="L2101" s="6">
        <v>39.576656341552699</v>
      </c>
    </row>
    <row r="2102" spans="1:12" x14ac:dyDescent="0.25">
      <c r="A2102">
        <v>2918456</v>
      </c>
      <c r="B2102" t="str">
        <f t="shared" si="32"/>
        <v>JUCURUCU, BA, Brasil</v>
      </c>
      <c r="C2102" s="4" t="str">
        <f>_xlfn.XLOOKUP(A2102,[1]!DadosGHD[CD_GEOCMU],[1]!DadosGHD[Região])</f>
        <v>NE</v>
      </c>
      <c r="D2102" s="4" t="str">
        <f>_xlfn.XLOOKUP(A2102,[1]!DadosGHD[CD_GEOCMU],[1]!DadosGHD[uf])</f>
        <v>BA</v>
      </c>
      <c r="E2102" s="5" t="str">
        <f>_xlfn.XLOOKUP(A2102,[1]!DadosGHD[CD_GEOCMU],[1]!DadosGHD[MUNICIPIO])</f>
        <v>JUCURUCU</v>
      </c>
      <c r="F2102" s="6">
        <v>38.617813110351598</v>
      </c>
      <c r="G2102" s="6">
        <v>33.826347351074197</v>
      </c>
      <c r="H2102" s="6">
        <v>33.892776489257798</v>
      </c>
      <c r="I2102" s="6">
        <v>33.849735260009801</v>
      </c>
      <c r="J2102" s="6">
        <v>33.8362007141113</v>
      </c>
      <c r="K2102" s="6">
        <v>33.874904632568402</v>
      </c>
      <c r="L2102" s="6">
        <v>30.695756912231399</v>
      </c>
    </row>
    <row r="2103" spans="1:12" x14ac:dyDescent="0.25">
      <c r="A2103">
        <v>3127339</v>
      </c>
      <c r="B2103" t="str">
        <f t="shared" si="32"/>
        <v>GAMELEIRAS, MG, Brasil</v>
      </c>
      <c r="C2103" s="4" t="str">
        <f>_xlfn.XLOOKUP(A2103,[1]!DadosGHD[CD_GEOCMU],[1]!DadosGHD[Região])</f>
        <v>SD</v>
      </c>
      <c r="D2103" s="4" t="str">
        <f>_xlfn.XLOOKUP(A2103,[1]!DadosGHD[CD_GEOCMU],[1]!DadosGHD[uf])</f>
        <v>MG</v>
      </c>
      <c r="E2103" s="5" t="str">
        <f>_xlfn.XLOOKUP(A2103,[1]!DadosGHD[CD_GEOCMU],[1]!DadosGHD[MUNICIPIO])</f>
        <v>GAMELEIRAS</v>
      </c>
      <c r="F2103" s="6">
        <v>38.617881774902301</v>
      </c>
      <c r="G2103" s="6">
        <v>33.829196929931598</v>
      </c>
      <c r="H2103" s="6">
        <v>33.871120452880902</v>
      </c>
      <c r="I2103" s="6">
        <v>33.849063873291001</v>
      </c>
      <c r="J2103" s="6">
        <v>33.866020202636697</v>
      </c>
      <c r="K2103" s="6">
        <v>33.897163391113303</v>
      </c>
      <c r="L2103" s="6">
        <v>26.2972106933594</v>
      </c>
    </row>
    <row r="2104" spans="1:12" x14ac:dyDescent="0.25">
      <c r="A2104">
        <v>2503605</v>
      </c>
      <c r="B2104" t="str">
        <f t="shared" si="32"/>
        <v>CAICARA, PB, Brasil</v>
      </c>
      <c r="C2104" s="4" t="str">
        <f>_xlfn.XLOOKUP(A2104,[1]!DadosGHD[CD_GEOCMU],[1]!DadosGHD[Região])</f>
        <v>NE</v>
      </c>
      <c r="D2104" s="4" t="str">
        <f>_xlfn.XLOOKUP(A2104,[1]!DadosGHD[CD_GEOCMU],[1]!DadosGHD[uf])</f>
        <v>PB</v>
      </c>
      <c r="E2104" s="5" t="str">
        <f>_xlfn.XLOOKUP(A2104,[1]!DadosGHD[CD_GEOCMU],[1]!DadosGHD[MUNICIPIO])</f>
        <v>CAICARA</v>
      </c>
      <c r="F2104" s="6">
        <v>38.617897033691399</v>
      </c>
      <c r="G2104" s="6">
        <v>38.760009765625</v>
      </c>
      <c r="H2104" s="6">
        <v>38.808807373046903</v>
      </c>
      <c r="I2104" s="6">
        <v>38.812656402587898</v>
      </c>
      <c r="J2104" s="6">
        <v>43.713211059570298</v>
      </c>
      <c r="K2104" s="6">
        <v>33.897495269775398</v>
      </c>
      <c r="L2104" s="6">
        <v>26.2952880859375</v>
      </c>
    </row>
    <row r="2105" spans="1:12" x14ac:dyDescent="0.25">
      <c r="A2105">
        <v>2403806</v>
      </c>
      <c r="B2105" t="str">
        <f t="shared" si="32"/>
        <v>FLORANIA, RN, Brasil</v>
      </c>
      <c r="C2105" s="4" t="str">
        <f>_xlfn.XLOOKUP(A2105,[1]!DadosGHD[CD_GEOCMU],[1]!DadosGHD[Região])</f>
        <v>NE</v>
      </c>
      <c r="D2105" s="4" t="str">
        <f>_xlfn.XLOOKUP(A2105,[1]!DadosGHD[CD_GEOCMU],[1]!DadosGHD[uf])</f>
        <v>RN</v>
      </c>
      <c r="E2105" s="5" t="str">
        <f>_xlfn.XLOOKUP(A2105,[1]!DadosGHD[CD_GEOCMU],[1]!DadosGHD[MUNICIPIO])</f>
        <v>FLORANIA</v>
      </c>
      <c r="F2105" s="6">
        <v>38.617916107177699</v>
      </c>
      <c r="G2105" s="6">
        <v>38.704265594482401</v>
      </c>
      <c r="H2105" s="6">
        <v>33.882396697998097</v>
      </c>
      <c r="I2105" s="6">
        <v>33.8643188476563</v>
      </c>
      <c r="J2105" s="6">
        <v>33.879844665527301</v>
      </c>
      <c r="K2105" s="6">
        <v>33.8987007141113</v>
      </c>
      <c r="L2105" s="6">
        <v>39.602481842041001</v>
      </c>
    </row>
    <row r="2106" spans="1:12" x14ac:dyDescent="0.25">
      <c r="A2106">
        <v>2400109</v>
      </c>
      <c r="B2106" t="str">
        <f t="shared" si="32"/>
        <v>ACARI, RN, Brasil</v>
      </c>
      <c r="C2106" s="4" t="str">
        <f>_xlfn.XLOOKUP(A2106,[1]!DadosGHD[CD_GEOCMU],[1]!DadosGHD[Região])</f>
        <v>NE</v>
      </c>
      <c r="D2106" s="4" t="str">
        <f>_xlfn.XLOOKUP(A2106,[1]!DadosGHD[CD_GEOCMU],[1]!DadosGHD[uf])</f>
        <v>RN</v>
      </c>
      <c r="E2106" s="5" t="str">
        <f>_xlfn.XLOOKUP(A2106,[1]!DadosGHD[CD_GEOCMU],[1]!DadosGHD[MUNICIPIO])</f>
        <v>ACARI</v>
      </c>
      <c r="F2106" s="6">
        <v>38.617923736572301</v>
      </c>
      <c r="G2106" s="6">
        <v>33.844051361083999</v>
      </c>
      <c r="H2106" s="6">
        <v>33.811458587646499</v>
      </c>
      <c r="I2106" s="6">
        <v>33.810691833496101</v>
      </c>
      <c r="J2106" s="6">
        <v>33.845157623291001</v>
      </c>
      <c r="K2106" s="6">
        <v>33.919868469238303</v>
      </c>
      <c r="L2106" s="6">
        <v>39.583770751953097</v>
      </c>
    </row>
    <row r="2107" spans="1:12" x14ac:dyDescent="0.25">
      <c r="A2107">
        <v>2502706</v>
      </c>
      <c r="B2107" t="str">
        <f t="shared" si="32"/>
        <v>BORBOREMA, PB, Brasil</v>
      </c>
      <c r="C2107" s="4" t="str">
        <f>_xlfn.XLOOKUP(A2107,[1]!DadosGHD[CD_GEOCMU],[1]!DadosGHD[Região])</f>
        <v>NE</v>
      </c>
      <c r="D2107" s="4" t="str">
        <f>_xlfn.XLOOKUP(A2107,[1]!DadosGHD[CD_GEOCMU],[1]!DadosGHD[uf])</f>
        <v>PB</v>
      </c>
      <c r="E2107" s="5" t="str">
        <f>_xlfn.XLOOKUP(A2107,[1]!DadosGHD[CD_GEOCMU],[1]!DadosGHD[MUNICIPIO])</f>
        <v>BORBOREMA</v>
      </c>
      <c r="F2107" s="6">
        <v>38.618141174316399</v>
      </c>
      <c r="G2107" s="6">
        <v>33.827175140380902</v>
      </c>
      <c r="H2107" s="6">
        <v>33.863407135009801</v>
      </c>
      <c r="I2107" s="6">
        <v>33.844314575195298</v>
      </c>
      <c r="J2107" s="6">
        <v>33.8601684570313</v>
      </c>
      <c r="K2107" s="6">
        <v>33.8901557922363</v>
      </c>
      <c r="L2107" s="6">
        <v>26.2798957824707</v>
      </c>
    </row>
    <row r="2108" spans="1:12" x14ac:dyDescent="0.25">
      <c r="A2108">
        <v>3165206</v>
      </c>
      <c r="B2108" t="str">
        <f t="shared" si="32"/>
        <v>SAO THOME DAS LETRAS, MG, Brasil</v>
      </c>
      <c r="C2108" s="4" t="str">
        <f>_xlfn.XLOOKUP(A2108,[1]!DadosGHD[CD_GEOCMU],[1]!DadosGHD[Região])</f>
        <v>SD</v>
      </c>
      <c r="D2108" s="4" t="str">
        <f>_xlfn.XLOOKUP(A2108,[1]!DadosGHD[CD_GEOCMU],[1]!DadosGHD[uf])</f>
        <v>MG</v>
      </c>
      <c r="E2108" s="5" t="str">
        <f>_xlfn.XLOOKUP(A2108,[1]!DadosGHD[CD_GEOCMU],[1]!DadosGHD[MUNICIPIO])</f>
        <v>SAO THOME DAS LETRAS</v>
      </c>
      <c r="F2108" s="6">
        <v>38.618186950683601</v>
      </c>
      <c r="G2108" s="6">
        <v>38.701713562011697</v>
      </c>
      <c r="H2108" s="6">
        <v>33.883377075195298</v>
      </c>
      <c r="I2108" s="6">
        <v>33.8547973632813</v>
      </c>
      <c r="J2108" s="6">
        <v>33.879913330078097</v>
      </c>
      <c r="K2108" s="6">
        <v>38.868839263916001</v>
      </c>
      <c r="L2108" s="6">
        <v>52.985828399658203</v>
      </c>
    </row>
    <row r="2109" spans="1:12" x14ac:dyDescent="0.25">
      <c r="A2109">
        <v>1505031</v>
      </c>
      <c r="B2109" t="str">
        <f t="shared" si="32"/>
        <v>NOVO PROGRESSO, PA, Brasil</v>
      </c>
      <c r="C2109" s="4" t="str">
        <f>_xlfn.XLOOKUP(A2109,[1]!DadosGHD[CD_GEOCMU],[1]!DadosGHD[Região])</f>
        <v>NO</v>
      </c>
      <c r="D2109" s="4" t="str">
        <f>_xlfn.XLOOKUP(A2109,[1]!DadosGHD[CD_GEOCMU],[1]!DadosGHD[uf])</f>
        <v>PA</v>
      </c>
      <c r="E2109" s="5" t="str">
        <f>_xlfn.XLOOKUP(A2109,[1]!DadosGHD[CD_GEOCMU],[1]!DadosGHD[MUNICIPIO])</f>
        <v>NOVO PROGRESSO</v>
      </c>
      <c r="F2109" s="6">
        <v>38.6185493469238</v>
      </c>
      <c r="G2109" s="6">
        <v>38.707370758056598</v>
      </c>
      <c r="H2109" s="6">
        <v>38.749473571777301</v>
      </c>
      <c r="I2109" s="6">
        <v>38.730598449707003</v>
      </c>
      <c r="J2109" s="6">
        <v>38.762001037597699</v>
      </c>
      <c r="K2109" s="6">
        <v>48.7790718078613</v>
      </c>
      <c r="L2109" s="6">
        <v>30.722284317016602</v>
      </c>
    </row>
    <row r="2110" spans="1:12" x14ac:dyDescent="0.25">
      <c r="A2110">
        <v>4319737</v>
      </c>
      <c r="B2110" t="str">
        <f t="shared" si="32"/>
        <v>SAO VALERIO DO SUL, RS, Brasil</v>
      </c>
      <c r="C2110" s="4" t="str">
        <f>_xlfn.XLOOKUP(A2110,[1]!DadosGHD[CD_GEOCMU],[1]!DadosGHD[Região])</f>
        <v>SL</v>
      </c>
      <c r="D2110" s="4" t="str">
        <f>_xlfn.XLOOKUP(A2110,[1]!DadosGHD[CD_GEOCMU],[1]!DadosGHD[uf])</f>
        <v>RS</v>
      </c>
      <c r="E2110" s="5" t="str">
        <f>_xlfn.XLOOKUP(A2110,[1]!DadosGHD[CD_GEOCMU],[1]!DadosGHD[MUNICIPIO])</f>
        <v>SAO VALERIO DO SUL</v>
      </c>
      <c r="F2110" s="6">
        <v>38.618556976318402</v>
      </c>
      <c r="G2110" s="6">
        <v>43.678131103515597</v>
      </c>
      <c r="H2110" s="6">
        <v>38.765815734863303</v>
      </c>
      <c r="I2110" s="6">
        <v>38.741016387939503</v>
      </c>
      <c r="J2110" s="6">
        <v>38.761096954345703</v>
      </c>
      <c r="K2110" s="6">
        <v>38.838443756103501</v>
      </c>
      <c r="L2110" s="6">
        <v>35.1261596679688</v>
      </c>
    </row>
    <row r="2111" spans="1:12" x14ac:dyDescent="0.25">
      <c r="A2111">
        <v>3516804</v>
      </c>
      <c r="B2111" t="str">
        <f t="shared" si="32"/>
        <v>GASTAO VIDIGAL, SP, Brasil</v>
      </c>
      <c r="C2111" s="4" t="str">
        <f>_xlfn.XLOOKUP(A2111,[1]!DadosGHD[CD_GEOCMU],[1]!DadosGHD[Região])</f>
        <v>SD</v>
      </c>
      <c r="D2111" s="4" t="str">
        <f>_xlfn.XLOOKUP(A2111,[1]!DadosGHD[CD_GEOCMU],[1]!DadosGHD[uf])</f>
        <v>SP</v>
      </c>
      <c r="E2111" s="5" t="str">
        <f>_xlfn.XLOOKUP(A2111,[1]!DadosGHD[CD_GEOCMU],[1]!DadosGHD[MUNICIPIO])</f>
        <v>GASTAO VIDIGAL</v>
      </c>
      <c r="F2111" s="6">
        <v>38.618610382080099</v>
      </c>
      <c r="G2111" s="6">
        <v>38.719749450683601</v>
      </c>
      <c r="H2111" s="6">
        <v>38.757286071777301</v>
      </c>
      <c r="I2111" s="6">
        <v>33.872180938720703</v>
      </c>
      <c r="J2111" s="6">
        <v>33.873344421386697</v>
      </c>
      <c r="K2111" s="6">
        <v>33.883743286132798</v>
      </c>
      <c r="L2111" s="6">
        <v>30.6933994293213</v>
      </c>
    </row>
    <row r="2112" spans="1:12" x14ac:dyDescent="0.25">
      <c r="A2112">
        <v>1505536</v>
      </c>
      <c r="B2112" t="str">
        <f t="shared" si="32"/>
        <v>PARAUAPEBAS, PA, Brasil</v>
      </c>
      <c r="C2112" s="4" t="str">
        <f>_xlfn.XLOOKUP(A2112,[1]!DadosGHD[CD_GEOCMU],[1]!DadosGHD[Região])</f>
        <v>NO</v>
      </c>
      <c r="D2112" s="4" t="str">
        <f>_xlfn.XLOOKUP(A2112,[1]!DadosGHD[CD_GEOCMU],[1]!DadosGHD[uf])</f>
        <v>PA</v>
      </c>
      <c r="E2112" s="5" t="str">
        <f>_xlfn.XLOOKUP(A2112,[1]!DadosGHD[CD_GEOCMU],[1]!DadosGHD[MUNICIPIO])</f>
        <v>PARAUAPEBAS</v>
      </c>
      <c r="F2112" s="6">
        <v>38.618740081787102</v>
      </c>
      <c r="G2112" s="6">
        <v>38.702018737792997</v>
      </c>
      <c r="H2112" s="6">
        <v>38.771156311035199</v>
      </c>
      <c r="I2112" s="6">
        <v>38.780616760253899</v>
      </c>
      <c r="J2112" s="6">
        <v>38.799644470214801</v>
      </c>
      <c r="K2112" s="6">
        <v>38.880290985107401</v>
      </c>
      <c r="L2112" s="6">
        <v>39.584091186523402</v>
      </c>
    </row>
    <row r="2113" spans="1:12" x14ac:dyDescent="0.25">
      <c r="A2113">
        <v>3158102</v>
      </c>
      <c r="B2113" t="str">
        <f t="shared" si="32"/>
        <v>SANTA MARIA DO SALTO, MG, Brasil</v>
      </c>
      <c r="C2113" s="4" t="str">
        <f>_xlfn.XLOOKUP(A2113,[1]!DadosGHD[CD_GEOCMU],[1]!DadosGHD[Região])</f>
        <v>SD</v>
      </c>
      <c r="D2113" s="4" t="str">
        <f>_xlfn.XLOOKUP(A2113,[1]!DadosGHD[CD_GEOCMU],[1]!DadosGHD[uf])</f>
        <v>MG</v>
      </c>
      <c r="E2113" s="5" t="str">
        <f>_xlfn.XLOOKUP(A2113,[1]!DadosGHD[CD_GEOCMU],[1]!DadosGHD[MUNICIPIO])</f>
        <v>SANTA MARIA DO SALTO</v>
      </c>
      <c r="F2113" s="6">
        <v>38.618766784667997</v>
      </c>
      <c r="G2113" s="6">
        <v>38.770313262939503</v>
      </c>
      <c r="H2113" s="6">
        <v>38.815956115722699</v>
      </c>
      <c r="I2113" s="6">
        <v>38.790176391601598</v>
      </c>
      <c r="J2113" s="6">
        <v>38.809776306152301</v>
      </c>
      <c r="K2113" s="6">
        <v>38.845672607421903</v>
      </c>
      <c r="L2113" s="6">
        <v>30.706892013549801</v>
      </c>
    </row>
    <row r="2114" spans="1:12" x14ac:dyDescent="0.25">
      <c r="A2114">
        <v>2409704</v>
      </c>
      <c r="B2114" t="str">
        <f t="shared" si="32"/>
        <v>PEDRO AVELINO, RN, Brasil</v>
      </c>
      <c r="C2114" s="4" t="str">
        <f>_xlfn.XLOOKUP(A2114,[1]!DadosGHD[CD_GEOCMU],[1]!DadosGHD[Região])</f>
        <v>NE</v>
      </c>
      <c r="D2114" s="4" t="str">
        <f>_xlfn.XLOOKUP(A2114,[1]!DadosGHD[CD_GEOCMU],[1]!DadosGHD[uf])</f>
        <v>RN</v>
      </c>
      <c r="E2114" s="5" t="str">
        <f>_xlfn.XLOOKUP(A2114,[1]!DadosGHD[CD_GEOCMU],[1]!DadosGHD[MUNICIPIO])</f>
        <v>PEDRO AVELINO</v>
      </c>
      <c r="F2114" s="6">
        <v>38.618968963623097</v>
      </c>
      <c r="G2114" s="6">
        <v>38.761669158935597</v>
      </c>
      <c r="H2114" s="6">
        <v>38.754474639892599</v>
      </c>
      <c r="I2114" s="6">
        <v>33.811012268066399</v>
      </c>
      <c r="J2114" s="6">
        <v>33.830394744873097</v>
      </c>
      <c r="K2114" s="6">
        <v>33.861610412597699</v>
      </c>
      <c r="L2114" s="6">
        <v>26.288957595825199</v>
      </c>
    </row>
    <row r="2115" spans="1:12" x14ac:dyDescent="0.25">
      <c r="A2115">
        <v>2402808</v>
      </c>
      <c r="B2115" t="str">
        <f t="shared" si="32"/>
        <v>CORONEL EZEQUIEL, RN, Brasil</v>
      </c>
      <c r="C2115" s="4" t="str">
        <f>_xlfn.XLOOKUP(A2115,[1]!DadosGHD[CD_GEOCMU],[1]!DadosGHD[Região])</f>
        <v>NE</v>
      </c>
      <c r="D2115" s="4" t="str">
        <f>_xlfn.XLOOKUP(A2115,[1]!DadosGHD[CD_GEOCMU],[1]!DadosGHD[uf])</f>
        <v>RN</v>
      </c>
      <c r="E2115" s="5" t="str">
        <f>_xlfn.XLOOKUP(A2115,[1]!DadosGHD[CD_GEOCMU],[1]!DadosGHD[MUNICIPIO])</f>
        <v>CORONEL EZEQUIEL</v>
      </c>
      <c r="F2115" s="6">
        <v>38.618980407714801</v>
      </c>
      <c r="G2115" s="6">
        <v>33.834865570068402</v>
      </c>
      <c r="H2115" s="6">
        <v>33.884529113769503</v>
      </c>
      <c r="I2115" s="6">
        <v>33.845920562744098</v>
      </c>
      <c r="J2115" s="6">
        <v>33.854011535644503</v>
      </c>
      <c r="K2115" s="6">
        <v>33.884731292724602</v>
      </c>
      <c r="L2115" s="6">
        <v>30.695156097412099</v>
      </c>
    </row>
    <row r="2116" spans="1:12" x14ac:dyDescent="0.25">
      <c r="A2116">
        <v>3150307</v>
      </c>
      <c r="B2116" t="str">
        <f t="shared" ref="B2116:B2179" si="33">_xlfn.CONCAT(E2116, ", ", D2116, ", Brasil")</f>
        <v>PIEDADE DO RIO GRANDE, MG, Brasil</v>
      </c>
      <c r="C2116" s="4" t="str">
        <f>_xlfn.XLOOKUP(A2116,[1]!DadosGHD[CD_GEOCMU],[1]!DadosGHD[Região])</f>
        <v>SD</v>
      </c>
      <c r="D2116" s="4" t="str">
        <f>_xlfn.XLOOKUP(A2116,[1]!DadosGHD[CD_GEOCMU],[1]!DadosGHD[uf])</f>
        <v>MG</v>
      </c>
      <c r="E2116" s="5" t="str">
        <f>_xlfn.XLOOKUP(A2116,[1]!DadosGHD[CD_GEOCMU],[1]!DadosGHD[MUNICIPIO])</f>
        <v>PIEDADE DO RIO GRANDE</v>
      </c>
      <c r="F2116" s="6">
        <v>38.619155883789098</v>
      </c>
      <c r="G2116" s="6">
        <v>38.736900329589801</v>
      </c>
      <c r="H2116" s="6">
        <v>33.845851898193402</v>
      </c>
      <c r="I2116" s="6">
        <v>38.803443908691399</v>
      </c>
      <c r="J2116" s="6">
        <v>43.715930938720703</v>
      </c>
      <c r="K2116" s="6">
        <v>43.779281616210902</v>
      </c>
      <c r="L2116" s="6">
        <v>44.079368591308601</v>
      </c>
    </row>
    <row r="2117" spans="1:12" x14ac:dyDescent="0.25">
      <c r="A2117">
        <v>4315172</v>
      </c>
      <c r="B2117" t="str">
        <f t="shared" si="33"/>
        <v>PROTASIO ALVES, RS, Brasil</v>
      </c>
      <c r="C2117" s="4" t="str">
        <f>_xlfn.XLOOKUP(A2117,[1]!DadosGHD[CD_GEOCMU],[1]!DadosGHD[Região])</f>
        <v>SL</v>
      </c>
      <c r="D2117" s="4" t="str">
        <f>_xlfn.XLOOKUP(A2117,[1]!DadosGHD[CD_GEOCMU],[1]!DadosGHD[uf])</f>
        <v>RS</v>
      </c>
      <c r="E2117" s="5" t="str">
        <f>_xlfn.XLOOKUP(A2117,[1]!DadosGHD[CD_GEOCMU],[1]!DadosGHD[MUNICIPIO])</f>
        <v>PROTASIO ALVES</v>
      </c>
      <c r="F2117" s="6">
        <v>38.619171142578097</v>
      </c>
      <c r="G2117" s="6">
        <v>48.665374755859403</v>
      </c>
      <c r="H2117" s="6">
        <v>48.837757110595703</v>
      </c>
      <c r="I2117" s="6">
        <v>53.832008361816399</v>
      </c>
      <c r="J2117" s="6">
        <v>53.866764068603501</v>
      </c>
      <c r="K2117" s="6">
        <v>53.954051971435597</v>
      </c>
      <c r="L2117" s="6">
        <v>53.065986633300803</v>
      </c>
    </row>
    <row r="2118" spans="1:12" x14ac:dyDescent="0.25">
      <c r="A2118">
        <v>4301925</v>
      </c>
      <c r="B2118" t="str">
        <f t="shared" si="33"/>
        <v>BARRA DO RIO AZUL, RS, Brasil</v>
      </c>
      <c r="C2118" s="4" t="str">
        <f>_xlfn.XLOOKUP(A2118,[1]!DadosGHD[CD_GEOCMU],[1]!DadosGHD[Região])</f>
        <v>SL</v>
      </c>
      <c r="D2118" s="4" t="str">
        <f>_xlfn.XLOOKUP(A2118,[1]!DadosGHD[CD_GEOCMU],[1]!DadosGHD[uf])</f>
        <v>RS</v>
      </c>
      <c r="E2118" s="5" t="str">
        <f>_xlfn.XLOOKUP(A2118,[1]!DadosGHD[CD_GEOCMU],[1]!DadosGHD[MUNICIPIO])</f>
        <v>BARRA DO RIO AZUL</v>
      </c>
      <c r="F2118" s="6">
        <v>38.619171142578097</v>
      </c>
      <c r="G2118" s="6">
        <v>48.665374755859403</v>
      </c>
      <c r="H2118" s="6">
        <v>48.727245330810597</v>
      </c>
      <c r="I2118" s="6">
        <v>48.695926666259801</v>
      </c>
      <c r="J2118" s="6">
        <v>48.737953186035199</v>
      </c>
      <c r="K2118" s="6">
        <v>48.787796020507798</v>
      </c>
      <c r="L2118" s="6">
        <v>39.560546875</v>
      </c>
    </row>
    <row r="2119" spans="1:12" x14ac:dyDescent="0.25">
      <c r="A2119">
        <v>4314134</v>
      </c>
      <c r="B2119" t="str">
        <f t="shared" si="33"/>
        <v>PAULO BENTO, RS, Brasil</v>
      </c>
      <c r="C2119" s="4" t="str">
        <f>_xlfn.XLOOKUP(A2119,[1]!DadosGHD[CD_GEOCMU],[1]!DadosGHD[Região])</f>
        <v>SL</v>
      </c>
      <c r="D2119" s="4" t="str">
        <f>_xlfn.XLOOKUP(A2119,[1]!DadosGHD[CD_GEOCMU],[1]!DadosGHD[uf])</f>
        <v>RS</v>
      </c>
      <c r="E2119" s="5" t="str">
        <f>_xlfn.XLOOKUP(A2119,[1]!DadosGHD[CD_GEOCMU],[1]!DadosGHD[MUNICIPIO])</f>
        <v>PAULO BENTO</v>
      </c>
      <c r="F2119" s="6">
        <v>38.619171142578097</v>
      </c>
      <c r="G2119" s="6">
        <v>48.665374755859403</v>
      </c>
      <c r="H2119" s="6">
        <v>48.727245330810597</v>
      </c>
      <c r="I2119" s="6">
        <v>48.695926666259801</v>
      </c>
      <c r="J2119" s="6">
        <v>48.716281890869098</v>
      </c>
      <c r="K2119" s="6">
        <v>48.779739379882798</v>
      </c>
      <c r="L2119" s="6">
        <v>44.022987365722699</v>
      </c>
    </row>
    <row r="2120" spans="1:12" x14ac:dyDescent="0.25">
      <c r="A2120">
        <v>4302055</v>
      </c>
      <c r="B2120" t="str">
        <f t="shared" si="33"/>
        <v>BENJAMIN CONSTANT DO SUL, RS, Brasil</v>
      </c>
      <c r="C2120" s="4" t="str">
        <f>_xlfn.XLOOKUP(A2120,[1]!DadosGHD[CD_GEOCMU],[1]!DadosGHD[Região])</f>
        <v>SL</v>
      </c>
      <c r="D2120" s="4" t="str">
        <f>_xlfn.XLOOKUP(A2120,[1]!DadosGHD[CD_GEOCMU],[1]!DadosGHD[uf])</f>
        <v>RS</v>
      </c>
      <c r="E2120" s="5" t="str">
        <f>_xlfn.XLOOKUP(A2120,[1]!DadosGHD[CD_GEOCMU],[1]!DadosGHD[MUNICIPIO])</f>
        <v>BENJAMIN CONSTANT DO SUL</v>
      </c>
      <c r="F2120" s="6">
        <v>38.619171142578097</v>
      </c>
      <c r="G2120" s="6">
        <v>48.665374755859403</v>
      </c>
      <c r="H2120" s="6">
        <v>48.8598022460938</v>
      </c>
      <c r="I2120" s="6">
        <v>53.710487365722699</v>
      </c>
      <c r="J2120" s="6">
        <v>53.734569549560597</v>
      </c>
      <c r="K2120" s="6">
        <v>48.8988037109375</v>
      </c>
      <c r="L2120" s="6">
        <v>39.567440032958999</v>
      </c>
    </row>
    <row r="2121" spans="1:12" x14ac:dyDescent="0.25">
      <c r="A2121">
        <v>4304622</v>
      </c>
      <c r="B2121" t="str">
        <f t="shared" si="33"/>
        <v>CAPAO BONITO DO SUL, RS, Brasil</v>
      </c>
      <c r="C2121" s="4" t="str">
        <f>_xlfn.XLOOKUP(A2121,[1]!DadosGHD[CD_GEOCMU],[1]!DadosGHD[Região])</f>
        <v>SL</v>
      </c>
      <c r="D2121" s="4" t="str">
        <f>_xlfn.XLOOKUP(A2121,[1]!DadosGHD[CD_GEOCMU],[1]!DadosGHD[uf])</f>
        <v>RS</v>
      </c>
      <c r="E2121" s="5" t="str">
        <f>_xlfn.XLOOKUP(A2121,[1]!DadosGHD[CD_GEOCMU],[1]!DadosGHD[MUNICIPIO])</f>
        <v>CAPAO BONITO DO SUL</v>
      </c>
      <c r="F2121" s="6">
        <v>38.619171142578097</v>
      </c>
      <c r="G2121" s="6">
        <v>38.719383239746101</v>
      </c>
      <c r="H2121" s="6">
        <v>38.767951965332003</v>
      </c>
      <c r="I2121" s="6">
        <v>38.752738952636697</v>
      </c>
      <c r="J2121" s="6">
        <v>38.772251129150398</v>
      </c>
      <c r="K2121" s="6">
        <v>38.798622131347699</v>
      </c>
      <c r="L2121" s="6">
        <v>30.7020263671875</v>
      </c>
    </row>
    <row r="2122" spans="1:12" x14ac:dyDescent="0.25">
      <c r="A2122">
        <v>4314464</v>
      </c>
      <c r="B2122" t="str">
        <f t="shared" si="33"/>
        <v>PINHAL DA SERRA, RS, Brasil</v>
      </c>
      <c r="C2122" s="4" t="str">
        <f>_xlfn.XLOOKUP(A2122,[1]!DadosGHD[CD_GEOCMU],[1]!DadosGHD[Região])</f>
        <v>SL</v>
      </c>
      <c r="D2122" s="4" t="str">
        <f>_xlfn.XLOOKUP(A2122,[1]!DadosGHD[CD_GEOCMU],[1]!DadosGHD[uf])</f>
        <v>RS</v>
      </c>
      <c r="E2122" s="5" t="str">
        <f>_xlfn.XLOOKUP(A2122,[1]!DadosGHD[CD_GEOCMU],[1]!DadosGHD[MUNICIPIO])</f>
        <v>PINHAL DA SERRA</v>
      </c>
      <c r="F2122" s="6">
        <v>38.619171142578097</v>
      </c>
      <c r="G2122" s="6">
        <v>38.719383239746101</v>
      </c>
      <c r="H2122" s="6">
        <v>38.768417358398402</v>
      </c>
      <c r="I2122" s="6">
        <v>48.716365814208999</v>
      </c>
      <c r="J2122" s="6">
        <v>48.760963439941399</v>
      </c>
      <c r="K2122" s="6">
        <v>48.7630615234375</v>
      </c>
      <c r="L2122" s="6">
        <v>44.066150665283203</v>
      </c>
    </row>
    <row r="2123" spans="1:12" x14ac:dyDescent="0.25">
      <c r="A2123">
        <v>4306759</v>
      </c>
      <c r="B2123" t="str">
        <f t="shared" si="33"/>
        <v>DOUTOR RICARDO, RS, Brasil</v>
      </c>
      <c r="C2123" s="4" t="str">
        <f>_xlfn.XLOOKUP(A2123,[1]!DadosGHD[CD_GEOCMU],[1]!DadosGHD[Região])</f>
        <v>SL</v>
      </c>
      <c r="D2123" s="4" t="str">
        <f>_xlfn.XLOOKUP(A2123,[1]!DadosGHD[CD_GEOCMU],[1]!DadosGHD[uf])</f>
        <v>RS</v>
      </c>
      <c r="E2123" s="5" t="str">
        <f>_xlfn.XLOOKUP(A2123,[1]!DadosGHD[CD_GEOCMU],[1]!DadosGHD[MUNICIPIO])</f>
        <v>DOUTOR RICARDO</v>
      </c>
      <c r="F2123" s="6">
        <v>38.619171142578097</v>
      </c>
      <c r="G2123" s="6">
        <v>48.665374755859403</v>
      </c>
      <c r="H2123" s="6">
        <v>48.727245330810597</v>
      </c>
      <c r="I2123" s="6">
        <v>48.695926666259801</v>
      </c>
      <c r="J2123" s="6">
        <v>48.716281890869098</v>
      </c>
      <c r="K2123" s="6">
        <v>48.7630615234375</v>
      </c>
      <c r="L2123" s="6">
        <v>35.140827178955099</v>
      </c>
    </row>
    <row r="2124" spans="1:12" x14ac:dyDescent="0.25">
      <c r="A2124">
        <v>3115607</v>
      </c>
      <c r="B2124" t="str">
        <f t="shared" si="33"/>
        <v>CEDRO DO ABAETE, MG, Brasil</v>
      </c>
      <c r="C2124" s="4" t="str">
        <f>_xlfn.XLOOKUP(A2124,[1]!DadosGHD[CD_GEOCMU],[1]!DadosGHD[Região])</f>
        <v>SD</v>
      </c>
      <c r="D2124" s="4" t="str">
        <f>_xlfn.XLOOKUP(A2124,[1]!DadosGHD[CD_GEOCMU],[1]!DadosGHD[uf])</f>
        <v>MG</v>
      </c>
      <c r="E2124" s="5" t="str">
        <f>_xlfn.XLOOKUP(A2124,[1]!DadosGHD[CD_GEOCMU],[1]!DadosGHD[MUNICIPIO])</f>
        <v>CEDRO DO ABAETE</v>
      </c>
      <c r="F2124" s="6">
        <v>38.619171142578097</v>
      </c>
      <c r="G2124" s="6">
        <v>43.698005676269503</v>
      </c>
      <c r="H2124" s="6">
        <v>48.716564178466797</v>
      </c>
      <c r="I2124" s="6">
        <v>48.685592651367202</v>
      </c>
      <c r="J2124" s="6">
        <v>48.7038764953613</v>
      </c>
      <c r="K2124" s="6">
        <v>48.775070190429702</v>
      </c>
      <c r="L2124" s="6">
        <v>44.051628112792997</v>
      </c>
    </row>
    <row r="2125" spans="1:12" x14ac:dyDescent="0.25">
      <c r="A2125">
        <v>4319711</v>
      </c>
      <c r="B2125" t="str">
        <f t="shared" si="33"/>
        <v>SAO VALENTIM DO SUL, RS, Brasil</v>
      </c>
      <c r="C2125" s="4" t="str">
        <f>_xlfn.XLOOKUP(A2125,[1]!DadosGHD[CD_GEOCMU],[1]!DadosGHD[Região])</f>
        <v>SL</v>
      </c>
      <c r="D2125" s="4" t="str">
        <f>_xlfn.XLOOKUP(A2125,[1]!DadosGHD[CD_GEOCMU],[1]!DadosGHD[uf])</f>
        <v>RS</v>
      </c>
      <c r="E2125" s="5" t="str">
        <f>_xlfn.XLOOKUP(A2125,[1]!DadosGHD[CD_GEOCMU],[1]!DadosGHD[MUNICIPIO])</f>
        <v>SAO VALENTIM DO SUL</v>
      </c>
      <c r="F2125" s="6">
        <v>38.619171142578097</v>
      </c>
      <c r="G2125" s="6">
        <v>48.669422149658203</v>
      </c>
      <c r="H2125" s="6">
        <v>53.870025634765597</v>
      </c>
      <c r="I2125" s="6">
        <v>63.924186706542997</v>
      </c>
      <c r="J2125" s="6">
        <v>63.9471626281738</v>
      </c>
      <c r="K2125" s="6">
        <v>59.086124420166001</v>
      </c>
      <c r="L2125" s="6">
        <v>57.525367736816399</v>
      </c>
    </row>
    <row r="2126" spans="1:12" x14ac:dyDescent="0.25">
      <c r="A2126">
        <v>4205555</v>
      </c>
      <c r="B2126" t="str">
        <f t="shared" si="33"/>
        <v>FREI ROGERIO, SC, Brasil</v>
      </c>
      <c r="C2126" s="4" t="str">
        <f>_xlfn.XLOOKUP(A2126,[1]!DadosGHD[CD_GEOCMU],[1]!DadosGHD[Região])</f>
        <v>SL</v>
      </c>
      <c r="D2126" s="4" t="str">
        <f>_xlfn.XLOOKUP(A2126,[1]!DadosGHD[CD_GEOCMU],[1]!DadosGHD[uf])</f>
        <v>SC</v>
      </c>
      <c r="E2126" s="5" t="str">
        <f>_xlfn.XLOOKUP(A2126,[1]!DadosGHD[CD_GEOCMU],[1]!DadosGHD[MUNICIPIO])</f>
        <v>FREI ROGERIO</v>
      </c>
      <c r="F2126" s="6">
        <v>38.619171142578097</v>
      </c>
      <c r="G2126" s="6">
        <v>38.719383239746101</v>
      </c>
      <c r="H2126" s="6">
        <v>48.737770080566399</v>
      </c>
      <c r="I2126" s="6">
        <v>38.745597839355497</v>
      </c>
      <c r="J2126" s="6">
        <v>43.7514038085938</v>
      </c>
      <c r="K2126" s="6">
        <v>43.827297210693402</v>
      </c>
      <c r="L2126" s="6">
        <v>44.030937194824197</v>
      </c>
    </row>
    <row r="2127" spans="1:12" x14ac:dyDescent="0.25">
      <c r="A2127">
        <v>4322186</v>
      </c>
      <c r="B2127" t="str">
        <f t="shared" si="33"/>
        <v>TUPANCI DO SUL, RS, Brasil</v>
      </c>
      <c r="C2127" s="4" t="str">
        <f>_xlfn.XLOOKUP(A2127,[1]!DadosGHD[CD_GEOCMU],[1]!DadosGHD[Região])</f>
        <v>SL</v>
      </c>
      <c r="D2127" s="4" t="str">
        <f>_xlfn.XLOOKUP(A2127,[1]!DadosGHD[CD_GEOCMU],[1]!DadosGHD[uf])</f>
        <v>RS</v>
      </c>
      <c r="E2127" s="5" t="str">
        <f>_xlfn.XLOOKUP(A2127,[1]!DadosGHD[CD_GEOCMU],[1]!DadosGHD[MUNICIPIO])</f>
        <v>TUPANCI DO SUL</v>
      </c>
      <c r="F2127" s="6">
        <v>38.619171142578097</v>
      </c>
      <c r="G2127" s="6">
        <v>43.679393768310597</v>
      </c>
      <c r="H2127" s="6">
        <v>43.7345581054688</v>
      </c>
      <c r="I2127" s="6">
        <v>43.780590057373097</v>
      </c>
      <c r="J2127" s="6">
        <v>43.801349639892599</v>
      </c>
      <c r="K2127" s="6">
        <v>43.833198547363303</v>
      </c>
      <c r="L2127" s="6">
        <v>39.612911224365199</v>
      </c>
    </row>
    <row r="2128" spans="1:12" x14ac:dyDescent="0.25">
      <c r="A2128">
        <v>4302220</v>
      </c>
      <c r="B2128" t="str">
        <f t="shared" si="33"/>
        <v>BOA VISTA DO CADEADO, RS, Brasil</v>
      </c>
      <c r="C2128" s="4" t="str">
        <f>_xlfn.XLOOKUP(A2128,[1]!DadosGHD[CD_GEOCMU],[1]!DadosGHD[Região])</f>
        <v>SL</v>
      </c>
      <c r="D2128" s="4" t="str">
        <f>_xlfn.XLOOKUP(A2128,[1]!DadosGHD[CD_GEOCMU],[1]!DadosGHD[uf])</f>
        <v>RS</v>
      </c>
      <c r="E2128" s="5" t="str">
        <f>_xlfn.XLOOKUP(A2128,[1]!DadosGHD[CD_GEOCMU],[1]!DadosGHD[MUNICIPIO])</f>
        <v>BOA VISTA DO CADEADO</v>
      </c>
      <c r="F2128" s="6">
        <v>38.619171142578097</v>
      </c>
      <c r="G2128" s="6">
        <v>48.6664009094238</v>
      </c>
      <c r="H2128" s="6">
        <v>48.744266510009801</v>
      </c>
      <c r="I2128" s="6">
        <v>48.816741943359403</v>
      </c>
      <c r="J2128" s="6">
        <v>53.820564270019503</v>
      </c>
      <c r="K2128" s="6">
        <v>53.894603729248097</v>
      </c>
      <c r="L2128" s="6">
        <v>48.530982971191399</v>
      </c>
    </row>
    <row r="2129" spans="1:12" x14ac:dyDescent="0.25">
      <c r="A2129">
        <v>4318499</v>
      </c>
      <c r="B2129" t="str">
        <f t="shared" si="33"/>
        <v>SAO JOSE DO INHACORA, RS, Brasil</v>
      </c>
      <c r="C2129" s="4" t="str">
        <f>_xlfn.XLOOKUP(A2129,[1]!DadosGHD[CD_GEOCMU],[1]!DadosGHD[Região])</f>
        <v>SL</v>
      </c>
      <c r="D2129" s="4" t="str">
        <f>_xlfn.XLOOKUP(A2129,[1]!DadosGHD[CD_GEOCMU],[1]!DadosGHD[uf])</f>
        <v>RS</v>
      </c>
      <c r="E2129" s="5" t="str">
        <f>_xlfn.XLOOKUP(A2129,[1]!DadosGHD[CD_GEOCMU],[1]!DadosGHD[MUNICIPIO])</f>
        <v>SAO JOSE DO INHACORA</v>
      </c>
      <c r="F2129" s="6">
        <v>38.619171142578097</v>
      </c>
      <c r="G2129" s="6">
        <v>38.719383239746101</v>
      </c>
      <c r="H2129" s="6">
        <v>38.767951965332003</v>
      </c>
      <c r="I2129" s="6">
        <v>38.744155883789098</v>
      </c>
      <c r="J2129" s="6">
        <v>38.761531829833999</v>
      </c>
      <c r="K2129" s="6">
        <v>43.8433837890625</v>
      </c>
      <c r="L2129" s="6">
        <v>52.991683959960902</v>
      </c>
    </row>
    <row r="2130" spans="1:12" x14ac:dyDescent="0.25">
      <c r="A2130">
        <v>4302584</v>
      </c>
      <c r="B2130" t="str">
        <f t="shared" si="33"/>
        <v>BOZANO, RS, Brasil</v>
      </c>
      <c r="C2130" s="4" t="str">
        <f>_xlfn.XLOOKUP(A2130,[1]!DadosGHD[CD_GEOCMU],[1]!DadosGHD[Região])</f>
        <v>SL</v>
      </c>
      <c r="D2130" s="4" t="str">
        <f>_xlfn.XLOOKUP(A2130,[1]!DadosGHD[CD_GEOCMU],[1]!DadosGHD[uf])</f>
        <v>RS</v>
      </c>
      <c r="E2130" s="5" t="str">
        <f>_xlfn.XLOOKUP(A2130,[1]!DadosGHD[CD_GEOCMU],[1]!DadosGHD[MUNICIPIO])</f>
        <v>BOZANO</v>
      </c>
      <c r="F2130" s="6">
        <v>38.619171142578097</v>
      </c>
      <c r="G2130" s="6">
        <v>48.666263580322301</v>
      </c>
      <c r="H2130" s="6">
        <v>48.735626220703097</v>
      </c>
      <c r="I2130" s="6">
        <v>58.843925476074197</v>
      </c>
      <c r="J2130" s="6">
        <v>58.986423492431598</v>
      </c>
      <c r="K2130" s="6">
        <v>59.086124420166001</v>
      </c>
      <c r="L2130" s="6">
        <v>57.589881896972699</v>
      </c>
    </row>
    <row r="2131" spans="1:12" x14ac:dyDescent="0.25">
      <c r="A2131">
        <v>4308433</v>
      </c>
      <c r="B2131" t="str">
        <f t="shared" si="33"/>
        <v>FORQUETINHA, RS, Brasil</v>
      </c>
      <c r="C2131" s="4" t="str">
        <f>_xlfn.XLOOKUP(A2131,[1]!DadosGHD[CD_GEOCMU],[1]!DadosGHD[Região])</f>
        <v>SL</v>
      </c>
      <c r="D2131" s="4" t="str">
        <f>_xlfn.XLOOKUP(A2131,[1]!DadosGHD[CD_GEOCMU],[1]!DadosGHD[uf])</f>
        <v>RS</v>
      </c>
      <c r="E2131" s="5" t="str">
        <f>_xlfn.XLOOKUP(A2131,[1]!DadosGHD[CD_GEOCMU],[1]!DadosGHD[MUNICIPIO])</f>
        <v>FORQUETINHA</v>
      </c>
      <c r="F2131" s="6">
        <v>38.619171142578097</v>
      </c>
      <c r="G2131" s="6">
        <v>48.665374755859403</v>
      </c>
      <c r="H2131" s="6">
        <v>48.727245330810597</v>
      </c>
      <c r="I2131" s="6">
        <v>53.802597045898402</v>
      </c>
      <c r="J2131" s="6">
        <v>58.931003570556598</v>
      </c>
      <c r="K2131" s="6">
        <v>53.951957702636697</v>
      </c>
      <c r="L2131" s="6">
        <v>52.982162475585902</v>
      </c>
    </row>
    <row r="2132" spans="1:12" x14ac:dyDescent="0.25">
      <c r="A2132">
        <v>4316733</v>
      </c>
      <c r="B2132" t="str">
        <f t="shared" si="33"/>
        <v>SANTA CECILIA DO SUL, RS, Brasil</v>
      </c>
      <c r="C2132" s="4" t="str">
        <f>_xlfn.XLOOKUP(A2132,[1]!DadosGHD[CD_GEOCMU],[1]!DadosGHD[Região])</f>
        <v>SL</v>
      </c>
      <c r="D2132" s="4" t="str">
        <f>_xlfn.XLOOKUP(A2132,[1]!DadosGHD[CD_GEOCMU],[1]!DadosGHD[uf])</f>
        <v>RS</v>
      </c>
      <c r="E2132" s="5" t="str">
        <f>_xlfn.XLOOKUP(A2132,[1]!DadosGHD[CD_GEOCMU],[1]!DadosGHD[MUNICIPIO])</f>
        <v>SANTA CECILIA DO SUL</v>
      </c>
      <c r="F2132" s="6">
        <v>38.619171142578097</v>
      </c>
      <c r="G2132" s="6">
        <v>48.665374755859403</v>
      </c>
      <c r="H2132" s="6">
        <v>48.727245330810597</v>
      </c>
      <c r="I2132" s="6">
        <v>48.695926666259801</v>
      </c>
      <c r="J2132" s="6">
        <v>48.716281890869098</v>
      </c>
      <c r="K2132" s="6">
        <v>48.7630615234375</v>
      </c>
      <c r="L2132" s="6">
        <v>35.140720367431598</v>
      </c>
    </row>
    <row r="2133" spans="1:12" x14ac:dyDescent="0.25">
      <c r="A2133">
        <v>4217956</v>
      </c>
      <c r="B2133" t="str">
        <f t="shared" si="33"/>
        <v>TIGRINHOS, SC, Brasil</v>
      </c>
      <c r="C2133" s="4" t="str">
        <f>_xlfn.XLOOKUP(A2133,[1]!DadosGHD[CD_GEOCMU],[1]!DadosGHD[Região])</f>
        <v>SL</v>
      </c>
      <c r="D2133" s="4" t="str">
        <f>_xlfn.XLOOKUP(A2133,[1]!DadosGHD[CD_GEOCMU],[1]!DadosGHD[uf])</f>
        <v>SC</v>
      </c>
      <c r="E2133" s="5" t="str">
        <f>_xlfn.XLOOKUP(A2133,[1]!DadosGHD[CD_GEOCMU],[1]!DadosGHD[MUNICIPIO])</f>
        <v>TIGRINHOS</v>
      </c>
      <c r="F2133" s="6">
        <v>38.619171142578097</v>
      </c>
      <c r="G2133" s="6">
        <v>48.665374755859403</v>
      </c>
      <c r="H2133" s="6">
        <v>48.746868133544901</v>
      </c>
      <c r="I2133" s="6">
        <v>53.731552124023402</v>
      </c>
      <c r="J2133" s="6">
        <v>53.883342742919901</v>
      </c>
      <c r="K2133" s="6">
        <v>53.926631927490199</v>
      </c>
      <c r="L2133" s="6">
        <v>53.016036987304702</v>
      </c>
    </row>
    <row r="2134" spans="1:12" x14ac:dyDescent="0.25">
      <c r="A2134">
        <v>4315057</v>
      </c>
      <c r="B2134" t="str">
        <f t="shared" si="33"/>
        <v>PORTO MAUA, RS, Brasil</v>
      </c>
      <c r="C2134" s="4" t="str">
        <f>_xlfn.XLOOKUP(A2134,[1]!DadosGHD[CD_GEOCMU],[1]!DadosGHD[Região])</f>
        <v>SL</v>
      </c>
      <c r="D2134" s="4" t="str">
        <f>_xlfn.XLOOKUP(A2134,[1]!DadosGHD[CD_GEOCMU],[1]!DadosGHD[uf])</f>
        <v>RS</v>
      </c>
      <c r="E2134" s="5" t="str">
        <f>_xlfn.XLOOKUP(A2134,[1]!DadosGHD[CD_GEOCMU],[1]!DadosGHD[MUNICIPIO])</f>
        <v>PORTO MAUA</v>
      </c>
      <c r="F2134" s="6">
        <v>38.619171142578097</v>
      </c>
      <c r="G2134" s="6">
        <v>48.665374755859403</v>
      </c>
      <c r="H2134" s="6">
        <v>48.731857299804702</v>
      </c>
      <c r="I2134" s="6">
        <v>48.712379455566399</v>
      </c>
      <c r="J2134" s="6">
        <v>48.730091094970703</v>
      </c>
      <c r="K2134" s="6">
        <v>48.810787200927699</v>
      </c>
      <c r="L2134" s="6">
        <v>48.523365020752003</v>
      </c>
    </row>
    <row r="2135" spans="1:12" x14ac:dyDescent="0.25">
      <c r="A2135">
        <v>4317251</v>
      </c>
      <c r="B2135" t="str">
        <f t="shared" si="33"/>
        <v>SANTA TEREZA, RS, Brasil</v>
      </c>
      <c r="C2135" s="4" t="str">
        <f>_xlfn.XLOOKUP(A2135,[1]!DadosGHD[CD_GEOCMU],[1]!DadosGHD[Região])</f>
        <v>SL</v>
      </c>
      <c r="D2135" s="4" t="str">
        <f>_xlfn.XLOOKUP(A2135,[1]!DadosGHD[CD_GEOCMU],[1]!DadosGHD[uf])</f>
        <v>RS</v>
      </c>
      <c r="E2135" s="5" t="str">
        <f>_xlfn.XLOOKUP(A2135,[1]!DadosGHD[CD_GEOCMU],[1]!DadosGHD[MUNICIPIO])</f>
        <v>SANTA TEREZA</v>
      </c>
      <c r="F2135" s="6">
        <v>38.619171142578097</v>
      </c>
      <c r="G2135" s="6">
        <v>48.665374755859403</v>
      </c>
      <c r="H2135" s="6">
        <v>48.764266967773402</v>
      </c>
      <c r="I2135" s="6">
        <v>63.924186706542997</v>
      </c>
      <c r="J2135" s="6">
        <v>58.821441650390597</v>
      </c>
      <c r="K2135" s="6">
        <v>48.890026092529297</v>
      </c>
      <c r="L2135" s="6">
        <v>44.044307708740199</v>
      </c>
    </row>
    <row r="2136" spans="1:12" x14ac:dyDescent="0.25">
      <c r="A2136">
        <v>4313441</v>
      </c>
      <c r="B2136" t="str">
        <f t="shared" si="33"/>
        <v>NOVO TIRADENTES, RS, Brasil</v>
      </c>
      <c r="C2136" s="4" t="str">
        <f>_xlfn.XLOOKUP(A2136,[1]!DadosGHD[CD_GEOCMU],[1]!DadosGHD[Região])</f>
        <v>SL</v>
      </c>
      <c r="D2136" s="4" t="str">
        <f>_xlfn.XLOOKUP(A2136,[1]!DadosGHD[CD_GEOCMU],[1]!DadosGHD[uf])</f>
        <v>RS</v>
      </c>
      <c r="E2136" s="5" t="str">
        <f>_xlfn.XLOOKUP(A2136,[1]!DadosGHD[CD_GEOCMU],[1]!DadosGHD[MUNICIPIO])</f>
        <v>NOVO TIRADENTES</v>
      </c>
      <c r="F2136" s="6">
        <v>38.619171142578097</v>
      </c>
      <c r="G2136" s="6">
        <v>48.670661926269503</v>
      </c>
      <c r="H2136" s="6">
        <v>48.727245330810597</v>
      </c>
      <c r="I2136" s="6">
        <v>48.695926666259801</v>
      </c>
      <c r="J2136" s="6">
        <v>48.745872497558601</v>
      </c>
      <c r="K2136" s="6">
        <v>53.843109130859403</v>
      </c>
      <c r="L2136" s="6">
        <v>48.502613067627003</v>
      </c>
    </row>
    <row r="2137" spans="1:12" x14ac:dyDescent="0.25">
      <c r="A2137">
        <v>4210050</v>
      </c>
      <c r="B2137" t="str">
        <f t="shared" si="33"/>
        <v>MACIEIRA, SC, Brasil</v>
      </c>
      <c r="C2137" s="4" t="str">
        <f>_xlfn.XLOOKUP(A2137,[1]!DadosGHD[CD_GEOCMU],[1]!DadosGHD[Região])</f>
        <v>SL</v>
      </c>
      <c r="D2137" s="4" t="str">
        <f>_xlfn.XLOOKUP(A2137,[1]!DadosGHD[CD_GEOCMU],[1]!DadosGHD[uf])</f>
        <v>SC</v>
      </c>
      <c r="E2137" s="5" t="str">
        <f>_xlfn.XLOOKUP(A2137,[1]!DadosGHD[CD_GEOCMU],[1]!DadosGHD[MUNICIPIO])</f>
        <v>MACIEIRA</v>
      </c>
      <c r="F2137" s="6">
        <v>38.619171142578097</v>
      </c>
      <c r="G2137" s="6">
        <v>48.665374755859403</v>
      </c>
      <c r="H2137" s="6">
        <v>48.727245330810597</v>
      </c>
      <c r="I2137" s="6">
        <v>48.695926666259801</v>
      </c>
      <c r="J2137" s="6">
        <v>48.716564178466797</v>
      </c>
      <c r="K2137" s="6">
        <v>48.787189483642599</v>
      </c>
      <c r="L2137" s="6">
        <v>44.077556610107401</v>
      </c>
    </row>
    <row r="2138" spans="1:12" x14ac:dyDescent="0.25">
      <c r="A2138">
        <v>4202099</v>
      </c>
      <c r="B2138" t="str">
        <f t="shared" si="33"/>
        <v>BARRA BONITA, SC, Brasil</v>
      </c>
      <c r="C2138" s="4" t="str">
        <f>_xlfn.XLOOKUP(A2138,[1]!DadosGHD[CD_GEOCMU],[1]!DadosGHD[Região])</f>
        <v>SL</v>
      </c>
      <c r="D2138" s="4" t="str">
        <f>_xlfn.XLOOKUP(A2138,[1]!DadosGHD[CD_GEOCMU],[1]!DadosGHD[uf])</f>
        <v>SC</v>
      </c>
      <c r="E2138" s="5" t="str">
        <f>_xlfn.XLOOKUP(A2138,[1]!DadosGHD[CD_GEOCMU],[1]!DadosGHD[MUNICIPIO])</f>
        <v>BARRA BONITA</v>
      </c>
      <c r="F2138" s="6">
        <v>38.619171142578097</v>
      </c>
      <c r="G2138" s="6">
        <v>48.665374755859403</v>
      </c>
      <c r="H2138" s="6">
        <v>48.727245330810597</v>
      </c>
      <c r="I2138" s="6">
        <v>48.698360443115199</v>
      </c>
      <c r="J2138" s="6">
        <v>48.797782897949197</v>
      </c>
      <c r="K2138" s="6">
        <v>48.845584869384801</v>
      </c>
      <c r="L2138" s="6">
        <v>57.589881896972699</v>
      </c>
    </row>
    <row r="2139" spans="1:12" x14ac:dyDescent="0.25">
      <c r="A2139">
        <v>4314175</v>
      </c>
      <c r="B2139" t="str">
        <f t="shared" si="33"/>
        <v>PEDRAS ALTAS, RS, Brasil</v>
      </c>
      <c r="C2139" s="4" t="str">
        <f>_xlfn.XLOOKUP(A2139,[1]!DadosGHD[CD_GEOCMU],[1]!DadosGHD[Região])</f>
        <v>SL</v>
      </c>
      <c r="D2139" s="4" t="str">
        <f>_xlfn.XLOOKUP(A2139,[1]!DadosGHD[CD_GEOCMU],[1]!DadosGHD[uf])</f>
        <v>RS</v>
      </c>
      <c r="E2139" s="5" t="str">
        <f>_xlfn.XLOOKUP(A2139,[1]!DadosGHD[CD_GEOCMU],[1]!DadosGHD[MUNICIPIO])</f>
        <v>PEDRAS ALTAS</v>
      </c>
      <c r="F2139" s="6">
        <v>38.619171142578097</v>
      </c>
      <c r="G2139" s="6">
        <v>48.665374755859403</v>
      </c>
      <c r="H2139" s="6">
        <v>48.737056732177699</v>
      </c>
      <c r="I2139" s="6">
        <v>48.763591766357401</v>
      </c>
      <c r="J2139" s="6">
        <v>48.754241943359403</v>
      </c>
      <c r="K2139" s="6">
        <v>48.853725433349602</v>
      </c>
      <c r="L2139" s="6">
        <v>44.0256538391113</v>
      </c>
    </row>
    <row r="2140" spans="1:12" x14ac:dyDescent="0.25">
      <c r="A2140">
        <v>4320453</v>
      </c>
      <c r="B2140" t="str">
        <f t="shared" si="33"/>
        <v>SERIO, RS, Brasil</v>
      </c>
      <c r="C2140" s="4" t="str">
        <f>_xlfn.XLOOKUP(A2140,[1]!DadosGHD[CD_GEOCMU],[1]!DadosGHD[Região])</f>
        <v>SL</v>
      </c>
      <c r="D2140" s="4" t="str">
        <f>_xlfn.XLOOKUP(A2140,[1]!DadosGHD[CD_GEOCMU],[1]!DadosGHD[uf])</f>
        <v>RS</v>
      </c>
      <c r="E2140" s="5" t="str">
        <f>_xlfn.XLOOKUP(A2140,[1]!DadosGHD[CD_GEOCMU],[1]!DadosGHD[MUNICIPIO])</f>
        <v>SERIO</v>
      </c>
      <c r="F2140" s="6">
        <v>38.619171142578097</v>
      </c>
      <c r="G2140" s="6">
        <v>48.665374755859403</v>
      </c>
      <c r="H2140" s="6">
        <v>48.730556488037102</v>
      </c>
      <c r="I2140" s="6">
        <v>48.770053863525398</v>
      </c>
      <c r="J2140" s="6">
        <v>53.737579345703097</v>
      </c>
      <c r="K2140" s="6">
        <v>48.844879150390597</v>
      </c>
      <c r="L2140" s="6">
        <v>39.593738555908203</v>
      </c>
    </row>
    <row r="2141" spans="1:12" x14ac:dyDescent="0.25">
      <c r="A2141">
        <v>2600104</v>
      </c>
      <c r="B2141" t="str">
        <f t="shared" si="33"/>
        <v>AFOGADOS DA INGAZEIRA, PE, Brasil</v>
      </c>
      <c r="C2141" s="4" t="str">
        <f>_xlfn.XLOOKUP(A2141,[1]!DadosGHD[CD_GEOCMU],[1]!DadosGHD[Região])</f>
        <v>NE</v>
      </c>
      <c r="D2141" s="4" t="str">
        <f>_xlfn.XLOOKUP(A2141,[1]!DadosGHD[CD_GEOCMU],[1]!DadosGHD[uf])</f>
        <v>PE</v>
      </c>
      <c r="E2141" s="5" t="str">
        <f>_xlfn.XLOOKUP(A2141,[1]!DadosGHD[CD_GEOCMU],[1]!DadosGHD[MUNICIPIO])</f>
        <v>AFOGADOS DA INGAZEIRA</v>
      </c>
      <c r="F2141" s="6">
        <v>38.619285583496101</v>
      </c>
      <c r="G2141" s="6">
        <v>33.825202941894503</v>
      </c>
      <c r="H2141" s="6">
        <v>33.882797241210902</v>
      </c>
      <c r="I2141" s="6">
        <v>38.731430053710902</v>
      </c>
      <c r="J2141" s="6">
        <v>38.771617889404297</v>
      </c>
      <c r="K2141" s="6">
        <v>38.845497131347699</v>
      </c>
      <c r="L2141" s="6">
        <v>35.136589050292997</v>
      </c>
    </row>
    <row r="2142" spans="1:12" x14ac:dyDescent="0.25">
      <c r="A2142">
        <v>5214861</v>
      </c>
      <c r="B2142" t="str">
        <f t="shared" si="33"/>
        <v>NOVA GLORIA, GO, Brasil</v>
      </c>
      <c r="C2142" s="4" t="str">
        <f>_xlfn.XLOOKUP(A2142,[1]!DadosGHD[CD_GEOCMU],[1]!DadosGHD[Região])</f>
        <v>CO</v>
      </c>
      <c r="D2142" s="4" t="str">
        <f>_xlfn.XLOOKUP(A2142,[1]!DadosGHD[CD_GEOCMU],[1]!DadosGHD[uf])</f>
        <v>GO</v>
      </c>
      <c r="E2142" s="5" t="str">
        <f>_xlfn.XLOOKUP(A2142,[1]!DadosGHD[CD_GEOCMU],[1]!DadosGHD[MUNICIPIO])</f>
        <v>NOVA GLORIA</v>
      </c>
      <c r="F2142" s="6">
        <v>38.619541168212898</v>
      </c>
      <c r="G2142" s="6">
        <v>38.688922882080099</v>
      </c>
      <c r="H2142" s="6">
        <v>33.896488189697301</v>
      </c>
      <c r="I2142" s="6">
        <v>33.872993469238303</v>
      </c>
      <c r="J2142" s="6">
        <v>33.876399993896499</v>
      </c>
      <c r="K2142" s="6">
        <v>38.811607360839801</v>
      </c>
      <c r="L2142" s="6">
        <v>30.6969604492188</v>
      </c>
    </row>
    <row r="2143" spans="1:12" x14ac:dyDescent="0.25">
      <c r="A2143">
        <v>1500800</v>
      </c>
      <c r="B2143" t="str">
        <f t="shared" si="33"/>
        <v>ANANINDEUA, PA, Brasil</v>
      </c>
      <c r="C2143" s="4" t="str">
        <f>_xlfn.XLOOKUP(A2143,[1]!DadosGHD[CD_GEOCMU],[1]!DadosGHD[Região])</f>
        <v>NO</v>
      </c>
      <c r="D2143" s="4" t="str">
        <f>_xlfn.XLOOKUP(A2143,[1]!DadosGHD[CD_GEOCMU],[1]!DadosGHD[uf])</f>
        <v>PA</v>
      </c>
      <c r="E2143" s="5" t="str">
        <f>_xlfn.XLOOKUP(A2143,[1]!DadosGHD[CD_GEOCMU],[1]!DadosGHD[MUNICIPIO])</f>
        <v>ANANINDEUA</v>
      </c>
      <c r="F2143" s="6">
        <v>38.619579315185597</v>
      </c>
      <c r="G2143" s="6">
        <v>38.693153381347699</v>
      </c>
      <c r="H2143" s="6">
        <v>38.746593475341797</v>
      </c>
      <c r="I2143" s="6">
        <v>38.725257873535199</v>
      </c>
      <c r="J2143" s="6">
        <v>38.763954162597699</v>
      </c>
      <c r="K2143" s="6">
        <v>38.808113098144503</v>
      </c>
      <c r="L2143" s="6">
        <v>35.156982421875</v>
      </c>
    </row>
    <row r="2144" spans="1:12" x14ac:dyDescent="0.25">
      <c r="A2144">
        <v>3148608</v>
      </c>
      <c r="B2144" t="str">
        <f t="shared" si="33"/>
        <v>PECANHA, MG, Brasil</v>
      </c>
      <c r="C2144" s="4" t="str">
        <f>_xlfn.XLOOKUP(A2144,[1]!DadosGHD[CD_GEOCMU],[1]!DadosGHD[Região])</f>
        <v>SD</v>
      </c>
      <c r="D2144" s="4" t="str">
        <f>_xlfn.XLOOKUP(A2144,[1]!DadosGHD[CD_GEOCMU],[1]!DadosGHD[uf])</f>
        <v>MG</v>
      </c>
      <c r="E2144" s="5" t="str">
        <f>_xlfn.XLOOKUP(A2144,[1]!DadosGHD[CD_GEOCMU],[1]!DadosGHD[MUNICIPIO])</f>
        <v>PECANHA</v>
      </c>
      <c r="F2144" s="6">
        <v>38.619766235351598</v>
      </c>
      <c r="G2144" s="6">
        <v>38.7282524108887</v>
      </c>
      <c r="H2144" s="6">
        <v>38.780479431152301</v>
      </c>
      <c r="I2144" s="6">
        <v>38.731117248535199</v>
      </c>
      <c r="J2144" s="6">
        <v>33.890811920166001</v>
      </c>
      <c r="K2144" s="6">
        <v>33.914875030517599</v>
      </c>
      <c r="L2144" s="6">
        <v>30.692808151245099</v>
      </c>
    </row>
    <row r="2145" spans="1:12" x14ac:dyDescent="0.25">
      <c r="A2145">
        <v>2605707</v>
      </c>
      <c r="B2145" t="str">
        <f t="shared" si="33"/>
        <v>FLORESTA, PE, Brasil</v>
      </c>
      <c r="C2145" s="4" t="str">
        <f>_xlfn.XLOOKUP(A2145,[1]!DadosGHD[CD_GEOCMU],[1]!DadosGHD[Região])</f>
        <v>NE</v>
      </c>
      <c r="D2145" s="4" t="str">
        <f>_xlfn.XLOOKUP(A2145,[1]!DadosGHD[CD_GEOCMU],[1]!DadosGHD[uf])</f>
        <v>PE</v>
      </c>
      <c r="E2145" s="5" t="str">
        <f>_xlfn.XLOOKUP(A2145,[1]!DadosGHD[CD_GEOCMU],[1]!DadosGHD[MUNICIPIO])</f>
        <v>FLORESTA</v>
      </c>
      <c r="F2145" s="6">
        <v>38.619907379150398</v>
      </c>
      <c r="G2145" s="6">
        <v>33.834457397460902</v>
      </c>
      <c r="H2145" s="6">
        <v>33.874385833740199</v>
      </c>
      <c r="I2145" s="6">
        <v>33.842674255371101</v>
      </c>
      <c r="J2145" s="6">
        <v>33.869102478027301</v>
      </c>
      <c r="K2145" s="6">
        <v>33.9081001281738</v>
      </c>
      <c r="L2145" s="6">
        <v>39.588741302490199</v>
      </c>
    </row>
    <row r="2146" spans="1:12" x14ac:dyDescent="0.25">
      <c r="A2146">
        <v>2202208</v>
      </c>
      <c r="B2146" t="str">
        <f t="shared" si="33"/>
        <v>CAMPO MAIOR, PI, Brasil</v>
      </c>
      <c r="C2146" s="4" t="str">
        <f>_xlfn.XLOOKUP(A2146,[1]!DadosGHD[CD_GEOCMU],[1]!DadosGHD[Região])</f>
        <v>NE</v>
      </c>
      <c r="D2146" s="4" t="str">
        <f>_xlfn.XLOOKUP(A2146,[1]!DadosGHD[CD_GEOCMU],[1]!DadosGHD[uf])</f>
        <v>PI</v>
      </c>
      <c r="E2146" s="5" t="str">
        <f>_xlfn.XLOOKUP(A2146,[1]!DadosGHD[CD_GEOCMU],[1]!DadosGHD[MUNICIPIO])</f>
        <v>CAMPO MAIOR</v>
      </c>
      <c r="F2146" s="6">
        <v>38.620063781738303</v>
      </c>
      <c r="G2146" s="6">
        <v>38.702323913574197</v>
      </c>
      <c r="H2146" s="6">
        <v>38.762805938720703</v>
      </c>
      <c r="I2146" s="6">
        <v>38.732376098632798</v>
      </c>
      <c r="J2146" s="6">
        <v>38.758880615234403</v>
      </c>
      <c r="K2146" s="6">
        <v>38.828502655029297</v>
      </c>
      <c r="L2146" s="6">
        <v>35.144706726074197</v>
      </c>
    </row>
    <row r="2147" spans="1:12" x14ac:dyDescent="0.25">
      <c r="A2147">
        <v>2910909</v>
      </c>
      <c r="B2147" t="str">
        <f t="shared" si="33"/>
        <v>FIRMINO ALVES, BA, Brasil</v>
      </c>
      <c r="C2147" s="4" t="str">
        <f>_xlfn.XLOOKUP(A2147,[1]!DadosGHD[CD_GEOCMU],[1]!DadosGHD[Região])</f>
        <v>NE</v>
      </c>
      <c r="D2147" s="4" t="str">
        <f>_xlfn.XLOOKUP(A2147,[1]!DadosGHD[CD_GEOCMU],[1]!DadosGHD[uf])</f>
        <v>BA</v>
      </c>
      <c r="E2147" s="5" t="str">
        <f>_xlfn.XLOOKUP(A2147,[1]!DadosGHD[CD_GEOCMU],[1]!DadosGHD[MUNICIPIO])</f>
        <v>FIRMINO ALVES</v>
      </c>
      <c r="F2147" s="6">
        <v>38.620250701904297</v>
      </c>
      <c r="G2147" s="6">
        <v>33.834232330322301</v>
      </c>
      <c r="H2147" s="6">
        <v>33.874671936035199</v>
      </c>
      <c r="I2147" s="6">
        <v>33.858890533447301</v>
      </c>
      <c r="J2147" s="6">
        <v>38.797210693359403</v>
      </c>
      <c r="K2147" s="6">
        <v>38.816432952880902</v>
      </c>
      <c r="L2147" s="6">
        <v>26.290266036987301</v>
      </c>
    </row>
    <row r="2148" spans="1:12" x14ac:dyDescent="0.25">
      <c r="A2148">
        <v>4215695</v>
      </c>
      <c r="B2148" t="str">
        <f t="shared" si="33"/>
        <v>SANTIAGO DO SUL, SC, Brasil</v>
      </c>
      <c r="C2148" s="4" t="str">
        <f>_xlfn.XLOOKUP(A2148,[1]!DadosGHD[CD_GEOCMU],[1]!DadosGHD[Região])</f>
        <v>SL</v>
      </c>
      <c r="D2148" s="4" t="str">
        <f>_xlfn.XLOOKUP(A2148,[1]!DadosGHD[CD_GEOCMU],[1]!DadosGHD[uf])</f>
        <v>SC</v>
      </c>
      <c r="E2148" s="5" t="str">
        <f>_xlfn.XLOOKUP(A2148,[1]!DadosGHD[CD_GEOCMU],[1]!DadosGHD[MUNICIPIO])</f>
        <v>SANTIAGO DO SUL</v>
      </c>
      <c r="F2148" s="6">
        <v>38.620273590087898</v>
      </c>
      <c r="G2148" s="6">
        <v>48.665374755859403</v>
      </c>
      <c r="H2148" s="6">
        <v>53.890785217285199</v>
      </c>
      <c r="I2148" s="6">
        <v>48.722156524658203</v>
      </c>
      <c r="J2148" s="6">
        <v>48.775825500488303</v>
      </c>
      <c r="K2148" s="6">
        <v>48.807701110839801</v>
      </c>
      <c r="L2148" s="6">
        <v>39.565200805664098</v>
      </c>
    </row>
    <row r="2149" spans="1:12" x14ac:dyDescent="0.25">
      <c r="A2149">
        <v>2516300</v>
      </c>
      <c r="B2149" t="str">
        <f t="shared" si="33"/>
        <v>SUME, PB, Brasil</v>
      </c>
      <c r="C2149" s="4" t="str">
        <f>_xlfn.XLOOKUP(A2149,[1]!DadosGHD[CD_GEOCMU],[1]!DadosGHD[Região])</f>
        <v>NE</v>
      </c>
      <c r="D2149" s="4" t="str">
        <f>_xlfn.XLOOKUP(A2149,[1]!DadosGHD[CD_GEOCMU],[1]!DadosGHD[uf])</f>
        <v>PB</v>
      </c>
      <c r="E2149" s="5" t="str">
        <f>_xlfn.XLOOKUP(A2149,[1]!DadosGHD[CD_GEOCMU],[1]!DadosGHD[MUNICIPIO])</f>
        <v>SUME</v>
      </c>
      <c r="F2149" s="6">
        <v>38.620315551757798</v>
      </c>
      <c r="G2149" s="6">
        <v>33.841804504394503</v>
      </c>
      <c r="H2149" s="6">
        <v>38.748123168945298</v>
      </c>
      <c r="I2149" s="6">
        <v>38.767620086669901</v>
      </c>
      <c r="J2149" s="6">
        <v>38.748268127441399</v>
      </c>
      <c r="K2149" s="6">
        <v>38.866615295410199</v>
      </c>
      <c r="L2149" s="6">
        <v>35.133338928222699</v>
      </c>
    </row>
    <row r="2150" spans="1:12" x14ac:dyDescent="0.25">
      <c r="A2150">
        <v>2910602</v>
      </c>
      <c r="B2150" t="str">
        <f t="shared" si="33"/>
        <v>ESPLANADA, BA, Brasil</v>
      </c>
      <c r="C2150" s="4" t="str">
        <f>_xlfn.XLOOKUP(A2150,[1]!DadosGHD[CD_GEOCMU],[1]!DadosGHD[Região])</f>
        <v>NE</v>
      </c>
      <c r="D2150" s="4" t="str">
        <f>_xlfn.XLOOKUP(A2150,[1]!DadosGHD[CD_GEOCMU],[1]!DadosGHD[uf])</f>
        <v>BA</v>
      </c>
      <c r="E2150" s="5" t="str">
        <f>_xlfn.XLOOKUP(A2150,[1]!DadosGHD[CD_GEOCMU],[1]!DadosGHD[MUNICIPIO])</f>
        <v>ESPLANADA</v>
      </c>
      <c r="F2150" s="6">
        <v>38.620449066162102</v>
      </c>
      <c r="G2150" s="6">
        <v>38.690643310546903</v>
      </c>
      <c r="H2150" s="6">
        <v>38.742103576660199</v>
      </c>
      <c r="I2150" s="6">
        <v>38.721725463867202</v>
      </c>
      <c r="J2150" s="6">
        <v>38.746360778808601</v>
      </c>
      <c r="K2150" s="6">
        <v>38.816169738769503</v>
      </c>
      <c r="L2150" s="6">
        <v>39.570625305175803</v>
      </c>
    </row>
    <row r="2151" spans="1:12" x14ac:dyDescent="0.25">
      <c r="A2151">
        <v>2109106</v>
      </c>
      <c r="B2151" t="str">
        <f t="shared" si="33"/>
        <v>PRESIDENTE DUTRA, MA, Brasil</v>
      </c>
      <c r="C2151" s="4" t="str">
        <f>_xlfn.XLOOKUP(A2151,[1]!DadosGHD[CD_GEOCMU],[1]!DadosGHD[Região])</f>
        <v>NE</v>
      </c>
      <c r="D2151" s="4" t="str">
        <f>_xlfn.XLOOKUP(A2151,[1]!DadosGHD[CD_GEOCMU],[1]!DadosGHD[uf])</f>
        <v>MA</v>
      </c>
      <c r="E2151" s="5" t="str">
        <f>_xlfn.XLOOKUP(A2151,[1]!DadosGHD[CD_GEOCMU],[1]!DadosGHD[MUNICIPIO])</f>
        <v>PRESIDENTE DUTRA</v>
      </c>
      <c r="F2151" s="6">
        <v>38.620468139648402</v>
      </c>
      <c r="G2151" s="6">
        <v>33.843540191650398</v>
      </c>
      <c r="H2151" s="6">
        <v>38.755691528320298</v>
      </c>
      <c r="I2151" s="6">
        <v>38.745689392089801</v>
      </c>
      <c r="J2151" s="6">
        <v>38.785434722900398</v>
      </c>
      <c r="K2151" s="6">
        <v>38.832359313964801</v>
      </c>
      <c r="L2151" s="6">
        <v>35.125961303710902</v>
      </c>
    </row>
    <row r="2152" spans="1:12" x14ac:dyDescent="0.25">
      <c r="A2152">
        <v>2516706</v>
      </c>
      <c r="B2152" t="str">
        <f t="shared" si="33"/>
        <v>TEIXEIRA, PB, Brasil</v>
      </c>
      <c r="C2152" s="4" t="str">
        <f>_xlfn.XLOOKUP(A2152,[1]!DadosGHD[CD_GEOCMU],[1]!DadosGHD[Região])</f>
        <v>NE</v>
      </c>
      <c r="D2152" s="4" t="str">
        <f>_xlfn.XLOOKUP(A2152,[1]!DadosGHD[CD_GEOCMU],[1]!DadosGHD[uf])</f>
        <v>PB</v>
      </c>
      <c r="E2152" s="5" t="str">
        <f>_xlfn.XLOOKUP(A2152,[1]!DadosGHD[CD_GEOCMU],[1]!DadosGHD[MUNICIPIO])</f>
        <v>TEIXEIRA</v>
      </c>
      <c r="F2152" s="6">
        <v>38.620582580566399</v>
      </c>
      <c r="G2152" s="6">
        <v>38.682918548583999</v>
      </c>
      <c r="H2152" s="6">
        <v>38.7676391601563</v>
      </c>
      <c r="I2152" s="6">
        <v>38.756641387939503</v>
      </c>
      <c r="J2152" s="6">
        <v>38.760532379150398</v>
      </c>
      <c r="K2152" s="6">
        <v>43.861621856689503</v>
      </c>
      <c r="L2152" s="6">
        <v>35.122425079345703</v>
      </c>
    </row>
    <row r="2153" spans="1:12" x14ac:dyDescent="0.25">
      <c r="A2153">
        <v>3103009</v>
      </c>
      <c r="B2153" t="str">
        <f t="shared" si="33"/>
        <v>ANTONIO DIAS, MG, Brasil</v>
      </c>
      <c r="C2153" s="4" t="str">
        <f>_xlfn.XLOOKUP(A2153,[1]!DadosGHD[CD_GEOCMU],[1]!DadosGHD[Região])</f>
        <v>SD</v>
      </c>
      <c r="D2153" s="4" t="str">
        <f>_xlfn.XLOOKUP(A2153,[1]!DadosGHD[CD_GEOCMU],[1]!DadosGHD[uf])</f>
        <v>MG</v>
      </c>
      <c r="E2153" s="5" t="str">
        <f>_xlfn.XLOOKUP(A2153,[1]!DadosGHD[CD_GEOCMU],[1]!DadosGHD[MUNICIPIO])</f>
        <v>ANTONIO DIAS</v>
      </c>
      <c r="F2153" s="6">
        <v>38.620616912841797</v>
      </c>
      <c r="G2153" s="6">
        <v>38.698554992675803</v>
      </c>
      <c r="H2153" s="6">
        <v>38.777603149414098</v>
      </c>
      <c r="I2153" s="6">
        <v>43.709136962890597</v>
      </c>
      <c r="J2153" s="6">
        <v>43.761199951171903</v>
      </c>
      <c r="K2153" s="6">
        <v>38.871971130371101</v>
      </c>
      <c r="L2153" s="6">
        <v>39.577503204345703</v>
      </c>
    </row>
    <row r="2154" spans="1:12" x14ac:dyDescent="0.25">
      <c r="A2154">
        <v>3126604</v>
      </c>
      <c r="B2154" t="str">
        <f t="shared" si="33"/>
        <v>FRANCISCO DUMONT, MG, Brasil</v>
      </c>
      <c r="C2154" s="4" t="str">
        <f>_xlfn.XLOOKUP(A2154,[1]!DadosGHD[CD_GEOCMU],[1]!DadosGHD[Região])</f>
        <v>SD</v>
      </c>
      <c r="D2154" s="4" t="str">
        <f>_xlfn.XLOOKUP(A2154,[1]!DadosGHD[CD_GEOCMU],[1]!DadosGHD[uf])</f>
        <v>MG</v>
      </c>
      <c r="E2154" s="5" t="str">
        <f>_xlfn.XLOOKUP(A2154,[1]!DadosGHD[CD_GEOCMU],[1]!DadosGHD[MUNICIPIO])</f>
        <v>FRANCISCO DUMONT</v>
      </c>
      <c r="F2154" s="6">
        <v>38.620735168457003</v>
      </c>
      <c r="G2154" s="6">
        <v>28.907878875732401</v>
      </c>
      <c r="H2154" s="6">
        <v>28.942651748657202</v>
      </c>
      <c r="I2154" s="6">
        <v>33.8228759765625</v>
      </c>
      <c r="J2154" s="6">
        <v>33.813396453857401</v>
      </c>
      <c r="K2154" s="6">
        <v>33.850345611572301</v>
      </c>
      <c r="L2154" s="6">
        <v>30.684740066528299</v>
      </c>
    </row>
    <row r="2155" spans="1:12" x14ac:dyDescent="0.25">
      <c r="A2155">
        <v>2705903</v>
      </c>
      <c r="B2155" t="str">
        <f t="shared" si="33"/>
        <v>OLHO D'AGUA GRANDE, AL, Brasil</v>
      </c>
      <c r="C2155" s="4" t="str">
        <f>_xlfn.XLOOKUP(A2155,[1]!DadosGHD[CD_GEOCMU],[1]!DadosGHD[Região])</f>
        <v>NE</v>
      </c>
      <c r="D2155" s="4" t="str">
        <f>_xlfn.XLOOKUP(A2155,[1]!DadosGHD[CD_GEOCMU],[1]!DadosGHD[uf])</f>
        <v>AL</v>
      </c>
      <c r="E2155" s="5" t="str">
        <f>_xlfn.XLOOKUP(A2155,[1]!DadosGHD[CD_GEOCMU],[1]!DadosGHD[MUNICIPIO])</f>
        <v>OLHO D'AGUA GRANDE</v>
      </c>
      <c r="F2155" s="6">
        <v>38.620780944824197</v>
      </c>
      <c r="G2155" s="6">
        <v>28.907878875732401</v>
      </c>
      <c r="H2155" s="6">
        <v>28.942651748657202</v>
      </c>
      <c r="I2155" s="6">
        <v>28.925045013427699</v>
      </c>
      <c r="J2155" s="6">
        <v>28.9409065246582</v>
      </c>
      <c r="K2155" s="6">
        <v>28.9686679840088</v>
      </c>
      <c r="L2155" s="6">
        <v>26.2798957824707</v>
      </c>
    </row>
    <row r="2156" spans="1:12" x14ac:dyDescent="0.25">
      <c r="A2156">
        <v>2919504</v>
      </c>
      <c r="B2156" t="str">
        <f t="shared" si="33"/>
        <v>LIVRAMENTO DE NOSSA SENHORA, BA, Brasil</v>
      </c>
      <c r="C2156" s="4" t="str">
        <f>_xlfn.XLOOKUP(A2156,[1]!DadosGHD[CD_GEOCMU],[1]!DadosGHD[Região])</f>
        <v>NE</v>
      </c>
      <c r="D2156" s="4" t="str">
        <f>_xlfn.XLOOKUP(A2156,[1]!DadosGHD[CD_GEOCMU],[1]!DadosGHD[uf])</f>
        <v>BA</v>
      </c>
      <c r="E2156" s="5" t="str">
        <f>_xlfn.XLOOKUP(A2156,[1]!DadosGHD[CD_GEOCMU],[1]!DadosGHD[MUNICIPIO])</f>
        <v>LIVRAMENTO DE NOSSA SENHORA</v>
      </c>
      <c r="F2156" s="6">
        <v>38.620918273925803</v>
      </c>
      <c r="G2156" s="6">
        <v>38.702823638916001</v>
      </c>
      <c r="H2156" s="6">
        <v>38.761215209960902</v>
      </c>
      <c r="I2156" s="6">
        <v>38.735511779785199</v>
      </c>
      <c r="J2156" s="6">
        <v>38.771888732910199</v>
      </c>
      <c r="K2156" s="6">
        <v>38.833251953125</v>
      </c>
      <c r="L2156" s="6">
        <v>39.563480377197301</v>
      </c>
    </row>
    <row r="2157" spans="1:12" x14ac:dyDescent="0.25">
      <c r="A2157">
        <v>4219150</v>
      </c>
      <c r="B2157" t="str">
        <f t="shared" si="33"/>
        <v>VARGEM, SC, Brasil</v>
      </c>
      <c r="C2157" s="4" t="str">
        <f>_xlfn.XLOOKUP(A2157,[1]!DadosGHD[CD_GEOCMU],[1]!DadosGHD[Região])</f>
        <v>SL</v>
      </c>
      <c r="D2157" s="4" t="str">
        <f>_xlfn.XLOOKUP(A2157,[1]!DadosGHD[CD_GEOCMU],[1]!DadosGHD[uf])</f>
        <v>SC</v>
      </c>
      <c r="E2157" s="5" t="str">
        <f>_xlfn.XLOOKUP(A2157,[1]!DadosGHD[CD_GEOCMU],[1]!DadosGHD[MUNICIPIO])</f>
        <v>VARGEM</v>
      </c>
      <c r="F2157" s="6">
        <v>38.621086120605497</v>
      </c>
      <c r="G2157" s="6">
        <v>48.665374755859403</v>
      </c>
      <c r="H2157" s="6">
        <v>48.727245330810597</v>
      </c>
      <c r="I2157" s="6">
        <v>48.699295043945298</v>
      </c>
      <c r="J2157" s="6">
        <v>38.824424743652301</v>
      </c>
      <c r="K2157" s="6">
        <v>38.804595947265597</v>
      </c>
      <c r="L2157" s="6">
        <v>39.556804656982401</v>
      </c>
    </row>
    <row r="2158" spans="1:12" x14ac:dyDescent="0.25">
      <c r="A2158">
        <v>1501576</v>
      </c>
      <c r="B2158" t="str">
        <f t="shared" si="33"/>
        <v>BOM JESUS DO TOCANTINS, PA, Brasil</v>
      </c>
      <c r="C2158" s="4" t="str">
        <f>_xlfn.XLOOKUP(A2158,[1]!DadosGHD[CD_GEOCMU],[1]!DadosGHD[Região])</f>
        <v>NO</v>
      </c>
      <c r="D2158" s="4" t="str">
        <f>_xlfn.XLOOKUP(A2158,[1]!DadosGHD[CD_GEOCMU],[1]!DadosGHD[uf])</f>
        <v>PA</v>
      </c>
      <c r="E2158" s="5" t="str">
        <f>_xlfn.XLOOKUP(A2158,[1]!DadosGHD[CD_GEOCMU],[1]!DadosGHD[MUNICIPIO])</f>
        <v>BOM JESUS DO TOCANTINS</v>
      </c>
      <c r="F2158" s="6">
        <v>38.621116638183601</v>
      </c>
      <c r="G2158" s="6">
        <v>38.693519592285199</v>
      </c>
      <c r="H2158" s="6">
        <v>38.762382507324197</v>
      </c>
      <c r="I2158" s="6">
        <v>38.736705780029297</v>
      </c>
      <c r="J2158" s="6">
        <v>38.757362365722699</v>
      </c>
      <c r="K2158" s="6">
        <v>38.796062469482401</v>
      </c>
      <c r="L2158" s="6">
        <v>30.696876525878899</v>
      </c>
    </row>
    <row r="2159" spans="1:12" x14ac:dyDescent="0.25">
      <c r="A2159">
        <v>2412203</v>
      </c>
      <c r="B2159" t="str">
        <f t="shared" si="33"/>
        <v>SAO JOSE DE MIPIBU, RN, Brasil</v>
      </c>
      <c r="C2159" s="4" t="str">
        <f>_xlfn.XLOOKUP(A2159,[1]!DadosGHD[CD_GEOCMU],[1]!DadosGHD[Região])</f>
        <v>NE</v>
      </c>
      <c r="D2159" s="4" t="str">
        <f>_xlfn.XLOOKUP(A2159,[1]!DadosGHD[CD_GEOCMU],[1]!DadosGHD[uf])</f>
        <v>RN</v>
      </c>
      <c r="E2159" s="5" t="str">
        <f>_xlfn.XLOOKUP(A2159,[1]!DadosGHD[CD_GEOCMU],[1]!DadosGHD[MUNICIPIO])</f>
        <v>SAO JOSE DE MIPIBU</v>
      </c>
      <c r="F2159" s="6">
        <v>38.6212768554688</v>
      </c>
      <c r="G2159" s="6">
        <v>38.712104797363303</v>
      </c>
      <c r="H2159" s="6">
        <v>38.754676818847699</v>
      </c>
      <c r="I2159" s="6">
        <v>38.7821235656738</v>
      </c>
      <c r="J2159" s="6">
        <v>38.8392143249512</v>
      </c>
      <c r="K2159" s="6">
        <v>43.795417785644503</v>
      </c>
      <c r="L2159" s="6">
        <v>44.042778015136697</v>
      </c>
    </row>
    <row r="2160" spans="1:12" x14ac:dyDescent="0.25">
      <c r="A2160">
        <v>3517307</v>
      </c>
      <c r="B2160" t="str">
        <f t="shared" si="33"/>
        <v>GUAIMBE, SP, Brasil</v>
      </c>
      <c r="C2160" s="4" t="str">
        <f>_xlfn.XLOOKUP(A2160,[1]!DadosGHD[CD_GEOCMU],[1]!DadosGHD[Região])</f>
        <v>SD</v>
      </c>
      <c r="D2160" s="4" t="str">
        <f>_xlfn.XLOOKUP(A2160,[1]!DadosGHD[CD_GEOCMU],[1]!DadosGHD[uf])</f>
        <v>SP</v>
      </c>
      <c r="E2160" s="5" t="str">
        <f>_xlfn.XLOOKUP(A2160,[1]!DadosGHD[CD_GEOCMU],[1]!DadosGHD[MUNICIPIO])</f>
        <v>GUAIMBE</v>
      </c>
      <c r="F2160" s="6">
        <v>38.621490478515597</v>
      </c>
      <c r="G2160" s="6">
        <v>38.731246948242202</v>
      </c>
      <c r="H2160" s="6">
        <v>38.784561157226598</v>
      </c>
      <c r="I2160" s="6">
        <v>38.7476997375488</v>
      </c>
      <c r="J2160" s="6">
        <v>38.742027282714801</v>
      </c>
      <c r="K2160" s="6">
        <v>33.893558502197301</v>
      </c>
      <c r="L2160" s="6">
        <v>30.6902370452881</v>
      </c>
    </row>
    <row r="2161" spans="1:12" x14ac:dyDescent="0.25">
      <c r="A2161">
        <v>2925808</v>
      </c>
      <c r="B2161" t="str">
        <f t="shared" si="33"/>
        <v>QUEIMADAS, BA, Brasil</v>
      </c>
      <c r="C2161" s="4" t="str">
        <f>_xlfn.XLOOKUP(A2161,[1]!DadosGHD[CD_GEOCMU],[1]!DadosGHD[Região])</f>
        <v>NE</v>
      </c>
      <c r="D2161" s="4" t="str">
        <f>_xlfn.XLOOKUP(A2161,[1]!DadosGHD[CD_GEOCMU],[1]!DadosGHD[uf])</f>
        <v>BA</v>
      </c>
      <c r="E2161" s="5" t="str">
        <f>_xlfn.XLOOKUP(A2161,[1]!DadosGHD[CD_GEOCMU],[1]!DadosGHD[MUNICIPIO])</f>
        <v>QUEIMADAS</v>
      </c>
      <c r="F2161" s="6">
        <v>38.621536254882798</v>
      </c>
      <c r="G2161" s="6">
        <v>38.693000793457003</v>
      </c>
      <c r="H2161" s="6">
        <v>33.896274566650398</v>
      </c>
      <c r="I2161" s="6">
        <v>33.870365142822301</v>
      </c>
      <c r="J2161" s="6">
        <v>33.887523651123097</v>
      </c>
      <c r="K2161" s="6">
        <v>33.899955749511697</v>
      </c>
      <c r="L2161" s="6">
        <v>30.6995239257813</v>
      </c>
    </row>
    <row r="2162" spans="1:12" x14ac:dyDescent="0.25">
      <c r="A2162">
        <v>4209458</v>
      </c>
      <c r="B2162" t="str">
        <f t="shared" si="33"/>
        <v>LAJEADO GRANDE, SC, Brasil</v>
      </c>
      <c r="C2162" s="4" t="str">
        <f>_xlfn.XLOOKUP(A2162,[1]!DadosGHD[CD_GEOCMU],[1]!DadosGHD[Região])</f>
        <v>SL</v>
      </c>
      <c r="D2162" s="4" t="str">
        <f>_xlfn.XLOOKUP(A2162,[1]!DadosGHD[CD_GEOCMU],[1]!DadosGHD[uf])</f>
        <v>SC</v>
      </c>
      <c r="E2162" s="5" t="str">
        <f>_xlfn.XLOOKUP(A2162,[1]!DadosGHD[CD_GEOCMU],[1]!DadosGHD[MUNICIPIO])</f>
        <v>LAJEADO GRANDE</v>
      </c>
      <c r="F2162" s="6">
        <v>38.621955871582003</v>
      </c>
      <c r="G2162" s="6">
        <v>48.665374755859403</v>
      </c>
      <c r="H2162" s="6">
        <v>48.727245330810597</v>
      </c>
      <c r="I2162" s="6">
        <v>48.695926666259801</v>
      </c>
      <c r="J2162" s="6">
        <v>48.716281890869098</v>
      </c>
      <c r="K2162" s="6">
        <v>48.785316467285199</v>
      </c>
      <c r="L2162" s="6">
        <v>44.064346313476598</v>
      </c>
    </row>
    <row r="2163" spans="1:12" x14ac:dyDescent="0.25">
      <c r="A2163">
        <v>2910859</v>
      </c>
      <c r="B2163" t="str">
        <f t="shared" si="33"/>
        <v>FILADELFIA, BA, Brasil</v>
      </c>
      <c r="C2163" s="4" t="str">
        <f>_xlfn.XLOOKUP(A2163,[1]!DadosGHD[CD_GEOCMU],[1]!DadosGHD[Região])</f>
        <v>NE</v>
      </c>
      <c r="D2163" s="4" t="str">
        <f>_xlfn.XLOOKUP(A2163,[1]!DadosGHD[CD_GEOCMU],[1]!DadosGHD[uf])</f>
        <v>BA</v>
      </c>
      <c r="E2163" s="5" t="str">
        <f>_xlfn.XLOOKUP(A2163,[1]!DadosGHD[CD_GEOCMU],[1]!DadosGHD[MUNICIPIO])</f>
        <v>FILADELFIA</v>
      </c>
      <c r="F2163" s="6">
        <v>38.622154235839801</v>
      </c>
      <c r="G2163" s="6">
        <v>38.701457977294901</v>
      </c>
      <c r="H2163" s="6">
        <v>38.751300811767599</v>
      </c>
      <c r="I2163" s="6">
        <v>33.855743408203097</v>
      </c>
      <c r="J2163" s="6">
        <v>33.830448150634801</v>
      </c>
      <c r="K2163" s="6">
        <v>33.847152709960902</v>
      </c>
      <c r="L2163" s="6">
        <v>35.143455505371101</v>
      </c>
    </row>
    <row r="2164" spans="1:12" x14ac:dyDescent="0.25">
      <c r="A2164">
        <v>4309126</v>
      </c>
      <c r="B2164" t="str">
        <f t="shared" si="33"/>
        <v>GRAMADO DOS LOUREIROS, RS, Brasil</v>
      </c>
      <c r="C2164" s="4" t="str">
        <f>_xlfn.XLOOKUP(A2164,[1]!DadosGHD[CD_GEOCMU],[1]!DadosGHD[Região])</f>
        <v>SL</v>
      </c>
      <c r="D2164" s="4" t="str">
        <f>_xlfn.XLOOKUP(A2164,[1]!DadosGHD[CD_GEOCMU],[1]!DadosGHD[uf])</f>
        <v>RS</v>
      </c>
      <c r="E2164" s="5" t="str">
        <f>_xlfn.XLOOKUP(A2164,[1]!DadosGHD[CD_GEOCMU],[1]!DadosGHD[MUNICIPIO])</f>
        <v>GRAMADO DOS LOUREIROS</v>
      </c>
      <c r="F2164" s="6">
        <v>38.622184753417997</v>
      </c>
      <c r="G2164" s="6">
        <v>48.679721832275398</v>
      </c>
      <c r="H2164" s="6">
        <v>48.727245330810597</v>
      </c>
      <c r="I2164" s="6">
        <v>48.695926666259801</v>
      </c>
      <c r="J2164" s="6">
        <v>48.7784233093262</v>
      </c>
      <c r="K2164" s="6">
        <v>48.855289459228501</v>
      </c>
      <c r="L2164" s="6">
        <v>44.022529602050803</v>
      </c>
    </row>
    <row r="2165" spans="1:12" x14ac:dyDescent="0.25">
      <c r="A2165">
        <v>2403707</v>
      </c>
      <c r="B2165" t="str">
        <f t="shared" si="33"/>
        <v>FELIPE GUERRA, RN, Brasil</v>
      </c>
      <c r="C2165" s="4" t="str">
        <f>_xlfn.XLOOKUP(A2165,[1]!DadosGHD[CD_GEOCMU],[1]!DadosGHD[Região])</f>
        <v>NE</v>
      </c>
      <c r="D2165" s="4" t="str">
        <f>_xlfn.XLOOKUP(A2165,[1]!DadosGHD[CD_GEOCMU],[1]!DadosGHD[uf])</f>
        <v>RN</v>
      </c>
      <c r="E2165" s="5" t="str">
        <f>_xlfn.XLOOKUP(A2165,[1]!DadosGHD[CD_GEOCMU],[1]!DadosGHD[MUNICIPIO])</f>
        <v>FELIPE GUERRA</v>
      </c>
      <c r="F2165" s="6">
        <v>38.622383117675803</v>
      </c>
      <c r="G2165" s="6">
        <v>38.731193542480497</v>
      </c>
      <c r="H2165" s="6">
        <v>38.831897735595703</v>
      </c>
      <c r="I2165" s="6">
        <v>38.787193298339801</v>
      </c>
      <c r="J2165" s="6">
        <v>43.713943481445298</v>
      </c>
      <c r="K2165" s="6">
        <v>43.787151336669901</v>
      </c>
      <c r="L2165" s="6">
        <v>48.519798278808601</v>
      </c>
    </row>
    <row r="2166" spans="1:12" x14ac:dyDescent="0.25">
      <c r="A2166">
        <v>2508901</v>
      </c>
      <c r="B2166" t="str">
        <f t="shared" si="33"/>
        <v>MAMANGUAPE, PB, Brasil</v>
      </c>
      <c r="C2166" s="4" t="str">
        <f>_xlfn.XLOOKUP(A2166,[1]!DadosGHD[CD_GEOCMU],[1]!DadosGHD[Região])</f>
        <v>NE</v>
      </c>
      <c r="D2166" s="4" t="str">
        <f>_xlfn.XLOOKUP(A2166,[1]!DadosGHD[CD_GEOCMU],[1]!DadosGHD[uf])</f>
        <v>PB</v>
      </c>
      <c r="E2166" s="5" t="str">
        <f>_xlfn.XLOOKUP(A2166,[1]!DadosGHD[CD_GEOCMU],[1]!DadosGHD[MUNICIPIO])</f>
        <v>MAMANGUAPE</v>
      </c>
      <c r="F2166" s="6">
        <v>38.622409820556598</v>
      </c>
      <c r="G2166" s="6">
        <v>38.7093696594238</v>
      </c>
      <c r="H2166" s="6">
        <v>38.800739288330099</v>
      </c>
      <c r="I2166" s="6">
        <v>43.677410125732401</v>
      </c>
      <c r="J2166" s="6">
        <v>43.7451171875</v>
      </c>
      <c r="K2166" s="6">
        <v>43.818878173828097</v>
      </c>
      <c r="L2166" s="6">
        <v>39.608951568603501</v>
      </c>
    </row>
    <row r="2167" spans="1:12" x14ac:dyDescent="0.25">
      <c r="A2167">
        <v>1100379</v>
      </c>
      <c r="B2167" t="str">
        <f t="shared" si="33"/>
        <v>ALTO ALEGRE DOS PARECIS, RO, Brasil</v>
      </c>
      <c r="C2167" s="4" t="str">
        <f>_xlfn.XLOOKUP(A2167,[1]!DadosGHD[CD_GEOCMU],[1]!DadosGHD[Região])</f>
        <v>NO</v>
      </c>
      <c r="D2167" s="4" t="str">
        <f>_xlfn.XLOOKUP(A2167,[1]!DadosGHD[CD_GEOCMU],[1]!DadosGHD[uf])</f>
        <v>RO</v>
      </c>
      <c r="E2167" s="5" t="str">
        <f>_xlfn.XLOOKUP(A2167,[1]!DadosGHD[CD_GEOCMU],[1]!DadosGHD[MUNICIPIO])</f>
        <v>ALTO ALEGRE DOS PARECIS</v>
      </c>
      <c r="F2167" s="6">
        <v>38.622409820556598</v>
      </c>
      <c r="G2167" s="6">
        <v>38.701652526855497</v>
      </c>
      <c r="H2167" s="6">
        <v>38.766780853271499</v>
      </c>
      <c r="I2167" s="6">
        <v>38.744335174560597</v>
      </c>
      <c r="J2167" s="6">
        <v>38.798927307128899</v>
      </c>
      <c r="K2167" s="6">
        <v>38.803150177002003</v>
      </c>
      <c r="L2167" s="6">
        <v>35.124507904052699</v>
      </c>
    </row>
    <row r="2168" spans="1:12" x14ac:dyDescent="0.25">
      <c r="A2168">
        <v>4214151</v>
      </c>
      <c r="B2168" t="str">
        <f t="shared" si="33"/>
        <v>PRINCESA, SC, Brasil</v>
      </c>
      <c r="C2168" s="4" t="str">
        <f>_xlfn.XLOOKUP(A2168,[1]!DadosGHD[CD_GEOCMU],[1]!DadosGHD[Região])</f>
        <v>SL</v>
      </c>
      <c r="D2168" s="4" t="str">
        <f>_xlfn.XLOOKUP(A2168,[1]!DadosGHD[CD_GEOCMU],[1]!DadosGHD[uf])</f>
        <v>SC</v>
      </c>
      <c r="E2168" s="5" t="str">
        <f>_xlfn.XLOOKUP(A2168,[1]!DadosGHD[CD_GEOCMU],[1]!DadosGHD[MUNICIPIO])</f>
        <v>PRINCESA</v>
      </c>
      <c r="F2168" s="6">
        <v>38.622413635253899</v>
      </c>
      <c r="G2168" s="6">
        <v>48.661777496337898</v>
      </c>
      <c r="H2168" s="6">
        <v>53.855995178222699</v>
      </c>
      <c r="I2168" s="6">
        <v>58.7977485656738</v>
      </c>
      <c r="J2168" s="6">
        <v>64.039611816406307</v>
      </c>
      <c r="K2168" s="6">
        <v>64.13623046875</v>
      </c>
      <c r="L2168" s="6">
        <v>57.589881896972699</v>
      </c>
    </row>
    <row r="2169" spans="1:12" x14ac:dyDescent="0.25">
      <c r="A2169">
        <v>2910107</v>
      </c>
      <c r="B2169" t="str">
        <f t="shared" si="33"/>
        <v>DOM BASILIO, BA, Brasil</v>
      </c>
      <c r="C2169" s="4" t="str">
        <f>_xlfn.XLOOKUP(A2169,[1]!DadosGHD[CD_GEOCMU],[1]!DadosGHD[Região])</f>
        <v>NE</v>
      </c>
      <c r="D2169" s="4" t="str">
        <f>_xlfn.XLOOKUP(A2169,[1]!DadosGHD[CD_GEOCMU],[1]!DadosGHD[uf])</f>
        <v>BA</v>
      </c>
      <c r="E2169" s="5" t="str">
        <f>_xlfn.XLOOKUP(A2169,[1]!DadosGHD[CD_GEOCMU],[1]!DadosGHD[MUNICIPIO])</f>
        <v>DOM BASILIO</v>
      </c>
      <c r="F2169" s="6">
        <v>38.6224174499512</v>
      </c>
      <c r="G2169" s="6">
        <v>38.697723388671903</v>
      </c>
      <c r="H2169" s="6">
        <v>38.746627807617202</v>
      </c>
      <c r="I2169" s="6">
        <v>38.729896545410199</v>
      </c>
      <c r="J2169" s="6">
        <v>38.764472961425803</v>
      </c>
      <c r="K2169" s="6">
        <v>38.797615051269503</v>
      </c>
      <c r="L2169" s="6">
        <v>30.714715957641602</v>
      </c>
    </row>
    <row r="2170" spans="1:12" x14ac:dyDescent="0.25">
      <c r="A2170">
        <v>2505279</v>
      </c>
      <c r="B2170" t="str">
        <f t="shared" si="33"/>
        <v>CURRAL DE CIMA, PB, Brasil</v>
      </c>
      <c r="C2170" s="4" t="str">
        <f>_xlfn.XLOOKUP(A2170,[1]!DadosGHD[CD_GEOCMU],[1]!DadosGHD[Região])</f>
        <v>NE</v>
      </c>
      <c r="D2170" s="4" t="str">
        <f>_xlfn.XLOOKUP(A2170,[1]!DadosGHD[CD_GEOCMU],[1]!DadosGHD[uf])</f>
        <v>PB</v>
      </c>
      <c r="E2170" s="5" t="str">
        <f>_xlfn.XLOOKUP(A2170,[1]!DadosGHD[CD_GEOCMU],[1]!DadosGHD[MUNICIPIO])</f>
        <v>CURRAL DE CIMA</v>
      </c>
      <c r="F2170" s="6">
        <v>38.622421264648402</v>
      </c>
      <c r="G2170" s="6">
        <v>33.829620361328097</v>
      </c>
      <c r="H2170" s="6">
        <v>33.867416381835902</v>
      </c>
      <c r="I2170" s="6">
        <v>33.8453979492188</v>
      </c>
      <c r="J2170" s="6">
        <v>33.862232208252003</v>
      </c>
      <c r="K2170" s="6">
        <v>33.893230438232401</v>
      </c>
      <c r="L2170" s="6">
        <v>26.293296813964801</v>
      </c>
    </row>
    <row r="2171" spans="1:12" x14ac:dyDescent="0.25">
      <c r="A2171">
        <v>4321493</v>
      </c>
      <c r="B2171" t="str">
        <f t="shared" si="33"/>
        <v>TOROPI, RS, Brasil</v>
      </c>
      <c r="C2171" s="4" t="str">
        <f>_xlfn.XLOOKUP(A2171,[1]!DadosGHD[CD_GEOCMU],[1]!DadosGHD[Região])</f>
        <v>SL</v>
      </c>
      <c r="D2171" s="4" t="str">
        <f>_xlfn.XLOOKUP(A2171,[1]!DadosGHD[CD_GEOCMU],[1]!DadosGHD[uf])</f>
        <v>RS</v>
      </c>
      <c r="E2171" s="5" t="str">
        <f>_xlfn.XLOOKUP(A2171,[1]!DadosGHD[CD_GEOCMU],[1]!DadosGHD[MUNICIPIO])</f>
        <v>TOROPI</v>
      </c>
      <c r="F2171" s="6">
        <v>38.622669219970703</v>
      </c>
      <c r="G2171" s="6">
        <v>43.6805610656738</v>
      </c>
      <c r="H2171" s="6">
        <v>43.792411804199197</v>
      </c>
      <c r="I2171" s="6">
        <v>48.708484649658203</v>
      </c>
      <c r="J2171" s="6">
        <v>48.805515289306598</v>
      </c>
      <c r="K2171" s="6">
        <v>48.875030517578097</v>
      </c>
      <c r="L2171" s="6">
        <v>53.021293640136697</v>
      </c>
    </row>
    <row r="2172" spans="1:12" x14ac:dyDescent="0.25">
      <c r="A2172">
        <v>3145877</v>
      </c>
      <c r="B2172" t="str">
        <f t="shared" si="33"/>
        <v>ORIZANIA, MG, Brasil</v>
      </c>
      <c r="C2172" s="4" t="str">
        <f>_xlfn.XLOOKUP(A2172,[1]!DadosGHD[CD_GEOCMU],[1]!DadosGHD[Região])</f>
        <v>SD</v>
      </c>
      <c r="D2172" s="4" t="str">
        <f>_xlfn.XLOOKUP(A2172,[1]!DadosGHD[CD_GEOCMU],[1]!DadosGHD[uf])</f>
        <v>MG</v>
      </c>
      <c r="E2172" s="5" t="str">
        <f>_xlfn.XLOOKUP(A2172,[1]!DadosGHD[CD_GEOCMU],[1]!DadosGHD[MUNICIPIO])</f>
        <v>ORIZANIA</v>
      </c>
      <c r="F2172" s="6">
        <v>38.622879028320298</v>
      </c>
      <c r="G2172" s="6">
        <v>33.780475616455099</v>
      </c>
      <c r="H2172" s="6">
        <v>33.8228149414063</v>
      </c>
      <c r="I2172" s="6">
        <v>33.811920166015597</v>
      </c>
      <c r="J2172" s="6">
        <v>33.862575531005902</v>
      </c>
      <c r="K2172" s="6">
        <v>33.902366638183601</v>
      </c>
      <c r="L2172" s="6">
        <v>35.129489898681598</v>
      </c>
    </row>
    <row r="2173" spans="1:12" x14ac:dyDescent="0.25">
      <c r="A2173">
        <v>4315958</v>
      </c>
      <c r="B2173" t="str">
        <f t="shared" si="33"/>
        <v>ROLADOR, RS, Brasil</v>
      </c>
      <c r="C2173" s="4" t="str">
        <f>_xlfn.XLOOKUP(A2173,[1]!DadosGHD[CD_GEOCMU],[1]!DadosGHD[Região])</f>
        <v>SL</v>
      </c>
      <c r="D2173" s="4" t="str">
        <f>_xlfn.XLOOKUP(A2173,[1]!DadosGHD[CD_GEOCMU],[1]!DadosGHD[uf])</f>
        <v>RS</v>
      </c>
      <c r="E2173" s="5" t="str">
        <f>_xlfn.XLOOKUP(A2173,[1]!DadosGHD[CD_GEOCMU],[1]!DadosGHD[MUNICIPIO])</f>
        <v>ROLADOR</v>
      </c>
      <c r="F2173" s="6">
        <v>38.623291015625</v>
      </c>
      <c r="G2173" s="6">
        <v>33.793201446533203</v>
      </c>
      <c r="H2173" s="6">
        <v>33.836086273193402</v>
      </c>
      <c r="I2173" s="6">
        <v>33.827198028564503</v>
      </c>
      <c r="J2173" s="6">
        <v>43.7727661132813</v>
      </c>
      <c r="K2173" s="6">
        <v>43.825531005859403</v>
      </c>
      <c r="L2173" s="6">
        <v>35.131443023681598</v>
      </c>
    </row>
    <row r="2174" spans="1:12" x14ac:dyDescent="0.25">
      <c r="A2174">
        <v>4205431</v>
      </c>
      <c r="B2174" t="str">
        <f t="shared" si="33"/>
        <v>FORMOSA DO SUL, SC, Brasil</v>
      </c>
      <c r="C2174" s="4" t="str">
        <f>_xlfn.XLOOKUP(A2174,[1]!DadosGHD[CD_GEOCMU],[1]!DadosGHD[Região])</f>
        <v>SL</v>
      </c>
      <c r="D2174" s="4" t="str">
        <f>_xlfn.XLOOKUP(A2174,[1]!DadosGHD[CD_GEOCMU],[1]!DadosGHD[uf])</f>
        <v>SC</v>
      </c>
      <c r="E2174" s="5" t="str">
        <f>_xlfn.XLOOKUP(A2174,[1]!DadosGHD[CD_GEOCMU],[1]!DadosGHD[MUNICIPIO])</f>
        <v>FORMOSA DO SUL</v>
      </c>
      <c r="F2174" s="6">
        <v>38.623344421386697</v>
      </c>
      <c r="G2174" s="6">
        <v>53.807518005371101</v>
      </c>
      <c r="H2174" s="6">
        <v>58.914253234863303</v>
      </c>
      <c r="I2174" s="6">
        <v>63.924186706542997</v>
      </c>
      <c r="J2174" s="6">
        <v>63.9471626281738</v>
      </c>
      <c r="K2174" s="6">
        <v>59.064399719238303</v>
      </c>
      <c r="L2174" s="6">
        <v>57.589881896972699</v>
      </c>
    </row>
    <row r="2175" spans="1:12" x14ac:dyDescent="0.25">
      <c r="A2175">
        <v>2904902</v>
      </c>
      <c r="B2175" t="str">
        <f t="shared" si="33"/>
        <v>CACHOEIRA, BA, Brasil</v>
      </c>
      <c r="C2175" s="4" t="str">
        <f>_xlfn.XLOOKUP(A2175,[1]!DadosGHD[CD_GEOCMU],[1]!DadosGHD[Região])</f>
        <v>NE</v>
      </c>
      <c r="D2175" s="4" t="str">
        <f>_xlfn.XLOOKUP(A2175,[1]!DadosGHD[CD_GEOCMU],[1]!DadosGHD[uf])</f>
        <v>BA</v>
      </c>
      <c r="E2175" s="5" t="str">
        <f>_xlfn.XLOOKUP(A2175,[1]!DadosGHD[CD_GEOCMU],[1]!DadosGHD[MUNICIPIO])</f>
        <v>CACHOEIRA</v>
      </c>
      <c r="F2175" s="6">
        <v>38.623367309570298</v>
      </c>
      <c r="G2175" s="6">
        <v>33.840023040771499</v>
      </c>
      <c r="H2175" s="6">
        <v>33.8782958984375</v>
      </c>
      <c r="I2175" s="6">
        <v>33.850013732910199</v>
      </c>
      <c r="J2175" s="6">
        <v>33.854434967041001</v>
      </c>
      <c r="K2175" s="6">
        <v>33.874130249023402</v>
      </c>
      <c r="L2175" s="6">
        <v>26.287420272827202</v>
      </c>
    </row>
    <row r="2176" spans="1:12" x14ac:dyDescent="0.25">
      <c r="A2176">
        <v>3514007</v>
      </c>
      <c r="B2176" t="str">
        <f t="shared" si="33"/>
        <v>DOBRADA, SP, Brasil</v>
      </c>
      <c r="C2176" s="4" t="str">
        <f>_xlfn.XLOOKUP(A2176,[1]!DadosGHD[CD_GEOCMU],[1]!DadosGHD[Região])</f>
        <v>SD</v>
      </c>
      <c r="D2176" s="4" t="str">
        <f>_xlfn.XLOOKUP(A2176,[1]!DadosGHD[CD_GEOCMU],[1]!DadosGHD[uf])</f>
        <v>SP</v>
      </c>
      <c r="E2176" s="5" t="str">
        <f>_xlfn.XLOOKUP(A2176,[1]!DadosGHD[CD_GEOCMU],[1]!DadosGHD[MUNICIPIO])</f>
        <v>DOBRADA</v>
      </c>
      <c r="F2176" s="6">
        <v>38.623390197753899</v>
      </c>
      <c r="G2176" s="6">
        <v>38.7504272460938</v>
      </c>
      <c r="H2176" s="6">
        <v>38.784519195556598</v>
      </c>
      <c r="I2176" s="6">
        <v>38.752494812011697</v>
      </c>
      <c r="J2176" s="6">
        <v>38.745075225830099</v>
      </c>
      <c r="K2176" s="6">
        <v>38.812225341796903</v>
      </c>
      <c r="L2176" s="6">
        <v>35.144203186035199</v>
      </c>
    </row>
    <row r="2177" spans="1:12" x14ac:dyDescent="0.25">
      <c r="A2177">
        <v>4322376</v>
      </c>
      <c r="B2177" t="str">
        <f t="shared" si="33"/>
        <v>UNISTALDA, RS, Brasil</v>
      </c>
      <c r="C2177" s="4" t="str">
        <f>_xlfn.XLOOKUP(A2177,[1]!DadosGHD[CD_GEOCMU],[1]!DadosGHD[Região])</f>
        <v>SL</v>
      </c>
      <c r="D2177" s="4" t="str">
        <f>_xlfn.XLOOKUP(A2177,[1]!DadosGHD[CD_GEOCMU],[1]!DadosGHD[uf])</f>
        <v>RS</v>
      </c>
      <c r="E2177" s="5" t="str">
        <f>_xlfn.XLOOKUP(A2177,[1]!DadosGHD[CD_GEOCMU],[1]!DadosGHD[MUNICIPIO])</f>
        <v>UNISTALDA</v>
      </c>
      <c r="F2177" s="6">
        <v>38.623756408691399</v>
      </c>
      <c r="G2177" s="6">
        <v>48.673751831054702</v>
      </c>
      <c r="H2177" s="6">
        <v>48.739784240722699</v>
      </c>
      <c r="I2177" s="6">
        <v>48.724086761474602</v>
      </c>
      <c r="J2177" s="6">
        <v>48.775482177734403</v>
      </c>
      <c r="K2177" s="6">
        <v>48.846244812011697</v>
      </c>
      <c r="L2177" s="6">
        <v>39.5879096984863</v>
      </c>
    </row>
    <row r="2178" spans="1:12" x14ac:dyDescent="0.25">
      <c r="A2178">
        <v>5215009</v>
      </c>
      <c r="B2178" t="str">
        <f t="shared" si="33"/>
        <v>NOVA VENEZA, GO, Brasil</v>
      </c>
      <c r="C2178" s="4" t="str">
        <f>_xlfn.XLOOKUP(A2178,[1]!DadosGHD[CD_GEOCMU],[1]!DadosGHD[Região])</f>
        <v>CO</v>
      </c>
      <c r="D2178" s="4" t="str">
        <f>_xlfn.XLOOKUP(A2178,[1]!DadosGHD[CD_GEOCMU],[1]!DadosGHD[uf])</f>
        <v>GO</v>
      </c>
      <c r="E2178" s="5" t="str">
        <f>_xlfn.XLOOKUP(A2178,[1]!DadosGHD[CD_GEOCMU],[1]!DadosGHD[MUNICIPIO])</f>
        <v>NOVA VENEZA</v>
      </c>
      <c r="F2178" s="6">
        <v>38.623802185058601</v>
      </c>
      <c r="G2178" s="6">
        <v>38.755710601806598</v>
      </c>
      <c r="H2178" s="6">
        <v>38.825294494628899</v>
      </c>
      <c r="I2178" s="6">
        <v>33.8524360656738</v>
      </c>
      <c r="J2178" s="6">
        <v>33.864265441894503</v>
      </c>
      <c r="K2178" s="6">
        <v>38.819053649902301</v>
      </c>
      <c r="L2178" s="6">
        <v>39.573638916015597</v>
      </c>
    </row>
    <row r="2179" spans="1:12" x14ac:dyDescent="0.25">
      <c r="A2179">
        <v>4306551</v>
      </c>
      <c r="B2179" t="str">
        <f t="shared" si="33"/>
        <v>DOM PEDRO DE ALCANTARA, RS, Brasil</v>
      </c>
      <c r="C2179" s="4" t="str">
        <f>_xlfn.XLOOKUP(A2179,[1]!DadosGHD[CD_GEOCMU],[1]!DadosGHD[Região])</f>
        <v>SL</v>
      </c>
      <c r="D2179" s="4" t="str">
        <f>_xlfn.XLOOKUP(A2179,[1]!DadosGHD[CD_GEOCMU],[1]!DadosGHD[uf])</f>
        <v>RS</v>
      </c>
      <c r="E2179" s="5" t="str">
        <f>_xlfn.XLOOKUP(A2179,[1]!DadosGHD[CD_GEOCMU],[1]!DadosGHD[MUNICIPIO])</f>
        <v>DOM PEDRO DE ALCANTARA</v>
      </c>
      <c r="F2179" s="6">
        <v>38.623870849609403</v>
      </c>
      <c r="G2179" s="6">
        <v>38.719383239746101</v>
      </c>
      <c r="H2179" s="6">
        <v>38.768157958984403</v>
      </c>
      <c r="I2179" s="6">
        <v>38.7484741210938</v>
      </c>
      <c r="J2179" s="6">
        <v>38.761531829833999</v>
      </c>
      <c r="K2179" s="6">
        <v>38.798622131347699</v>
      </c>
      <c r="L2179" s="6">
        <v>35.114387512207003</v>
      </c>
    </row>
    <row r="2180" spans="1:12" x14ac:dyDescent="0.25">
      <c r="A2180">
        <v>1200609</v>
      </c>
      <c r="B2180" t="str">
        <f t="shared" ref="B2180:B2243" si="34">_xlfn.CONCAT(E2180, ", ", D2180, ", Brasil")</f>
        <v>TARAUACA, AC, Brasil</v>
      </c>
      <c r="C2180" s="4" t="str">
        <f>_xlfn.XLOOKUP(A2180,[1]!DadosGHD[CD_GEOCMU],[1]!DadosGHD[Região])</f>
        <v>NO</v>
      </c>
      <c r="D2180" s="4" t="str">
        <f>_xlfn.XLOOKUP(A2180,[1]!DadosGHD[CD_GEOCMU],[1]!DadosGHD[uf])</f>
        <v>AC</v>
      </c>
      <c r="E2180" s="5" t="str">
        <f>_xlfn.XLOOKUP(A2180,[1]!DadosGHD[CD_GEOCMU],[1]!DadosGHD[MUNICIPIO])</f>
        <v>TARAUACA</v>
      </c>
      <c r="F2180" s="6">
        <v>38.6239013671875</v>
      </c>
      <c r="G2180" s="6">
        <v>38.683269500732401</v>
      </c>
      <c r="H2180" s="6">
        <v>33.876644134521499</v>
      </c>
      <c r="I2180" s="6">
        <v>33.852935791015597</v>
      </c>
      <c r="J2180" s="6">
        <v>33.865428924560597</v>
      </c>
      <c r="K2180" s="6">
        <v>33.915657043457003</v>
      </c>
      <c r="L2180" s="6">
        <v>30.690097808837901</v>
      </c>
    </row>
    <row r="2181" spans="1:12" x14ac:dyDescent="0.25">
      <c r="A2181">
        <v>3510302</v>
      </c>
      <c r="B2181" t="str">
        <f t="shared" si="34"/>
        <v>CAPELA DO ALTO, SP, Brasil</v>
      </c>
      <c r="C2181" s="4" t="str">
        <f>_xlfn.XLOOKUP(A2181,[1]!DadosGHD[CD_GEOCMU],[1]!DadosGHD[Região])</f>
        <v>SD</v>
      </c>
      <c r="D2181" s="4" t="str">
        <f>_xlfn.XLOOKUP(A2181,[1]!DadosGHD[CD_GEOCMU],[1]!DadosGHD[uf])</f>
        <v>SP</v>
      </c>
      <c r="E2181" s="5" t="str">
        <f>_xlfn.XLOOKUP(A2181,[1]!DadosGHD[CD_GEOCMU],[1]!DadosGHD[MUNICIPIO])</f>
        <v>CAPELA DO ALTO</v>
      </c>
      <c r="F2181" s="6">
        <v>38.624000549316399</v>
      </c>
      <c r="G2181" s="6">
        <v>38.691421508789098</v>
      </c>
      <c r="H2181" s="6">
        <v>33.852783203125</v>
      </c>
      <c r="I2181" s="6">
        <v>38.815517425537102</v>
      </c>
      <c r="J2181" s="6">
        <v>38.837089538574197</v>
      </c>
      <c r="K2181" s="6">
        <v>43.8341255187988</v>
      </c>
      <c r="L2181" s="6">
        <v>52.980632781982401</v>
      </c>
    </row>
    <row r="2182" spans="1:12" x14ac:dyDescent="0.25">
      <c r="A2182">
        <v>4310413</v>
      </c>
      <c r="B2182" t="str">
        <f t="shared" si="34"/>
        <v>INHACORA, RS, Brasil</v>
      </c>
      <c r="C2182" s="4" t="str">
        <f>_xlfn.XLOOKUP(A2182,[1]!DadosGHD[CD_GEOCMU],[1]!DadosGHD[Região])</f>
        <v>SL</v>
      </c>
      <c r="D2182" s="4" t="str">
        <f>_xlfn.XLOOKUP(A2182,[1]!DadosGHD[CD_GEOCMU],[1]!DadosGHD[uf])</f>
        <v>RS</v>
      </c>
      <c r="E2182" s="5" t="str">
        <f>_xlfn.XLOOKUP(A2182,[1]!DadosGHD[CD_GEOCMU],[1]!DadosGHD[MUNICIPIO])</f>
        <v>INHACORA</v>
      </c>
      <c r="F2182" s="6">
        <v>38.624160766601598</v>
      </c>
      <c r="G2182" s="6">
        <v>43.679393768310597</v>
      </c>
      <c r="H2182" s="6">
        <v>38.767951965332003</v>
      </c>
      <c r="I2182" s="6">
        <v>43.707080841064503</v>
      </c>
      <c r="J2182" s="6">
        <v>43.726009368896499</v>
      </c>
      <c r="K2182" s="6">
        <v>43.870796203613303</v>
      </c>
      <c r="L2182" s="6">
        <v>39.583446502685597</v>
      </c>
    </row>
    <row r="2183" spans="1:12" x14ac:dyDescent="0.25">
      <c r="A2183">
        <v>2916807</v>
      </c>
      <c r="B2183" t="str">
        <f t="shared" si="34"/>
        <v>ITARANTIM, BA, Brasil</v>
      </c>
      <c r="C2183" s="4" t="str">
        <f>_xlfn.XLOOKUP(A2183,[1]!DadosGHD[CD_GEOCMU],[1]!DadosGHD[Região])</f>
        <v>NE</v>
      </c>
      <c r="D2183" s="4" t="str">
        <f>_xlfn.XLOOKUP(A2183,[1]!DadosGHD[CD_GEOCMU],[1]!DadosGHD[uf])</f>
        <v>BA</v>
      </c>
      <c r="E2183" s="5" t="str">
        <f>_xlfn.XLOOKUP(A2183,[1]!DadosGHD[CD_GEOCMU],[1]!DadosGHD[MUNICIPIO])</f>
        <v>ITARANTIM</v>
      </c>
      <c r="F2183" s="6">
        <v>38.624534606933601</v>
      </c>
      <c r="G2183" s="6">
        <v>38.6858520507813</v>
      </c>
      <c r="H2183" s="6">
        <v>33.884696960449197</v>
      </c>
      <c r="I2183" s="6">
        <v>33.863876342773402</v>
      </c>
      <c r="J2183" s="6">
        <v>33.847080230712898</v>
      </c>
      <c r="K2183" s="6">
        <v>33.888507843017599</v>
      </c>
      <c r="L2183" s="6">
        <v>30.703041076660199</v>
      </c>
    </row>
    <row r="2184" spans="1:12" x14ac:dyDescent="0.25">
      <c r="A2184">
        <v>5106422</v>
      </c>
      <c r="B2184" t="str">
        <f t="shared" si="34"/>
        <v>PEIXOTO DE AZEVEDO, MT, Brasil</v>
      </c>
      <c r="C2184" s="4" t="str">
        <f>_xlfn.XLOOKUP(A2184,[1]!DadosGHD[CD_GEOCMU],[1]!DadosGHD[Região])</f>
        <v>CO</v>
      </c>
      <c r="D2184" s="4" t="str">
        <f>_xlfn.XLOOKUP(A2184,[1]!DadosGHD[CD_GEOCMU],[1]!DadosGHD[uf])</f>
        <v>MT</v>
      </c>
      <c r="E2184" s="5" t="str">
        <f>_xlfn.XLOOKUP(A2184,[1]!DadosGHD[CD_GEOCMU],[1]!DadosGHD[MUNICIPIO])</f>
        <v>PEIXOTO DE AZEVEDO</v>
      </c>
      <c r="F2184" s="6">
        <v>38.6247367858887</v>
      </c>
      <c r="G2184" s="6">
        <v>38.702304840087898</v>
      </c>
      <c r="H2184" s="6">
        <v>38.770549774169901</v>
      </c>
      <c r="I2184" s="6">
        <v>38.7493286132813</v>
      </c>
      <c r="J2184" s="6">
        <v>38.771415710449197</v>
      </c>
      <c r="K2184" s="6">
        <v>38.880256652832003</v>
      </c>
      <c r="L2184" s="6">
        <v>44.016666412353501</v>
      </c>
    </row>
    <row r="2185" spans="1:12" x14ac:dyDescent="0.25">
      <c r="A2185">
        <v>1101435</v>
      </c>
      <c r="B2185" t="str">
        <f t="shared" si="34"/>
        <v>NOVA UNIAO, RO, Brasil</v>
      </c>
      <c r="C2185" s="4" t="str">
        <f>_xlfn.XLOOKUP(A2185,[1]!DadosGHD[CD_GEOCMU],[1]!DadosGHD[Região])</f>
        <v>NO</v>
      </c>
      <c r="D2185" s="4" t="str">
        <f>_xlfn.XLOOKUP(A2185,[1]!DadosGHD[CD_GEOCMU],[1]!DadosGHD[uf])</f>
        <v>RO</v>
      </c>
      <c r="E2185" s="5" t="str">
        <f>_xlfn.XLOOKUP(A2185,[1]!DadosGHD[CD_GEOCMU],[1]!DadosGHD[MUNICIPIO])</f>
        <v>NOVA UNIAO</v>
      </c>
      <c r="F2185" s="6">
        <v>38.624870300292997</v>
      </c>
      <c r="G2185" s="6">
        <v>38.732048034667997</v>
      </c>
      <c r="H2185" s="6">
        <v>38.797023773193402</v>
      </c>
      <c r="I2185" s="6">
        <v>43.730152130127003</v>
      </c>
      <c r="J2185" s="6">
        <v>43.789459228515597</v>
      </c>
      <c r="K2185" s="6">
        <v>43.851898193359403</v>
      </c>
      <c r="L2185" s="6">
        <v>39.581111907958999</v>
      </c>
    </row>
    <row r="2186" spans="1:12" x14ac:dyDescent="0.25">
      <c r="A2186">
        <v>2304657</v>
      </c>
      <c r="B2186" t="str">
        <f t="shared" si="34"/>
        <v>GRACA, CE, Brasil</v>
      </c>
      <c r="C2186" s="4" t="str">
        <f>_xlfn.XLOOKUP(A2186,[1]!DadosGHD[CD_GEOCMU],[1]!DadosGHD[Região])</f>
        <v>NE</v>
      </c>
      <c r="D2186" s="4" t="str">
        <f>_xlfn.XLOOKUP(A2186,[1]!DadosGHD[CD_GEOCMU],[1]!DadosGHD[uf])</f>
        <v>CE</v>
      </c>
      <c r="E2186" s="5" t="str">
        <f>_xlfn.XLOOKUP(A2186,[1]!DadosGHD[CD_GEOCMU],[1]!DadosGHD[MUNICIPIO])</f>
        <v>GRACA</v>
      </c>
      <c r="F2186" s="6">
        <v>38.624946594238303</v>
      </c>
      <c r="G2186" s="6">
        <v>38.731487274169901</v>
      </c>
      <c r="H2186" s="6">
        <v>38.784351348877003</v>
      </c>
      <c r="I2186" s="6">
        <v>38.787635803222699</v>
      </c>
      <c r="J2186" s="6">
        <v>43.709499359130902</v>
      </c>
      <c r="K2186" s="6">
        <v>43.781944274902301</v>
      </c>
      <c r="L2186" s="6">
        <v>39.605945587158203</v>
      </c>
    </row>
    <row r="2187" spans="1:12" x14ac:dyDescent="0.25">
      <c r="A2187">
        <v>2505105</v>
      </c>
      <c r="B2187" t="str">
        <f t="shared" si="34"/>
        <v>CUITE, PB, Brasil</v>
      </c>
      <c r="C2187" s="4" t="str">
        <f>_xlfn.XLOOKUP(A2187,[1]!DadosGHD[CD_GEOCMU],[1]!DadosGHD[Região])</f>
        <v>NE</v>
      </c>
      <c r="D2187" s="4" t="str">
        <f>_xlfn.XLOOKUP(A2187,[1]!DadosGHD[CD_GEOCMU],[1]!DadosGHD[uf])</f>
        <v>PB</v>
      </c>
      <c r="E2187" s="5" t="str">
        <f>_xlfn.XLOOKUP(A2187,[1]!DadosGHD[CD_GEOCMU],[1]!DadosGHD[MUNICIPIO])</f>
        <v>CUITE</v>
      </c>
      <c r="F2187" s="6">
        <v>38.624950408935597</v>
      </c>
      <c r="G2187" s="6">
        <v>38.733146667480497</v>
      </c>
      <c r="H2187" s="6">
        <v>38.7698974609375</v>
      </c>
      <c r="I2187" s="6">
        <v>38.732444763183601</v>
      </c>
      <c r="J2187" s="6">
        <v>38.791515350341797</v>
      </c>
      <c r="K2187" s="6">
        <v>38.847400665283203</v>
      </c>
      <c r="L2187" s="6">
        <v>39.567214965820298</v>
      </c>
    </row>
    <row r="2188" spans="1:12" x14ac:dyDescent="0.25">
      <c r="A2188">
        <v>2929354</v>
      </c>
      <c r="B2188" t="str">
        <f t="shared" si="34"/>
        <v>SAO JOSE DA VITORIA, BA, Brasil</v>
      </c>
      <c r="C2188" s="4" t="str">
        <f>_xlfn.XLOOKUP(A2188,[1]!DadosGHD[CD_GEOCMU],[1]!DadosGHD[Região])</f>
        <v>NE</v>
      </c>
      <c r="D2188" s="4" t="str">
        <f>_xlfn.XLOOKUP(A2188,[1]!DadosGHD[CD_GEOCMU],[1]!DadosGHD[uf])</f>
        <v>BA</v>
      </c>
      <c r="E2188" s="5" t="str">
        <f>_xlfn.XLOOKUP(A2188,[1]!DadosGHD[CD_GEOCMU],[1]!DadosGHD[MUNICIPIO])</f>
        <v>SAO JOSE DA VITORIA</v>
      </c>
      <c r="F2188" s="6">
        <v>38.625194549560597</v>
      </c>
      <c r="G2188" s="6">
        <v>33.846763610839801</v>
      </c>
      <c r="H2188" s="6">
        <v>38.7420654296875</v>
      </c>
      <c r="I2188" s="6">
        <v>38.7485160827637</v>
      </c>
      <c r="J2188" s="6">
        <v>33.893871307373097</v>
      </c>
      <c r="K2188" s="6">
        <v>33.911228179931598</v>
      </c>
      <c r="L2188" s="6">
        <v>30.688034057617202</v>
      </c>
    </row>
    <row r="2189" spans="1:12" x14ac:dyDescent="0.25">
      <c r="A2189">
        <v>2910057</v>
      </c>
      <c r="B2189" t="str">
        <f t="shared" si="34"/>
        <v>DIAS D'AVILA, BA, Brasil</v>
      </c>
      <c r="C2189" s="4" t="str">
        <f>_xlfn.XLOOKUP(A2189,[1]!DadosGHD[CD_GEOCMU],[1]!DadosGHD[Região])</f>
        <v>NE</v>
      </c>
      <c r="D2189" s="4" t="str">
        <f>_xlfn.XLOOKUP(A2189,[1]!DadosGHD[CD_GEOCMU],[1]!DadosGHD[uf])</f>
        <v>BA</v>
      </c>
      <c r="E2189" s="5" t="str">
        <f>_xlfn.XLOOKUP(A2189,[1]!DadosGHD[CD_GEOCMU],[1]!DadosGHD[MUNICIPIO])</f>
        <v>DIAS D'AVILA</v>
      </c>
      <c r="F2189" s="6">
        <v>38.625209808349602</v>
      </c>
      <c r="G2189" s="6">
        <v>38.6826362609863</v>
      </c>
      <c r="H2189" s="6">
        <v>33.893924713134801</v>
      </c>
      <c r="I2189" s="6">
        <v>33.867347717285199</v>
      </c>
      <c r="J2189" s="6">
        <v>33.863887786865199</v>
      </c>
      <c r="K2189" s="6">
        <v>33.879749298095703</v>
      </c>
      <c r="L2189" s="6">
        <v>30.710575103759801</v>
      </c>
    </row>
    <row r="2190" spans="1:12" x14ac:dyDescent="0.25">
      <c r="A2190">
        <v>3109451</v>
      </c>
      <c r="B2190" t="str">
        <f t="shared" si="34"/>
        <v>CABECEIRA GRANDE, MG, Brasil</v>
      </c>
      <c r="C2190" s="4" t="str">
        <f>_xlfn.XLOOKUP(A2190,[1]!DadosGHD[CD_GEOCMU],[1]!DadosGHD[Região])</f>
        <v>SD</v>
      </c>
      <c r="D2190" s="4" t="str">
        <f>_xlfn.XLOOKUP(A2190,[1]!DadosGHD[CD_GEOCMU],[1]!DadosGHD[uf])</f>
        <v>MG</v>
      </c>
      <c r="E2190" s="5" t="str">
        <f>_xlfn.XLOOKUP(A2190,[1]!DadosGHD[CD_GEOCMU],[1]!DadosGHD[MUNICIPIO])</f>
        <v>CABECEIRA GRANDE</v>
      </c>
      <c r="F2190" s="6">
        <v>38.6255493164063</v>
      </c>
      <c r="G2190" s="6">
        <v>38.707649230957003</v>
      </c>
      <c r="H2190" s="6">
        <v>33.882015228271499</v>
      </c>
      <c r="I2190" s="6">
        <v>33.8268432617188</v>
      </c>
      <c r="J2190" s="6">
        <v>33.8312797546387</v>
      </c>
      <c r="K2190" s="6">
        <v>33.8809204101563</v>
      </c>
      <c r="L2190" s="6">
        <v>35.133045196533203</v>
      </c>
    </row>
    <row r="2191" spans="1:12" x14ac:dyDescent="0.25">
      <c r="A2191">
        <v>2401008</v>
      </c>
      <c r="B2191" t="str">
        <f t="shared" si="34"/>
        <v>APODI, RN, Brasil</v>
      </c>
      <c r="C2191" s="4" t="str">
        <f>_xlfn.XLOOKUP(A2191,[1]!DadosGHD[CD_GEOCMU],[1]!DadosGHD[Região])</f>
        <v>NE</v>
      </c>
      <c r="D2191" s="4" t="str">
        <f>_xlfn.XLOOKUP(A2191,[1]!DadosGHD[CD_GEOCMU],[1]!DadosGHD[uf])</f>
        <v>RN</v>
      </c>
      <c r="E2191" s="5" t="str">
        <f>_xlfn.XLOOKUP(A2191,[1]!DadosGHD[CD_GEOCMU],[1]!DadosGHD[MUNICIPIO])</f>
        <v>APODI</v>
      </c>
      <c r="F2191" s="6">
        <v>38.625602722167997</v>
      </c>
      <c r="G2191" s="6">
        <v>38.723697662353501</v>
      </c>
      <c r="H2191" s="6">
        <v>38.770408630371101</v>
      </c>
      <c r="I2191" s="6">
        <v>38.798286437988303</v>
      </c>
      <c r="J2191" s="6">
        <v>38.835979461669901</v>
      </c>
      <c r="K2191" s="6">
        <v>38.885978698730497</v>
      </c>
      <c r="L2191" s="6">
        <v>35.156593322753899</v>
      </c>
    </row>
    <row r="2192" spans="1:12" x14ac:dyDescent="0.25">
      <c r="A2192">
        <v>5103106</v>
      </c>
      <c r="B2192" t="str">
        <f t="shared" si="34"/>
        <v>COCALINHO, MT, Brasil</v>
      </c>
      <c r="C2192" s="4" t="str">
        <f>_xlfn.XLOOKUP(A2192,[1]!DadosGHD[CD_GEOCMU],[1]!DadosGHD[Região])</f>
        <v>CO</v>
      </c>
      <c r="D2192" s="4" t="str">
        <f>_xlfn.XLOOKUP(A2192,[1]!DadosGHD[CD_GEOCMU],[1]!DadosGHD[uf])</f>
        <v>MT</v>
      </c>
      <c r="E2192" s="5" t="str">
        <f>_xlfn.XLOOKUP(A2192,[1]!DadosGHD[CD_GEOCMU],[1]!DadosGHD[MUNICIPIO])</f>
        <v>COCALINHO</v>
      </c>
      <c r="F2192" s="6">
        <v>38.625720977783203</v>
      </c>
      <c r="G2192" s="6">
        <v>38.775932312011697</v>
      </c>
      <c r="H2192" s="6">
        <v>38.805717468261697</v>
      </c>
      <c r="I2192" s="6">
        <v>38.775135040283203</v>
      </c>
      <c r="J2192" s="6">
        <v>38.825515747070298</v>
      </c>
      <c r="K2192" s="6">
        <v>48.7888793945313</v>
      </c>
      <c r="L2192" s="6">
        <v>48.515079498291001</v>
      </c>
    </row>
    <row r="2193" spans="1:12" x14ac:dyDescent="0.25">
      <c r="A2193">
        <v>4319125</v>
      </c>
      <c r="B2193" t="str">
        <f t="shared" si="34"/>
        <v>SAO MARTINHO DA SERRA, RS, Brasil</v>
      </c>
      <c r="C2193" s="4" t="str">
        <f>_xlfn.XLOOKUP(A2193,[1]!DadosGHD[CD_GEOCMU],[1]!DadosGHD[Região])</f>
        <v>SL</v>
      </c>
      <c r="D2193" s="4" t="str">
        <f>_xlfn.XLOOKUP(A2193,[1]!DadosGHD[CD_GEOCMU],[1]!DadosGHD[uf])</f>
        <v>RS</v>
      </c>
      <c r="E2193" s="5" t="str">
        <f>_xlfn.XLOOKUP(A2193,[1]!DadosGHD[CD_GEOCMU],[1]!DadosGHD[MUNICIPIO])</f>
        <v>SAO MARTINHO DA SERRA</v>
      </c>
      <c r="F2193" s="6">
        <v>38.625823974609403</v>
      </c>
      <c r="G2193" s="6">
        <v>48.633480072021499</v>
      </c>
      <c r="H2193" s="6">
        <v>43.8263549804688</v>
      </c>
      <c r="I2193" s="6">
        <v>43.798133850097699</v>
      </c>
      <c r="J2193" s="6">
        <v>48.706569671630902</v>
      </c>
      <c r="K2193" s="6">
        <v>48.839191436767599</v>
      </c>
      <c r="L2193" s="6">
        <v>44.058685302734403</v>
      </c>
    </row>
    <row r="2194" spans="1:12" x14ac:dyDescent="0.25">
      <c r="A2194">
        <v>2511707</v>
      </c>
      <c r="B2194" t="str">
        <f t="shared" si="34"/>
        <v>PILOEZINHOS, PB, Brasil</v>
      </c>
      <c r="C2194" s="4" t="str">
        <f>_xlfn.XLOOKUP(A2194,[1]!DadosGHD[CD_GEOCMU],[1]!DadosGHD[Região])</f>
        <v>NE</v>
      </c>
      <c r="D2194" s="4" t="str">
        <f>_xlfn.XLOOKUP(A2194,[1]!DadosGHD[CD_GEOCMU],[1]!DadosGHD[uf])</f>
        <v>PB</v>
      </c>
      <c r="E2194" s="5" t="str">
        <f>_xlfn.XLOOKUP(A2194,[1]!DadosGHD[CD_GEOCMU],[1]!DadosGHD[MUNICIPIO])</f>
        <v>PILOEZINHOS</v>
      </c>
      <c r="F2194" s="6">
        <v>38.6258354187012</v>
      </c>
      <c r="G2194" s="6">
        <v>33.834388732910199</v>
      </c>
      <c r="H2194" s="6">
        <v>33.871654510498097</v>
      </c>
      <c r="I2194" s="6">
        <v>33.854038238525398</v>
      </c>
      <c r="J2194" s="6">
        <v>33.878864288330099</v>
      </c>
      <c r="K2194" s="6">
        <v>28.978216171264702</v>
      </c>
      <c r="L2194" s="6">
        <v>26.280206680297901</v>
      </c>
    </row>
    <row r="2195" spans="1:12" x14ac:dyDescent="0.25">
      <c r="A2195">
        <v>2413409</v>
      </c>
      <c r="B2195" t="str">
        <f t="shared" si="34"/>
        <v>SERRA NEGRA DO NORTE, RN, Brasil</v>
      </c>
      <c r="C2195" s="4" t="str">
        <f>_xlfn.XLOOKUP(A2195,[1]!DadosGHD[CD_GEOCMU],[1]!DadosGHD[Região])</f>
        <v>NE</v>
      </c>
      <c r="D2195" s="4" t="str">
        <f>_xlfn.XLOOKUP(A2195,[1]!DadosGHD[CD_GEOCMU],[1]!DadosGHD[uf])</f>
        <v>RN</v>
      </c>
      <c r="E2195" s="5" t="str">
        <f>_xlfn.XLOOKUP(A2195,[1]!DadosGHD[CD_GEOCMU],[1]!DadosGHD[MUNICIPIO])</f>
        <v>SERRA NEGRA DO NORTE</v>
      </c>
      <c r="F2195" s="6">
        <v>38.626178741455099</v>
      </c>
      <c r="G2195" s="6">
        <v>33.814929962158203</v>
      </c>
      <c r="H2195" s="6">
        <v>33.862060546875</v>
      </c>
      <c r="I2195" s="6">
        <v>38.719394683837898</v>
      </c>
      <c r="J2195" s="6">
        <v>33.848587036132798</v>
      </c>
      <c r="K2195" s="6">
        <v>33.909034729003899</v>
      </c>
      <c r="L2195" s="6">
        <v>30.697307586669901</v>
      </c>
    </row>
    <row r="2196" spans="1:12" x14ac:dyDescent="0.25">
      <c r="A2196">
        <v>4117008</v>
      </c>
      <c r="B2196" t="str">
        <f t="shared" si="34"/>
        <v>NOVA FATIMA, PR, Brasil</v>
      </c>
      <c r="C2196" s="4" t="str">
        <f>_xlfn.XLOOKUP(A2196,[1]!DadosGHD[CD_GEOCMU],[1]!DadosGHD[Região])</f>
        <v>SL</v>
      </c>
      <c r="D2196" s="4" t="str">
        <f>_xlfn.XLOOKUP(A2196,[1]!DadosGHD[CD_GEOCMU],[1]!DadosGHD[uf])</f>
        <v>PR</v>
      </c>
      <c r="E2196" s="5" t="str">
        <f>_xlfn.XLOOKUP(A2196,[1]!DadosGHD[CD_GEOCMU],[1]!DadosGHD[MUNICIPIO])</f>
        <v>NOVA FATIMA</v>
      </c>
      <c r="F2196" s="6">
        <v>38.626312255859403</v>
      </c>
      <c r="G2196" s="6">
        <v>43.641445159912102</v>
      </c>
      <c r="H2196" s="6">
        <v>43.7974243164063</v>
      </c>
      <c r="I2196" s="6">
        <v>43.7976264953613</v>
      </c>
      <c r="J2196" s="6">
        <v>48.7218017578125</v>
      </c>
      <c r="K2196" s="6">
        <v>43.848918914794901</v>
      </c>
      <c r="L2196" s="6">
        <v>48.5352973937988</v>
      </c>
    </row>
    <row r="2197" spans="1:12" x14ac:dyDescent="0.25">
      <c r="A2197">
        <v>2202604</v>
      </c>
      <c r="B2197" t="str">
        <f t="shared" si="34"/>
        <v>CASTELO DO PIAUI, PI, Brasil</v>
      </c>
      <c r="C2197" s="4" t="str">
        <f>_xlfn.XLOOKUP(A2197,[1]!DadosGHD[CD_GEOCMU],[1]!DadosGHD[Região])</f>
        <v>NE</v>
      </c>
      <c r="D2197" s="4" t="str">
        <f>_xlfn.XLOOKUP(A2197,[1]!DadosGHD[CD_GEOCMU],[1]!DadosGHD[uf])</f>
        <v>PI</v>
      </c>
      <c r="E2197" s="5" t="str">
        <f>_xlfn.XLOOKUP(A2197,[1]!DadosGHD[CD_GEOCMU],[1]!DadosGHD[MUNICIPIO])</f>
        <v>CASTELO DO PIAUI</v>
      </c>
      <c r="F2197" s="6">
        <v>38.626319885253899</v>
      </c>
      <c r="G2197" s="6">
        <v>38.706478118896499</v>
      </c>
      <c r="H2197" s="6">
        <v>28.976659774780298</v>
      </c>
      <c r="I2197" s="6">
        <v>28.9504203796387</v>
      </c>
      <c r="J2197" s="6">
        <v>28.963659286498999</v>
      </c>
      <c r="K2197" s="6">
        <v>33.851718902587898</v>
      </c>
      <c r="L2197" s="6">
        <v>26.285707473754901</v>
      </c>
    </row>
    <row r="2198" spans="1:12" x14ac:dyDescent="0.25">
      <c r="A2198">
        <v>3123403</v>
      </c>
      <c r="B2198" t="str">
        <f t="shared" si="34"/>
        <v>DORESOPOLIS, MG, Brasil</v>
      </c>
      <c r="C2198" s="4" t="str">
        <f>_xlfn.XLOOKUP(A2198,[1]!DadosGHD[CD_GEOCMU],[1]!DadosGHD[Região])</f>
        <v>SD</v>
      </c>
      <c r="D2198" s="4" t="str">
        <f>_xlfn.XLOOKUP(A2198,[1]!DadosGHD[CD_GEOCMU],[1]!DadosGHD[uf])</f>
        <v>MG</v>
      </c>
      <c r="E2198" s="5" t="str">
        <f>_xlfn.XLOOKUP(A2198,[1]!DadosGHD[CD_GEOCMU],[1]!DadosGHD[MUNICIPIO])</f>
        <v>DORESOPOLIS</v>
      </c>
      <c r="F2198" s="6">
        <v>38.626365661621101</v>
      </c>
      <c r="G2198" s="6">
        <v>48.669078826904297</v>
      </c>
      <c r="H2198" s="6">
        <v>48.727245330810597</v>
      </c>
      <c r="I2198" s="6">
        <v>48.695926666259801</v>
      </c>
      <c r="J2198" s="6">
        <v>48.716281890869098</v>
      </c>
      <c r="K2198" s="6">
        <v>48.7630615234375</v>
      </c>
      <c r="L2198" s="6">
        <v>35.140720367431598</v>
      </c>
    </row>
    <row r="2199" spans="1:12" x14ac:dyDescent="0.25">
      <c r="A2199">
        <v>4217758</v>
      </c>
      <c r="B2199" t="str">
        <f t="shared" si="34"/>
        <v>SUL BRASIL, SC, Brasil</v>
      </c>
      <c r="C2199" s="4" t="str">
        <f>_xlfn.XLOOKUP(A2199,[1]!DadosGHD[CD_GEOCMU],[1]!DadosGHD[Região])</f>
        <v>SL</v>
      </c>
      <c r="D2199" s="4" t="str">
        <f>_xlfn.XLOOKUP(A2199,[1]!DadosGHD[CD_GEOCMU],[1]!DadosGHD[uf])</f>
        <v>SC</v>
      </c>
      <c r="E2199" s="5" t="str">
        <f>_xlfn.XLOOKUP(A2199,[1]!DadosGHD[CD_GEOCMU],[1]!DadosGHD[MUNICIPIO])</f>
        <v>SUL BRASIL</v>
      </c>
      <c r="F2199" s="6">
        <v>38.6264839172363</v>
      </c>
      <c r="G2199" s="6">
        <v>48.667568206787102</v>
      </c>
      <c r="H2199" s="6">
        <v>48.741668701171903</v>
      </c>
      <c r="I2199" s="6">
        <v>48.749912261962898</v>
      </c>
      <c r="J2199" s="6">
        <v>48.838268280029297</v>
      </c>
      <c r="K2199" s="6">
        <v>48.886898040771499</v>
      </c>
      <c r="L2199" s="6">
        <v>44.071571350097699</v>
      </c>
    </row>
    <row r="2200" spans="1:12" x14ac:dyDescent="0.25">
      <c r="A2200">
        <v>2929909</v>
      </c>
      <c r="B2200" t="str">
        <f t="shared" si="34"/>
        <v>SEABRA, BA, Brasil</v>
      </c>
      <c r="C2200" s="4" t="str">
        <f>_xlfn.XLOOKUP(A2200,[1]!DadosGHD[CD_GEOCMU],[1]!DadosGHD[Região])</f>
        <v>NE</v>
      </c>
      <c r="D2200" s="4" t="str">
        <f>_xlfn.XLOOKUP(A2200,[1]!DadosGHD[CD_GEOCMU],[1]!DadosGHD[uf])</f>
        <v>BA</v>
      </c>
      <c r="E2200" s="5" t="str">
        <f>_xlfn.XLOOKUP(A2200,[1]!DadosGHD[CD_GEOCMU],[1]!DadosGHD[MUNICIPIO])</f>
        <v>SEABRA</v>
      </c>
      <c r="F2200" s="6">
        <v>38.626617431640597</v>
      </c>
      <c r="G2200" s="6">
        <v>38.773590087890597</v>
      </c>
      <c r="H2200" s="6">
        <v>38.828994750976598</v>
      </c>
      <c r="I2200" s="6">
        <v>38.779712677002003</v>
      </c>
      <c r="J2200" s="6">
        <v>38.785385131835902</v>
      </c>
      <c r="K2200" s="6">
        <v>38.863990783691399</v>
      </c>
      <c r="L2200" s="6">
        <v>35.141017913818402</v>
      </c>
    </row>
    <row r="2201" spans="1:12" x14ac:dyDescent="0.25">
      <c r="A2201">
        <v>4323606</v>
      </c>
      <c r="B2201" t="str">
        <f t="shared" si="34"/>
        <v>VISTA ALEGRE DO PRATA, RS, Brasil</v>
      </c>
      <c r="C2201" s="4" t="str">
        <f>_xlfn.XLOOKUP(A2201,[1]!DadosGHD[CD_GEOCMU],[1]!DadosGHD[Região])</f>
        <v>SL</v>
      </c>
      <c r="D2201" s="4" t="str">
        <f>_xlfn.XLOOKUP(A2201,[1]!DadosGHD[CD_GEOCMU],[1]!DadosGHD[uf])</f>
        <v>RS</v>
      </c>
      <c r="E2201" s="5" t="str">
        <f>_xlfn.XLOOKUP(A2201,[1]!DadosGHD[CD_GEOCMU],[1]!DadosGHD[MUNICIPIO])</f>
        <v>VISTA ALEGRE DO PRATA</v>
      </c>
      <c r="F2201" s="6">
        <v>38.626712799072301</v>
      </c>
      <c r="G2201" s="6">
        <v>48.752323150634801</v>
      </c>
      <c r="H2201" s="6">
        <v>63.946701049804702</v>
      </c>
      <c r="I2201" s="6">
        <v>53.715736389160199</v>
      </c>
      <c r="J2201" s="6">
        <v>53.760856628417997</v>
      </c>
      <c r="K2201" s="6">
        <v>53.846431732177699</v>
      </c>
      <c r="L2201" s="6">
        <v>48.5243530273438</v>
      </c>
    </row>
    <row r="2202" spans="1:12" x14ac:dyDescent="0.25">
      <c r="A2202">
        <v>1501303</v>
      </c>
      <c r="B2202" t="str">
        <f t="shared" si="34"/>
        <v>BARCARENA, PA, Brasil</v>
      </c>
      <c r="C2202" s="4" t="str">
        <f>_xlfn.XLOOKUP(A2202,[1]!DadosGHD[CD_GEOCMU],[1]!DadosGHD[Região])</f>
        <v>NO</v>
      </c>
      <c r="D2202" s="4" t="str">
        <f>_xlfn.XLOOKUP(A2202,[1]!DadosGHD[CD_GEOCMU],[1]!DadosGHD[uf])</f>
        <v>PA</v>
      </c>
      <c r="E2202" s="5" t="str">
        <f>_xlfn.XLOOKUP(A2202,[1]!DadosGHD[CD_GEOCMU],[1]!DadosGHD[MUNICIPIO])</f>
        <v>BARCARENA</v>
      </c>
      <c r="F2202" s="6">
        <v>38.626743316650398</v>
      </c>
      <c r="G2202" s="6">
        <v>38.701229095458999</v>
      </c>
      <c r="H2202" s="6">
        <v>38.760848999023402</v>
      </c>
      <c r="I2202" s="6">
        <v>38.741485595703097</v>
      </c>
      <c r="J2202" s="6">
        <v>38.746799468994098</v>
      </c>
      <c r="K2202" s="6">
        <v>33.929985046386697</v>
      </c>
      <c r="L2202" s="6">
        <v>35.132564544677699</v>
      </c>
    </row>
    <row r="2203" spans="1:12" x14ac:dyDescent="0.25">
      <c r="A2203">
        <v>3203304</v>
      </c>
      <c r="B2203" t="str">
        <f t="shared" si="34"/>
        <v>MANTENOPOLIS, ES, Brasil</v>
      </c>
      <c r="C2203" s="4" t="str">
        <f>_xlfn.XLOOKUP(A2203,[1]!DadosGHD[CD_GEOCMU],[1]!DadosGHD[Região])</f>
        <v>SD</v>
      </c>
      <c r="D2203" s="4" t="str">
        <f>_xlfn.XLOOKUP(A2203,[1]!DadosGHD[CD_GEOCMU],[1]!DadosGHD[uf])</f>
        <v>ES</v>
      </c>
      <c r="E2203" s="5" t="str">
        <f>_xlfn.XLOOKUP(A2203,[1]!DadosGHD[CD_GEOCMU],[1]!DadosGHD[MUNICIPIO])</f>
        <v>MANTENOPOLIS</v>
      </c>
      <c r="F2203" s="6">
        <v>38.626777648925803</v>
      </c>
      <c r="G2203" s="6">
        <v>38.723487854003899</v>
      </c>
      <c r="H2203" s="6">
        <v>38.767238616943402</v>
      </c>
      <c r="I2203" s="6">
        <v>38.740917205810597</v>
      </c>
      <c r="J2203" s="6">
        <v>38.7501831054688</v>
      </c>
      <c r="K2203" s="6">
        <v>33.910507202148402</v>
      </c>
      <c r="L2203" s="6">
        <v>35.116500854492202</v>
      </c>
    </row>
    <row r="2204" spans="1:12" x14ac:dyDescent="0.25">
      <c r="A2204">
        <v>5103361</v>
      </c>
      <c r="B2204" t="str">
        <f t="shared" si="34"/>
        <v>CONQUISTA D'OESTE, MT, Brasil</v>
      </c>
      <c r="C2204" s="4" t="str">
        <f>_xlfn.XLOOKUP(A2204,[1]!DadosGHD[CD_GEOCMU],[1]!DadosGHD[Região])</f>
        <v>CO</v>
      </c>
      <c r="D2204" s="4" t="str">
        <f>_xlfn.XLOOKUP(A2204,[1]!DadosGHD[CD_GEOCMU],[1]!DadosGHD[uf])</f>
        <v>MT</v>
      </c>
      <c r="E2204" s="5" t="str">
        <f>_xlfn.XLOOKUP(A2204,[1]!DadosGHD[CD_GEOCMU],[1]!DadosGHD[MUNICIPIO])</f>
        <v>CONQUISTA D'OESTE</v>
      </c>
      <c r="F2204" s="6">
        <v>38.626937866210902</v>
      </c>
      <c r="G2204" s="6">
        <v>43.652633666992202</v>
      </c>
      <c r="H2204" s="6">
        <v>38.8248291015625</v>
      </c>
      <c r="I2204" s="6">
        <v>38.8004150390625</v>
      </c>
      <c r="J2204" s="6">
        <v>38.806480407714801</v>
      </c>
      <c r="K2204" s="6">
        <v>33.9142036437988</v>
      </c>
      <c r="L2204" s="6">
        <v>30.714887619018601</v>
      </c>
    </row>
    <row r="2205" spans="1:12" x14ac:dyDescent="0.25">
      <c r="A2205">
        <v>3121258</v>
      </c>
      <c r="B2205" t="str">
        <f t="shared" si="34"/>
        <v>DELTA, MG, Brasil</v>
      </c>
      <c r="C2205" s="4" t="str">
        <f>_xlfn.XLOOKUP(A2205,[1]!DadosGHD[CD_GEOCMU],[1]!DadosGHD[Região])</f>
        <v>SD</v>
      </c>
      <c r="D2205" s="4" t="str">
        <f>_xlfn.XLOOKUP(A2205,[1]!DadosGHD[CD_GEOCMU],[1]!DadosGHD[uf])</f>
        <v>MG</v>
      </c>
      <c r="E2205" s="5" t="str">
        <f>_xlfn.XLOOKUP(A2205,[1]!DadosGHD[CD_GEOCMU],[1]!DadosGHD[MUNICIPIO])</f>
        <v>DELTA</v>
      </c>
      <c r="F2205" s="6">
        <v>38.6270751953125</v>
      </c>
      <c r="G2205" s="6">
        <v>38.690357208252003</v>
      </c>
      <c r="H2205" s="6">
        <v>33.868343353271499</v>
      </c>
      <c r="I2205" s="6">
        <v>38.720405578613303</v>
      </c>
      <c r="J2205" s="6">
        <v>33.883586883544901</v>
      </c>
      <c r="K2205" s="6">
        <v>38.8492431640625</v>
      </c>
      <c r="L2205" s="6">
        <v>48.4886665344238</v>
      </c>
    </row>
    <row r="2206" spans="1:12" x14ac:dyDescent="0.25">
      <c r="A2206">
        <v>2414159</v>
      </c>
      <c r="B2206" t="str">
        <f t="shared" si="34"/>
        <v>TENENTE LAURENTINO CRUZ, RN, Brasil</v>
      </c>
      <c r="C2206" s="4" t="str">
        <f>_xlfn.XLOOKUP(A2206,[1]!DadosGHD[CD_GEOCMU],[1]!DadosGHD[Região])</f>
        <v>NE</v>
      </c>
      <c r="D2206" s="4" t="str">
        <f>_xlfn.XLOOKUP(A2206,[1]!DadosGHD[CD_GEOCMU],[1]!DadosGHD[uf])</f>
        <v>RN</v>
      </c>
      <c r="E2206" s="5" t="str">
        <f>_xlfn.XLOOKUP(A2206,[1]!DadosGHD[CD_GEOCMU],[1]!DadosGHD[MUNICIPIO])</f>
        <v>TENENTE LAURENTINO CRUZ</v>
      </c>
      <c r="F2206" s="6">
        <v>38.627079010009801</v>
      </c>
      <c r="G2206" s="6">
        <v>38.690334320068402</v>
      </c>
      <c r="H2206" s="6">
        <v>38.792190551757798</v>
      </c>
      <c r="I2206" s="6">
        <v>38.777587890625</v>
      </c>
      <c r="J2206" s="6">
        <v>38.826972961425803</v>
      </c>
      <c r="K2206" s="6">
        <v>38.8577690124512</v>
      </c>
      <c r="L2206" s="6">
        <v>52.983779907226598</v>
      </c>
    </row>
    <row r="2207" spans="1:12" x14ac:dyDescent="0.25">
      <c r="A2207">
        <v>2308807</v>
      </c>
      <c r="B2207" t="str">
        <f t="shared" si="34"/>
        <v>MORAUJO, CE, Brasil</v>
      </c>
      <c r="C2207" s="4" t="str">
        <f>_xlfn.XLOOKUP(A2207,[1]!DadosGHD[CD_GEOCMU],[1]!DadosGHD[Região])</f>
        <v>NE</v>
      </c>
      <c r="D2207" s="4" t="str">
        <f>_xlfn.XLOOKUP(A2207,[1]!DadosGHD[CD_GEOCMU],[1]!DadosGHD[uf])</f>
        <v>CE</v>
      </c>
      <c r="E2207" s="5" t="str">
        <f>_xlfn.XLOOKUP(A2207,[1]!DadosGHD[CD_GEOCMU],[1]!DadosGHD[MUNICIPIO])</f>
        <v>MORAUJO</v>
      </c>
      <c r="F2207" s="6">
        <v>38.627090454101598</v>
      </c>
      <c r="G2207" s="6">
        <v>33.828937530517599</v>
      </c>
      <c r="H2207" s="6">
        <v>38.745552062988303</v>
      </c>
      <c r="I2207" s="6">
        <v>33.851455688476598</v>
      </c>
      <c r="J2207" s="6">
        <v>33.833713531494098</v>
      </c>
      <c r="K2207" s="6">
        <v>33.8462104797363</v>
      </c>
      <c r="L2207" s="6">
        <v>30.694419860839801</v>
      </c>
    </row>
    <row r="2208" spans="1:12" x14ac:dyDescent="0.25">
      <c r="A2208">
        <v>4316956</v>
      </c>
      <c r="B2208" t="str">
        <f t="shared" si="34"/>
        <v>SANTA MARIA DO HERVAL, RS, Brasil</v>
      </c>
      <c r="C2208" s="4" t="str">
        <f>_xlfn.XLOOKUP(A2208,[1]!DadosGHD[CD_GEOCMU],[1]!DadosGHD[Região])</f>
        <v>SL</v>
      </c>
      <c r="D2208" s="4" t="str">
        <f>_xlfn.XLOOKUP(A2208,[1]!DadosGHD[CD_GEOCMU],[1]!DadosGHD[uf])</f>
        <v>RS</v>
      </c>
      <c r="E2208" s="5" t="str">
        <f>_xlfn.XLOOKUP(A2208,[1]!DadosGHD[CD_GEOCMU],[1]!DadosGHD[MUNICIPIO])</f>
        <v>SANTA MARIA DO HERVAL</v>
      </c>
      <c r="F2208" s="6">
        <v>38.627140045166001</v>
      </c>
      <c r="G2208" s="6">
        <v>43.667152404785199</v>
      </c>
      <c r="H2208" s="6">
        <v>38.761634826660199</v>
      </c>
      <c r="I2208" s="6">
        <v>43.696098327636697</v>
      </c>
      <c r="J2208" s="6">
        <v>48.775726318359403</v>
      </c>
      <c r="K2208" s="6">
        <v>53.823207855224602</v>
      </c>
      <c r="L2208" s="6">
        <v>57.540740966796903</v>
      </c>
    </row>
    <row r="2209" spans="1:12" x14ac:dyDescent="0.25">
      <c r="A2209">
        <v>2111250</v>
      </c>
      <c r="B2209" t="str">
        <f t="shared" si="34"/>
        <v>SAO JOSE DOS BASILIOS, MA, Brasil</v>
      </c>
      <c r="C2209" s="4" t="str">
        <f>_xlfn.XLOOKUP(A2209,[1]!DadosGHD[CD_GEOCMU],[1]!DadosGHD[Região])</f>
        <v>NE</v>
      </c>
      <c r="D2209" s="4" t="str">
        <f>_xlfn.XLOOKUP(A2209,[1]!DadosGHD[CD_GEOCMU],[1]!DadosGHD[uf])</f>
        <v>MA</v>
      </c>
      <c r="E2209" s="5" t="str">
        <f>_xlfn.XLOOKUP(A2209,[1]!DadosGHD[CD_GEOCMU],[1]!DadosGHD[MUNICIPIO])</f>
        <v>SAO JOSE DOS BASILIOS</v>
      </c>
      <c r="F2209" s="6">
        <v>38.627212524414098</v>
      </c>
      <c r="G2209" s="6">
        <v>33.817207336425803</v>
      </c>
      <c r="H2209" s="6">
        <v>33.852474212646499</v>
      </c>
      <c r="I2209" s="6">
        <v>33.829776763916001</v>
      </c>
      <c r="J2209" s="6">
        <v>33.8471069335938</v>
      </c>
      <c r="K2209" s="6">
        <v>33.878871917724602</v>
      </c>
      <c r="L2209" s="6">
        <v>26.293685913085898</v>
      </c>
    </row>
    <row r="2210" spans="1:12" x14ac:dyDescent="0.25">
      <c r="A2210">
        <v>2309805</v>
      </c>
      <c r="B2210" t="str">
        <f t="shared" si="34"/>
        <v>PACOTI, CE, Brasil</v>
      </c>
      <c r="C2210" s="4" t="str">
        <f>_xlfn.XLOOKUP(A2210,[1]!DadosGHD[CD_GEOCMU],[1]!DadosGHD[Região])</f>
        <v>NE</v>
      </c>
      <c r="D2210" s="4" t="str">
        <f>_xlfn.XLOOKUP(A2210,[1]!DadosGHD[CD_GEOCMU],[1]!DadosGHD[uf])</f>
        <v>CE</v>
      </c>
      <c r="E2210" s="5" t="str">
        <f>_xlfn.XLOOKUP(A2210,[1]!DadosGHD[CD_GEOCMU],[1]!DadosGHD[MUNICIPIO])</f>
        <v>PACOTI</v>
      </c>
      <c r="F2210" s="6">
        <v>38.627506256103501</v>
      </c>
      <c r="G2210" s="6">
        <v>33.846408843994098</v>
      </c>
      <c r="H2210" s="6">
        <v>33.884426116943402</v>
      </c>
      <c r="I2210" s="6">
        <v>33.862255096435597</v>
      </c>
      <c r="J2210" s="6">
        <v>33.863296508789098</v>
      </c>
      <c r="K2210" s="6">
        <v>33.886447906494098</v>
      </c>
      <c r="L2210" s="6">
        <v>26.2958583831787</v>
      </c>
    </row>
    <row r="2211" spans="1:12" x14ac:dyDescent="0.25">
      <c r="A2211">
        <v>2210052</v>
      </c>
      <c r="B2211" t="str">
        <f t="shared" si="34"/>
        <v>SAO JOSE DO DIVINO, PI, Brasil</v>
      </c>
      <c r="C2211" s="4" t="str">
        <f>_xlfn.XLOOKUP(A2211,[1]!DadosGHD[CD_GEOCMU],[1]!DadosGHD[Região])</f>
        <v>NE</v>
      </c>
      <c r="D2211" s="4" t="str">
        <f>_xlfn.XLOOKUP(A2211,[1]!DadosGHD[CD_GEOCMU],[1]!DadosGHD[uf])</f>
        <v>PI</v>
      </c>
      <c r="E2211" s="5" t="str">
        <f>_xlfn.XLOOKUP(A2211,[1]!DadosGHD[CD_GEOCMU],[1]!DadosGHD[MUNICIPIO])</f>
        <v>SAO JOSE DO DIVINO</v>
      </c>
      <c r="F2211" s="6">
        <v>38.627586364746101</v>
      </c>
      <c r="G2211" s="6">
        <v>33.845443725585902</v>
      </c>
      <c r="H2211" s="6">
        <v>33.8823432922363</v>
      </c>
      <c r="I2211" s="6">
        <v>33.851432800292997</v>
      </c>
      <c r="J2211" s="6">
        <v>33.8582153320313</v>
      </c>
      <c r="K2211" s="6">
        <v>33.900413513183601</v>
      </c>
      <c r="L2211" s="6">
        <v>26.292251586914102</v>
      </c>
    </row>
    <row r="2212" spans="1:12" x14ac:dyDescent="0.25">
      <c r="A2212">
        <v>2914307</v>
      </c>
      <c r="B2212" t="str">
        <f t="shared" si="34"/>
        <v>IRAMAIA, BA, Brasil</v>
      </c>
      <c r="C2212" s="4" t="str">
        <f>_xlfn.XLOOKUP(A2212,[1]!DadosGHD[CD_GEOCMU],[1]!DadosGHD[Região])</f>
        <v>NE</v>
      </c>
      <c r="D2212" s="4" t="str">
        <f>_xlfn.XLOOKUP(A2212,[1]!DadosGHD[CD_GEOCMU],[1]!DadosGHD[uf])</f>
        <v>BA</v>
      </c>
      <c r="E2212" s="5" t="str">
        <f>_xlfn.XLOOKUP(A2212,[1]!DadosGHD[CD_GEOCMU],[1]!DadosGHD[MUNICIPIO])</f>
        <v>IRAMAIA</v>
      </c>
      <c r="F2212" s="6">
        <v>38.627616882324197</v>
      </c>
      <c r="G2212" s="6">
        <v>38.694969177246101</v>
      </c>
      <c r="H2212" s="6">
        <v>43.715641021728501</v>
      </c>
      <c r="I2212" s="6">
        <v>38.811649322509801</v>
      </c>
      <c r="J2212" s="6">
        <v>38.838005065917997</v>
      </c>
      <c r="K2212" s="6">
        <v>38.854438781738303</v>
      </c>
      <c r="L2212" s="6">
        <v>35.127521514892599</v>
      </c>
    </row>
    <row r="2213" spans="1:12" x14ac:dyDescent="0.25">
      <c r="A2213">
        <v>2205904</v>
      </c>
      <c r="B2213" t="str">
        <f t="shared" si="34"/>
        <v>MANOEL EMIDIO, PI, Brasil</v>
      </c>
      <c r="C2213" s="4" t="str">
        <f>_xlfn.XLOOKUP(A2213,[1]!DadosGHD[CD_GEOCMU],[1]!DadosGHD[Região])</f>
        <v>NE</v>
      </c>
      <c r="D2213" s="4" t="str">
        <f>_xlfn.XLOOKUP(A2213,[1]!DadosGHD[CD_GEOCMU],[1]!DadosGHD[uf])</f>
        <v>PI</v>
      </c>
      <c r="E2213" s="5" t="str">
        <f>_xlfn.XLOOKUP(A2213,[1]!DadosGHD[CD_GEOCMU],[1]!DadosGHD[MUNICIPIO])</f>
        <v>MANOEL EMIDIO</v>
      </c>
      <c r="F2213" s="6">
        <v>38.627754211425803</v>
      </c>
      <c r="G2213" s="6">
        <v>33.836860656738303</v>
      </c>
      <c r="H2213" s="6">
        <v>33.882633209228501</v>
      </c>
      <c r="I2213" s="6">
        <v>33.858951568603501</v>
      </c>
      <c r="J2213" s="6">
        <v>33.870967864990199</v>
      </c>
      <c r="K2213" s="6">
        <v>33.888950347900398</v>
      </c>
      <c r="L2213" s="6">
        <v>26.2938022613525</v>
      </c>
    </row>
    <row r="2214" spans="1:12" x14ac:dyDescent="0.25">
      <c r="A2214">
        <v>3170008</v>
      </c>
      <c r="B2214" t="str">
        <f t="shared" si="34"/>
        <v>UBAI, MG, Brasil</v>
      </c>
      <c r="C2214" s="4" t="str">
        <f>_xlfn.XLOOKUP(A2214,[1]!DadosGHD[CD_GEOCMU],[1]!DadosGHD[Região])</f>
        <v>SD</v>
      </c>
      <c r="D2214" s="4" t="str">
        <f>_xlfn.XLOOKUP(A2214,[1]!DadosGHD[CD_GEOCMU],[1]!DadosGHD[uf])</f>
        <v>MG</v>
      </c>
      <c r="E2214" s="5" t="str">
        <f>_xlfn.XLOOKUP(A2214,[1]!DadosGHD[CD_GEOCMU],[1]!DadosGHD[MUNICIPIO])</f>
        <v>UBAI</v>
      </c>
      <c r="F2214" s="6">
        <v>38.627799987792997</v>
      </c>
      <c r="G2214" s="6">
        <v>38.754390716552699</v>
      </c>
      <c r="H2214" s="6">
        <v>38.812591552734403</v>
      </c>
      <c r="I2214" s="6">
        <v>38.764442443847699</v>
      </c>
      <c r="J2214" s="6">
        <v>33.884597778320298</v>
      </c>
      <c r="K2214" s="6">
        <v>33.910804748535199</v>
      </c>
      <c r="L2214" s="6">
        <v>26.2947673797607</v>
      </c>
    </row>
    <row r="2215" spans="1:12" x14ac:dyDescent="0.25">
      <c r="A2215">
        <v>5104542</v>
      </c>
      <c r="B2215" t="str">
        <f t="shared" si="34"/>
        <v>ITANHANGA, MT, Brasil</v>
      </c>
      <c r="C2215" s="4" t="str">
        <f>_xlfn.XLOOKUP(A2215,[1]!DadosGHD[CD_GEOCMU],[1]!DadosGHD[Região])</f>
        <v>CO</v>
      </c>
      <c r="D2215" s="4" t="str">
        <f>_xlfn.XLOOKUP(A2215,[1]!DadosGHD[CD_GEOCMU],[1]!DadosGHD[uf])</f>
        <v>MT</v>
      </c>
      <c r="E2215" s="5" t="str">
        <f>_xlfn.XLOOKUP(A2215,[1]!DadosGHD[CD_GEOCMU],[1]!DadosGHD[MUNICIPIO])</f>
        <v>ITANHANGA</v>
      </c>
      <c r="F2215" s="6">
        <v>38.627937316894503</v>
      </c>
      <c r="G2215" s="6">
        <v>38.767684936523402</v>
      </c>
      <c r="H2215" s="6">
        <v>38.828166961669901</v>
      </c>
      <c r="I2215" s="6">
        <v>38.806846618652301</v>
      </c>
      <c r="J2215" s="6">
        <v>38.840900421142599</v>
      </c>
      <c r="K2215" s="6">
        <v>38.829959869384801</v>
      </c>
      <c r="L2215" s="6">
        <v>35.126735687255902</v>
      </c>
    </row>
    <row r="2216" spans="1:12" x14ac:dyDescent="0.25">
      <c r="A2216">
        <v>4200556</v>
      </c>
      <c r="B2216" t="str">
        <f t="shared" si="34"/>
        <v>AGUAS FRIAS, SC, Brasil</v>
      </c>
      <c r="C2216" s="4" t="str">
        <f>_xlfn.XLOOKUP(A2216,[1]!DadosGHD[CD_GEOCMU],[1]!DadosGHD[Região])</f>
        <v>SL</v>
      </c>
      <c r="D2216" s="4" t="str">
        <f>_xlfn.XLOOKUP(A2216,[1]!DadosGHD[CD_GEOCMU],[1]!DadosGHD[uf])</f>
        <v>SC</v>
      </c>
      <c r="E2216" s="5" t="str">
        <f>_xlfn.XLOOKUP(A2216,[1]!DadosGHD[CD_GEOCMU],[1]!DadosGHD[MUNICIPIO])</f>
        <v>AGUAS FRIAS</v>
      </c>
      <c r="F2216" s="6">
        <v>38.628044128417997</v>
      </c>
      <c r="G2216" s="6">
        <v>48.668807983398402</v>
      </c>
      <c r="H2216" s="6">
        <v>48.806350708007798</v>
      </c>
      <c r="I2216" s="6">
        <v>63.9166450500488</v>
      </c>
      <c r="J2216" s="6">
        <v>64.039611816406307</v>
      </c>
      <c r="K2216" s="6">
        <v>64.124946594238295</v>
      </c>
      <c r="L2216" s="6">
        <v>57.497829437255902</v>
      </c>
    </row>
    <row r="2217" spans="1:12" x14ac:dyDescent="0.25">
      <c r="A2217">
        <v>2412906</v>
      </c>
      <c r="B2217" t="str">
        <f t="shared" si="34"/>
        <v>SAO TOME, RN, Brasil</v>
      </c>
      <c r="C2217" s="4" t="str">
        <f>_xlfn.XLOOKUP(A2217,[1]!DadosGHD[CD_GEOCMU],[1]!DadosGHD[Região])</f>
        <v>NE</v>
      </c>
      <c r="D2217" s="4" t="str">
        <f>_xlfn.XLOOKUP(A2217,[1]!DadosGHD[CD_GEOCMU],[1]!DadosGHD[uf])</f>
        <v>RN</v>
      </c>
      <c r="E2217" s="5" t="str">
        <f>_xlfn.XLOOKUP(A2217,[1]!DadosGHD[CD_GEOCMU],[1]!DadosGHD[MUNICIPIO])</f>
        <v>SAO TOME</v>
      </c>
      <c r="F2217" s="6">
        <v>38.628246307373097</v>
      </c>
      <c r="G2217" s="6">
        <v>33.837894439697301</v>
      </c>
      <c r="H2217" s="6">
        <v>33.871246337890597</v>
      </c>
      <c r="I2217" s="6">
        <v>33.834636688232401</v>
      </c>
      <c r="J2217" s="6">
        <v>33.851966857910199</v>
      </c>
      <c r="K2217" s="6">
        <v>33.8722114562988</v>
      </c>
      <c r="L2217" s="6">
        <v>30.706884384155298</v>
      </c>
    </row>
    <row r="2218" spans="1:12" x14ac:dyDescent="0.25">
      <c r="A2218">
        <v>2921807</v>
      </c>
      <c r="B2218" t="str">
        <f t="shared" si="34"/>
        <v>MORTUGABA, BA, Brasil</v>
      </c>
      <c r="C2218" s="4" t="str">
        <f>_xlfn.XLOOKUP(A2218,[1]!DadosGHD[CD_GEOCMU],[1]!DadosGHD[Região])</f>
        <v>NE</v>
      </c>
      <c r="D2218" s="4" t="str">
        <f>_xlfn.XLOOKUP(A2218,[1]!DadosGHD[CD_GEOCMU],[1]!DadosGHD[uf])</f>
        <v>BA</v>
      </c>
      <c r="E2218" s="5" t="str">
        <f>_xlfn.XLOOKUP(A2218,[1]!DadosGHD[CD_GEOCMU],[1]!DadosGHD[MUNICIPIO])</f>
        <v>MORTUGABA</v>
      </c>
      <c r="F2218" s="6">
        <v>38.628288269042997</v>
      </c>
      <c r="G2218" s="6">
        <v>33.844818115234403</v>
      </c>
      <c r="H2218" s="6">
        <v>38.768692016601598</v>
      </c>
      <c r="I2218" s="6">
        <v>38.750190734863303</v>
      </c>
      <c r="J2218" s="6">
        <v>38.742134094238303</v>
      </c>
      <c r="K2218" s="6">
        <v>33.9206733703613</v>
      </c>
      <c r="L2218" s="6">
        <v>39.558456420898402</v>
      </c>
    </row>
    <row r="2219" spans="1:12" x14ac:dyDescent="0.25">
      <c r="A2219">
        <v>4312955</v>
      </c>
      <c r="B2219" t="str">
        <f t="shared" si="34"/>
        <v>NOVA BOA VISTA, RS, Brasil</v>
      </c>
      <c r="C2219" s="4" t="str">
        <f>_xlfn.XLOOKUP(A2219,[1]!DadosGHD[CD_GEOCMU],[1]!DadosGHD[Região])</f>
        <v>SL</v>
      </c>
      <c r="D2219" s="4" t="str">
        <f>_xlfn.XLOOKUP(A2219,[1]!DadosGHD[CD_GEOCMU],[1]!DadosGHD[uf])</f>
        <v>RS</v>
      </c>
      <c r="E2219" s="5" t="str">
        <f>_xlfn.XLOOKUP(A2219,[1]!DadosGHD[CD_GEOCMU],[1]!DadosGHD[MUNICIPIO])</f>
        <v>NOVA BOA VISTA</v>
      </c>
      <c r="F2219" s="6">
        <v>38.628566741943402</v>
      </c>
      <c r="G2219" s="6">
        <v>43.687839508056598</v>
      </c>
      <c r="H2219" s="6">
        <v>43.741443634033203</v>
      </c>
      <c r="I2219" s="6">
        <v>43.707809448242202</v>
      </c>
      <c r="J2219" s="6">
        <v>43.726009368896499</v>
      </c>
      <c r="K2219" s="6">
        <v>43.795131683349602</v>
      </c>
      <c r="L2219" s="6">
        <v>35.144493103027301</v>
      </c>
    </row>
    <row r="2220" spans="1:12" x14ac:dyDescent="0.25">
      <c r="A2220">
        <v>2806602</v>
      </c>
      <c r="B2220" t="str">
        <f t="shared" si="34"/>
        <v>SANTO AMARO DAS BROTAS, SE, Brasil</v>
      </c>
      <c r="C2220" s="4" t="str">
        <f>_xlfn.XLOOKUP(A2220,[1]!DadosGHD[CD_GEOCMU],[1]!DadosGHD[Região])</f>
        <v>NE</v>
      </c>
      <c r="D2220" s="4" t="str">
        <f>_xlfn.XLOOKUP(A2220,[1]!DadosGHD[CD_GEOCMU],[1]!DadosGHD[uf])</f>
        <v>SE</v>
      </c>
      <c r="E2220" s="5" t="str">
        <f>_xlfn.XLOOKUP(A2220,[1]!DadosGHD[CD_GEOCMU],[1]!DadosGHD[MUNICIPIO])</f>
        <v>SANTO AMARO DAS BROTAS</v>
      </c>
      <c r="F2220" s="6">
        <v>38.628620147705099</v>
      </c>
      <c r="G2220" s="6">
        <v>38.724037170410199</v>
      </c>
      <c r="H2220" s="6">
        <v>38.739917755127003</v>
      </c>
      <c r="I2220" s="6">
        <v>38.7201957702637</v>
      </c>
      <c r="J2220" s="6">
        <v>33.888130187988303</v>
      </c>
      <c r="K2220" s="6">
        <v>38.791679382324197</v>
      </c>
      <c r="L2220" s="6">
        <v>35.1577339172363</v>
      </c>
    </row>
    <row r="2221" spans="1:12" x14ac:dyDescent="0.25">
      <c r="A2221">
        <v>1703909</v>
      </c>
      <c r="B2221" t="str">
        <f t="shared" si="34"/>
        <v>CASEARA, TO, Brasil</v>
      </c>
      <c r="C2221" s="4" t="str">
        <f>_xlfn.XLOOKUP(A2221,[1]!DadosGHD[CD_GEOCMU],[1]!DadosGHD[Região])</f>
        <v>NO</v>
      </c>
      <c r="D2221" s="4" t="str">
        <f>_xlfn.XLOOKUP(A2221,[1]!DadosGHD[CD_GEOCMU],[1]!DadosGHD[uf])</f>
        <v>TO</v>
      </c>
      <c r="E2221" s="5" t="str">
        <f>_xlfn.XLOOKUP(A2221,[1]!DadosGHD[CD_GEOCMU],[1]!DadosGHD[MUNICIPIO])</f>
        <v>CASEARA</v>
      </c>
      <c r="F2221" s="6">
        <v>38.628711700439503</v>
      </c>
      <c r="G2221" s="6">
        <v>33.833816528320298</v>
      </c>
      <c r="H2221" s="6">
        <v>33.8676567077637</v>
      </c>
      <c r="I2221" s="6">
        <v>33.850223541259801</v>
      </c>
      <c r="J2221" s="6">
        <v>33.882892608642599</v>
      </c>
      <c r="K2221" s="6">
        <v>38.884468078613303</v>
      </c>
      <c r="L2221" s="6">
        <v>57.513134002685597</v>
      </c>
    </row>
    <row r="2222" spans="1:12" x14ac:dyDescent="0.25">
      <c r="A2222">
        <v>2608453</v>
      </c>
      <c r="B2222" t="str">
        <f t="shared" si="34"/>
        <v>LAGOA DO CARRO, PE, Brasil</v>
      </c>
      <c r="C2222" s="4" t="str">
        <f>_xlfn.XLOOKUP(A2222,[1]!DadosGHD[CD_GEOCMU],[1]!DadosGHD[Região])</f>
        <v>NE</v>
      </c>
      <c r="D2222" s="4" t="str">
        <f>_xlfn.XLOOKUP(A2222,[1]!DadosGHD[CD_GEOCMU],[1]!DadosGHD[uf])</f>
        <v>PE</v>
      </c>
      <c r="E2222" s="5" t="str">
        <f>_xlfn.XLOOKUP(A2222,[1]!DadosGHD[CD_GEOCMU],[1]!DadosGHD[MUNICIPIO])</f>
        <v>LAGOA DO CARRO</v>
      </c>
      <c r="F2222" s="6">
        <v>38.62890625</v>
      </c>
      <c r="G2222" s="6">
        <v>33.794929504394503</v>
      </c>
      <c r="H2222" s="6">
        <v>33.818813323974602</v>
      </c>
      <c r="I2222" s="6">
        <v>33.795387268066399</v>
      </c>
      <c r="J2222" s="6">
        <v>33.811779022216797</v>
      </c>
      <c r="K2222" s="6">
        <v>28.995885848998999</v>
      </c>
      <c r="L2222" s="6">
        <v>35.142875671386697</v>
      </c>
    </row>
    <row r="2223" spans="1:12" x14ac:dyDescent="0.25">
      <c r="A2223">
        <v>4306353</v>
      </c>
      <c r="B2223" t="str">
        <f t="shared" si="34"/>
        <v>DEZESSEIS DE NOVEMBRO, RS, Brasil</v>
      </c>
      <c r="C2223" s="4" t="str">
        <f>_xlfn.XLOOKUP(A2223,[1]!DadosGHD[CD_GEOCMU],[1]!DadosGHD[Região])</f>
        <v>SL</v>
      </c>
      <c r="D2223" s="4" t="str">
        <f>_xlfn.XLOOKUP(A2223,[1]!DadosGHD[CD_GEOCMU],[1]!DadosGHD[uf])</f>
        <v>RS</v>
      </c>
      <c r="E2223" s="5" t="str">
        <f>_xlfn.XLOOKUP(A2223,[1]!DadosGHD[CD_GEOCMU],[1]!DadosGHD[MUNICIPIO])</f>
        <v>DEZESSEIS DE NOVEMBRO</v>
      </c>
      <c r="F2223" s="6">
        <v>38.628952026367202</v>
      </c>
      <c r="G2223" s="6">
        <v>48.673065185546903</v>
      </c>
      <c r="H2223" s="6">
        <v>48.727245330810597</v>
      </c>
      <c r="I2223" s="6">
        <v>48.695926666259801</v>
      </c>
      <c r="J2223" s="6">
        <v>48.716281890869098</v>
      </c>
      <c r="K2223" s="6">
        <v>58.9691772460938</v>
      </c>
      <c r="L2223" s="6">
        <v>44.030956268310597</v>
      </c>
    </row>
    <row r="2224" spans="1:12" x14ac:dyDescent="0.25">
      <c r="A2224">
        <v>4106456</v>
      </c>
      <c r="B2224" t="str">
        <f t="shared" si="34"/>
        <v>CORONEL DOMINGOS SOARES, PR, Brasil</v>
      </c>
      <c r="C2224" s="4" t="str">
        <f>_xlfn.XLOOKUP(A2224,[1]!DadosGHD[CD_GEOCMU],[1]!DadosGHD[Região])</f>
        <v>SL</v>
      </c>
      <c r="D2224" s="4" t="str">
        <f>_xlfn.XLOOKUP(A2224,[1]!DadosGHD[CD_GEOCMU],[1]!DadosGHD[uf])</f>
        <v>PR</v>
      </c>
      <c r="E2224" s="5" t="str">
        <f>_xlfn.XLOOKUP(A2224,[1]!DadosGHD[CD_GEOCMU],[1]!DadosGHD[MUNICIPIO])</f>
        <v>CORONEL DOMINGOS SOARES</v>
      </c>
      <c r="F2224" s="6">
        <v>38.6290092468262</v>
      </c>
      <c r="G2224" s="6">
        <v>33.787300109863303</v>
      </c>
      <c r="H2224" s="6">
        <v>33.833209991455099</v>
      </c>
      <c r="I2224" s="6">
        <v>33.793033599853501</v>
      </c>
      <c r="J2224" s="6">
        <v>33.869438171386697</v>
      </c>
      <c r="K2224" s="6">
        <v>38.8235054016113</v>
      </c>
      <c r="L2224" s="6">
        <v>39.571956634521499</v>
      </c>
    </row>
    <row r="2225" spans="1:12" x14ac:dyDescent="0.25">
      <c r="A2225">
        <v>1702158</v>
      </c>
      <c r="B2225" t="str">
        <f t="shared" si="34"/>
        <v>ARAGUANA, TO, Brasil</v>
      </c>
      <c r="C2225" s="4" t="str">
        <f>_xlfn.XLOOKUP(A2225,[1]!DadosGHD[CD_GEOCMU],[1]!DadosGHD[Região])</f>
        <v>NO</v>
      </c>
      <c r="D2225" s="4" t="str">
        <f>_xlfn.XLOOKUP(A2225,[1]!DadosGHD[CD_GEOCMU],[1]!DadosGHD[uf])</f>
        <v>TO</v>
      </c>
      <c r="E2225" s="5" t="str">
        <f>_xlfn.XLOOKUP(A2225,[1]!DadosGHD[CD_GEOCMU],[1]!DadosGHD[MUNICIPIO])</f>
        <v>ARAGUANA</v>
      </c>
      <c r="F2225" s="6">
        <v>38.629051208496101</v>
      </c>
      <c r="G2225" s="6">
        <v>33.836212158203097</v>
      </c>
      <c r="H2225" s="6">
        <v>33.869777679443402</v>
      </c>
      <c r="I2225" s="6">
        <v>33.858001708984403</v>
      </c>
      <c r="J2225" s="6">
        <v>33.869384765625</v>
      </c>
      <c r="K2225" s="6">
        <v>33.8800239562988</v>
      </c>
      <c r="L2225" s="6">
        <v>30.6860027313232</v>
      </c>
    </row>
    <row r="2226" spans="1:12" x14ac:dyDescent="0.25">
      <c r="A2226">
        <v>2800605</v>
      </c>
      <c r="B2226" t="str">
        <f t="shared" si="34"/>
        <v>BARRA DOS COQUEIROS, SE, Brasil</v>
      </c>
      <c r="C2226" s="4" t="str">
        <f>_xlfn.XLOOKUP(A2226,[1]!DadosGHD[CD_GEOCMU],[1]!DadosGHD[Região])</f>
        <v>NE</v>
      </c>
      <c r="D2226" s="4" t="str">
        <f>_xlfn.XLOOKUP(A2226,[1]!DadosGHD[CD_GEOCMU],[1]!DadosGHD[uf])</f>
        <v>SE</v>
      </c>
      <c r="E2226" s="5" t="str">
        <f>_xlfn.XLOOKUP(A2226,[1]!DadosGHD[CD_GEOCMU],[1]!DadosGHD[MUNICIPIO])</f>
        <v>BARRA DOS COQUEIROS</v>
      </c>
      <c r="F2226" s="6">
        <v>38.629318237304702</v>
      </c>
      <c r="G2226" s="6">
        <v>38.728183746337898</v>
      </c>
      <c r="H2226" s="6">
        <v>43.707809448242202</v>
      </c>
      <c r="I2226" s="6">
        <v>43.742271423339801</v>
      </c>
      <c r="J2226" s="6">
        <v>48.767951965332003</v>
      </c>
      <c r="K2226" s="6">
        <v>43.857627868652301</v>
      </c>
      <c r="L2226" s="6">
        <v>39.605724334716797</v>
      </c>
    </row>
    <row r="2227" spans="1:12" x14ac:dyDescent="0.25">
      <c r="A2227">
        <v>4215554</v>
      </c>
      <c r="B2227" t="str">
        <f t="shared" si="34"/>
        <v>SANTA HELENA, SC, Brasil</v>
      </c>
      <c r="C2227" s="4" t="str">
        <f>_xlfn.XLOOKUP(A2227,[1]!DadosGHD[CD_GEOCMU],[1]!DadosGHD[Região])</f>
        <v>SL</v>
      </c>
      <c r="D2227" s="4" t="str">
        <f>_xlfn.XLOOKUP(A2227,[1]!DadosGHD[CD_GEOCMU],[1]!DadosGHD[uf])</f>
        <v>SC</v>
      </c>
      <c r="E2227" s="5" t="str">
        <f>_xlfn.XLOOKUP(A2227,[1]!DadosGHD[CD_GEOCMU],[1]!DadosGHD[MUNICIPIO])</f>
        <v>SANTA HELENA</v>
      </c>
      <c r="F2227" s="6">
        <v>38.629493713378899</v>
      </c>
      <c r="G2227" s="6">
        <v>48.665374755859403</v>
      </c>
      <c r="H2227" s="6">
        <v>48.752841949462898</v>
      </c>
      <c r="I2227" s="6">
        <v>48.774341583252003</v>
      </c>
      <c r="J2227" s="6">
        <v>53.737762451171903</v>
      </c>
      <c r="K2227" s="6">
        <v>53.864585876464801</v>
      </c>
      <c r="L2227" s="6">
        <v>52.993854522705099</v>
      </c>
    </row>
    <row r="2228" spans="1:12" x14ac:dyDescent="0.25">
      <c r="A2228">
        <v>2410504</v>
      </c>
      <c r="B2228" t="str">
        <f t="shared" si="34"/>
        <v>RAFAEL FERNANDES, RN, Brasil</v>
      </c>
      <c r="C2228" s="4" t="str">
        <f>_xlfn.XLOOKUP(A2228,[1]!DadosGHD[CD_GEOCMU],[1]!DadosGHD[Região])</f>
        <v>NE</v>
      </c>
      <c r="D2228" s="4" t="str">
        <f>_xlfn.XLOOKUP(A2228,[1]!DadosGHD[CD_GEOCMU],[1]!DadosGHD[uf])</f>
        <v>RN</v>
      </c>
      <c r="E2228" s="5" t="str">
        <f>_xlfn.XLOOKUP(A2228,[1]!DadosGHD[CD_GEOCMU],[1]!DadosGHD[MUNICIPIO])</f>
        <v>RAFAEL FERNANDES</v>
      </c>
      <c r="F2228" s="6">
        <v>38.629528045654297</v>
      </c>
      <c r="G2228" s="6">
        <v>38.752311706542997</v>
      </c>
      <c r="H2228" s="6">
        <v>43.811305999755902</v>
      </c>
      <c r="I2228" s="6">
        <v>38.759040832519503</v>
      </c>
      <c r="J2228" s="6">
        <v>38.744621276855497</v>
      </c>
      <c r="K2228" s="6">
        <v>38.832473754882798</v>
      </c>
      <c r="L2228" s="6">
        <v>44.026546478271499</v>
      </c>
    </row>
    <row r="2229" spans="1:12" x14ac:dyDescent="0.25">
      <c r="A2229">
        <v>3133907</v>
      </c>
      <c r="B2229" t="str">
        <f t="shared" si="34"/>
        <v>ITAVERAVA, MG, Brasil</v>
      </c>
      <c r="C2229" s="4" t="str">
        <f>_xlfn.XLOOKUP(A2229,[1]!DadosGHD[CD_GEOCMU],[1]!DadosGHD[Região])</f>
        <v>SD</v>
      </c>
      <c r="D2229" s="4" t="str">
        <f>_xlfn.XLOOKUP(A2229,[1]!DadosGHD[CD_GEOCMU],[1]!DadosGHD[uf])</f>
        <v>MG</v>
      </c>
      <c r="E2229" s="5" t="str">
        <f>_xlfn.XLOOKUP(A2229,[1]!DadosGHD[CD_GEOCMU],[1]!DadosGHD[MUNICIPIO])</f>
        <v>ITAVERAVA</v>
      </c>
      <c r="F2229" s="6">
        <v>38.6295776367188</v>
      </c>
      <c r="G2229" s="6">
        <v>33.842910766601598</v>
      </c>
      <c r="H2229" s="6">
        <v>38.7426147460938</v>
      </c>
      <c r="I2229" s="6">
        <v>38.768943786621101</v>
      </c>
      <c r="J2229" s="6">
        <v>43.711498260498097</v>
      </c>
      <c r="K2229" s="6">
        <v>43.775211334228501</v>
      </c>
      <c r="L2229" s="6">
        <v>39.612037658691399</v>
      </c>
    </row>
    <row r="2230" spans="1:12" x14ac:dyDescent="0.25">
      <c r="A2230">
        <v>1710706</v>
      </c>
      <c r="B2230" t="str">
        <f t="shared" si="34"/>
        <v>ITAGUATINS, TO, Brasil</v>
      </c>
      <c r="C2230" s="4" t="str">
        <f>_xlfn.XLOOKUP(A2230,[1]!DadosGHD[CD_GEOCMU],[1]!DadosGHD[Região])</f>
        <v>NO</v>
      </c>
      <c r="D2230" s="4" t="str">
        <f>_xlfn.XLOOKUP(A2230,[1]!DadosGHD[CD_GEOCMU],[1]!DadosGHD[uf])</f>
        <v>TO</v>
      </c>
      <c r="E2230" s="5" t="str">
        <f>_xlfn.XLOOKUP(A2230,[1]!DadosGHD[CD_GEOCMU],[1]!DadosGHD[MUNICIPIO])</f>
        <v>ITAGUATINS</v>
      </c>
      <c r="F2230" s="6">
        <v>38.629638671875</v>
      </c>
      <c r="G2230" s="6">
        <v>33.841026306152301</v>
      </c>
      <c r="H2230" s="6">
        <v>33.877189636230497</v>
      </c>
      <c r="I2230" s="6">
        <v>33.850135803222699</v>
      </c>
      <c r="J2230" s="6">
        <v>33.8587036132813</v>
      </c>
      <c r="K2230" s="6">
        <v>33.885238647460902</v>
      </c>
      <c r="L2230" s="6">
        <v>26.297348022460898</v>
      </c>
    </row>
    <row r="2231" spans="1:12" x14ac:dyDescent="0.25">
      <c r="A2231">
        <v>3106507</v>
      </c>
      <c r="B2231" t="str">
        <f t="shared" si="34"/>
        <v>BERILO, MG, Brasil</v>
      </c>
      <c r="C2231" s="4" t="str">
        <f>_xlfn.XLOOKUP(A2231,[1]!DadosGHD[CD_GEOCMU],[1]!DadosGHD[Região])</f>
        <v>SD</v>
      </c>
      <c r="D2231" s="4" t="str">
        <f>_xlfn.XLOOKUP(A2231,[1]!DadosGHD[CD_GEOCMU],[1]!DadosGHD[uf])</f>
        <v>MG</v>
      </c>
      <c r="E2231" s="5" t="str">
        <f>_xlfn.XLOOKUP(A2231,[1]!DadosGHD[CD_GEOCMU],[1]!DadosGHD[MUNICIPIO])</f>
        <v>BERILO</v>
      </c>
      <c r="F2231" s="6">
        <v>38.629646301269503</v>
      </c>
      <c r="G2231" s="6">
        <v>33.820606231689503</v>
      </c>
      <c r="H2231" s="6">
        <v>33.875705718994098</v>
      </c>
      <c r="I2231" s="6">
        <v>33.846729278564503</v>
      </c>
      <c r="J2231" s="6">
        <v>33.851871490478501</v>
      </c>
      <c r="K2231" s="6">
        <v>33.927566528320298</v>
      </c>
      <c r="L2231" s="6">
        <v>35.123867034912102</v>
      </c>
    </row>
    <row r="2232" spans="1:12" x14ac:dyDescent="0.25">
      <c r="A2232">
        <v>2510808</v>
      </c>
      <c r="B2232" t="str">
        <f t="shared" si="34"/>
        <v>PATOS, PB, Brasil</v>
      </c>
      <c r="C2232" s="4" t="str">
        <f>_xlfn.XLOOKUP(A2232,[1]!DadosGHD[CD_GEOCMU],[1]!DadosGHD[Região])</f>
        <v>NE</v>
      </c>
      <c r="D2232" s="4" t="str">
        <f>_xlfn.XLOOKUP(A2232,[1]!DadosGHD[CD_GEOCMU],[1]!DadosGHD[uf])</f>
        <v>PB</v>
      </c>
      <c r="E2232" s="5" t="str">
        <f>_xlfn.XLOOKUP(A2232,[1]!DadosGHD[CD_GEOCMU],[1]!DadosGHD[MUNICIPIO])</f>
        <v>PATOS</v>
      </c>
      <c r="F2232" s="6">
        <v>38.629745483398402</v>
      </c>
      <c r="G2232" s="6">
        <v>38.744991302490199</v>
      </c>
      <c r="H2232" s="6">
        <v>43.740928649902301</v>
      </c>
      <c r="I2232" s="6">
        <v>43.7771186828613</v>
      </c>
      <c r="J2232" s="6">
        <v>43.793624877929702</v>
      </c>
      <c r="K2232" s="6">
        <v>43.8501586914063</v>
      </c>
      <c r="L2232" s="6">
        <v>48.516025543212898</v>
      </c>
    </row>
    <row r="2233" spans="1:12" x14ac:dyDescent="0.25">
      <c r="A2233">
        <v>3305604</v>
      </c>
      <c r="B2233" t="str">
        <f t="shared" si="34"/>
        <v>SILVA JARDIM, RJ, Brasil</v>
      </c>
      <c r="C2233" s="4" t="str">
        <f>_xlfn.XLOOKUP(A2233,[1]!DadosGHD[CD_GEOCMU],[1]!DadosGHD[Região])</f>
        <v>SD</v>
      </c>
      <c r="D2233" s="4" t="str">
        <f>_xlfn.XLOOKUP(A2233,[1]!DadosGHD[CD_GEOCMU],[1]!DadosGHD[uf])</f>
        <v>RJ</v>
      </c>
      <c r="E2233" s="5" t="str">
        <f>_xlfn.XLOOKUP(A2233,[1]!DadosGHD[CD_GEOCMU],[1]!DadosGHD[MUNICIPIO])</f>
        <v>SILVA JARDIM</v>
      </c>
      <c r="F2233" s="6">
        <v>38.629783630371101</v>
      </c>
      <c r="G2233" s="6">
        <v>38.700210571289098</v>
      </c>
      <c r="H2233" s="6">
        <v>38.770721435546903</v>
      </c>
      <c r="I2233" s="6">
        <v>38.760963439941399</v>
      </c>
      <c r="J2233" s="6">
        <v>38.802703857421903</v>
      </c>
      <c r="K2233" s="6">
        <v>38.845069885253899</v>
      </c>
      <c r="L2233" s="6">
        <v>39.605274200439503</v>
      </c>
    </row>
    <row r="2234" spans="1:12" x14ac:dyDescent="0.25">
      <c r="A2234">
        <v>1708304</v>
      </c>
      <c r="B2234" t="str">
        <f t="shared" si="34"/>
        <v>GOIANORTE, TO, Brasil</v>
      </c>
      <c r="C2234" s="4" t="str">
        <f>_xlfn.XLOOKUP(A2234,[1]!DadosGHD[CD_GEOCMU],[1]!DadosGHD[Região])</f>
        <v>NO</v>
      </c>
      <c r="D2234" s="4" t="str">
        <f>_xlfn.XLOOKUP(A2234,[1]!DadosGHD[CD_GEOCMU],[1]!DadosGHD[uf])</f>
        <v>TO</v>
      </c>
      <c r="E2234" s="5" t="str">
        <f>_xlfn.XLOOKUP(A2234,[1]!DadosGHD[CD_GEOCMU],[1]!DadosGHD[MUNICIPIO])</f>
        <v>GOIANORTE</v>
      </c>
      <c r="F2234" s="6">
        <v>38.629787445068402</v>
      </c>
      <c r="G2234" s="6">
        <v>33.837120056152301</v>
      </c>
      <c r="H2234" s="6">
        <v>33.874317169189503</v>
      </c>
      <c r="I2234" s="6">
        <v>33.855049133300803</v>
      </c>
      <c r="J2234" s="6">
        <v>33.88720703125</v>
      </c>
      <c r="K2234" s="6">
        <v>33.908943176269503</v>
      </c>
      <c r="L2234" s="6">
        <v>30.688648223876999</v>
      </c>
    </row>
    <row r="2235" spans="1:12" x14ac:dyDescent="0.25">
      <c r="A2235">
        <v>1720101</v>
      </c>
      <c r="B2235" t="str">
        <f t="shared" si="34"/>
        <v>SAO BENTO DO TOCANTINS, TO, Brasil</v>
      </c>
      <c r="C2235" s="4" t="str">
        <f>_xlfn.XLOOKUP(A2235,[1]!DadosGHD[CD_GEOCMU],[1]!DadosGHD[Região])</f>
        <v>NO</v>
      </c>
      <c r="D2235" s="4" t="str">
        <f>_xlfn.XLOOKUP(A2235,[1]!DadosGHD[CD_GEOCMU],[1]!DadosGHD[uf])</f>
        <v>TO</v>
      </c>
      <c r="E2235" s="5" t="str">
        <f>_xlfn.XLOOKUP(A2235,[1]!DadosGHD[CD_GEOCMU],[1]!DadosGHD[MUNICIPIO])</f>
        <v>SAO BENTO DO TOCANTINS</v>
      </c>
      <c r="F2235" s="6">
        <v>38.629993438720703</v>
      </c>
      <c r="G2235" s="6">
        <v>33.833320617675803</v>
      </c>
      <c r="H2235" s="6">
        <v>33.871013641357401</v>
      </c>
      <c r="I2235" s="6">
        <v>33.846630096435597</v>
      </c>
      <c r="J2235" s="6">
        <v>33.857273101806598</v>
      </c>
      <c r="K2235" s="6">
        <v>33.885951995849602</v>
      </c>
      <c r="L2235" s="6">
        <v>26.2928466796875</v>
      </c>
    </row>
    <row r="2236" spans="1:12" x14ac:dyDescent="0.25">
      <c r="A2236">
        <v>2300606</v>
      </c>
      <c r="B2236" t="str">
        <f t="shared" si="34"/>
        <v>ALTANEIRA, CE, Brasil</v>
      </c>
      <c r="C2236" s="4" t="str">
        <f>_xlfn.XLOOKUP(A2236,[1]!DadosGHD[CD_GEOCMU],[1]!DadosGHD[Região])</f>
        <v>NE</v>
      </c>
      <c r="D2236" s="4" t="str">
        <f>_xlfn.XLOOKUP(A2236,[1]!DadosGHD[CD_GEOCMU],[1]!DadosGHD[uf])</f>
        <v>CE</v>
      </c>
      <c r="E2236" s="5" t="str">
        <f>_xlfn.XLOOKUP(A2236,[1]!DadosGHD[CD_GEOCMU],[1]!DadosGHD[MUNICIPIO])</f>
        <v>ALTANEIRA</v>
      </c>
      <c r="F2236" s="6">
        <v>38.630123138427699</v>
      </c>
      <c r="G2236" s="6">
        <v>33.831375122070298</v>
      </c>
      <c r="H2236" s="6">
        <v>33.872776031494098</v>
      </c>
      <c r="I2236" s="6">
        <v>33.8419799804688</v>
      </c>
      <c r="J2236" s="6">
        <v>33.823963165283203</v>
      </c>
      <c r="K2236" s="6">
        <v>33.905662536621101</v>
      </c>
      <c r="L2236" s="6">
        <v>26.290624618530298</v>
      </c>
    </row>
    <row r="2237" spans="1:12" x14ac:dyDescent="0.25">
      <c r="A2237">
        <v>3301900</v>
      </c>
      <c r="B2237" t="str">
        <f t="shared" si="34"/>
        <v>ITABORAI, RJ, Brasil</v>
      </c>
      <c r="C2237" s="4" t="str">
        <f>_xlfn.XLOOKUP(A2237,[1]!DadosGHD[CD_GEOCMU],[1]!DadosGHD[Região])</f>
        <v>SD</v>
      </c>
      <c r="D2237" s="4" t="str">
        <f>_xlfn.XLOOKUP(A2237,[1]!DadosGHD[CD_GEOCMU],[1]!DadosGHD[uf])</f>
        <v>RJ</v>
      </c>
      <c r="E2237" s="5" t="str">
        <f>_xlfn.XLOOKUP(A2237,[1]!DadosGHD[CD_GEOCMU],[1]!DadosGHD[MUNICIPIO])</f>
        <v>ITABORAI</v>
      </c>
      <c r="F2237" s="6">
        <v>38.630172729492202</v>
      </c>
      <c r="G2237" s="6">
        <v>38.683418273925803</v>
      </c>
      <c r="H2237" s="6">
        <v>33.867115020752003</v>
      </c>
      <c r="I2237" s="6">
        <v>33.839832305908203</v>
      </c>
      <c r="J2237" s="6">
        <v>33.882595062255902</v>
      </c>
      <c r="K2237" s="6">
        <v>33.894699096679702</v>
      </c>
      <c r="L2237" s="6">
        <v>35.130638122558601</v>
      </c>
    </row>
    <row r="2238" spans="1:12" x14ac:dyDescent="0.25">
      <c r="A2238">
        <v>2202554</v>
      </c>
      <c r="B2238" t="str">
        <f t="shared" si="34"/>
        <v>CARIDADE DO PIAUI, PI, Brasil</v>
      </c>
      <c r="C2238" s="4" t="str">
        <f>_xlfn.XLOOKUP(A2238,[1]!DadosGHD[CD_GEOCMU],[1]!DadosGHD[Região])</f>
        <v>NE</v>
      </c>
      <c r="D2238" s="4" t="str">
        <f>_xlfn.XLOOKUP(A2238,[1]!DadosGHD[CD_GEOCMU],[1]!DadosGHD[uf])</f>
        <v>PI</v>
      </c>
      <c r="E2238" s="5" t="str">
        <f>_xlfn.XLOOKUP(A2238,[1]!DadosGHD[CD_GEOCMU],[1]!DadosGHD[MUNICIPIO])</f>
        <v>CARIDADE DO PIAUI</v>
      </c>
      <c r="F2238" s="6">
        <v>38.6302490234375</v>
      </c>
      <c r="G2238" s="6">
        <v>33.838066101074197</v>
      </c>
      <c r="H2238" s="6">
        <v>33.873458862304702</v>
      </c>
      <c r="I2238" s="6">
        <v>33.855392456054702</v>
      </c>
      <c r="J2238" s="6">
        <v>33.886322021484403</v>
      </c>
      <c r="K2238" s="6">
        <v>33.925575256347699</v>
      </c>
      <c r="L2238" s="6">
        <v>30.706750869751001</v>
      </c>
    </row>
    <row r="2239" spans="1:12" x14ac:dyDescent="0.25">
      <c r="A2239">
        <v>2606200</v>
      </c>
      <c r="B2239" t="str">
        <f t="shared" si="34"/>
        <v>GOIANA, PE, Brasil</v>
      </c>
      <c r="C2239" s="4" t="str">
        <f>_xlfn.XLOOKUP(A2239,[1]!DadosGHD[CD_GEOCMU],[1]!DadosGHD[Região])</f>
        <v>NE</v>
      </c>
      <c r="D2239" s="4" t="str">
        <f>_xlfn.XLOOKUP(A2239,[1]!DadosGHD[CD_GEOCMU],[1]!DadosGHD[uf])</f>
        <v>PE</v>
      </c>
      <c r="E2239" s="5" t="str">
        <f>_xlfn.XLOOKUP(A2239,[1]!DadosGHD[CD_GEOCMU],[1]!DadosGHD[MUNICIPIO])</f>
        <v>GOIANA</v>
      </c>
      <c r="F2239" s="6">
        <v>38.630313873291001</v>
      </c>
      <c r="G2239" s="6">
        <v>38.691452026367202</v>
      </c>
      <c r="H2239" s="6">
        <v>38.764251708984403</v>
      </c>
      <c r="I2239" s="6">
        <v>38.744613647460902</v>
      </c>
      <c r="J2239" s="6">
        <v>38.7686958312988</v>
      </c>
      <c r="K2239" s="6">
        <v>38.796474456787102</v>
      </c>
      <c r="L2239" s="6">
        <v>30.704029083251999</v>
      </c>
    </row>
    <row r="2240" spans="1:12" x14ac:dyDescent="0.25">
      <c r="A2240">
        <v>2502300</v>
      </c>
      <c r="B2240" t="str">
        <f t="shared" si="34"/>
        <v>BOM SUCESSO, PB, Brasil</v>
      </c>
      <c r="C2240" s="4" t="str">
        <f>_xlfn.XLOOKUP(A2240,[1]!DadosGHD[CD_GEOCMU],[1]!DadosGHD[Região])</f>
        <v>NE</v>
      </c>
      <c r="D2240" s="4" t="str">
        <f>_xlfn.XLOOKUP(A2240,[1]!DadosGHD[CD_GEOCMU],[1]!DadosGHD[uf])</f>
        <v>PB</v>
      </c>
      <c r="E2240" s="5" t="str">
        <f>_xlfn.XLOOKUP(A2240,[1]!DadosGHD[CD_GEOCMU],[1]!DadosGHD[MUNICIPIO])</f>
        <v>BOM SUCESSO</v>
      </c>
      <c r="F2240" s="6">
        <v>38.630382537841797</v>
      </c>
      <c r="G2240" s="6">
        <v>33.8410453796387</v>
      </c>
      <c r="H2240" s="6">
        <v>33.875267028808601</v>
      </c>
      <c r="I2240" s="6">
        <v>33.869232177734403</v>
      </c>
      <c r="J2240" s="6">
        <v>33.882823944091797</v>
      </c>
      <c r="K2240" s="6">
        <v>38.792068481445298</v>
      </c>
      <c r="L2240" s="6">
        <v>35.137138366699197</v>
      </c>
    </row>
    <row r="2241" spans="1:12" x14ac:dyDescent="0.25">
      <c r="A2241">
        <v>1600535</v>
      </c>
      <c r="B2241" t="str">
        <f t="shared" si="34"/>
        <v>PORTO GRANDE, AP, Brasil</v>
      </c>
      <c r="C2241" s="4" t="str">
        <f>_xlfn.XLOOKUP(A2241,[1]!DadosGHD[CD_GEOCMU],[1]!DadosGHD[Região])</f>
        <v>NO</v>
      </c>
      <c r="D2241" s="4" t="str">
        <f>_xlfn.XLOOKUP(A2241,[1]!DadosGHD[CD_GEOCMU],[1]!DadosGHD[uf])</f>
        <v>AP</v>
      </c>
      <c r="E2241" s="5" t="str">
        <f>_xlfn.XLOOKUP(A2241,[1]!DadosGHD[CD_GEOCMU],[1]!DadosGHD[MUNICIPIO])</f>
        <v>PORTO GRANDE</v>
      </c>
      <c r="F2241" s="6">
        <v>38.630447387695298</v>
      </c>
      <c r="G2241" s="6">
        <v>38.7055053710938</v>
      </c>
      <c r="H2241" s="6">
        <v>38.7518119812012</v>
      </c>
      <c r="I2241" s="6">
        <v>38.726768493652301</v>
      </c>
      <c r="J2241" s="6">
        <v>33.882637023925803</v>
      </c>
      <c r="K2241" s="6">
        <v>33.910900115966797</v>
      </c>
      <c r="L2241" s="6">
        <v>39.570930480957003</v>
      </c>
    </row>
    <row r="2242" spans="1:12" x14ac:dyDescent="0.25">
      <c r="A2242">
        <v>3129400</v>
      </c>
      <c r="B2242" t="str">
        <f t="shared" si="34"/>
        <v>IBERTIOGA, MG, Brasil</v>
      </c>
      <c r="C2242" s="4" t="str">
        <f>_xlfn.XLOOKUP(A2242,[1]!DadosGHD[CD_GEOCMU],[1]!DadosGHD[Região])</f>
        <v>SD</v>
      </c>
      <c r="D2242" s="4" t="str">
        <f>_xlfn.XLOOKUP(A2242,[1]!DadosGHD[CD_GEOCMU],[1]!DadosGHD[uf])</f>
        <v>MG</v>
      </c>
      <c r="E2242" s="5" t="str">
        <f>_xlfn.XLOOKUP(A2242,[1]!DadosGHD[CD_GEOCMU],[1]!DadosGHD[MUNICIPIO])</f>
        <v>IBERTIOGA</v>
      </c>
      <c r="F2242" s="6">
        <v>38.630561828613303</v>
      </c>
      <c r="G2242" s="6">
        <v>38.784496307373097</v>
      </c>
      <c r="H2242" s="6">
        <v>43.7707328796387</v>
      </c>
      <c r="I2242" s="6">
        <v>43.790115356445298</v>
      </c>
      <c r="J2242" s="6">
        <v>48.727317810058601</v>
      </c>
      <c r="K2242" s="6">
        <v>48.809257507324197</v>
      </c>
      <c r="L2242" s="6">
        <v>48.509281158447301</v>
      </c>
    </row>
    <row r="2243" spans="1:12" x14ac:dyDescent="0.25">
      <c r="A2243">
        <v>4318465</v>
      </c>
      <c r="B2243" t="str">
        <f t="shared" si="34"/>
        <v>SAO JOSE DO HERVAL, RS, Brasil</v>
      </c>
      <c r="C2243" s="4" t="str">
        <f>_xlfn.XLOOKUP(A2243,[1]!DadosGHD[CD_GEOCMU],[1]!DadosGHD[Região])</f>
        <v>SL</v>
      </c>
      <c r="D2243" s="4" t="str">
        <f>_xlfn.XLOOKUP(A2243,[1]!DadosGHD[CD_GEOCMU],[1]!DadosGHD[uf])</f>
        <v>RS</v>
      </c>
      <c r="E2243" s="5" t="str">
        <f>_xlfn.XLOOKUP(A2243,[1]!DadosGHD[CD_GEOCMU],[1]!DadosGHD[MUNICIPIO])</f>
        <v>SAO JOSE DO HERVAL</v>
      </c>
      <c r="F2243" s="6">
        <v>38.630775451660199</v>
      </c>
      <c r="G2243" s="6">
        <v>48.677528381347699</v>
      </c>
      <c r="H2243" s="6">
        <v>48.7381591796875</v>
      </c>
      <c r="I2243" s="6">
        <v>48.705841064453097</v>
      </c>
      <c r="J2243" s="6">
        <v>48.727542877197301</v>
      </c>
      <c r="K2243" s="6">
        <v>48.776851654052699</v>
      </c>
      <c r="L2243" s="6">
        <v>35.150634765625</v>
      </c>
    </row>
    <row r="2244" spans="1:12" x14ac:dyDescent="0.25">
      <c r="A2244">
        <v>3154606</v>
      </c>
      <c r="B2244" t="str">
        <f t="shared" ref="B2244:B2307" si="35">_xlfn.CONCAT(E2244, ", ", D2244, ", Brasil")</f>
        <v>RIBEIRAO DAS NEVES, MG, Brasil</v>
      </c>
      <c r="C2244" s="4" t="str">
        <f>_xlfn.XLOOKUP(A2244,[1]!DadosGHD[CD_GEOCMU],[1]!DadosGHD[Região])</f>
        <v>SD</v>
      </c>
      <c r="D2244" s="4" t="str">
        <f>_xlfn.XLOOKUP(A2244,[1]!DadosGHD[CD_GEOCMU],[1]!DadosGHD[uf])</f>
        <v>MG</v>
      </c>
      <c r="E2244" s="5" t="str">
        <f>_xlfn.XLOOKUP(A2244,[1]!DadosGHD[CD_GEOCMU],[1]!DadosGHD[MUNICIPIO])</f>
        <v>RIBEIRAO DAS NEVES</v>
      </c>
      <c r="F2244" s="6">
        <v>38.630851745605497</v>
      </c>
      <c r="G2244" s="6">
        <v>38.734043121337898</v>
      </c>
      <c r="H2244" s="6">
        <v>38.788135528564503</v>
      </c>
      <c r="I2244" s="6">
        <v>38.782962799072301</v>
      </c>
      <c r="J2244" s="6">
        <v>38.837638854980497</v>
      </c>
      <c r="K2244" s="6">
        <v>38.824649810791001</v>
      </c>
      <c r="L2244" s="6">
        <v>44.068191528320298</v>
      </c>
    </row>
    <row r="2245" spans="1:12" x14ac:dyDescent="0.25">
      <c r="A2245">
        <v>2303105</v>
      </c>
      <c r="B2245" t="str">
        <f t="shared" si="35"/>
        <v>CARIRE, CE, Brasil</v>
      </c>
      <c r="C2245" s="4" t="str">
        <f>_xlfn.XLOOKUP(A2245,[1]!DadosGHD[CD_GEOCMU],[1]!DadosGHD[Região])</f>
        <v>NE</v>
      </c>
      <c r="D2245" s="4" t="str">
        <f>_xlfn.XLOOKUP(A2245,[1]!DadosGHD[CD_GEOCMU],[1]!DadosGHD[uf])</f>
        <v>CE</v>
      </c>
      <c r="E2245" s="5" t="str">
        <f>_xlfn.XLOOKUP(A2245,[1]!DadosGHD[CD_GEOCMU],[1]!DadosGHD[MUNICIPIO])</f>
        <v>CARIRE</v>
      </c>
      <c r="F2245" s="6">
        <v>38.630943298339801</v>
      </c>
      <c r="G2245" s="6">
        <v>38.711109161377003</v>
      </c>
      <c r="H2245" s="6">
        <v>38.742713928222699</v>
      </c>
      <c r="I2245" s="6">
        <v>38.784492492675803</v>
      </c>
      <c r="J2245" s="6">
        <v>38.765724182128899</v>
      </c>
      <c r="K2245" s="6">
        <v>33.886058807373097</v>
      </c>
      <c r="L2245" s="6">
        <v>39.592453002929702</v>
      </c>
    </row>
    <row r="2246" spans="1:12" x14ac:dyDescent="0.25">
      <c r="A2246">
        <v>4318507</v>
      </c>
      <c r="B2246" t="str">
        <f t="shared" si="35"/>
        <v>SAO JOSE DO NORTE, RS, Brasil</v>
      </c>
      <c r="C2246" s="4" t="str">
        <f>_xlfn.XLOOKUP(A2246,[1]!DadosGHD[CD_GEOCMU],[1]!DadosGHD[Região])</f>
        <v>SL</v>
      </c>
      <c r="D2246" s="4" t="str">
        <f>_xlfn.XLOOKUP(A2246,[1]!DadosGHD[CD_GEOCMU],[1]!DadosGHD[uf])</f>
        <v>RS</v>
      </c>
      <c r="E2246" s="5" t="str">
        <f>_xlfn.XLOOKUP(A2246,[1]!DadosGHD[CD_GEOCMU],[1]!DadosGHD[MUNICIPIO])</f>
        <v>SAO JOSE DO NORTE</v>
      </c>
      <c r="F2246" s="6">
        <v>38.631019592285199</v>
      </c>
      <c r="G2246" s="6">
        <v>38.695449829101598</v>
      </c>
      <c r="H2246" s="6">
        <v>38.802867889404297</v>
      </c>
      <c r="I2246" s="6">
        <v>43.684112548828097</v>
      </c>
      <c r="J2246" s="6">
        <v>38.8128051757813</v>
      </c>
      <c r="K2246" s="6">
        <v>38.819606781005902</v>
      </c>
      <c r="L2246" s="6">
        <v>35.119781494140597</v>
      </c>
    </row>
    <row r="2247" spans="1:12" x14ac:dyDescent="0.25">
      <c r="A2247">
        <v>4300307</v>
      </c>
      <c r="B2247" t="str">
        <f t="shared" si="35"/>
        <v>ALECRIM, RS, Brasil</v>
      </c>
      <c r="C2247" s="4" t="str">
        <f>_xlfn.XLOOKUP(A2247,[1]!DadosGHD[CD_GEOCMU],[1]!DadosGHD[Região])</f>
        <v>SL</v>
      </c>
      <c r="D2247" s="4" t="str">
        <f>_xlfn.XLOOKUP(A2247,[1]!DadosGHD[CD_GEOCMU],[1]!DadosGHD[uf])</f>
        <v>RS</v>
      </c>
      <c r="E2247" s="5" t="str">
        <f>_xlfn.XLOOKUP(A2247,[1]!DadosGHD[CD_GEOCMU],[1]!DadosGHD[MUNICIPIO])</f>
        <v>ALECRIM</v>
      </c>
      <c r="F2247" s="6">
        <v>38.631153106689503</v>
      </c>
      <c r="G2247" s="6">
        <v>43.682064056396499</v>
      </c>
      <c r="H2247" s="6">
        <v>43.815784454345703</v>
      </c>
      <c r="I2247" s="6">
        <v>48.723869323730497</v>
      </c>
      <c r="J2247" s="6">
        <v>48.782371520996101</v>
      </c>
      <c r="K2247" s="6">
        <v>48.835971832275398</v>
      </c>
      <c r="L2247" s="6">
        <v>44.029018402099602</v>
      </c>
    </row>
    <row r="2248" spans="1:12" x14ac:dyDescent="0.25">
      <c r="A2248">
        <v>2402907</v>
      </c>
      <c r="B2248" t="str">
        <f t="shared" si="35"/>
        <v>CORONEL JOAO PESSOA, RN, Brasil</v>
      </c>
      <c r="C2248" s="4" t="str">
        <f>_xlfn.XLOOKUP(A2248,[1]!DadosGHD[CD_GEOCMU],[1]!DadosGHD[Região])</f>
        <v>NE</v>
      </c>
      <c r="D2248" s="4" t="str">
        <f>_xlfn.XLOOKUP(A2248,[1]!DadosGHD[CD_GEOCMU],[1]!DadosGHD[uf])</f>
        <v>RN</v>
      </c>
      <c r="E2248" s="5" t="str">
        <f>_xlfn.XLOOKUP(A2248,[1]!DadosGHD[CD_GEOCMU],[1]!DadosGHD[MUNICIPIO])</f>
        <v>CORONEL JOAO PESSOA</v>
      </c>
      <c r="F2248" s="6">
        <v>38.631240844726598</v>
      </c>
      <c r="G2248" s="6">
        <v>38.772430419921903</v>
      </c>
      <c r="H2248" s="6">
        <v>43.737461090087898</v>
      </c>
      <c r="I2248" s="6">
        <v>43.741065979003899</v>
      </c>
      <c r="J2248" s="6">
        <v>43.741382598877003</v>
      </c>
      <c r="K2248" s="6">
        <v>38.800491333007798</v>
      </c>
      <c r="L2248" s="6">
        <v>44.061862945556598</v>
      </c>
    </row>
    <row r="2249" spans="1:12" x14ac:dyDescent="0.25">
      <c r="A2249">
        <v>3105202</v>
      </c>
      <c r="B2249" t="str">
        <f t="shared" si="35"/>
        <v>BANDEIRA, MG, Brasil</v>
      </c>
      <c r="C2249" s="4" t="str">
        <f>_xlfn.XLOOKUP(A2249,[1]!DadosGHD[CD_GEOCMU],[1]!DadosGHD[Região])</f>
        <v>SD</v>
      </c>
      <c r="D2249" s="4" t="str">
        <f>_xlfn.XLOOKUP(A2249,[1]!DadosGHD[CD_GEOCMU],[1]!DadosGHD[uf])</f>
        <v>MG</v>
      </c>
      <c r="E2249" s="5" t="str">
        <f>_xlfn.XLOOKUP(A2249,[1]!DadosGHD[CD_GEOCMU],[1]!DadosGHD[MUNICIPIO])</f>
        <v>BANDEIRA</v>
      </c>
      <c r="F2249" s="6">
        <v>38.631378173828097</v>
      </c>
      <c r="G2249" s="6">
        <v>43.638156890869098</v>
      </c>
      <c r="H2249" s="6">
        <v>38.841350555419901</v>
      </c>
      <c r="I2249" s="6">
        <v>38.8165893554688</v>
      </c>
      <c r="J2249" s="6">
        <v>43.705711364746101</v>
      </c>
      <c r="K2249" s="6">
        <v>38.887752532958999</v>
      </c>
      <c r="L2249" s="6">
        <v>30.712612152099599</v>
      </c>
    </row>
    <row r="2250" spans="1:12" x14ac:dyDescent="0.25">
      <c r="A2250">
        <v>3153103</v>
      </c>
      <c r="B2250" t="str">
        <f t="shared" si="35"/>
        <v>PRESIDENTE BERNARDES, MG, Brasil</v>
      </c>
      <c r="C2250" s="4" t="str">
        <f>_xlfn.XLOOKUP(A2250,[1]!DadosGHD[CD_GEOCMU],[1]!DadosGHD[Região])</f>
        <v>SD</v>
      </c>
      <c r="D2250" s="4" t="str">
        <f>_xlfn.XLOOKUP(A2250,[1]!DadosGHD[CD_GEOCMU],[1]!DadosGHD[uf])</f>
        <v>MG</v>
      </c>
      <c r="E2250" s="5" t="str">
        <f>_xlfn.XLOOKUP(A2250,[1]!DadosGHD[CD_GEOCMU],[1]!DadosGHD[MUNICIPIO])</f>
        <v>PRESIDENTE BERNARDES</v>
      </c>
      <c r="F2250" s="6">
        <v>38.632102966308601</v>
      </c>
      <c r="G2250" s="6">
        <v>33.842941284179702</v>
      </c>
      <c r="H2250" s="6">
        <v>38.763675689697301</v>
      </c>
      <c r="I2250" s="6">
        <v>38.760494232177699</v>
      </c>
      <c r="J2250" s="6">
        <v>33.868316650390597</v>
      </c>
      <c r="K2250" s="6">
        <v>38.851081848144503</v>
      </c>
      <c r="L2250" s="6">
        <v>39.603179931640597</v>
      </c>
    </row>
    <row r="2251" spans="1:12" x14ac:dyDescent="0.25">
      <c r="A2251">
        <v>3156809</v>
      </c>
      <c r="B2251" t="str">
        <f t="shared" si="35"/>
        <v>SABINOPOLIS, MG, Brasil</v>
      </c>
      <c r="C2251" s="4" t="str">
        <f>_xlfn.XLOOKUP(A2251,[1]!DadosGHD[CD_GEOCMU],[1]!DadosGHD[Região])</f>
        <v>SD</v>
      </c>
      <c r="D2251" s="4" t="str">
        <f>_xlfn.XLOOKUP(A2251,[1]!DadosGHD[CD_GEOCMU],[1]!DadosGHD[uf])</f>
        <v>MG</v>
      </c>
      <c r="E2251" s="5" t="str">
        <f>_xlfn.XLOOKUP(A2251,[1]!DadosGHD[CD_GEOCMU],[1]!DadosGHD[MUNICIPIO])</f>
        <v>SABINOPOLIS</v>
      </c>
      <c r="F2251" s="6">
        <v>38.632167816162102</v>
      </c>
      <c r="G2251" s="6">
        <v>38.783435821533203</v>
      </c>
      <c r="H2251" s="6">
        <v>43.714099884033203</v>
      </c>
      <c r="I2251" s="6">
        <v>38.762317657470703</v>
      </c>
      <c r="J2251" s="6">
        <v>38.761928558349602</v>
      </c>
      <c r="K2251" s="6">
        <v>38.791595458984403</v>
      </c>
      <c r="L2251" s="6">
        <v>30.691970825195298</v>
      </c>
    </row>
    <row r="2252" spans="1:12" x14ac:dyDescent="0.25">
      <c r="A2252">
        <v>3163607</v>
      </c>
      <c r="B2252" t="str">
        <f t="shared" si="35"/>
        <v>SAO JOSE DO MANTIMENTO, MG, Brasil</v>
      </c>
      <c r="C2252" s="4" t="str">
        <f>_xlfn.XLOOKUP(A2252,[1]!DadosGHD[CD_GEOCMU],[1]!DadosGHD[Região])</f>
        <v>SD</v>
      </c>
      <c r="D2252" s="4" t="str">
        <f>_xlfn.XLOOKUP(A2252,[1]!DadosGHD[CD_GEOCMU],[1]!DadosGHD[uf])</f>
        <v>MG</v>
      </c>
      <c r="E2252" s="5" t="str">
        <f>_xlfn.XLOOKUP(A2252,[1]!DadosGHD[CD_GEOCMU],[1]!DadosGHD[MUNICIPIO])</f>
        <v>SAO JOSE DO MANTIMENTO</v>
      </c>
      <c r="F2252" s="6">
        <v>38.632167816162102</v>
      </c>
      <c r="G2252" s="6">
        <v>43.693317413330099</v>
      </c>
      <c r="H2252" s="6">
        <v>43.734970092773402</v>
      </c>
      <c r="I2252" s="6">
        <v>43.700393676757798</v>
      </c>
      <c r="J2252" s="6">
        <v>43.735641479492202</v>
      </c>
      <c r="K2252" s="6">
        <v>43.8009643554688</v>
      </c>
      <c r="L2252" s="6">
        <v>39.564998626708999</v>
      </c>
    </row>
    <row r="2253" spans="1:12" x14ac:dyDescent="0.25">
      <c r="A2253">
        <v>2204006</v>
      </c>
      <c r="B2253" t="str">
        <f t="shared" si="35"/>
        <v>FRANCINOPOLIS, PI, Brasil</v>
      </c>
      <c r="C2253" s="4" t="str">
        <f>_xlfn.XLOOKUP(A2253,[1]!DadosGHD[CD_GEOCMU],[1]!DadosGHD[Região])</f>
        <v>NE</v>
      </c>
      <c r="D2253" s="4" t="str">
        <f>_xlfn.XLOOKUP(A2253,[1]!DadosGHD[CD_GEOCMU],[1]!DadosGHD[uf])</f>
        <v>PI</v>
      </c>
      <c r="E2253" s="5" t="str">
        <f>_xlfn.XLOOKUP(A2253,[1]!DadosGHD[CD_GEOCMU],[1]!DadosGHD[MUNICIPIO])</f>
        <v>FRANCINOPOLIS</v>
      </c>
      <c r="F2253" s="6">
        <v>38.632266998291001</v>
      </c>
      <c r="G2253" s="6">
        <v>33.839866638183601</v>
      </c>
      <c r="H2253" s="6">
        <v>33.869392395019503</v>
      </c>
      <c r="I2253" s="6">
        <v>33.843181610107401</v>
      </c>
      <c r="J2253" s="6">
        <v>28.9418849945068</v>
      </c>
      <c r="K2253" s="6">
        <v>28.9876918792725</v>
      </c>
      <c r="L2253" s="6">
        <v>35.121650695800803</v>
      </c>
    </row>
    <row r="2254" spans="1:12" x14ac:dyDescent="0.25">
      <c r="A2254">
        <v>2200905</v>
      </c>
      <c r="B2254" t="str">
        <f t="shared" si="35"/>
        <v>AROAZES, PI, Brasil</v>
      </c>
      <c r="C2254" s="4" t="str">
        <f>_xlfn.XLOOKUP(A2254,[1]!DadosGHD[CD_GEOCMU],[1]!DadosGHD[Região])</f>
        <v>NE</v>
      </c>
      <c r="D2254" s="4" t="str">
        <f>_xlfn.XLOOKUP(A2254,[1]!DadosGHD[CD_GEOCMU],[1]!DadosGHD[uf])</f>
        <v>PI</v>
      </c>
      <c r="E2254" s="5" t="str">
        <f>_xlfn.XLOOKUP(A2254,[1]!DadosGHD[CD_GEOCMU],[1]!DadosGHD[MUNICIPIO])</f>
        <v>AROAZES</v>
      </c>
      <c r="F2254" s="6">
        <v>38.632442474365199</v>
      </c>
      <c r="G2254" s="6">
        <v>33.833488464355497</v>
      </c>
      <c r="H2254" s="6">
        <v>33.858062744140597</v>
      </c>
      <c r="I2254" s="6">
        <v>33.831912994384801</v>
      </c>
      <c r="J2254" s="6">
        <v>33.846107482910199</v>
      </c>
      <c r="K2254" s="6">
        <v>33.884395599365199</v>
      </c>
      <c r="L2254" s="6">
        <v>30.692173004150401</v>
      </c>
    </row>
    <row r="2255" spans="1:12" x14ac:dyDescent="0.25">
      <c r="A2255">
        <v>3146305</v>
      </c>
      <c r="B2255" t="str">
        <f t="shared" si="35"/>
        <v>PADRE PARAISO, MG, Brasil</v>
      </c>
      <c r="C2255" s="4" t="str">
        <f>_xlfn.XLOOKUP(A2255,[1]!DadosGHD[CD_GEOCMU],[1]!DadosGHD[Região])</f>
        <v>SD</v>
      </c>
      <c r="D2255" s="4" t="str">
        <f>_xlfn.XLOOKUP(A2255,[1]!DadosGHD[CD_GEOCMU],[1]!DadosGHD[uf])</f>
        <v>MG</v>
      </c>
      <c r="E2255" s="5" t="str">
        <f>_xlfn.XLOOKUP(A2255,[1]!DadosGHD[CD_GEOCMU],[1]!DadosGHD[MUNICIPIO])</f>
        <v>PADRE PARAISO</v>
      </c>
      <c r="F2255" s="6">
        <v>38.632598876953097</v>
      </c>
      <c r="G2255" s="6">
        <v>38.740837097167997</v>
      </c>
      <c r="H2255" s="6">
        <v>38.784435272216797</v>
      </c>
      <c r="I2255" s="6">
        <v>38.760089874267599</v>
      </c>
      <c r="J2255" s="6">
        <v>38.7509765625</v>
      </c>
      <c r="K2255" s="6">
        <v>33.918224334716797</v>
      </c>
      <c r="L2255" s="6">
        <v>30.713220596313501</v>
      </c>
    </row>
    <row r="2256" spans="1:12" x14ac:dyDescent="0.25">
      <c r="A2256">
        <v>5213509</v>
      </c>
      <c r="B2256" t="str">
        <f t="shared" si="35"/>
        <v>MONTE ALEGRE DE GOIAS, GO, Brasil</v>
      </c>
      <c r="C2256" s="4" t="str">
        <f>_xlfn.XLOOKUP(A2256,[1]!DadosGHD[CD_GEOCMU],[1]!DadosGHD[Região])</f>
        <v>CO</v>
      </c>
      <c r="D2256" s="4" t="str">
        <f>_xlfn.XLOOKUP(A2256,[1]!DadosGHD[CD_GEOCMU],[1]!DadosGHD[uf])</f>
        <v>GO</v>
      </c>
      <c r="E2256" s="5" t="str">
        <f>_xlfn.XLOOKUP(A2256,[1]!DadosGHD[CD_GEOCMU],[1]!DadosGHD[MUNICIPIO])</f>
        <v>MONTE ALEGRE DE GOIAS</v>
      </c>
      <c r="F2256" s="6">
        <v>38.632667541503899</v>
      </c>
      <c r="G2256" s="6">
        <v>38.694862365722699</v>
      </c>
      <c r="H2256" s="6">
        <v>33.892940521240199</v>
      </c>
      <c r="I2256" s="6">
        <v>33.868186950683601</v>
      </c>
      <c r="J2256" s="6">
        <v>33.888511657714801</v>
      </c>
      <c r="K2256" s="6">
        <v>33.911407470703097</v>
      </c>
      <c r="L2256" s="6">
        <v>30.707147598266602</v>
      </c>
    </row>
    <row r="2257" spans="1:12" x14ac:dyDescent="0.25">
      <c r="A2257">
        <v>3171071</v>
      </c>
      <c r="B2257" t="str">
        <f t="shared" si="35"/>
        <v>VEREDINHA, MG, Brasil</v>
      </c>
      <c r="C2257" s="4" t="str">
        <f>_xlfn.XLOOKUP(A2257,[1]!DadosGHD[CD_GEOCMU],[1]!DadosGHD[Região])</f>
        <v>SD</v>
      </c>
      <c r="D2257" s="4" t="str">
        <f>_xlfn.XLOOKUP(A2257,[1]!DadosGHD[CD_GEOCMU],[1]!DadosGHD[uf])</f>
        <v>MG</v>
      </c>
      <c r="E2257" s="5" t="str">
        <f>_xlfn.XLOOKUP(A2257,[1]!DadosGHD[CD_GEOCMU],[1]!DadosGHD[MUNICIPIO])</f>
        <v>VEREDINHA</v>
      </c>
      <c r="F2257" s="6">
        <v>38.632678985595703</v>
      </c>
      <c r="G2257" s="6">
        <v>38.721675872802699</v>
      </c>
      <c r="H2257" s="6">
        <v>38.837257385253899</v>
      </c>
      <c r="I2257" s="6">
        <v>38.8009643554688</v>
      </c>
      <c r="J2257" s="6">
        <v>38.798252105712898</v>
      </c>
      <c r="K2257" s="6">
        <v>33.919094085693402</v>
      </c>
      <c r="L2257" s="6">
        <v>39.571491241455099</v>
      </c>
    </row>
    <row r="2258" spans="1:12" x14ac:dyDescent="0.25">
      <c r="A2258">
        <v>2604908</v>
      </c>
      <c r="B2258" t="str">
        <f t="shared" si="35"/>
        <v>CUMARU, PE, Brasil</v>
      </c>
      <c r="C2258" s="4" t="str">
        <f>_xlfn.XLOOKUP(A2258,[1]!DadosGHD[CD_GEOCMU],[1]!DadosGHD[Região])</f>
        <v>NE</v>
      </c>
      <c r="D2258" s="4" t="str">
        <f>_xlfn.XLOOKUP(A2258,[1]!DadosGHD[CD_GEOCMU],[1]!DadosGHD[uf])</f>
        <v>PE</v>
      </c>
      <c r="E2258" s="5" t="str">
        <f>_xlfn.XLOOKUP(A2258,[1]!DadosGHD[CD_GEOCMU],[1]!DadosGHD[MUNICIPIO])</f>
        <v>CUMARU</v>
      </c>
      <c r="F2258" s="6">
        <v>38.632774353027301</v>
      </c>
      <c r="G2258" s="6">
        <v>33.829765319824197</v>
      </c>
      <c r="H2258" s="6">
        <v>33.8676147460938</v>
      </c>
      <c r="I2258" s="6">
        <v>38.747795104980497</v>
      </c>
      <c r="J2258" s="6">
        <v>38.838977813720703</v>
      </c>
      <c r="K2258" s="6">
        <v>43.875717163085902</v>
      </c>
      <c r="L2258" s="6">
        <v>39.560134887695298</v>
      </c>
    </row>
    <row r="2259" spans="1:12" x14ac:dyDescent="0.25">
      <c r="A2259">
        <v>3123700</v>
      </c>
      <c r="B2259" t="str">
        <f t="shared" si="35"/>
        <v>ENGENHEIRO CALDAS, MG, Brasil</v>
      </c>
      <c r="C2259" s="4" t="str">
        <f>_xlfn.XLOOKUP(A2259,[1]!DadosGHD[CD_GEOCMU],[1]!DadosGHD[Região])</f>
        <v>SD</v>
      </c>
      <c r="D2259" s="4" t="str">
        <f>_xlfn.XLOOKUP(A2259,[1]!DadosGHD[CD_GEOCMU],[1]!DadosGHD[uf])</f>
        <v>MG</v>
      </c>
      <c r="E2259" s="5" t="str">
        <f>_xlfn.XLOOKUP(A2259,[1]!DadosGHD[CD_GEOCMU],[1]!DadosGHD[MUNICIPIO])</f>
        <v>ENGENHEIRO CALDAS</v>
      </c>
      <c r="F2259" s="6">
        <v>38.632816314697301</v>
      </c>
      <c r="G2259" s="6">
        <v>38.726654052734403</v>
      </c>
      <c r="H2259" s="6">
        <v>38.756145477294901</v>
      </c>
      <c r="I2259" s="6">
        <v>38.7165336608887</v>
      </c>
      <c r="J2259" s="6">
        <v>38.797683715820298</v>
      </c>
      <c r="K2259" s="6">
        <v>33.926677703857401</v>
      </c>
      <c r="L2259" s="6">
        <v>30.702793121337901</v>
      </c>
    </row>
    <row r="2260" spans="1:12" x14ac:dyDescent="0.25">
      <c r="A2260">
        <v>3148707</v>
      </c>
      <c r="B2260" t="str">
        <f t="shared" si="35"/>
        <v>PEDRA AZUL, MG, Brasil</v>
      </c>
      <c r="C2260" s="4" t="str">
        <f>_xlfn.XLOOKUP(A2260,[1]!DadosGHD[CD_GEOCMU],[1]!DadosGHD[Região])</f>
        <v>SD</v>
      </c>
      <c r="D2260" s="4" t="str">
        <f>_xlfn.XLOOKUP(A2260,[1]!DadosGHD[CD_GEOCMU],[1]!DadosGHD[uf])</f>
        <v>MG</v>
      </c>
      <c r="E2260" s="5" t="str">
        <f>_xlfn.XLOOKUP(A2260,[1]!DadosGHD[CD_GEOCMU],[1]!DadosGHD[MUNICIPIO])</f>
        <v>PEDRA AZUL</v>
      </c>
      <c r="F2260" s="6">
        <v>38.633224487304702</v>
      </c>
      <c r="G2260" s="6">
        <v>38.7208251953125</v>
      </c>
      <c r="H2260" s="6">
        <v>38.747722625732401</v>
      </c>
      <c r="I2260" s="6">
        <v>33.870204925537102</v>
      </c>
      <c r="J2260" s="6">
        <v>33.868865966796903</v>
      </c>
      <c r="K2260" s="6">
        <v>33.922275543212898</v>
      </c>
      <c r="L2260" s="6">
        <v>35.122371673583999</v>
      </c>
    </row>
    <row r="2261" spans="1:12" x14ac:dyDescent="0.25">
      <c r="A2261">
        <v>3128204</v>
      </c>
      <c r="B2261" t="str">
        <f t="shared" si="35"/>
        <v>GUARACIABA, MG, Brasil</v>
      </c>
      <c r="C2261" s="4" t="str">
        <f>_xlfn.XLOOKUP(A2261,[1]!DadosGHD[CD_GEOCMU],[1]!DadosGHD[Região])</f>
        <v>SD</v>
      </c>
      <c r="D2261" s="4" t="str">
        <f>_xlfn.XLOOKUP(A2261,[1]!DadosGHD[CD_GEOCMU],[1]!DadosGHD[uf])</f>
        <v>MG</v>
      </c>
      <c r="E2261" s="5" t="str">
        <f>_xlfn.XLOOKUP(A2261,[1]!DadosGHD[CD_GEOCMU],[1]!DadosGHD[MUNICIPIO])</f>
        <v>GUARACIABA</v>
      </c>
      <c r="F2261" s="6">
        <v>38.633415222167997</v>
      </c>
      <c r="G2261" s="6">
        <v>38.7206840515137</v>
      </c>
      <c r="H2261" s="6">
        <v>38.776378631591797</v>
      </c>
      <c r="I2261" s="6">
        <v>38.756782531738303</v>
      </c>
      <c r="J2261" s="6">
        <v>38.794521331787102</v>
      </c>
      <c r="K2261" s="6">
        <v>38.874599456787102</v>
      </c>
      <c r="L2261" s="6">
        <v>39.560794830322301</v>
      </c>
    </row>
    <row r="2262" spans="1:12" x14ac:dyDescent="0.25">
      <c r="A2262">
        <v>2914901</v>
      </c>
      <c r="B2262" t="str">
        <f t="shared" si="35"/>
        <v>ITACARE, BA, Brasil</v>
      </c>
      <c r="C2262" s="4" t="str">
        <f>_xlfn.XLOOKUP(A2262,[1]!DadosGHD[CD_GEOCMU],[1]!DadosGHD[Região])</f>
        <v>NE</v>
      </c>
      <c r="D2262" s="4" t="str">
        <f>_xlfn.XLOOKUP(A2262,[1]!DadosGHD[CD_GEOCMU],[1]!DadosGHD[uf])</f>
        <v>BA</v>
      </c>
      <c r="E2262" s="5" t="str">
        <f>_xlfn.XLOOKUP(A2262,[1]!DadosGHD[CD_GEOCMU],[1]!DadosGHD[MUNICIPIO])</f>
        <v>ITACARE</v>
      </c>
      <c r="F2262" s="6">
        <v>38.633445739746101</v>
      </c>
      <c r="G2262" s="6">
        <v>33.8323364257813</v>
      </c>
      <c r="H2262" s="6">
        <v>33.869003295898402</v>
      </c>
      <c r="I2262" s="6">
        <v>33.846401214599602</v>
      </c>
      <c r="J2262" s="6">
        <v>33.879230499267599</v>
      </c>
      <c r="K2262" s="6">
        <v>38.846778869628899</v>
      </c>
      <c r="L2262" s="6">
        <v>44.028236389160199</v>
      </c>
    </row>
    <row r="2263" spans="1:12" x14ac:dyDescent="0.25">
      <c r="A2263">
        <v>2928000</v>
      </c>
      <c r="B2263" t="str">
        <f t="shared" si="35"/>
        <v>SANTALUZ, BA, Brasil</v>
      </c>
      <c r="C2263" s="4" t="str">
        <f>_xlfn.XLOOKUP(A2263,[1]!DadosGHD[CD_GEOCMU],[1]!DadosGHD[Região])</f>
        <v>NE</v>
      </c>
      <c r="D2263" s="4" t="str">
        <f>_xlfn.XLOOKUP(A2263,[1]!DadosGHD[CD_GEOCMU],[1]!DadosGHD[uf])</f>
        <v>BA</v>
      </c>
      <c r="E2263" s="5" t="str">
        <f>_xlfn.XLOOKUP(A2263,[1]!DadosGHD[CD_GEOCMU],[1]!DadosGHD[MUNICIPIO])</f>
        <v>SANTALUZ</v>
      </c>
      <c r="F2263" s="6">
        <v>38.633487701416001</v>
      </c>
      <c r="G2263" s="6">
        <v>38.714805603027301</v>
      </c>
      <c r="H2263" s="6">
        <v>38.804622650146499</v>
      </c>
      <c r="I2263" s="6">
        <v>38.779289245605497</v>
      </c>
      <c r="J2263" s="6">
        <v>38.769298553466797</v>
      </c>
      <c r="K2263" s="6">
        <v>38.874355316162102</v>
      </c>
      <c r="L2263" s="6">
        <v>35.156818389892599</v>
      </c>
    </row>
    <row r="2264" spans="1:12" x14ac:dyDescent="0.25">
      <c r="A2264">
        <v>3162252</v>
      </c>
      <c r="B2264" t="str">
        <f t="shared" si="35"/>
        <v>SAO JOAO DA LAGOA, MG, Brasil</v>
      </c>
      <c r="C2264" s="4" t="str">
        <f>_xlfn.XLOOKUP(A2264,[1]!DadosGHD[CD_GEOCMU],[1]!DadosGHD[Região])</f>
        <v>SD</v>
      </c>
      <c r="D2264" s="4" t="str">
        <f>_xlfn.XLOOKUP(A2264,[1]!DadosGHD[CD_GEOCMU],[1]!DadosGHD[uf])</f>
        <v>MG</v>
      </c>
      <c r="E2264" s="5" t="str">
        <f>_xlfn.XLOOKUP(A2264,[1]!DadosGHD[CD_GEOCMU],[1]!DadosGHD[MUNICIPIO])</f>
        <v>SAO JOAO DA LAGOA</v>
      </c>
      <c r="F2264" s="6">
        <v>38.633804321289098</v>
      </c>
      <c r="G2264" s="6">
        <v>33.8389701843262</v>
      </c>
      <c r="H2264" s="6">
        <v>38.754486083984403</v>
      </c>
      <c r="I2264" s="6">
        <v>38.753562927246101</v>
      </c>
      <c r="J2264" s="6">
        <v>38.742584228515597</v>
      </c>
      <c r="K2264" s="6">
        <v>33.918453216552699</v>
      </c>
      <c r="L2264" s="6">
        <v>26.296873092651399</v>
      </c>
    </row>
    <row r="2265" spans="1:12" x14ac:dyDescent="0.25">
      <c r="A2265">
        <v>2402600</v>
      </c>
      <c r="B2265" t="str">
        <f t="shared" si="35"/>
        <v>CEARA-MIRIM, RN, Brasil</v>
      </c>
      <c r="C2265" s="4" t="str">
        <f>_xlfn.XLOOKUP(A2265,[1]!DadosGHD[CD_GEOCMU],[1]!DadosGHD[Região])</f>
        <v>NE</v>
      </c>
      <c r="D2265" s="4" t="str">
        <f>_xlfn.XLOOKUP(A2265,[1]!DadosGHD[CD_GEOCMU],[1]!DadosGHD[uf])</f>
        <v>RN</v>
      </c>
      <c r="E2265" s="5" t="str">
        <f>_xlfn.XLOOKUP(A2265,[1]!DadosGHD[CD_GEOCMU],[1]!DadosGHD[MUNICIPIO])</f>
        <v>CEARA-MIRIM</v>
      </c>
      <c r="F2265" s="6">
        <v>38.633811950683601</v>
      </c>
      <c r="G2265" s="6">
        <v>38.713962554931598</v>
      </c>
      <c r="H2265" s="6">
        <v>38.756050109863303</v>
      </c>
      <c r="I2265" s="6">
        <v>38.733589172363303</v>
      </c>
      <c r="J2265" s="6">
        <v>33.859977722167997</v>
      </c>
      <c r="K2265" s="6">
        <v>38.837924957275398</v>
      </c>
      <c r="L2265" s="6">
        <v>39.579982757568402</v>
      </c>
    </row>
    <row r="2266" spans="1:12" x14ac:dyDescent="0.25">
      <c r="A2266">
        <v>1400456</v>
      </c>
      <c r="B2266" t="str">
        <f t="shared" si="35"/>
        <v>PACARAIMA, RR, Brasil</v>
      </c>
      <c r="C2266" s="4" t="str">
        <f>_xlfn.XLOOKUP(A2266,[1]!DadosGHD[CD_GEOCMU],[1]!DadosGHD[Região])</f>
        <v>NO</v>
      </c>
      <c r="D2266" s="4" t="str">
        <f>_xlfn.XLOOKUP(A2266,[1]!DadosGHD[CD_GEOCMU],[1]!DadosGHD[uf])</f>
        <v>RR</v>
      </c>
      <c r="E2266" s="5" t="str">
        <f>_xlfn.XLOOKUP(A2266,[1]!DadosGHD[CD_GEOCMU],[1]!DadosGHD[MUNICIPIO])</f>
        <v>PACARAIMA</v>
      </c>
      <c r="F2266" s="6">
        <v>38.633827209472699</v>
      </c>
      <c r="G2266" s="6">
        <v>33.846107482910199</v>
      </c>
      <c r="H2266" s="6">
        <v>33.849941253662102</v>
      </c>
      <c r="I2266" s="6">
        <v>33.813682556152301</v>
      </c>
      <c r="J2266" s="6">
        <v>33.821739196777301</v>
      </c>
      <c r="K2266" s="6">
        <v>33.847145080566399</v>
      </c>
      <c r="L2266" s="6">
        <v>26.285560607910199</v>
      </c>
    </row>
    <row r="2267" spans="1:12" x14ac:dyDescent="0.25">
      <c r="A2267">
        <v>4117305</v>
      </c>
      <c r="B2267" t="str">
        <f t="shared" si="35"/>
        <v>ORTIGUEIRA, PR, Brasil</v>
      </c>
      <c r="C2267" s="4" t="str">
        <f>_xlfn.XLOOKUP(A2267,[1]!DadosGHD[CD_GEOCMU],[1]!DadosGHD[Região])</f>
        <v>SL</v>
      </c>
      <c r="D2267" s="4" t="str">
        <f>_xlfn.XLOOKUP(A2267,[1]!DadosGHD[CD_GEOCMU],[1]!DadosGHD[uf])</f>
        <v>PR</v>
      </c>
      <c r="E2267" s="5" t="str">
        <f>_xlfn.XLOOKUP(A2267,[1]!DadosGHD[CD_GEOCMU],[1]!DadosGHD[MUNICIPIO])</f>
        <v>ORTIGUEIRA</v>
      </c>
      <c r="F2267" s="6">
        <v>38.633895874023402</v>
      </c>
      <c r="G2267" s="6">
        <v>38.762748718261697</v>
      </c>
      <c r="H2267" s="6">
        <v>38.816864013671903</v>
      </c>
      <c r="I2267" s="6">
        <v>38.796943664550803</v>
      </c>
      <c r="J2267" s="6">
        <v>38.840904235839801</v>
      </c>
      <c r="K2267" s="6">
        <v>43.768173217773402</v>
      </c>
      <c r="L2267" s="6">
        <v>35.1487846374512</v>
      </c>
    </row>
    <row r="2268" spans="1:12" x14ac:dyDescent="0.25">
      <c r="A2268">
        <v>2917334</v>
      </c>
      <c r="B2268" t="str">
        <f t="shared" si="35"/>
        <v>IUIU, BA, Brasil</v>
      </c>
      <c r="C2268" s="4" t="str">
        <f>_xlfn.XLOOKUP(A2268,[1]!DadosGHD[CD_GEOCMU],[1]!DadosGHD[Região])</f>
        <v>NE</v>
      </c>
      <c r="D2268" s="4" t="str">
        <f>_xlfn.XLOOKUP(A2268,[1]!DadosGHD[CD_GEOCMU],[1]!DadosGHD[uf])</f>
        <v>BA</v>
      </c>
      <c r="E2268" s="5" t="str">
        <f>_xlfn.XLOOKUP(A2268,[1]!DadosGHD[CD_GEOCMU],[1]!DadosGHD[MUNICIPIO])</f>
        <v>IUIU</v>
      </c>
      <c r="F2268" s="6">
        <v>38.634159088134801</v>
      </c>
      <c r="G2268" s="6">
        <v>38.682876586914098</v>
      </c>
      <c r="H2268" s="6">
        <v>33.891407012939503</v>
      </c>
      <c r="I2268" s="6">
        <v>33.8651123046875</v>
      </c>
      <c r="J2268" s="6">
        <v>33.834480285644503</v>
      </c>
      <c r="K2268" s="6">
        <v>33.861057281494098</v>
      </c>
      <c r="L2268" s="6">
        <v>26.295099258422901</v>
      </c>
    </row>
    <row r="2269" spans="1:12" x14ac:dyDescent="0.25">
      <c r="A2269">
        <v>1200500</v>
      </c>
      <c r="B2269" t="str">
        <f t="shared" si="35"/>
        <v>SENA MADUREIRA, AC, Brasil</v>
      </c>
      <c r="C2269" s="4" t="str">
        <f>_xlfn.XLOOKUP(A2269,[1]!DadosGHD[CD_GEOCMU],[1]!DadosGHD[Região])</f>
        <v>NO</v>
      </c>
      <c r="D2269" s="4" t="str">
        <f>_xlfn.XLOOKUP(A2269,[1]!DadosGHD[CD_GEOCMU],[1]!DadosGHD[uf])</f>
        <v>AC</v>
      </c>
      <c r="E2269" s="5" t="str">
        <f>_xlfn.XLOOKUP(A2269,[1]!DadosGHD[CD_GEOCMU],[1]!DadosGHD[MUNICIPIO])</f>
        <v>SENA MADUREIRA</v>
      </c>
      <c r="F2269" s="6">
        <v>38.634243011474602</v>
      </c>
      <c r="G2269" s="6">
        <v>38.687740325927699</v>
      </c>
      <c r="H2269" s="6">
        <v>33.881416320800803</v>
      </c>
      <c r="I2269" s="6">
        <v>33.865421295166001</v>
      </c>
      <c r="J2269" s="6">
        <v>33.891033172607401</v>
      </c>
      <c r="K2269" s="6">
        <v>33.903781890869098</v>
      </c>
      <c r="L2269" s="6">
        <v>26.298906326293899</v>
      </c>
    </row>
    <row r="2270" spans="1:12" x14ac:dyDescent="0.25">
      <c r="A2270">
        <v>4216800</v>
      </c>
      <c r="B2270" t="str">
        <f t="shared" si="35"/>
        <v>SAO JOSE DO CERRITO, SC, Brasil</v>
      </c>
      <c r="C2270" s="4" t="str">
        <f>_xlfn.XLOOKUP(A2270,[1]!DadosGHD[CD_GEOCMU],[1]!DadosGHD[Região])</f>
        <v>SL</v>
      </c>
      <c r="D2270" s="4" t="str">
        <f>_xlfn.XLOOKUP(A2270,[1]!DadosGHD[CD_GEOCMU],[1]!DadosGHD[uf])</f>
        <v>SC</v>
      </c>
      <c r="E2270" s="5" t="str">
        <f>_xlfn.XLOOKUP(A2270,[1]!DadosGHD[CD_GEOCMU],[1]!DadosGHD[MUNICIPIO])</f>
        <v>SAO JOSE DO CERRITO</v>
      </c>
      <c r="F2270" s="6">
        <v>38.6343383789063</v>
      </c>
      <c r="G2270" s="6">
        <v>43.640659332275398</v>
      </c>
      <c r="H2270" s="6">
        <v>43.7255859375</v>
      </c>
      <c r="I2270" s="6">
        <v>43.719318389892599</v>
      </c>
      <c r="J2270" s="6">
        <v>43.774158477783203</v>
      </c>
      <c r="K2270" s="6">
        <v>43.820671081542997</v>
      </c>
      <c r="L2270" s="6">
        <v>39.589973449707003</v>
      </c>
    </row>
    <row r="2271" spans="1:12" x14ac:dyDescent="0.25">
      <c r="A2271">
        <v>3108800</v>
      </c>
      <c r="B2271" t="str">
        <f t="shared" si="35"/>
        <v>BRAUNAS, MG, Brasil</v>
      </c>
      <c r="C2271" s="4" t="str">
        <f>_xlfn.XLOOKUP(A2271,[1]!DadosGHD[CD_GEOCMU],[1]!DadosGHD[Região])</f>
        <v>SD</v>
      </c>
      <c r="D2271" s="4" t="str">
        <f>_xlfn.XLOOKUP(A2271,[1]!DadosGHD[CD_GEOCMU],[1]!DadosGHD[uf])</f>
        <v>MG</v>
      </c>
      <c r="E2271" s="5" t="str">
        <f>_xlfn.XLOOKUP(A2271,[1]!DadosGHD[CD_GEOCMU],[1]!DadosGHD[MUNICIPIO])</f>
        <v>BRAUNAS</v>
      </c>
      <c r="F2271" s="6">
        <v>38.634445190429702</v>
      </c>
      <c r="G2271" s="6">
        <v>43.641658782958999</v>
      </c>
      <c r="H2271" s="6">
        <v>38.847328186035199</v>
      </c>
      <c r="I2271" s="6">
        <v>38.823974609375</v>
      </c>
      <c r="J2271" s="6">
        <v>38.8424072265625</v>
      </c>
      <c r="K2271" s="6">
        <v>38.875701904296903</v>
      </c>
      <c r="L2271" s="6">
        <v>30.713375091552699</v>
      </c>
    </row>
    <row r="2272" spans="1:12" x14ac:dyDescent="0.25">
      <c r="A2272">
        <v>3155207</v>
      </c>
      <c r="B2272" t="str">
        <f t="shared" si="35"/>
        <v>RIO ESPERA, MG, Brasil</v>
      </c>
      <c r="C2272" s="4" t="str">
        <f>_xlfn.XLOOKUP(A2272,[1]!DadosGHD[CD_GEOCMU],[1]!DadosGHD[Região])</f>
        <v>SD</v>
      </c>
      <c r="D2272" s="4" t="str">
        <f>_xlfn.XLOOKUP(A2272,[1]!DadosGHD[CD_GEOCMU],[1]!DadosGHD[uf])</f>
        <v>MG</v>
      </c>
      <c r="E2272" s="5" t="str">
        <f>_xlfn.XLOOKUP(A2272,[1]!DadosGHD[CD_GEOCMU],[1]!DadosGHD[MUNICIPIO])</f>
        <v>RIO ESPERA</v>
      </c>
      <c r="F2272" s="6">
        <v>38.634529113769503</v>
      </c>
      <c r="G2272" s="6">
        <v>33.844631195068402</v>
      </c>
      <c r="H2272" s="6">
        <v>38.744636535644503</v>
      </c>
      <c r="I2272" s="6">
        <v>38.755287170410199</v>
      </c>
      <c r="J2272" s="6">
        <v>38.824489593505902</v>
      </c>
      <c r="K2272" s="6">
        <v>43.796688079833999</v>
      </c>
      <c r="L2272" s="6">
        <v>48.489292144775398</v>
      </c>
    </row>
    <row r="2273" spans="1:12" x14ac:dyDescent="0.25">
      <c r="A2273">
        <v>3113503</v>
      </c>
      <c r="B2273" t="str">
        <f t="shared" si="35"/>
        <v>CARBONITA, MG, Brasil</v>
      </c>
      <c r="C2273" s="4" t="str">
        <f>_xlfn.XLOOKUP(A2273,[1]!DadosGHD[CD_GEOCMU],[1]!DadosGHD[Região])</f>
        <v>SD</v>
      </c>
      <c r="D2273" s="4" t="str">
        <f>_xlfn.XLOOKUP(A2273,[1]!DadosGHD[CD_GEOCMU],[1]!DadosGHD[uf])</f>
        <v>MG</v>
      </c>
      <c r="E2273" s="5" t="str">
        <f>_xlfn.XLOOKUP(A2273,[1]!DadosGHD[CD_GEOCMU],[1]!DadosGHD[MUNICIPIO])</f>
        <v>CARBONITA</v>
      </c>
      <c r="F2273" s="6">
        <v>38.634536743164098</v>
      </c>
      <c r="G2273" s="6">
        <v>43.648048400878899</v>
      </c>
      <c r="H2273" s="6">
        <v>38.815406799316399</v>
      </c>
      <c r="I2273" s="6">
        <v>38.792995452880902</v>
      </c>
      <c r="J2273" s="6">
        <v>38.830215454101598</v>
      </c>
      <c r="K2273" s="6">
        <v>38.821258544921903</v>
      </c>
      <c r="L2273" s="6">
        <v>30.701652526855501</v>
      </c>
    </row>
    <row r="2274" spans="1:12" x14ac:dyDescent="0.25">
      <c r="A2274">
        <v>2100055</v>
      </c>
      <c r="B2274" t="str">
        <f t="shared" si="35"/>
        <v>ACAILANDIA, MA, Brasil</v>
      </c>
      <c r="C2274" s="4" t="str">
        <f>_xlfn.XLOOKUP(A2274,[1]!DadosGHD[CD_GEOCMU],[1]!DadosGHD[Região])</f>
        <v>NE</v>
      </c>
      <c r="D2274" s="4" t="str">
        <f>_xlfn.XLOOKUP(A2274,[1]!DadosGHD[CD_GEOCMU],[1]!DadosGHD[uf])</f>
        <v>MA</v>
      </c>
      <c r="E2274" s="5" t="str">
        <f>_xlfn.XLOOKUP(A2274,[1]!DadosGHD[CD_GEOCMU],[1]!DadosGHD[MUNICIPIO])</f>
        <v>ACAILANDIA</v>
      </c>
      <c r="F2274" s="6">
        <v>38.634559631347699</v>
      </c>
      <c r="G2274" s="6">
        <v>38.6862182617188</v>
      </c>
      <c r="H2274" s="6">
        <v>33.860279083252003</v>
      </c>
      <c r="I2274" s="6">
        <v>33.855014801025398</v>
      </c>
      <c r="J2274" s="6">
        <v>38.749977111816399</v>
      </c>
      <c r="K2274" s="6">
        <v>43.777679443359403</v>
      </c>
      <c r="L2274" s="6">
        <v>53.026771545410199</v>
      </c>
    </row>
    <row r="2275" spans="1:12" x14ac:dyDescent="0.25">
      <c r="A2275">
        <v>2516003</v>
      </c>
      <c r="B2275" t="str">
        <f t="shared" si="35"/>
        <v>SOLANEA, PB, Brasil</v>
      </c>
      <c r="C2275" s="4" t="str">
        <f>_xlfn.XLOOKUP(A2275,[1]!DadosGHD[CD_GEOCMU],[1]!DadosGHD[Região])</f>
        <v>NE</v>
      </c>
      <c r="D2275" s="4" t="str">
        <f>_xlfn.XLOOKUP(A2275,[1]!DadosGHD[CD_GEOCMU],[1]!DadosGHD[uf])</f>
        <v>PB</v>
      </c>
      <c r="E2275" s="5" t="str">
        <f>_xlfn.XLOOKUP(A2275,[1]!DadosGHD[CD_GEOCMU],[1]!DadosGHD[MUNICIPIO])</f>
        <v>SOLANEA</v>
      </c>
      <c r="F2275" s="6">
        <v>38.634597778320298</v>
      </c>
      <c r="G2275" s="6">
        <v>38.723060607910199</v>
      </c>
      <c r="H2275" s="6">
        <v>38.820705413818402</v>
      </c>
      <c r="I2275" s="6">
        <v>38.774726867675803</v>
      </c>
      <c r="J2275" s="6">
        <v>38.825706481933601</v>
      </c>
      <c r="K2275" s="6">
        <v>43.773952484130902</v>
      </c>
      <c r="L2275" s="6">
        <v>44.043342590332003</v>
      </c>
    </row>
    <row r="2276" spans="1:12" x14ac:dyDescent="0.25">
      <c r="A2276">
        <v>2609501</v>
      </c>
      <c r="B2276" t="str">
        <f t="shared" si="35"/>
        <v>NAZARE DA MATA, PE, Brasil</v>
      </c>
      <c r="C2276" s="4" t="str">
        <f>_xlfn.XLOOKUP(A2276,[1]!DadosGHD[CD_GEOCMU],[1]!DadosGHD[Região])</f>
        <v>NE</v>
      </c>
      <c r="D2276" s="4" t="str">
        <f>_xlfn.XLOOKUP(A2276,[1]!DadosGHD[CD_GEOCMU],[1]!DadosGHD[uf])</f>
        <v>PE</v>
      </c>
      <c r="E2276" s="5" t="str">
        <f>_xlfn.XLOOKUP(A2276,[1]!DadosGHD[CD_GEOCMU],[1]!DadosGHD[MUNICIPIO])</f>
        <v>NAZARE DA MATA</v>
      </c>
      <c r="F2276" s="6">
        <v>38.6347846984863</v>
      </c>
      <c r="G2276" s="6">
        <v>38.7163276672363</v>
      </c>
      <c r="H2276" s="6">
        <v>38.768146514892599</v>
      </c>
      <c r="I2276" s="6">
        <v>38.747352600097699</v>
      </c>
      <c r="J2276" s="6">
        <v>38.791191101074197</v>
      </c>
      <c r="K2276" s="6">
        <v>38.833290100097699</v>
      </c>
      <c r="L2276" s="6">
        <v>39.555793762207003</v>
      </c>
    </row>
    <row r="2277" spans="1:12" x14ac:dyDescent="0.25">
      <c r="A2277">
        <v>5106182</v>
      </c>
      <c r="B2277" t="str">
        <f t="shared" si="35"/>
        <v>NOVA LACERDA, MT, Brasil</v>
      </c>
      <c r="C2277" s="4" t="str">
        <f>_xlfn.XLOOKUP(A2277,[1]!DadosGHD[CD_GEOCMU],[1]!DadosGHD[Região])</f>
        <v>CO</v>
      </c>
      <c r="D2277" s="4" t="str">
        <f>_xlfn.XLOOKUP(A2277,[1]!DadosGHD[CD_GEOCMU],[1]!DadosGHD[uf])</f>
        <v>MT</v>
      </c>
      <c r="E2277" s="5" t="str">
        <f>_xlfn.XLOOKUP(A2277,[1]!DadosGHD[CD_GEOCMU],[1]!DadosGHD[MUNICIPIO])</f>
        <v>NOVA LACERDA</v>
      </c>
      <c r="F2277" s="6">
        <v>38.634807586669901</v>
      </c>
      <c r="G2277" s="6">
        <v>43.637737274169901</v>
      </c>
      <c r="H2277" s="6">
        <v>38.814193725585902</v>
      </c>
      <c r="I2277" s="6">
        <v>38.776805877685597</v>
      </c>
      <c r="J2277" s="6">
        <v>38.782356262207003</v>
      </c>
      <c r="K2277" s="6">
        <v>38.811229705810597</v>
      </c>
      <c r="L2277" s="6">
        <v>30.699527740478501</v>
      </c>
    </row>
    <row r="2278" spans="1:12" x14ac:dyDescent="0.25">
      <c r="A2278">
        <v>2601706</v>
      </c>
      <c r="B2278" t="str">
        <f t="shared" si="35"/>
        <v>BELO JARDIM, PE, Brasil</v>
      </c>
      <c r="C2278" s="4" t="str">
        <f>_xlfn.XLOOKUP(A2278,[1]!DadosGHD[CD_GEOCMU],[1]!DadosGHD[Região])</f>
        <v>NE</v>
      </c>
      <c r="D2278" s="4" t="str">
        <f>_xlfn.XLOOKUP(A2278,[1]!DadosGHD[CD_GEOCMU],[1]!DadosGHD[uf])</f>
        <v>PE</v>
      </c>
      <c r="E2278" s="5" t="str">
        <f>_xlfn.XLOOKUP(A2278,[1]!DadosGHD[CD_GEOCMU],[1]!DadosGHD[MUNICIPIO])</f>
        <v>BELO JARDIM</v>
      </c>
      <c r="F2278" s="6">
        <v>38.634918212890597</v>
      </c>
      <c r="G2278" s="6">
        <v>38.688972473144503</v>
      </c>
      <c r="H2278" s="6">
        <v>38.746753692627003</v>
      </c>
      <c r="I2278" s="6">
        <v>38.7551460266113</v>
      </c>
      <c r="J2278" s="6">
        <v>38.838760375976598</v>
      </c>
      <c r="K2278" s="6">
        <v>43.765426635742202</v>
      </c>
      <c r="L2278" s="6">
        <v>44.043983459472699</v>
      </c>
    </row>
    <row r="2279" spans="1:12" x14ac:dyDescent="0.25">
      <c r="A2279">
        <v>4204459</v>
      </c>
      <c r="B2279" t="str">
        <f t="shared" si="35"/>
        <v>CORONEL MARTINS, SC, Brasil</v>
      </c>
      <c r="C2279" s="4" t="str">
        <f>_xlfn.XLOOKUP(A2279,[1]!DadosGHD[CD_GEOCMU],[1]!DadosGHD[Região])</f>
        <v>SL</v>
      </c>
      <c r="D2279" s="4" t="str">
        <f>_xlfn.XLOOKUP(A2279,[1]!DadosGHD[CD_GEOCMU],[1]!DadosGHD[uf])</f>
        <v>SC</v>
      </c>
      <c r="E2279" s="5" t="str">
        <f>_xlfn.XLOOKUP(A2279,[1]!DadosGHD[CD_GEOCMU],[1]!DadosGHD[MUNICIPIO])</f>
        <v>CORONEL MARTINS</v>
      </c>
      <c r="F2279" s="6">
        <v>38.635063171386697</v>
      </c>
      <c r="G2279" s="6">
        <v>48.667228698730497</v>
      </c>
      <c r="H2279" s="6">
        <v>48.727245330810597</v>
      </c>
      <c r="I2279" s="6">
        <v>38.744155883789098</v>
      </c>
      <c r="J2279" s="6">
        <v>38.761531829833999</v>
      </c>
      <c r="K2279" s="6">
        <v>38.798622131347699</v>
      </c>
      <c r="L2279" s="6">
        <v>35.140720367431598</v>
      </c>
    </row>
    <row r="2280" spans="1:12" x14ac:dyDescent="0.25">
      <c r="A2280">
        <v>1504208</v>
      </c>
      <c r="B2280" t="str">
        <f t="shared" si="35"/>
        <v>MARABA, PA, Brasil</v>
      </c>
      <c r="C2280" s="4" t="str">
        <f>_xlfn.XLOOKUP(A2280,[1]!DadosGHD[CD_GEOCMU],[1]!DadosGHD[Região])</f>
        <v>NO</v>
      </c>
      <c r="D2280" s="4" t="str">
        <f>_xlfn.XLOOKUP(A2280,[1]!DadosGHD[CD_GEOCMU],[1]!DadosGHD[uf])</f>
        <v>PA</v>
      </c>
      <c r="E2280" s="5" t="str">
        <f>_xlfn.XLOOKUP(A2280,[1]!DadosGHD[CD_GEOCMU],[1]!DadosGHD[MUNICIPIO])</f>
        <v>MARABA</v>
      </c>
      <c r="F2280" s="6">
        <v>38.6351509094238</v>
      </c>
      <c r="G2280" s="6">
        <v>38.691383361816399</v>
      </c>
      <c r="H2280" s="6">
        <v>38.752872467041001</v>
      </c>
      <c r="I2280" s="6">
        <v>38.719425201416001</v>
      </c>
      <c r="J2280" s="6">
        <v>38.748874664306598</v>
      </c>
      <c r="K2280" s="6">
        <v>38.851219177246101</v>
      </c>
      <c r="L2280" s="6">
        <v>35.1396293640137</v>
      </c>
    </row>
    <row r="2281" spans="1:12" x14ac:dyDescent="0.25">
      <c r="A2281">
        <v>4310876</v>
      </c>
      <c r="B2281" t="str">
        <f t="shared" si="35"/>
        <v>JACUIZINHO, RS, Brasil</v>
      </c>
      <c r="C2281" s="4" t="str">
        <f>_xlfn.XLOOKUP(A2281,[1]!DadosGHD[CD_GEOCMU],[1]!DadosGHD[Região])</f>
        <v>SL</v>
      </c>
      <c r="D2281" s="4" t="str">
        <f>_xlfn.XLOOKUP(A2281,[1]!DadosGHD[CD_GEOCMU],[1]!DadosGHD[uf])</f>
        <v>RS</v>
      </c>
      <c r="E2281" s="5" t="str">
        <f>_xlfn.XLOOKUP(A2281,[1]!DadosGHD[CD_GEOCMU],[1]!DadosGHD[MUNICIPIO])</f>
        <v>JACUIZINHO</v>
      </c>
      <c r="F2281" s="6">
        <v>38.635238647460902</v>
      </c>
      <c r="G2281" s="6">
        <v>43.713470458984403</v>
      </c>
      <c r="H2281" s="6">
        <v>43.771926879882798</v>
      </c>
      <c r="I2281" s="6">
        <v>43.747833251953097</v>
      </c>
      <c r="J2281" s="6">
        <v>43.815475463867202</v>
      </c>
      <c r="K2281" s="6">
        <v>43.804027557373097</v>
      </c>
      <c r="L2281" s="6">
        <v>35.133583068847699</v>
      </c>
    </row>
    <row r="2282" spans="1:12" x14ac:dyDescent="0.25">
      <c r="A2282">
        <v>1101492</v>
      </c>
      <c r="B2282" t="str">
        <f t="shared" si="35"/>
        <v>SAO FRANCISCO DO GUAPORE, RO, Brasil</v>
      </c>
      <c r="C2282" s="4" t="str">
        <f>_xlfn.XLOOKUP(A2282,[1]!DadosGHD[CD_GEOCMU],[1]!DadosGHD[Região])</f>
        <v>NO</v>
      </c>
      <c r="D2282" s="4" t="str">
        <f>_xlfn.XLOOKUP(A2282,[1]!DadosGHD[CD_GEOCMU],[1]!DadosGHD[uf])</f>
        <v>RO</v>
      </c>
      <c r="E2282" s="5" t="str">
        <f>_xlfn.XLOOKUP(A2282,[1]!DadosGHD[CD_GEOCMU],[1]!DadosGHD[MUNICIPIO])</f>
        <v>SAO FRANCISCO DO GUAPORE</v>
      </c>
      <c r="F2282" s="6">
        <v>38.636009216308601</v>
      </c>
      <c r="G2282" s="6">
        <v>38.727115631103501</v>
      </c>
      <c r="H2282" s="6">
        <v>38.766635894775398</v>
      </c>
      <c r="I2282" s="6">
        <v>38.740024566650398</v>
      </c>
      <c r="J2282" s="6">
        <v>38.787406921386697</v>
      </c>
      <c r="K2282" s="6">
        <v>38.878170013427699</v>
      </c>
      <c r="L2282" s="6">
        <v>44.026782989502003</v>
      </c>
    </row>
    <row r="2283" spans="1:12" x14ac:dyDescent="0.25">
      <c r="A2283">
        <v>4121752</v>
      </c>
      <c r="B2283" t="str">
        <f t="shared" si="35"/>
        <v>RESERVA DO IGUACU, PR, Brasil</v>
      </c>
      <c r="C2283" s="4" t="str">
        <f>_xlfn.XLOOKUP(A2283,[1]!DadosGHD[CD_GEOCMU],[1]!DadosGHD[Região])</f>
        <v>SL</v>
      </c>
      <c r="D2283" s="4" t="str">
        <f>_xlfn.XLOOKUP(A2283,[1]!DadosGHD[CD_GEOCMU],[1]!DadosGHD[uf])</f>
        <v>PR</v>
      </c>
      <c r="E2283" s="5" t="str">
        <f>_xlfn.XLOOKUP(A2283,[1]!DadosGHD[CD_GEOCMU],[1]!DadosGHD[MUNICIPIO])</f>
        <v>RESERVA DO IGUACU</v>
      </c>
      <c r="F2283" s="6">
        <v>38.636054992675803</v>
      </c>
      <c r="G2283" s="6">
        <v>38.729831695556598</v>
      </c>
      <c r="H2283" s="6">
        <v>38.815017700195298</v>
      </c>
      <c r="I2283" s="6">
        <v>43.719364166259801</v>
      </c>
      <c r="J2283" s="6">
        <v>43.717830657958999</v>
      </c>
      <c r="K2283" s="6">
        <v>43.776241302490199</v>
      </c>
      <c r="L2283" s="6">
        <v>44.068546295166001</v>
      </c>
    </row>
    <row r="2284" spans="1:12" x14ac:dyDescent="0.25">
      <c r="A2284">
        <v>2405702</v>
      </c>
      <c r="B2284" t="str">
        <f t="shared" si="35"/>
        <v>JARDIM DO SERIDO, RN, Brasil</v>
      </c>
      <c r="C2284" s="4" t="str">
        <f>_xlfn.XLOOKUP(A2284,[1]!DadosGHD[CD_GEOCMU],[1]!DadosGHD[Região])</f>
        <v>NE</v>
      </c>
      <c r="D2284" s="4" t="str">
        <f>_xlfn.XLOOKUP(A2284,[1]!DadosGHD[CD_GEOCMU],[1]!DadosGHD[uf])</f>
        <v>RN</v>
      </c>
      <c r="E2284" s="5" t="str">
        <f>_xlfn.XLOOKUP(A2284,[1]!DadosGHD[CD_GEOCMU],[1]!DadosGHD[MUNICIPIO])</f>
        <v>JARDIM DO SERIDO</v>
      </c>
      <c r="F2284" s="6">
        <v>38.636283874511697</v>
      </c>
      <c r="G2284" s="6">
        <v>38.696712493896499</v>
      </c>
      <c r="H2284" s="6">
        <v>38.758586883544901</v>
      </c>
      <c r="I2284" s="6">
        <v>38.766811370849602</v>
      </c>
      <c r="J2284" s="6">
        <v>38.774757385253899</v>
      </c>
      <c r="K2284" s="6">
        <v>38.876533508300803</v>
      </c>
      <c r="L2284" s="6">
        <v>39.609432220458999</v>
      </c>
    </row>
    <row r="2285" spans="1:12" x14ac:dyDescent="0.25">
      <c r="A2285">
        <v>3532306</v>
      </c>
      <c r="B2285" t="str">
        <f t="shared" si="35"/>
        <v>NATIVIDADE DA SERRA, SP, Brasil</v>
      </c>
      <c r="C2285" s="4" t="str">
        <f>_xlfn.XLOOKUP(A2285,[1]!DadosGHD[CD_GEOCMU],[1]!DadosGHD[Região])</f>
        <v>SD</v>
      </c>
      <c r="D2285" s="4" t="str">
        <f>_xlfn.XLOOKUP(A2285,[1]!DadosGHD[CD_GEOCMU],[1]!DadosGHD[uf])</f>
        <v>SP</v>
      </c>
      <c r="E2285" s="5" t="str">
        <f>_xlfn.XLOOKUP(A2285,[1]!DadosGHD[CD_GEOCMU],[1]!DadosGHD[MUNICIPIO])</f>
        <v>NATIVIDADE DA SERRA</v>
      </c>
      <c r="F2285" s="6">
        <v>38.636463165283203</v>
      </c>
      <c r="G2285" s="6">
        <v>38.702693939208999</v>
      </c>
      <c r="H2285" s="6">
        <v>38.7763862609863</v>
      </c>
      <c r="I2285" s="6">
        <v>38.765918731689503</v>
      </c>
      <c r="J2285" s="6">
        <v>43.748210906982401</v>
      </c>
      <c r="K2285" s="6">
        <v>38.830501556396499</v>
      </c>
      <c r="L2285" s="6">
        <v>35.150310516357401</v>
      </c>
    </row>
    <row r="2286" spans="1:12" x14ac:dyDescent="0.25">
      <c r="A2286">
        <v>2306801</v>
      </c>
      <c r="B2286" t="str">
        <f t="shared" si="35"/>
        <v>JAGUARIBARA, CE, Brasil</v>
      </c>
      <c r="C2286" s="4" t="str">
        <f>_xlfn.XLOOKUP(A2286,[1]!DadosGHD[CD_GEOCMU],[1]!DadosGHD[Região])</f>
        <v>NE</v>
      </c>
      <c r="D2286" s="4" t="str">
        <f>_xlfn.XLOOKUP(A2286,[1]!DadosGHD[CD_GEOCMU],[1]!DadosGHD[uf])</f>
        <v>CE</v>
      </c>
      <c r="E2286" s="5" t="str">
        <f>_xlfn.XLOOKUP(A2286,[1]!DadosGHD[CD_GEOCMU],[1]!DadosGHD[MUNICIPIO])</f>
        <v>JAGUARIBARA</v>
      </c>
      <c r="F2286" s="6">
        <v>38.636589050292997</v>
      </c>
      <c r="G2286" s="6">
        <v>38.717269897460902</v>
      </c>
      <c r="H2286" s="6">
        <v>38.785049438476598</v>
      </c>
      <c r="I2286" s="6">
        <v>38.788776397705099</v>
      </c>
      <c r="J2286" s="6">
        <v>38.816242218017599</v>
      </c>
      <c r="K2286" s="6">
        <v>38.877052307128899</v>
      </c>
      <c r="L2286" s="6">
        <v>39.598255157470703</v>
      </c>
    </row>
    <row r="2287" spans="1:12" x14ac:dyDescent="0.25">
      <c r="A2287">
        <v>2901403</v>
      </c>
      <c r="B2287" t="str">
        <f t="shared" si="35"/>
        <v>ANGICAL, BA, Brasil</v>
      </c>
      <c r="C2287" s="4" t="str">
        <f>_xlfn.XLOOKUP(A2287,[1]!DadosGHD[CD_GEOCMU],[1]!DadosGHD[Região])</f>
        <v>NE</v>
      </c>
      <c r="D2287" s="4" t="str">
        <f>_xlfn.XLOOKUP(A2287,[1]!DadosGHD[CD_GEOCMU],[1]!DadosGHD[uf])</f>
        <v>BA</v>
      </c>
      <c r="E2287" s="5" t="str">
        <f>_xlfn.XLOOKUP(A2287,[1]!DadosGHD[CD_GEOCMU],[1]!DadosGHD[MUNICIPIO])</f>
        <v>ANGICAL</v>
      </c>
      <c r="F2287" s="6">
        <v>38.636772155761697</v>
      </c>
      <c r="G2287" s="6">
        <v>38.705047607421903</v>
      </c>
      <c r="H2287" s="6">
        <v>38.796268463134801</v>
      </c>
      <c r="I2287" s="6">
        <v>38.771263122558601</v>
      </c>
      <c r="J2287" s="6">
        <v>38.774452209472699</v>
      </c>
      <c r="K2287" s="6">
        <v>38.814544677734403</v>
      </c>
      <c r="L2287" s="6">
        <v>26.299259185791001</v>
      </c>
    </row>
    <row r="2288" spans="1:12" x14ac:dyDescent="0.25">
      <c r="A2288">
        <v>2900900</v>
      </c>
      <c r="B2288" t="str">
        <f t="shared" si="35"/>
        <v>ALMADINA, BA, Brasil</v>
      </c>
      <c r="C2288" s="4" t="str">
        <f>_xlfn.XLOOKUP(A2288,[1]!DadosGHD[CD_GEOCMU],[1]!DadosGHD[Região])</f>
        <v>NE</v>
      </c>
      <c r="D2288" s="4" t="str">
        <f>_xlfn.XLOOKUP(A2288,[1]!DadosGHD[CD_GEOCMU],[1]!DadosGHD[uf])</f>
        <v>BA</v>
      </c>
      <c r="E2288" s="5" t="str">
        <f>_xlfn.XLOOKUP(A2288,[1]!DadosGHD[CD_GEOCMU],[1]!DadosGHD[MUNICIPIO])</f>
        <v>ALMADINA</v>
      </c>
      <c r="F2288" s="6">
        <v>38.636917114257798</v>
      </c>
      <c r="G2288" s="6">
        <v>38.683589935302699</v>
      </c>
      <c r="H2288" s="6">
        <v>33.890213012695298</v>
      </c>
      <c r="I2288" s="6">
        <v>33.8670654296875</v>
      </c>
      <c r="J2288" s="6">
        <v>33.884357452392599</v>
      </c>
      <c r="K2288" s="6">
        <v>33.921802520752003</v>
      </c>
      <c r="L2288" s="6">
        <v>30.699876785278299</v>
      </c>
    </row>
    <row r="2289" spans="1:12" x14ac:dyDescent="0.25">
      <c r="A2289">
        <v>1200708</v>
      </c>
      <c r="B2289" t="str">
        <f t="shared" si="35"/>
        <v>XAPURI, AC, Brasil</v>
      </c>
      <c r="C2289" s="4" t="str">
        <f>_xlfn.XLOOKUP(A2289,[1]!DadosGHD[CD_GEOCMU],[1]!DadosGHD[Região])</f>
        <v>NO</v>
      </c>
      <c r="D2289" s="4" t="str">
        <f>_xlfn.XLOOKUP(A2289,[1]!DadosGHD[CD_GEOCMU],[1]!DadosGHD[uf])</f>
        <v>AC</v>
      </c>
      <c r="E2289" s="5" t="str">
        <f>_xlfn.XLOOKUP(A2289,[1]!DadosGHD[CD_GEOCMU],[1]!DadosGHD[MUNICIPIO])</f>
        <v>XAPURI</v>
      </c>
      <c r="F2289" s="6">
        <v>38.636924743652301</v>
      </c>
      <c r="G2289" s="6">
        <v>38.749443054199197</v>
      </c>
      <c r="H2289" s="6">
        <v>38.790134429931598</v>
      </c>
      <c r="I2289" s="6">
        <v>38.756187438964801</v>
      </c>
      <c r="J2289" s="6">
        <v>33.893772125244098</v>
      </c>
      <c r="K2289" s="6">
        <v>33.915321350097699</v>
      </c>
      <c r="L2289" s="6">
        <v>26.291976928710898</v>
      </c>
    </row>
    <row r="2290" spans="1:12" x14ac:dyDescent="0.25">
      <c r="A2290">
        <v>3134103</v>
      </c>
      <c r="B2290" t="str">
        <f t="shared" si="35"/>
        <v>ITUETA, MG, Brasil</v>
      </c>
      <c r="C2290" s="4" t="str">
        <f>_xlfn.XLOOKUP(A2290,[1]!DadosGHD[CD_GEOCMU],[1]!DadosGHD[Região])</f>
        <v>SD</v>
      </c>
      <c r="D2290" s="4" t="str">
        <f>_xlfn.XLOOKUP(A2290,[1]!DadosGHD[CD_GEOCMU],[1]!DadosGHD[uf])</f>
        <v>MG</v>
      </c>
      <c r="E2290" s="5" t="str">
        <f>_xlfn.XLOOKUP(A2290,[1]!DadosGHD[CD_GEOCMU],[1]!DadosGHD[MUNICIPIO])</f>
        <v>ITUETA</v>
      </c>
      <c r="F2290" s="6">
        <v>38.636924743652301</v>
      </c>
      <c r="G2290" s="6">
        <v>33.840457916259801</v>
      </c>
      <c r="H2290" s="6">
        <v>38.750247955322301</v>
      </c>
      <c r="I2290" s="6">
        <v>38.731800079345703</v>
      </c>
      <c r="J2290" s="6">
        <v>38.755527496337898</v>
      </c>
      <c r="K2290" s="6">
        <v>33.916194915771499</v>
      </c>
      <c r="L2290" s="6">
        <v>30.722114562988299</v>
      </c>
    </row>
    <row r="2291" spans="1:12" x14ac:dyDescent="0.25">
      <c r="A2291">
        <v>3143807</v>
      </c>
      <c r="B2291" t="str">
        <f t="shared" si="35"/>
        <v>MUNHOZ, MG, Brasil</v>
      </c>
      <c r="C2291" s="4" t="str">
        <f>_xlfn.XLOOKUP(A2291,[1]!DadosGHD[CD_GEOCMU],[1]!DadosGHD[Região])</f>
        <v>SD</v>
      </c>
      <c r="D2291" s="4" t="str">
        <f>_xlfn.XLOOKUP(A2291,[1]!DadosGHD[CD_GEOCMU],[1]!DadosGHD[uf])</f>
        <v>MG</v>
      </c>
      <c r="E2291" s="5" t="str">
        <f>_xlfn.XLOOKUP(A2291,[1]!DadosGHD[CD_GEOCMU],[1]!DadosGHD[MUNICIPIO])</f>
        <v>MUNHOZ</v>
      </c>
      <c r="F2291" s="6">
        <v>38.636947631835902</v>
      </c>
      <c r="G2291" s="6">
        <v>43.643238067627003</v>
      </c>
      <c r="H2291" s="6">
        <v>43.731948852539098</v>
      </c>
      <c r="I2291" s="6">
        <v>43.742935180664098</v>
      </c>
      <c r="J2291" s="6">
        <v>48.716388702392599</v>
      </c>
      <c r="K2291" s="6">
        <v>48.8327445983887</v>
      </c>
      <c r="L2291" s="6">
        <v>48.496726989746101</v>
      </c>
    </row>
    <row r="2292" spans="1:12" x14ac:dyDescent="0.25">
      <c r="A2292">
        <v>3140555</v>
      </c>
      <c r="B2292" t="str">
        <f t="shared" si="35"/>
        <v>MATA VERDE, MG, Brasil</v>
      </c>
      <c r="C2292" s="4" t="str">
        <f>_xlfn.XLOOKUP(A2292,[1]!DadosGHD[CD_GEOCMU],[1]!DadosGHD[Região])</f>
        <v>SD</v>
      </c>
      <c r="D2292" s="4" t="str">
        <f>_xlfn.XLOOKUP(A2292,[1]!DadosGHD[CD_GEOCMU],[1]!DadosGHD[uf])</f>
        <v>MG</v>
      </c>
      <c r="E2292" s="5" t="str">
        <f>_xlfn.XLOOKUP(A2292,[1]!DadosGHD[CD_GEOCMU],[1]!DadosGHD[MUNICIPIO])</f>
        <v>MATA VERDE</v>
      </c>
      <c r="F2292" s="6">
        <v>38.636951446533203</v>
      </c>
      <c r="G2292" s="6">
        <v>38.727455139160199</v>
      </c>
      <c r="H2292" s="6">
        <v>38.758758544921903</v>
      </c>
      <c r="I2292" s="6">
        <v>38.727622985839801</v>
      </c>
      <c r="J2292" s="6">
        <v>33.887275695800803</v>
      </c>
      <c r="K2292" s="6">
        <v>33.856647491455099</v>
      </c>
      <c r="L2292" s="6">
        <v>26.283327102661101</v>
      </c>
    </row>
    <row r="2293" spans="1:12" x14ac:dyDescent="0.25">
      <c r="A2293">
        <v>2909802</v>
      </c>
      <c r="B2293" t="str">
        <f t="shared" si="35"/>
        <v>CRUZ DAS ALMAS, BA, Brasil</v>
      </c>
      <c r="C2293" s="4" t="str">
        <f>_xlfn.XLOOKUP(A2293,[1]!DadosGHD[CD_GEOCMU],[1]!DadosGHD[Região])</f>
        <v>NE</v>
      </c>
      <c r="D2293" s="4" t="str">
        <f>_xlfn.XLOOKUP(A2293,[1]!DadosGHD[CD_GEOCMU],[1]!DadosGHD[uf])</f>
        <v>BA</v>
      </c>
      <c r="E2293" s="5" t="str">
        <f>_xlfn.XLOOKUP(A2293,[1]!DadosGHD[CD_GEOCMU],[1]!DadosGHD[MUNICIPIO])</f>
        <v>CRUZ DAS ALMAS</v>
      </c>
      <c r="F2293" s="6">
        <v>38.636966705322301</v>
      </c>
      <c r="G2293" s="6">
        <v>38.7495307922363</v>
      </c>
      <c r="H2293" s="6">
        <v>38.837703704833999</v>
      </c>
      <c r="I2293" s="6">
        <v>38.809898376464801</v>
      </c>
      <c r="J2293" s="6">
        <v>38.816608428955099</v>
      </c>
      <c r="K2293" s="6">
        <v>38.888015747070298</v>
      </c>
      <c r="L2293" s="6">
        <v>39.608577728271499</v>
      </c>
    </row>
    <row r="2294" spans="1:12" x14ac:dyDescent="0.25">
      <c r="A2294">
        <v>3139201</v>
      </c>
      <c r="B2294" t="str">
        <f t="shared" si="35"/>
        <v>MALACACHETA, MG, Brasil</v>
      </c>
      <c r="C2294" s="4" t="str">
        <f>_xlfn.XLOOKUP(A2294,[1]!DadosGHD[CD_GEOCMU],[1]!DadosGHD[Região])</f>
        <v>SD</v>
      </c>
      <c r="D2294" s="4" t="str">
        <f>_xlfn.XLOOKUP(A2294,[1]!DadosGHD[CD_GEOCMU],[1]!DadosGHD[uf])</f>
        <v>MG</v>
      </c>
      <c r="E2294" s="5" t="str">
        <f>_xlfn.XLOOKUP(A2294,[1]!DadosGHD[CD_GEOCMU],[1]!DadosGHD[MUNICIPIO])</f>
        <v>MALACACHETA</v>
      </c>
      <c r="F2294" s="6">
        <v>38.636966705322301</v>
      </c>
      <c r="G2294" s="6">
        <v>38.741729736328097</v>
      </c>
      <c r="H2294" s="6">
        <v>38.790687561035199</v>
      </c>
      <c r="I2294" s="6">
        <v>38.7741088867188</v>
      </c>
      <c r="J2294" s="6">
        <v>38.7941703796387</v>
      </c>
      <c r="K2294" s="6">
        <v>38.819358825683601</v>
      </c>
      <c r="L2294" s="6">
        <v>35.120841979980497</v>
      </c>
    </row>
    <row r="2295" spans="1:12" x14ac:dyDescent="0.25">
      <c r="A2295">
        <v>4106704</v>
      </c>
      <c r="B2295" t="str">
        <f t="shared" si="35"/>
        <v>CRUZEIRO DO SUL, PR, Brasil</v>
      </c>
      <c r="C2295" s="4" t="str">
        <f>_xlfn.XLOOKUP(A2295,[1]!DadosGHD[CD_GEOCMU],[1]!DadosGHD[Região])</f>
        <v>SL</v>
      </c>
      <c r="D2295" s="4" t="str">
        <f>_xlfn.XLOOKUP(A2295,[1]!DadosGHD[CD_GEOCMU],[1]!DadosGHD[uf])</f>
        <v>PR</v>
      </c>
      <c r="E2295" s="5" t="str">
        <f>_xlfn.XLOOKUP(A2295,[1]!DadosGHD[CD_GEOCMU],[1]!DadosGHD[MUNICIPIO])</f>
        <v>CRUZEIRO DO SUL</v>
      </c>
      <c r="F2295" s="6">
        <v>38.637241363525398</v>
      </c>
      <c r="G2295" s="6">
        <v>38.732559204101598</v>
      </c>
      <c r="H2295" s="6">
        <v>38.785804748535199</v>
      </c>
      <c r="I2295" s="6">
        <v>38.775146484375</v>
      </c>
      <c r="J2295" s="6">
        <v>38.790569305419901</v>
      </c>
      <c r="K2295" s="6">
        <v>38.819160461425803</v>
      </c>
      <c r="L2295" s="6">
        <v>35.153221130371101</v>
      </c>
    </row>
    <row r="2296" spans="1:12" x14ac:dyDescent="0.25">
      <c r="A2296">
        <v>4103024</v>
      </c>
      <c r="B2296" t="str">
        <f t="shared" si="35"/>
        <v>BOA ESPERANCA DO IGUACU, PR, Brasil</v>
      </c>
      <c r="C2296" s="4" t="str">
        <f>_xlfn.XLOOKUP(A2296,[1]!DadosGHD[CD_GEOCMU],[1]!DadosGHD[Região])</f>
        <v>SL</v>
      </c>
      <c r="D2296" s="4" t="str">
        <f>_xlfn.XLOOKUP(A2296,[1]!DadosGHD[CD_GEOCMU],[1]!DadosGHD[uf])</f>
        <v>PR</v>
      </c>
      <c r="E2296" s="5" t="str">
        <f>_xlfn.XLOOKUP(A2296,[1]!DadosGHD[CD_GEOCMU],[1]!DadosGHD[MUNICIPIO])</f>
        <v>BOA ESPERANCA DO IGUACU</v>
      </c>
      <c r="F2296" s="6">
        <v>38.637325286865199</v>
      </c>
      <c r="G2296" s="6">
        <v>48.666954040527301</v>
      </c>
      <c r="H2296" s="6">
        <v>48.767642974853501</v>
      </c>
      <c r="I2296" s="6">
        <v>48.766513824462898</v>
      </c>
      <c r="J2296" s="6">
        <v>48.829761505127003</v>
      </c>
      <c r="K2296" s="6">
        <v>53.810035705566399</v>
      </c>
      <c r="L2296" s="6">
        <v>44.049228668212898</v>
      </c>
    </row>
    <row r="2297" spans="1:12" x14ac:dyDescent="0.25">
      <c r="A2297">
        <v>2306900</v>
      </c>
      <c r="B2297" t="str">
        <f t="shared" si="35"/>
        <v>JAGUARIBE, CE, Brasil</v>
      </c>
      <c r="C2297" s="4" t="str">
        <f>_xlfn.XLOOKUP(A2297,[1]!DadosGHD[CD_GEOCMU],[1]!DadosGHD[Região])</f>
        <v>NE</v>
      </c>
      <c r="D2297" s="4" t="str">
        <f>_xlfn.XLOOKUP(A2297,[1]!DadosGHD[CD_GEOCMU],[1]!DadosGHD[uf])</f>
        <v>CE</v>
      </c>
      <c r="E2297" s="5" t="str">
        <f>_xlfn.XLOOKUP(A2297,[1]!DadosGHD[CD_GEOCMU],[1]!DadosGHD[MUNICIPIO])</f>
        <v>JAGUARIBE</v>
      </c>
      <c r="F2297" s="6">
        <v>38.637340545654297</v>
      </c>
      <c r="G2297" s="6">
        <v>38.776412963867202</v>
      </c>
      <c r="H2297" s="6">
        <v>43.712581634521499</v>
      </c>
      <c r="I2297" s="6">
        <v>43.709140777587898</v>
      </c>
      <c r="J2297" s="6">
        <v>43.715885162353501</v>
      </c>
      <c r="K2297" s="6">
        <v>43.789073944091797</v>
      </c>
      <c r="L2297" s="6">
        <v>39.592620849609403</v>
      </c>
    </row>
    <row r="2298" spans="1:12" x14ac:dyDescent="0.25">
      <c r="A2298">
        <v>4202156</v>
      </c>
      <c r="B2298" t="str">
        <f t="shared" si="35"/>
        <v>BELMONTE, SC, Brasil</v>
      </c>
      <c r="C2298" s="4" t="str">
        <f>_xlfn.XLOOKUP(A2298,[1]!DadosGHD[CD_GEOCMU],[1]!DadosGHD[Região])</f>
        <v>SL</v>
      </c>
      <c r="D2298" s="4" t="str">
        <f>_xlfn.XLOOKUP(A2298,[1]!DadosGHD[CD_GEOCMU],[1]!DadosGHD[uf])</f>
        <v>SC</v>
      </c>
      <c r="E2298" s="5" t="str">
        <f>_xlfn.XLOOKUP(A2298,[1]!DadosGHD[CD_GEOCMU],[1]!DadosGHD[MUNICIPIO])</f>
        <v>BELMONTE</v>
      </c>
      <c r="F2298" s="6">
        <v>38.637443542480497</v>
      </c>
      <c r="G2298" s="6">
        <v>48.691600799560597</v>
      </c>
      <c r="H2298" s="6">
        <v>48.750885009765597</v>
      </c>
      <c r="I2298" s="6">
        <v>43.696620941162102</v>
      </c>
      <c r="J2298" s="6">
        <v>48.824558258056598</v>
      </c>
      <c r="K2298" s="6">
        <v>48.846054077148402</v>
      </c>
      <c r="L2298" s="6">
        <v>53.021209716796903</v>
      </c>
    </row>
    <row r="2299" spans="1:12" x14ac:dyDescent="0.25">
      <c r="A2299">
        <v>2924108</v>
      </c>
      <c r="B2299" t="str">
        <f t="shared" si="35"/>
        <v>PEDRAO, BA, Brasil</v>
      </c>
      <c r="C2299" s="4" t="str">
        <f>_xlfn.XLOOKUP(A2299,[1]!DadosGHD[CD_GEOCMU],[1]!DadosGHD[Região])</f>
        <v>NE</v>
      </c>
      <c r="D2299" s="4" t="str">
        <f>_xlfn.XLOOKUP(A2299,[1]!DadosGHD[CD_GEOCMU],[1]!DadosGHD[uf])</f>
        <v>BA</v>
      </c>
      <c r="E2299" s="5" t="str">
        <f>_xlfn.XLOOKUP(A2299,[1]!DadosGHD[CD_GEOCMU],[1]!DadosGHD[MUNICIPIO])</f>
        <v>PEDRAO</v>
      </c>
      <c r="F2299" s="6">
        <v>38.637596130371101</v>
      </c>
      <c r="G2299" s="6">
        <v>33.8253173828125</v>
      </c>
      <c r="H2299" s="6">
        <v>33.863288879394503</v>
      </c>
      <c r="I2299" s="6">
        <v>33.838882446289098</v>
      </c>
      <c r="J2299" s="6">
        <v>33.853157043457003</v>
      </c>
      <c r="K2299" s="6">
        <v>33.848526000976598</v>
      </c>
      <c r="L2299" s="6">
        <v>26.289005279541001</v>
      </c>
    </row>
    <row r="2300" spans="1:12" x14ac:dyDescent="0.25">
      <c r="A2300">
        <v>3154507</v>
      </c>
      <c r="B2300" t="str">
        <f t="shared" si="35"/>
        <v>RIACHO DOS MACHADOS, MG, Brasil</v>
      </c>
      <c r="C2300" s="4" t="str">
        <f>_xlfn.XLOOKUP(A2300,[1]!DadosGHD[CD_GEOCMU],[1]!DadosGHD[Região])</f>
        <v>SD</v>
      </c>
      <c r="D2300" s="4" t="str">
        <f>_xlfn.XLOOKUP(A2300,[1]!DadosGHD[CD_GEOCMU],[1]!DadosGHD[uf])</f>
        <v>MG</v>
      </c>
      <c r="E2300" s="5" t="str">
        <f>_xlfn.XLOOKUP(A2300,[1]!DadosGHD[CD_GEOCMU],[1]!DadosGHD[MUNICIPIO])</f>
        <v>RIACHO DOS MACHADOS</v>
      </c>
      <c r="F2300" s="6">
        <v>38.637630462646499</v>
      </c>
      <c r="G2300" s="6">
        <v>33.841400146484403</v>
      </c>
      <c r="H2300" s="6">
        <v>33.874851226806598</v>
      </c>
      <c r="I2300" s="6">
        <v>33.800666809082003</v>
      </c>
      <c r="J2300" s="6">
        <v>33.815147399902301</v>
      </c>
      <c r="K2300" s="6">
        <v>33.846160888671903</v>
      </c>
      <c r="L2300" s="6">
        <v>30.68776512146</v>
      </c>
    </row>
    <row r="2301" spans="1:12" x14ac:dyDescent="0.25">
      <c r="A2301">
        <v>2613909</v>
      </c>
      <c r="B2301" t="str">
        <f t="shared" si="35"/>
        <v>SERRA TALHADA, PE, Brasil</v>
      </c>
      <c r="C2301" s="4" t="str">
        <f>_xlfn.XLOOKUP(A2301,[1]!DadosGHD[CD_GEOCMU],[1]!DadosGHD[Região])</f>
        <v>NE</v>
      </c>
      <c r="D2301" s="4" t="str">
        <f>_xlfn.XLOOKUP(A2301,[1]!DadosGHD[CD_GEOCMU],[1]!DadosGHD[uf])</f>
        <v>PE</v>
      </c>
      <c r="E2301" s="5" t="str">
        <f>_xlfn.XLOOKUP(A2301,[1]!DadosGHD[CD_GEOCMU],[1]!DadosGHD[MUNICIPIO])</f>
        <v>SERRA TALHADA</v>
      </c>
      <c r="F2301" s="6">
        <v>38.637870788574197</v>
      </c>
      <c r="G2301" s="6">
        <v>38.730960845947301</v>
      </c>
      <c r="H2301" s="6">
        <v>38.757503509521499</v>
      </c>
      <c r="I2301" s="6">
        <v>38.727458953857401</v>
      </c>
      <c r="J2301" s="6">
        <v>38.794681549072301</v>
      </c>
      <c r="K2301" s="6">
        <v>38.857719421386697</v>
      </c>
      <c r="L2301" s="6">
        <v>44.017688751220703</v>
      </c>
    </row>
    <row r="2302" spans="1:12" x14ac:dyDescent="0.25">
      <c r="A2302">
        <v>2931707</v>
      </c>
      <c r="B2302" t="str">
        <f t="shared" si="35"/>
        <v>TERRA NOVA, BA, Brasil</v>
      </c>
      <c r="C2302" s="4" t="str">
        <f>_xlfn.XLOOKUP(A2302,[1]!DadosGHD[CD_GEOCMU],[1]!DadosGHD[Região])</f>
        <v>NE</v>
      </c>
      <c r="D2302" s="4" t="str">
        <f>_xlfn.XLOOKUP(A2302,[1]!DadosGHD[CD_GEOCMU],[1]!DadosGHD[uf])</f>
        <v>BA</v>
      </c>
      <c r="E2302" s="5" t="str">
        <f>_xlfn.XLOOKUP(A2302,[1]!DadosGHD[CD_GEOCMU],[1]!DadosGHD[MUNICIPIO])</f>
        <v>TERRA NOVA</v>
      </c>
      <c r="F2302" s="6">
        <v>38.637985229492202</v>
      </c>
      <c r="G2302" s="6">
        <v>33.832649230957003</v>
      </c>
      <c r="H2302" s="6">
        <v>33.875827789306598</v>
      </c>
      <c r="I2302" s="6">
        <v>33.838329315185597</v>
      </c>
      <c r="J2302" s="6">
        <v>33.868682861328097</v>
      </c>
      <c r="K2302" s="6">
        <v>33.905155181884801</v>
      </c>
      <c r="L2302" s="6">
        <v>35.145664215087898</v>
      </c>
    </row>
    <row r="2303" spans="1:12" x14ac:dyDescent="0.25">
      <c r="A2303">
        <v>4302378</v>
      </c>
      <c r="B2303" t="str">
        <f t="shared" si="35"/>
        <v>BOM PROGRESSO, RS, Brasil</v>
      </c>
      <c r="C2303" s="4" t="str">
        <f>_xlfn.XLOOKUP(A2303,[1]!DadosGHD[CD_GEOCMU],[1]!DadosGHD[Região])</f>
        <v>SL</v>
      </c>
      <c r="D2303" s="4" t="str">
        <f>_xlfn.XLOOKUP(A2303,[1]!DadosGHD[CD_GEOCMU],[1]!DadosGHD[uf])</f>
        <v>RS</v>
      </c>
      <c r="E2303" s="5" t="str">
        <f>_xlfn.XLOOKUP(A2303,[1]!DadosGHD[CD_GEOCMU],[1]!DadosGHD[MUNICIPIO])</f>
        <v>BOM PROGRESSO</v>
      </c>
      <c r="F2303" s="6">
        <v>38.638019561767599</v>
      </c>
      <c r="G2303" s="6">
        <v>48.680343627929702</v>
      </c>
      <c r="H2303" s="6">
        <v>48.795333862304702</v>
      </c>
      <c r="I2303" s="6">
        <v>53.722282409667997</v>
      </c>
      <c r="J2303" s="6">
        <v>53.751945495605497</v>
      </c>
      <c r="K2303" s="6">
        <v>48.873172760009801</v>
      </c>
      <c r="L2303" s="6">
        <v>44.024520874023402</v>
      </c>
    </row>
    <row r="2304" spans="1:12" x14ac:dyDescent="0.25">
      <c r="A2304">
        <v>2604809</v>
      </c>
      <c r="B2304" t="str">
        <f t="shared" si="35"/>
        <v>CORTES, PE, Brasil</v>
      </c>
      <c r="C2304" s="4" t="str">
        <f>_xlfn.XLOOKUP(A2304,[1]!DadosGHD[CD_GEOCMU],[1]!DadosGHD[Região])</f>
        <v>NE</v>
      </c>
      <c r="D2304" s="4" t="str">
        <f>_xlfn.XLOOKUP(A2304,[1]!DadosGHD[CD_GEOCMU],[1]!DadosGHD[uf])</f>
        <v>PE</v>
      </c>
      <c r="E2304" s="5" t="str">
        <f>_xlfn.XLOOKUP(A2304,[1]!DadosGHD[CD_GEOCMU],[1]!DadosGHD[MUNICIPIO])</f>
        <v>CORTES</v>
      </c>
      <c r="F2304" s="6">
        <v>38.638050079345703</v>
      </c>
      <c r="G2304" s="6">
        <v>33.791717529296903</v>
      </c>
      <c r="H2304" s="6">
        <v>33.823314666748097</v>
      </c>
      <c r="I2304" s="6">
        <v>33.802391052246101</v>
      </c>
      <c r="J2304" s="6">
        <v>28.969253540039102</v>
      </c>
      <c r="K2304" s="6">
        <v>28.977458953857401</v>
      </c>
      <c r="L2304" s="6">
        <v>26.2798957824707</v>
      </c>
    </row>
    <row r="2305" spans="1:12" x14ac:dyDescent="0.25">
      <c r="A2305">
        <v>1100098</v>
      </c>
      <c r="B2305" t="str">
        <f t="shared" si="35"/>
        <v>ESPIGAO D'OESTE, RO, Brasil</v>
      </c>
      <c r="C2305" s="4" t="str">
        <f>_xlfn.XLOOKUP(A2305,[1]!DadosGHD[CD_GEOCMU],[1]!DadosGHD[Região])</f>
        <v>NO</v>
      </c>
      <c r="D2305" s="4" t="str">
        <f>_xlfn.XLOOKUP(A2305,[1]!DadosGHD[CD_GEOCMU],[1]!DadosGHD[uf])</f>
        <v>RO</v>
      </c>
      <c r="E2305" s="5" t="str">
        <f>_xlfn.XLOOKUP(A2305,[1]!DadosGHD[CD_GEOCMU],[1]!DadosGHD[MUNICIPIO])</f>
        <v>ESPIGAO D'OESTE</v>
      </c>
      <c r="F2305" s="6">
        <v>38.638072967529297</v>
      </c>
      <c r="G2305" s="6">
        <v>38.712093353271499</v>
      </c>
      <c r="H2305" s="6">
        <v>38.764278411865199</v>
      </c>
      <c r="I2305" s="6">
        <v>38.750579833984403</v>
      </c>
      <c r="J2305" s="6">
        <v>38.759681701660199</v>
      </c>
      <c r="K2305" s="6">
        <v>38.813385009765597</v>
      </c>
      <c r="L2305" s="6">
        <v>35.150501251220703</v>
      </c>
    </row>
    <row r="2306" spans="1:12" x14ac:dyDescent="0.25">
      <c r="A2306">
        <v>4313607</v>
      </c>
      <c r="B2306" t="str">
        <f t="shared" si="35"/>
        <v>PAIM FILHO, RS, Brasil</v>
      </c>
      <c r="C2306" s="4" t="str">
        <f>_xlfn.XLOOKUP(A2306,[1]!DadosGHD[CD_GEOCMU],[1]!DadosGHD[Região])</f>
        <v>SL</v>
      </c>
      <c r="D2306" s="4" t="str">
        <f>_xlfn.XLOOKUP(A2306,[1]!DadosGHD[CD_GEOCMU],[1]!DadosGHD[uf])</f>
        <v>RS</v>
      </c>
      <c r="E2306" s="5" t="str">
        <f>_xlfn.XLOOKUP(A2306,[1]!DadosGHD[CD_GEOCMU],[1]!DadosGHD[MUNICIPIO])</f>
        <v>PAIM FILHO</v>
      </c>
      <c r="F2306" s="6">
        <v>38.638114929199197</v>
      </c>
      <c r="G2306" s="6">
        <v>43.745151519775398</v>
      </c>
      <c r="H2306" s="6">
        <v>43.792087554931598</v>
      </c>
      <c r="I2306" s="6">
        <v>43.754436492919901</v>
      </c>
      <c r="J2306" s="6">
        <v>43.796257019042997</v>
      </c>
      <c r="K2306" s="6">
        <v>48.821571350097699</v>
      </c>
      <c r="L2306" s="6">
        <v>44.015193939208999</v>
      </c>
    </row>
    <row r="2307" spans="1:12" x14ac:dyDescent="0.25">
      <c r="A2307">
        <v>3150158</v>
      </c>
      <c r="B2307" t="str">
        <f t="shared" si="35"/>
        <v>PIEDADE DE CARATINGA, MG, Brasil</v>
      </c>
      <c r="C2307" s="4" t="str">
        <f>_xlfn.XLOOKUP(A2307,[1]!DadosGHD[CD_GEOCMU],[1]!DadosGHD[Região])</f>
        <v>SD</v>
      </c>
      <c r="D2307" s="4" t="str">
        <f>_xlfn.XLOOKUP(A2307,[1]!DadosGHD[CD_GEOCMU],[1]!DadosGHD[uf])</f>
        <v>MG</v>
      </c>
      <c r="E2307" s="5" t="str">
        <f>_xlfn.XLOOKUP(A2307,[1]!DadosGHD[CD_GEOCMU],[1]!DadosGHD[MUNICIPIO])</f>
        <v>PIEDADE DE CARATINGA</v>
      </c>
      <c r="F2307" s="6">
        <v>38.638206481933601</v>
      </c>
      <c r="G2307" s="6">
        <v>43.645389556884801</v>
      </c>
      <c r="H2307" s="6">
        <v>38.844841003417997</v>
      </c>
      <c r="I2307" s="6">
        <v>43.704669952392599</v>
      </c>
      <c r="J2307" s="6">
        <v>43.775650024414098</v>
      </c>
      <c r="K2307" s="6">
        <v>43.8466606140137</v>
      </c>
      <c r="L2307" s="6">
        <v>48.4985160827637</v>
      </c>
    </row>
    <row r="2308" spans="1:12" x14ac:dyDescent="0.25">
      <c r="A2308">
        <v>1600055</v>
      </c>
      <c r="B2308" t="str">
        <f t="shared" ref="B2308:B2371" si="36">_xlfn.CONCAT(E2308, ", ", D2308, ", Brasil")</f>
        <v>SERRA DO NAVIO, AP, Brasil</v>
      </c>
      <c r="C2308" s="4" t="str">
        <f>_xlfn.XLOOKUP(A2308,[1]!DadosGHD[CD_GEOCMU],[1]!DadosGHD[Região])</f>
        <v>NO</v>
      </c>
      <c r="D2308" s="4" t="str">
        <f>_xlfn.XLOOKUP(A2308,[1]!DadosGHD[CD_GEOCMU],[1]!DadosGHD[uf])</f>
        <v>AP</v>
      </c>
      <c r="E2308" s="5" t="str">
        <f>_xlfn.XLOOKUP(A2308,[1]!DadosGHD[CD_GEOCMU],[1]!DadosGHD[MUNICIPIO])</f>
        <v>SERRA DO NAVIO</v>
      </c>
      <c r="F2308" s="6">
        <v>38.638301849365199</v>
      </c>
      <c r="G2308" s="6">
        <v>33.835453033447301</v>
      </c>
      <c r="H2308" s="6">
        <v>33.865509033203097</v>
      </c>
      <c r="I2308" s="6">
        <v>33.857570648193402</v>
      </c>
      <c r="J2308" s="6">
        <v>38.774627685546903</v>
      </c>
      <c r="K2308" s="6">
        <v>33.903980255127003</v>
      </c>
      <c r="L2308" s="6">
        <v>30.692003250122099</v>
      </c>
    </row>
    <row r="2309" spans="1:12" x14ac:dyDescent="0.25">
      <c r="A2309">
        <v>4308656</v>
      </c>
      <c r="B2309" t="str">
        <f t="shared" si="36"/>
        <v>GARRUCHOS, RS, Brasil</v>
      </c>
      <c r="C2309" s="4" t="str">
        <f>_xlfn.XLOOKUP(A2309,[1]!DadosGHD[CD_GEOCMU],[1]!DadosGHD[Região])</f>
        <v>SL</v>
      </c>
      <c r="D2309" s="4" t="str">
        <f>_xlfn.XLOOKUP(A2309,[1]!DadosGHD[CD_GEOCMU],[1]!DadosGHD[uf])</f>
        <v>RS</v>
      </c>
      <c r="E2309" s="5" t="str">
        <f>_xlfn.XLOOKUP(A2309,[1]!DadosGHD[CD_GEOCMU],[1]!DadosGHD[MUNICIPIO])</f>
        <v>GARRUCHOS</v>
      </c>
      <c r="F2309" s="6">
        <v>38.638931274414098</v>
      </c>
      <c r="G2309" s="6">
        <v>38.745193481445298</v>
      </c>
      <c r="H2309" s="6">
        <v>38.814235687255902</v>
      </c>
      <c r="I2309" s="6">
        <v>38.799446105957003</v>
      </c>
      <c r="J2309" s="6">
        <v>53.774219512939503</v>
      </c>
      <c r="K2309" s="6">
        <v>48.900856018066399</v>
      </c>
      <c r="L2309" s="6">
        <v>39.5816459655762</v>
      </c>
    </row>
    <row r="2310" spans="1:12" x14ac:dyDescent="0.25">
      <c r="A2310">
        <v>2406502</v>
      </c>
      <c r="B2310" t="str">
        <f t="shared" si="36"/>
        <v>LAGOA NOVA, RN, Brasil</v>
      </c>
      <c r="C2310" s="4" t="str">
        <f>_xlfn.XLOOKUP(A2310,[1]!DadosGHD[CD_GEOCMU],[1]!DadosGHD[Região])</f>
        <v>NE</v>
      </c>
      <c r="D2310" s="4" t="str">
        <f>_xlfn.XLOOKUP(A2310,[1]!DadosGHD[CD_GEOCMU],[1]!DadosGHD[uf])</f>
        <v>RN</v>
      </c>
      <c r="E2310" s="5" t="str">
        <f>_xlfn.XLOOKUP(A2310,[1]!DadosGHD[CD_GEOCMU],[1]!DadosGHD[MUNICIPIO])</f>
        <v>LAGOA NOVA</v>
      </c>
      <c r="F2310" s="6">
        <v>38.638938903808601</v>
      </c>
      <c r="G2310" s="6">
        <v>38.710910797119098</v>
      </c>
      <c r="H2310" s="6">
        <v>33.881210327148402</v>
      </c>
      <c r="I2310" s="6">
        <v>38.722419738769503</v>
      </c>
      <c r="J2310" s="6">
        <v>38.742919921875</v>
      </c>
      <c r="K2310" s="6">
        <v>38.788455963134801</v>
      </c>
      <c r="L2310" s="6">
        <v>44.032863616943402</v>
      </c>
    </row>
    <row r="2311" spans="1:12" x14ac:dyDescent="0.25">
      <c r="A2311">
        <v>3544202</v>
      </c>
      <c r="B2311" t="str">
        <f t="shared" si="36"/>
        <v>RIOLANDIA, SP, Brasil</v>
      </c>
      <c r="C2311" s="4" t="str">
        <f>_xlfn.XLOOKUP(A2311,[1]!DadosGHD[CD_GEOCMU],[1]!DadosGHD[Região])</f>
        <v>SD</v>
      </c>
      <c r="D2311" s="4" t="str">
        <f>_xlfn.XLOOKUP(A2311,[1]!DadosGHD[CD_GEOCMU],[1]!DadosGHD[uf])</f>
        <v>SP</v>
      </c>
      <c r="E2311" s="5" t="str">
        <f>_xlfn.XLOOKUP(A2311,[1]!DadosGHD[CD_GEOCMU],[1]!DadosGHD[MUNICIPIO])</f>
        <v>RIOLANDIA</v>
      </c>
      <c r="F2311" s="6">
        <v>38.638969421386697</v>
      </c>
      <c r="G2311" s="6">
        <v>38.732994079589801</v>
      </c>
      <c r="H2311" s="6">
        <v>38.772544860839801</v>
      </c>
      <c r="I2311" s="6">
        <v>38.7193603515625</v>
      </c>
      <c r="J2311" s="6">
        <v>38.7604370117188</v>
      </c>
      <c r="K2311" s="6">
        <v>33.923633575439503</v>
      </c>
      <c r="L2311" s="6">
        <v>30.706760406494102</v>
      </c>
    </row>
    <row r="2312" spans="1:12" x14ac:dyDescent="0.25">
      <c r="A2312">
        <v>4305934</v>
      </c>
      <c r="B2312" t="str">
        <f t="shared" si="36"/>
        <v>CORONEL PILAR, RS, Brasil</v>
      </c>
      <c r="C2312" s="4" t="str">
        <f>_xlfn.XLOOKUP(A2312,[1]!DadosGHD[CD_GEOCMU],[1]!DadosGHD[Região])</f>
        <v>SL</v>
      </c>
      <c r="D2312" s="4" t="str">
        <f>_xlfn.XLOOKUP(A2312,[1]!DadosGHD[CD_GEOCMU],[1]!DadosGHD[uf])</f>
        <v>RS</v>
      </c>
      <c r="E2312" s="5" t="str">
        <f>_xlfn.XLOOKUP(A2312,[1]!DadosGHD[CD_GEOCMU],[1]!DadosGHD[MUNICIPIO])</f>
        <v>CORONEL PILAR</v>
      </c>
      <c r="F2312" s="6">
        <v>38.639183044433601</v>
      </c>
      <c r="G2312" s="6">
        <v>48.714031219482401</v>
      </c>
      <c r="H2312" s="6">
        <v>48.791900634765597</v>
      </c>
      <c r="I2312" s="6">
        <v>48.750907897949197</v>
      </c>
      <c r="J2312" s="6">
        <v>48.727603912353501</v>
      </c>
      <c r="K2312" s="6">
        <v>48.904605865478501</v>
      </c>
      <c r="L2312" s="6">
        <v>48.515689849853501</v>
      </c>
    </row>
    <row r="2313" spans="1:12" x14ac:dyDescent="0.25">
      <c r="A2313">
        <v>2925253</v>
      </c>
      <c r="B2313" t="str">
        <f t="shared" si="36"/>
        <v>PONTO NOVO, BA, Brasil</v>
      </c>
      <c r="C2313" s="4" t="str">
        <f>_xlfn.XLOOKUP(A2313,[1]!DadosGHD[CD_GEOCMU],[1]!DadosGHD[Região])</f>
        <v>NE</v>
      </c>
      <c r="D2313" s="4" t="str">
        <f>_xlfn.XLOOKUP(A2313,[1]!DadosGHD[CD_GEOCMU],[1]!DadosGHD[uf])</f>
        <v>BA</v>
      </c>
      <c r="E2313" s="5" t="str">
        <f>_xlfn.XLOOKUP(A2313,[1]!DadosGHD[CD_GEOCMU],[1]!DadosGHD[MUNICIPIO])</f>
        <v>PONTO NOVO</v>
      </c>
      <c r="F2313" s="6">
        <v>38.639270782470703</v>
      </c>
      <c r="G2313" s="6">
        <v>38.751213073730497</v>
      </c>
      <c r="H2313" s="6">
        <v>38.807872772216797</v>
      </c>
      <c r="I2313" s="6">
        <v>38.767002105712898</v>
      </c>
      <c r="J2313" s="6">
        <v>33.869045257568402</v>
      </c>
      <c r="K2313" s="6">
        <v>33.8917427062988</v>
      </c>
      <c r="L2313" s="6">
        <v>39.581386566162102</v>
      </c>
    </row>
    <row r="2314" spans="1:12" x14ac:dyDescent="0.25">
      <c r="A2314">
        <v>4121356</v>
      </c>
      <c r="B2314" t="str">
        <f t="shared" si="36"/>
        <v>RANCHO ALEGRE D'OESTE, PR, Brasil</v>
      </c>
      <c r="C2314" s="4" t="str">
        <f>_xlfn.XLOOKUP(A2314,[1]!DadosGHD[CD_GEOCMU],[1]!DadosGHD[Região])</f>
        <v>SL</v>
      </c>
      <c r="D2314" s="4" t="str">
        <f>_xlfn.XLOOKUP(A2314,[1]!DadosGHD[CD_GEOCMU],[1]!DadosGHD[uf])</f>
        <v>PR</v>
      </c>
      <c r="E2314" s="5" t="str">
        <f>_xlfn.XLOOKUP(A2314,[1]!DadosGHD[CD_GEOCMU],[1]!DadosGHD[MUNICIPIO])</f>
        <v>RANCHO ALEGRE D'OESTE</v>
      </c>
      <c r="F2314" s="6">
        <v>38.639316558837898</v>
      </c>
      <c r="G2314" s="6">
        <v>43.693931579589801</v>
      </c>
      <c r="H2314" s="6">
        <v>48.7480278015137</v>
      </c>
      <c r="I2314" s="6">
        <v>48.723358154296903</v>
      </c>
      <c r="J2314" s="6">
        <v>48.7294311523438</v>
      </c>
      <c r="K2314" s="6">
        <v>43.858104705810597</v>
      </c>
      <c r="L2314" s="6">
        <v>39.572235107421903</v>
      </c>
    </row>
    <row r="2315" spans="1:12" x14ac:dyDescent="0.25">
      <c r="A2315">
        <v>1703701</v>
      </c>
      <c r="B2315" t="str">
        <f t="shared" si="36"/>
        <v>BREJINHO DE NAZARE, TO, Brasil</v>
      </c>
      <c r="C2315" s="4" t="str">
        <f>_xlfn.XLOOKUP(A2315,[1]!DadosGHD[CD_GEOCMU],[1]!DadosGHD[Região])</f>
        <v>NO</v>
      </c>
      <c r="D2315" s="4" t="str">
        <f>_xlfn.XLOOKUP(A2315,[1]!DadosGHD[CD_GEOCMU],[1]!DadosGHD[uf])</f>
        <v>TO</v>
      </c>
      <c r="E2315" s="5" t="str">
        <f>_xlfn.XLOOKUP(A2315,[1]!DadosGHD[CD_GEOCMU],[1]!DadosGHD[MUNICIPIO])</f>
        <v>BREJINHO DE NAZARE</v>
      </c>
      <c r="F2315" s="6">
        <v>38.639400482177699</v>
      </c>
      <c r="G2315" s="6">
        <v>33.843490600585902</v>
      </c>
      <c r="H2315" s="6">
        <v>33.876094818115199</v>
      </c>
      <c r="I2315" s="6">
        <v>28.925045013427699</v>
      </c>
      <c r="J2315" s="6">
        <v>28.9409065246582</v>
      </c>
      <c r="K2315" s="6">
        <v>28.999818801879901</v>
      </c>
      <c r="L2315" s="6">
        <v>35.139640808105497</v>
      </c>
    </row>
    <row r="2316" spans="1:12" x14ac:dyDescent="0.25">
      <c r="A2316">
        <v>5215231</v>
      </c>
      <c r="B2316" t="str">
        <f t="shared" si="36"/>
        <v>NOVO GAMA, GO, Brasil</v>
      </c>
      <c r="C2316" s="4" t="str">
        <f>_xlfn.XLOOKUP(A2316,[1]!DadosGHD[CD_GEOCMU],[1]!DadosGHD[Região])</f>
        <v>CO</v>
      </c>
      <c r="D2316" s="4" t="str">
        <f>_xlfn.XLOOKUP(A2316,[1]!DadosGHD[CD_GEOCMU],[1]!DadosGHD[uf])</f>
        <v>GO</v>
      </c>
      <c r="E2316" s="5" t="str">
        <f>_xlfn.XLOOKUP(A2316,[1]!DadosGHD[CD_GEOCMU],[1]!DadosGHD[MUNICIPIO])</f>
        <v>NOVO GAMA</v>
      </c>
      <c r="F2316" s="6">
        <v>38.639438629150398</v>
      </c>
      <c r="G2316" s="6">
        <v>38.735939025878899</v>
      </c>
      <c r="H2316" s="6">
        <v>38.779098510742202</v>
      </c>
      <c r="I2316" s="6">
        <v>38.752231597900398</v>
      </c>
      <c r="J2316" s="6">
        <v>38.759429931640597</v>
      </c>
      <c r="K2316" s="6">
        <v>33.930755615234403</v>
      </c>
      <c r="L2316" s="6">
        <v>30.7184543609619</v>
      </c>
    </row>
    <row r="2317" spans="1:12" x14ac:dyDescent="0.25">
      <c r="A2317">
        <v>3127503</v>
      </c>
      <c r="B2317" t="str">
        <f t="shared" si="36"/>
        <v>GONZAGA, MG, Brasil</v>
      </c>
      <c r="C2317" s="4" t="str">
        <f>_xlfn.XLOOKUP(A2317,[1]!DadosGHD[CD_GEOCMU],[1]!DadosGHD[Região])</f>
        <v>SD</v>
      </c>
      <c r="D2317" s="4" t="str">
        <f>_xlfn.XLOOKUP(A2317,[1]!DadosGHD[CD_GEOCMU],[1]!DadosGHD[uf])</f>
        <v>MG</v>
      </c>
      <c r="E2317" s="5" t="str">
        <f>_xlfn.XLOOKUP(A2317,[1]!DadosGHD[CD_GEOCMU],[1]!DadosGHD[MUNICIPIO])</f>
        <v>GONZAGA</v>
      </c>
      <c r="F2317" s="6">
        <v>38.6395072937012</v>
      </c>
      <c r="G2317" s="6">
        <v>38.689990997314503</v>
      </c>
      <c r="H2317" s="6">
        <v>38.742713928222699</v>
      </c>
      <c r="I2317" s="6">
        <v>43.681419372558601</v>
      </c>
      <c r="J2317" s="6">
        <v>43.720535278320298</v>
      </c>
      <c r="K2317" s="6">
        <v>43.781570434570298</v>
      </c>
      <c r="L2317" s="6">
        <v>48.534759521484403</v>
      </c>
    </row>
    <row r="2318" spans="1:12" x14ac:dyDescent="0.25">
      <c r="A2318">
        <v>4311601</v>
      </c>
      <c r="B2318" t="str">
        <f t="shared" si="36"/>
        <v>LIBERATO SALZANO, RS, Brasil</v>
      </c>
      <c r="C2318" s="4" t="str">
        <f>_xlfn.XLOOKUP(A2318,[1]!DadosGHD[CD_GEOCMU],[1]!DadosGHD[Região])</f>
        <v>SL</v>
      </c>
      <c r="D2318" s="4" t="str">
        <f>_xlfn.XLOOKUP(A2318,[1]!DadosGHD[CD_GEOCMU],[1]!DadosGHD[uf])</f>
        <v>RS</v>
      </c>
      <c r="E2318" s="5" t="str">
        <f>_xlfn.XLOOKUP(A2318,[1]!DadosGHD[CD_GEOCMU],[1]!DadosGHD[MUNICIPIO])</f>
        <v>LIBERATO SALZANO</v>
      </c>
      <c r="F2318" s="6">
        <v>38.639774322509801</v>
      </c>
      <c r="G2318" s="6">
        <v>43.710597991943402</v>
      </c>
      <c r="H2318" s="6">
        <v>43.779880523681598</v>
      </c>
      <c r="I2318" s="6">
        <v>43.754878997802699</v>
      </c>
      <c r="J2318" s="6">
        <v>43.804222106933601</v>
      </c>
      <c r="K2318" s="6">
        <v>48.8772163391113</v>
      </c>
      <c r="L2318" s="6">
        <v>48.496997833252003</v>
      </c>
    </row>
    <row r="2319" spans="1:12" x14ac:dyDescent="0.25">
      <c r="A2319">
        <v>2805901</v>
      </c>
      <c r="B2319" t="str">
        <f t="shared" si="36"/>
        <v>RIACHUELO, SE, Brasil</v>
      </c>
      <c r="C2319" s="4" t="str">
        <f>_xlfn.XLOOKUP(A2319,[1]!DadosGHD[CD_GEOCMU],[1]!DadosGHD[Região])</f>
        <v>NE</v>
      </c>
      <c r="D2319" s="4" t="str">
        <f>_xlfn.XLOOKUP(A2319,[1]!DadosGHD[CD_GEOCMU],[1]!DadosGHD[uf])</f>
        <v>SE</v>
      </c>
      <c r="E2319" s="5" t="str">
        <f>_xlfn.XLOOKUP(A2319,[1]!DadosGHD[CD_GEOCMU],[1]!DadosGHD[MUNICIPIO])</f>
        <v>RIACHUELO</v>
      </c>
      <c r="F2319" s="6">
        <v>38.640041351318402</v>
      </c>
      <c r="G2319" s="6">
        <v>38.726535797119098</v>
      </c>
      <c r="H2319" s="6">
        <v>38.771175384521499</v>
      </c>
      <c r="I2319" s="6">
        <v>38.733646392822301</v>
      </c>
      <c r="J2319" s="6">
        <v>38.744544982910199</v>
      </c>
      <c r="K2319" s="6">
        <v>33.910388946533203</v>
      </c>
      <c r="L2319" s="6">
        <v>26.293430328369102</v>
      </c>
    </row>
    <row r="2320" spans="1:12" x14ac:dyDescent="0.25">
      <c r="A2320">
        <v>3126208</v>
      </c>
      <c r="B2320" t="str">
        <f t="shared" si="36"/>
        <v>FORMOSO, MG, Brasil</v>
      </c>
      <c r="C2320" s="4" t="str">
        <f>_xlfn.XLOOKUP(A2320,[1]!DadosGHD[CD_GEOCMU],[1]!DadosGHD[Região])</f>
        <v>SD</v>
      </c>
      <c r="D2320" s="4" t="str">
        <f>_xlfn.XLOOKUP(A2320,[1]!DadosGHD[CD_GEOCMU],[1]!DadosGHD[uf])</f>
        <v>MG</v>
      </c>
      <c r="E2320" s="5" t="str">
        <f>_xlfn.XLOOKUP(A2320,[1]!DadosGHD[CD_GEOCMU],[1]!DadosGHD[MUNICIPIO])</f>
        <v>FORMOSO</v>
      </c>
      <c r="F2320" s="6">
        <v>38.640129089355497</v>
      </c>
      <c r="G2320" s="6">
        <v>38.701210021972699</v>
      </c>
      <c r="H2320" s="6">
        <v>33.894565582275398</v>
      </c>
      <c r="I2320" s="6">
        <v>33.8644409179688</v>
      </c>
      <c r="J2320" s="6">
        <v>38.747261047363303</v>
      </c>
      <c r="K2320" s="6">
        <v>33.929389953613303</v>
      </c>
      <c r="L2320" s="6">
        <v>30.699239730835</v>
      </c>
    </row>
    <row r="2321" spans="1:12" x14ac:dyDescent="0.25">
      <c r="A2321">
        <v>3161403</v>
      </c>
      <c r="B2321" t="str">
        <f t="shared" si="36"/>
        <v>SAO FRANCISCO DO GLORIA, MG, Brasil</v>
      </c>
      <c r="C2321" s="4" t="str">
        <f>_xlfn.XLOOKUP(A2321,[1]!DadosGHD[CD_GEOCMU],[1]!DadosGHD[Região])</f>
        <v>SD</v>
      </c>
      <c r="D2321" s="4" t="str">
        <f>_xlfn.XLOOKUP(A2321,[1]!DadosGHD[CD_GEOCMU],[1]!DadosGHD[uf])</f>
        <v>MG</v>
      </c>
      <c r="E2321" s="5" t="str">
        <f>_xlfn.XLOOKUP(A2321,[1]!DadosGHD[CD_GEOCMU],[1]!DadosGHD[MUNICIPIO])</f>
        <v>SAO FRANCISCO DO GLORIA</v>
      </c>
      <c r="F2321" s="6">
        <v>38.640403747558601</v>
      </c>
      <c r="G2321" s="6">
        <v>43.646945953369098</v>
      </c>
      <c r="H2321" s="6">
        <v>43.716579437255902</v>
      </c>
      <c r="I2321" s="6">
        <v>43.699001312255902</v>
      </c>
      <c r="J2321" s="6">
        <v>38.786827087402301</v>
      </c>
      <c r="K2321" s="6">
        <v>38.809150695800803</v>
      </c>
      <c r="L2321" s="6">
        <v>35.155097961425803</v>
      </c>
    </row>
    <row r="2322" spans="1:12" x14ac:dyDescent="0.25">
      <c r="A2322">
        <v>3205150</v>
      </c>
      <c r="B2322" t="str">
        <f t="shared" si="36"/>
        <v>VILA PAVAO, ES, Brasil</v>
      </c>
      <c r="C2322" s="4" t="str">
        <f>_xlfn.XLOOKUP(A2322,[1]!DadosGHD[CD_GEOCMU],[1]!DadosGHD[Região])</f>
        <v>SD</v>
      </c>
      <c r="D2322" s="4" t="str">
        <f>_xlfn.XLOOKUP(A2322,[1]!DadosGHD[CD_GEOCMU],[1]!DadosGHD[uf])</f>
        <v>ES</v>
      </c>
      <c r="E2322" s="5" t="str">
        <f>_xlfn.XLOOKUP(A2322,[1]!DadosGHD[CD_GEOCMU],[1]!DadosGHD[MUNICIPIO])</f>
        <v>VILA PAVAO</v>
      </c>
      <c r="F2322" s="6">
        <v>38.640415191650398</v>
      </c>
      <c r="G2322" s="6">
        <v>33.8458862304688</v>
      </c>
      <c r="H2322" s="6">
        <v>33.883049011230497</v>
      </c>
      <c r="I2322" s="6">
        <v>33.859161376953097</v>
      </c>
      <c r="J2322" s="6">
        <v>33.870525360107401</v>
      </c>
      <c r="K2322" s="6">
        <v>33.918685913085902</v>
      </c>
      <c r="L2322" s="6">
        <v>30.720624923706101</v>
      </c>
    </row>
    <row r="2323" spans="1:12" x14ac:dyDescent="0.25">
      <c r="A2323">
        <v>3170651</v>
      </c>
      <c r="B2323" t="str">
        <f t="shared" si="36"/>
        <v>VARGEM GRANDE DO RIO PARDO, MG, Brasil</v>
      </c>
      <c r="C2323" s="4" t="str">
        <f>_xlfn.XLOOKUP(A2323,[1]!DadosGHD[CD_GEOCMU],[1]!DadosGHD[Região])</f>
        <v>SD</v>
      </c>
      <c r="D2323" s="4" t="str">
        <f>_xlfn.XLOOKUP(A2323,[1]!DadosGHD[CD_GEOCMU],[1]!DadosGHD[uf])</f>
        <v>MG</v>
      </c>
      <c r="E2323" s="5" t="str">
        <f>_xlfn.XLOOKUP(A2323,[1]!DadosGHD[CD_GEOCMU],[1]!DadosGHD[MUNICIPIO])</f>
        <v>VARGEM GRANDE DO RIO PARDO</v>
      </c>
      <c r="F2323" s="6">
        <v>38.640495300292997</v>
      </c>
      <c r="G2323" s="6">
        <v>38.694206237792997</v>
      </c>
      <c r="H2323" s="6">
        <v>38.762840270996101</v>
      </c>
      <c r="I2323" s="6">
        <v>38.739818572998097</v>
      </c>
      <c r="J2323" s="6">
        <v>38.752101898193402</v>
      </c>
      <c r="K2323" s="6">
        <v>38.799247741699197</v>
      </c>
      <c r="L2323" s="6">
        <v>30.7016792297363</v>
      </c>
    </row>
    <row r="2324" spans="1:12" x14ac:dyDescent="0.25">
      <c r="A2324">
        <v>2112001</v>
      </c>
      <c r="B2324" t="str">
        <f t="shared" si="36"/>
        <v>TASSO FRAGOSO, MA, Brasil</v>
      </c>
      <c r="C2324" s="4" t="str">
        <f>_xlfn.XLOOKUP(A2324,[1]!DadosGHD[CD_GEOCMU],[1]!DadosGHD[Região])</f>
        <v>NE</v>
      </c>
      <c r="D2324" s="4" t="str">
        <f>_xlfn.XLOOKUP(A2324,[1]!DadosGHD[CD_GEOCMU],[1]!DadosGHD[uf])</f>
        <v>MA</v>
      </c>
      <c r="E2324" s="5" t="str">
        <f>_xlfn.XLOOKUP(A2324,[1]!DadosGHD[CD_GEOCMU],[1]!DadosGHD[MUNICIPIO])</f>
        <v>TASSO FRAGOSO</v>
      </c>
      <c r="F2324" s="6">
        <v>38.640556335449197</v>
      </c>
      <c r="G2324" s="6">
        <v>38.711448669433601</v>
      </c>
      <c r="H2324" s="6">
        <v>33.894851684570298</v>
      </c>
      <c r="I2324" s="6">
        <v>33.874019622802699</v>
      </c>
      <c r="J2324" s="6">
        <v>33.888179779052699</v>
      </c>
      <c r="K2324" s="6">
        <v>38.787673950195298</v>
      </c>
      <c r="L2324" s="6">
        <v>30.6940822601318</v>
      </c>
    </row>
    <row r="2325" spans="1:12" x14ac:dyDescent="0.25">
      <c r="A2325">
        <v>2805505</v>
      </c>
      <c r="B2325" t="str">
        <f t="shared" si="36"/>
        <v>POCO VERDE, SE, Brasil</v>
      </c>
      <c r="C2325" s="4" t="str">
        <f>_xlfn.XLOOKUP(A2325,[1]!DadosGHD[CD_GEOCMU],[1]!DadosGHD[Região])</f>
        <v>NE</v>
      </c>
      <c r="D2325" s="4" t="str">
        <f>_xlfn.XLOOKUP(A2325,[1]!DadosGHD[CD_GEOCMU],[1]!DadosGHD[uf])</f>
        <v>SE</v>
      </c>
      <c r="E2325" s="5" t="str">
        <f>_xlfn.XLOOKUP(A2325,[1]!DadosGHD[CD_GEOCMU],[1]!DadosGHD[MUNICIPIO])</f>
        <v>POCO VERDE</v>
      </c>
      <c r="F2325" s="6">
        <v>38.640914916992202</v>
      </c>
      <c r="G2325" s="6">
        <v>38.716922760009801</v>
      </c>
      <c r="H2325" s="6">
        <v>38.8262329101563</v>
      </c>
      <c r="I2325" s="6">
        <v>38.795848846435597</v>
      </c>
      <c r="J2325" s="6">
        <v>38.823818206787102</v>
      </c>
      <c r="K2325" s="6">
        <v>43.7858695983887</v>
      </c>
      <c r="L2325" s="6">
        <v>35.153427124023402</v>
      </c>
    </row>
    <row r="2326" spans="1:12" x14ac:dyDescent="0.25">
      <c r="A2326">
        <v>3510153</v>
      </c>
      <c r="B2326" t="str">
        <f t="shared" si="36"/>
        <v>CANITAR, SP, Brasil</v>
      </c>
      <c r="C2326" s="4" t="str">
        <f>_xlfn.XLOOKUP(A2326,[1]!DadosGHD[CD_GEOCMU],[1]!DadosGHD[Região])</f>
        <v>SD</v>
      </c>
      <c r="D2326" s="4" t="str">
        <f>_xlfn.XLOOKUP(A2326,[1]!DadosGHD[CD_GEOCMU],[1]!DadosGHD[uf])</f>
        <v>SP</v>
      </c>
      <c r="E2326" s="5" t="str">
        <f>_xlfn.XLOOKUP(A2326,[1]!DadosGHD[CD_GEOCMU],[1]!DadosGHD[MUNICIPIO])</f>
        <v>CANITAR</v>
      </c>
      <c r="F2326" s="6">
        <v>38.640914916992202</v>
      </c>
      <c r="G2326" s="6">
        <v>43.652610778808601</v>
      </c>
      <c r="H2326" s="6">
        <v>48.763717651367202</v>
      </c>
      <c r="I2326" s="6">
        <v>48.806243896484403</v>
      </c>
      <c r="J2326" s="6">
        <v>43.780727386474602</v>
      </c>
      <c r="K2326" s="6">
        <v>38.860851287841797</v>
      </c>
      <c r="L2326" s="6">
        <v>39.607311248779297</v>
      </c>
    </row>
    <row r="2327" spans="1:12" x14ac:dyDescent="0.25">
      <c r="A2327">
        <v>4302238</v>
      </c>
      <c r="B2327" t="str">
        <f t="shared" si="36"/>
        <v>BOA VISTA DO INCRA, RS, Brasil</v>
      </c>
      <c r="C2327" s="4" t="str">
        <f>_xlfn.XLOOKUP(A2327,[1]!DadosGHD[CD_GEOCMU],[1]!DadosGHD[Região])</f>
        <v>SL</v>
      </c>
      <c r="D2327" s="4" t="str">
        <f>_xlfn.XLOOKUP(A2327,[1]!DadosGHD[CD_GEOCMU],[1]!DadosGHD[uf])</f>
        <v>RS</v>
      </c>
      <c r="E2327" s="5" t="str">
        <f>_xlfn.XLOOKUP(A2327,[1]!DadosGHD[CD_GEOCMU],[1]!DadosGHD[MUNICIPIO])</f>
        <v>BOA VISTA DO INCRA</v>
      </c>
      <c r="F2327" s="6">
        <v>38.641281127929702</v>
      </c>
      <c r="G2327" s="6">
        <v>48.697349548339801</v>
      </c>
      <c r="H2327" s="6">
        <v>48.767536163330099</v>
      </c>
      <c r="I2327" s="6">
        <v>48.8082275390625</v>
      </c>
      <c r="J2327" s="6">
        <v>53.753402709960902</v>
      </c>
      <c r="K2327" s="6">
        <v>48.910369873046903</v>
      </c>
      <c r="L2327" s="6">
        <v>39.607215881347699</v>
      </c>
    </row>
    <row r="2328" spans="1:12" x14ac:dyDescent="0.25">
      <c r="A2328">
        <v>4321352</v>
      </c>
      <c r="B2328" t="str">
        <f t="shared" si="36"/>
        <v>TAVARES, RS, Brasil</v>
      </c>
      <c r="C2328" s="4" t="str">
        <f>_xlfn.XLOOKUP(A2328,[1]!DadosGHD[CD_GEOCMU],[1]!DadosGHD[Região])</f>
        <v>SL</v>
      </c>
      <c r="D2328" s="4" t="str">
        <f>_xlfn.XLOOKUP(A2328,[1]!DadosGHD[CD_GEOCMU],[1]!DadosGHD[uf])</f>
        <v>RS</v>
      </c>
      <c r="E2328" s="5" t="str">
        <f>_xlfn.XLOOKUP(A2328,[1]!DadosGHD[CD_GEOCMU],[1]!DadosGHD[MUNICIPIO])</f>
        <v>TAVARES</v>
      </c>
      <c r="F2328" s="6">
        <v>38.641448974609403</v>
      </c>
      <c r="G2328" s="6">
        <v>38.759750366210902</v>
      </c>
      <c r="H2328" s="6">
        <v>38.803199768066399</v>
      </c>
      <c r="I2328" s="6">
        <v>38.777278900146499</v>
      </c>
      <c r="J2328" s="6">
        <v>38.804206848144503</v>
      </c>
      <c r="K2328" s="6">
        <v>38.840808868408203</v>
      </c>
      <c r="L2328" s="6">
        <v>35.120071411132798</v>
      </c>
    </row>
    <row r="2329" spans="1:12" x14ac:dyDescent="0.25">
      <c r="A2329">
        <v>3162922</v>
      </c>
      <c r="B2329" t="str">
        <f t="shared" si="36"/>
        <v>SAO JOAQUIM DE BICAS, MG, Brasil</v>
      </c>
      <c r="C2329" s="4" t="str">
        <f>_xlfn.XLOOKUP(A2329,[1]!DadosGHD[CD_GEOCMU],[1]!DadosGHD[Região])</f>
        <v>SD</v>
      </c>
      <c r="D2329" s="4" t="str">
        <f>_xlfn.XLOOKUP(A2329,[1]!DadosGHD[CD_GEOCMU],[1]!DadosGHD[uf])</f>
        <v>MG</v>
      </c>
      <c r="E2329" s="5" t="str">
        <f>_xlfn.XLOOKUP(A2329,[1]!DadosGHD[CD_GEOCMU],[1]!DadosGHD[MUNICIPIO])</f>
        <v>SAO JOAQUIM DE BICAS</v>
      </c>
      <c r="F2329" s="6">
        <v>38.641555786132798</v>
      </c>
      <c r="G2329" s="6">
        <v>38.692367553710902</v>
      </c>
      <c r="H2329" s="6">
        <v>33.889404296875</v>
      </c>
      <c r="I2329" s="6">
        <v>33.862117767333999</v>
      </c>
      <c r="J2329" s="6">
        <v>33.860591888427699</v>
      </c>
      <c r="K2329" s="6">
        <v>38.852077484130902</v>
      </c>
      <c r="L2329" s="6">
        <v>39.606399536132798</v>
      </c>
    </row>
    <row r="2330" spans="1:12" x14ac:dyDescent="0.25">
      <c r="A2330">
        <v>2512101</v>
      </c>
      <c r="B2330" t="str">
        <f t="shared" si="36"/>
        <v>POMBAL, PB, Brasil</v>
      </c>
      <c r="C2330" s="4" t="str">
        <f>_xlfn.XLOOKUP(A2330,[1]!DadosGHD[CD_GEOCMU],[1]!DadosGHD[Região])</f>
        <v>NE</v>
      </c>
      <c r="D2330" s="4" t="str">
        <f>_xlfn.XLOOKUP(A2330,[1]!DadosGHD[CD_GEOCMU],[1]!DadosGHD[uf])</f>
        <v>PB</v>
      </c>
      <c r="E2330" s="5" t="str">
        <f>_xlfn.XLOOKUP(A2330,[1]!DadosGHD[CD_GEOCMU],[1]!DadosGHD[MUNICIPIO])</f>
        <v>POMBAL</v>
      </c>
      <c r="F2330" s="6">
        <v>38.641597747802699</v>
      </c>
      <c r="G2330" s="6">
        <v>38.750526428222699</v>
      </c>
      <c r="H2330" s="6">
        <v>43.7418403625488</v>
      </c>
      <c r="I2330" s="6">
        <v>43.7570991516113</v>
      </c>
      <c r="J2330" s="6">
        <v>43.807319641113303</v>
      </c>
      <c r="K2330" s="6">
        <v>43.872879028320298</v>
      </c>
      <c r="L2330" s="6">
        <v>44.055065155029297</v>
      </c>
    </row>
    <row r="2331" spans="1:12" x14ac:dyDescent="0.25">
      <c r="A2331">
        <v>4314456</v>
      </c>
      <c r="B2331" t="str">
        <f t="shared" si="36"/>
        <v>PINHAL, RS, Brasil</v>
      </c>
      <c r="C2331" s="4" t="str">
        <f>_xlfn.XLOOKUP(A2331,[1]!DadosGHD[CD_GEOCMU],[1]!DadosGHD[Região])</f>
        <v>SL</v>
      </c>
      <c r="D2331" s="4" t="str">
        <f>_xlfn.XLOOKUP(A2331,[1]!DadosGHD[CD_GEOCMU],[1]!DadosGHD[uf])</f>
        <v>RS</v>
      </c>
      <c r="E2331" s="5" t="str">
        <f>_xlfn.XLOOKUP(A2331,[1]!DadosGHD[CD_GEOCMU],[1]!DadosGHD[MUNICIPIO])</f>
        <v>PINHAL</v>
      </c>
      <c r="F2331" s="6">
        <v>38.641902923583999</v>
      </c>
      <c r="G2331" s="6">
        <v>48.705940246582003</v>
      </c>
      <c r="H2331" s="6">
        <v>48.740955352783203</v>
      </c>
      <c r="I2331" s="6">
        <v>48.708080291748097</v>
      </c>
      <c r="J2331" s="6">
        <v>58.883014678955099</v>
      </c>
      <c r="K2331" s="6">
        <v>59.091423034667997</v>
      </c>
      <c r="L2331" s="6">
        <v>57.541847229003899</v>
      </c>
    </row>
    <row r="2332" spans="1:12" x14ac:dyDescent="0.25">
      <c r="A2332">
        <v>3165800</v>
      </c>
      <c r="B2332" t="str">
        <f t="shared" si="36"/>
        <v>SENADOR JOSE BENTO, MG, Brasil</v>
      </c>
      <c r="C2332" s="4" t="str">
        <f>_xlfn.XLOOKUP(A2332,[1]!DadosGHD[CD_GEOCMU],[1]!DadosGHD[Região])</f>
        <v>SD</v>
      </c>
      <c r="D2332" s="4" t="str">
        <f>_xlfn.XLOOKUP(A2332,[1]!DadosGHD[CD_GEOCMU],[1]!DadosGHD[uf])</f>
        <v>MG</v>
      </c>
      <c r="E2332" s="5" t="str">
        <f>_xlfn.XLOOKUP(A2332,[1]!DadosGHD[CD_GEOCMU],[1]!DadosGHD[MUNICIPIO])</f>
        <v>SENADOR JOSE BENTO</v>
      </c>
      <c r="F2332" s="6">
        <v>38.641956329345703</v>
      </c>
      <c r="G2332" s="6">
        <v>28.907878875732401</v>
      </c>
      <c r="H2332" s="6">
        <v>28.942651748657202</v>
      </c>
      <c r="I2332" s="6">
        <v>28.925045013427699</v>
      </c>
      <c r="J2332" s="6">
        <v>38.761531829833999</v>
      </c>
      <c r="K2332" s="6">
        <v>38.798622131347699</v>
      </c>
      <c r="L2332" s="6">
        <v>30.7020263671875</v>
      </c>
    </row>
    <row r="2333" spans="1:12" x14ac:dyDescent="0.25">
      <c r="A2333">
        <v>3157252</v>
      </c>
      <c r="B2333" t="str">
        <f t="shared" si="36"/>
        <v>SANTA BARBARA DO LESTE, MG, Brasil</v>
      </c>
      <c r="C2333" s="4" t="str">
        <f>_xlfn.XLOOKUP(A2333,[1]!DadosGHD[CD_GEOCMU],[1]!DadosGHD[Região])</f>
        <v>SD</v>
      </c>
      <c r="D2333" s="4" t="str">
        <f>_xlfn.XLOOKUP(A2333,[1]!DadosGHD[CD_GEOCMU],[1]!DadosGHD[uf])</f>
        <v>MG</v>
      </c>
      <c r="E2333" s="5" t="str">
        <f>_xlfn.XLOOKUP(A2333,[1]!DadosGHD[CD_GEOCMU],[1]!DadosGHD[MUNICIPIO])</f>
        <v>SANTA BARBARA DO LESTE</v>
      </c>
      <c r="F2333" s="6">
        <v>38.6419868469238</v>
      </c>
      <c r="G2333" s="6">
        <v>38.731040954589801</v>
      </c>
      <c r="H2333" s="6">
        <v>38.814590454101598</v>
      </c>
      <c r="I2333" s="6">
        <v>38.800327301025398</v>
      </c>
      <c r="J2333" s="6">
        <v>43.7807807922363</v>
      </c>
      <c r="K2333" s="6">
        <v>38.817272186279297</v>
      </c>
      <c r="L2333" s="6">
        <v>30.714849472045898</v>
      </c>
    </row>
    <row r="2334" spans="1:12" x14ac:dyDescent="0.25">
      <c r="A2334">
        <v>3123106</v>
      </c>
      <c r="B2334" t="str">
        <f t="shared" si="36"/>
        <v>DORES DE GUANHAES, MG, Brasil</v>
      </c>
      <c r="C2334" s="4" t="str">
        <f>_xlfn.XLOOKUP(A2334,[1]!DadosGHD[CD_GEOCMU],[1]!DadosGHD[Região])</f>
        <v>SD</v>
      </c>
      <c r="D2334" s="4" t="str">
        <f>_xlfn.XLOOKUP(A2334,[1]!DadosGHD[CD_GEOCMU],[1]!DadosGHD[uf])</f>
        <v>MG</v>
      </c>
      <c r="E2334" s="5" t="str">
        <f>_xlfn.XLOOKUP(A2334,[1]!DadosGHD[CD_GEOCMU],[1]!DadosGHD[MUNICIPIO])</f>
        <v>DORES DE GUANHAES</v>
      </c>
      <c r="F2334" s="6">
        <v>38.642135620117202</v>
      </c>
      <c r="G2334" s="6">
        <v>33.844905853271499</v>
      </c>
      <c r="H2334" s="6">
        <v>38.740024566650398</v>
      </c>
      <c r="I2334" s="6">
        <v>33.8651123046875</v>
      </c>
      <c r="J2334" s="6">
        <v>33.874919891357401</v>
      </c>
      <c r="K2334" s="6">
        <v>33.906375885009801</v>
      </c>
      <c r="L2334" s="6">
        <v>30.684253692626999</v>
      </c>
    </row>
    <row r="2335" spans="1:12" x14ac:dyDescent="0.25">
      <c r="A2335">
        <v>3164308</v>
      </c>
      <c r="B2335" t="str">
        <f t="shared" si="36"/>
        <v>SAO ROQUE DE MINAS, MG, Brasil</v>
      </c>
      <c r="C2335" s="4" t="str">
        <f>_xlfn.XLOOKUP(A2335,[1]!DadosGHD[CD_GEOCMU],[1]!DadosGHD[Região])</f>
        <v>SD</v>
      </c>
      <c r="D2335" s="4" t="str">
        <f>_xlfn.XLOOKUP(A2335,[1]!DadosGHD[CD_GEOCMU],[1]!DadosGHD[uf])</f>
        <v>MG</v>
      </c>
      <c r="E2335" s="5" t="str">
        <f>_xlfn.XLOOKUP(A2335,[1]!DadosGHD[CD_GEOCMU],[1]!DadosGHD[MUNICIPIO])</f>
        <v>SAO ROQUE DE MINAS</v>
      </c>
      <c r="F2335" s="6">
        <v>38.642261505127003</v>
      </c>
      <c r="G2335" s="6">
        <v>33.8456001281738</v>
      </c>
      <c r="H2335" s="6">
        <v>33.887702941894503</v>
      </c>
      <c r="I2335" s="6">
        <v>38.723430633544901</v>
      </c>
      <c r="J2335" s="6">
        <v>38.753086090087898</v>
      </c>
      <c r="K2335" s="6">
        <v>43.773769378662102</v>
      </c>
      <c r="L2335" s="6">
        <v>44.028419494628899</v>
      </c>
    </row>
    <row r="2336" spans="1:12" x14ac:dyDescent="0.25">
      <c r="A2336">
        <v>2608909</v>
      </c>
      <c r="B2336" t="str">
        <f t="shared" si="36"/>
        <v>LIMOEIRO, PE, Brasil</v>
      </c>
      <c r="C2336" s="4" t="str">
        <f>_xlfn.XLOOKUP(A2336,[1]!DadosGHD[CD_GEOCMU],[1]!DadosGHD[Região])</f>
        <v>NE</v>
      </c>
      <c r="D2336" s="4" t="str">
        <f>_xlfn.XLOOKUP(A2336,[1]!DadosGHD[CD_GEOCMU],[1]!DadosGHD[uf])</f>
        <v>PE</v>
      </c>
      <c r="E2336" s="5" t="str">
        <f>_xlfn.XLOOKUP(A2336,[1]!DadosGHD[CD_GEOCMU],[1]!DadosGHD[MUNICIPIO])</f>
        <v>LIMOEIRO</v>
      </c>
      <c r="F2336" s="6">
        <v>38.6423950195313</v>
      </c>
      <c r="G2336" s="6">
        <v>38.776405334472699</v>
      </c>
      <c r="H2336" s="6">
        <v>38.837074279785199</v>
      </c>
      <c r="I2336" s="6">
        <v>43.6911811828613</v>
      </c>
      <c r="J2336" s="6">
        <v>43.731960296630902</v>
      </c>
      <c r="K2336" s="6">
        <v>43.782726287841797</v>
      </c>
      <c r="L2336" s="6">
        <v>39.570392608642599</v>
      </c>
    </row>
    <row r="2337" spans="1:12" x14ac:dyDescent="0.25">
      <c r="A2337">
        <v>2303659</v>
      </c>
      <c r="B2337" t="str">
        <f t="shared" si="36"/>
        <v>CATUNDA, CE, Brasil</v>
      </c>
      <c r="C2337" s="4" t="str">
        <f>_xlfn.XLOOKUP(A2337,[1]!DadosGHD[CD_GEOCMU],[1]!DadosGHD[Região])</f>
        <v>NE</v>
      </c>
      <c r="D2337" s="4" t="str">
        <f>_xlfn.XLOOKUP(A2337,[1]!DadosGHD[CD_GEOCMU],[1]!DadosGHD[uf])</f>
        <v>CE</v>
      </c>
      <c r="E2337" s="5" t="str">
        <f>_xlfn.XLOOKUP(A2337,[1]!DadosGHD[CD_GEOCMU],[1]!DadosGHD[MUNICIPIO])</f>
        <v>CATUNDA</v>
      </c>
      <c r="F2337" s="6">
        <v>38.642463684082003</v>
      </c>
      <c r="G2337" s="6">
        <v>38.682865142822301</v>
      </c>
      <c r="H2337" s="6">
        <v>33.883731842041001</v>
      </c>
      <c r="I2337" s="6">
        <v>38.735218048095703</v>
      </c>
      <c r="J2337" s="6">
        <v>38.806941986083999</v>
      </c>
      <c r="K2337" s="6">
        <v>38.803501129150398</v>
      </c>
      <c r="L2337" s="6">
        <v>39.5792427062988</v>
      </c>
    </row>
    <row r="2338" spans="1:12" x14ac:dyDescent="0.25">
      <c r="A2338">
        <v>4118600</v>
      </c>
      <c r="B2338" t="str">
        <f t="shared" si="36"/>
        <v>PAULA FREITAS, PR, Brasil</v>
      </c>
      <c r="C2338" s="4" t="str">
        <f>_xlfn.XLOOKUP(A2338,[1]!DadosGHD[CD_GEOCMU],[1]!DadosGHD[Região])</f>
        <v>SL</v>
      </c>
      <c r="D2338" s="4" t="str">
        <f>_xlfn.XLOOKUP(A2338,[1]!DadosGHD[CD_GEOCMU],[1]!DadosGHD[uf])</f>
        <v>PR</v>
      </c>
      <c r="E2338" s="5" t="str">
        <f>_xlfn.XLOOKUP(A2338,[1]!DadosGHD[CD_GEOCMU],[1]!DadosGHD[MUNICIPIO])</f>
        <v>PAULA FREITAS</v>
      </c>
      <c r="F2338" s="6">
        <v>38.642478942871101</v>
      </c>
      <c r="G2338" s="6">
        <v>38.742790222167997</v>
      </c>
      <c r="H2338" s="6">
        <v>33.842716217041001</v>
      </c>
      <c r="I2338" s="6">
        <v>33.872634887695298</v>
      </c>
      <c r="J2338" s="6">
        <v>38.837478637695298</v>
      </c>
      <c r="K2338" s="6">
        <v>43.819557189941399</v>
      </c>
      <c r="L2338" s="6">
        <v>48.513748168945298</v>
      </c>
    </row>
    <row r="2339" spans="1:12" x14ac:dyDescent="0.25">
      <c r="A2339">
        <v>4211652</v>
      </c>
      <c r="B2339" t="str">
        <f t="shared" si="36"/>
        <v>NOVO HORIZONTE, SC, Brasil</v>
      </c>
      <c r="C2339" s="4" t="str">
        <f>_xlfn.XLOOKUP(A2339,[1]!DadosGHD[CD_GEOCMU],[1]!DadosGHD[Região])</f>
        <v>SL</v>
      </c>
      <c r="D2339" s="4" t="str">
        <f>_xlfn.XLOOKUP(A2339,[1]!DadosGHD[CD_GEOCMU],[1]!DadosGHD[uf])</f>
        <v>SC</v>
      </c>
      <c r="E2339" s="5" t="str">
        <f>_xlfn.XLOOKUP(A2339,[1]!DadosGHD[CD_GEOCMU],[1]!DadosGHD[MUNICIPIO])</f>
        <v>NOVO HORIZONTE</v>
      </c>
      <c r="F2339" s="6">
        <v>38.642486572265597</v>
      </c>
      <c r="G2339" s="6">
        <v>48.693794250488303</v>
      </c>
      <c r="H2339" s="6">
        <v>48.759071350097699</v>
      </c>
      <c r="I2339" s="6">
        <v>48.720100402832003</v>
      </c>
      <c r="J2339" s="6">
        <v>48.739425659179702</v>
      </c>
      <c r="K2339" s="6">
        <v>48.843818664550803</v>
      </c>
      <c r="L2339" s="6">
        <v>44.016242980957003</v>
      </c>
    </row>
    <row r="2340" spans="1:12" x14ac:dyDescent="0.25">
      <c r="A2340">
        <v>2604304</v>
      </c>
      <c r="B2340" t="str">
        <f t="shared" si="36"/>
        <v>CEDRO, PE, Brasil</v>
      </c>
      <c r="C2340" s="4" t="str">
        <f>_xlfn.XLOOKUP(A2340,[1]!DadosGHD[CD_GEOCMU],[1]!DadosGHD[Região])</f>
        <v>NE</v>
      </c>
      <c r="D2340" s="4" t="str">
        <f>_xlfn.XLOOKUP(A2340,[1]!DadosGHD[CD_GEOCMU],[1]!DadosGHD[uf])</f>
        <v>PE</v>
      </c>
      <c r="E2340" s="5" t="str">
        <f>_xlfn.XLOOKUP(A2340,[1]!DadosGHD[CD_GEOCMU],[1]!DadosGHD[MUNICIPIO])</f>
        <v>CEDRO</v>
      </c>
      <c r="F2340" s="6">
        <v>38.642585754394503</v>
      </c>
      <c r="G2340" s="6">
        <v>38.734611511230497</v>
      </c>
      <c r="H2340" s="6">
        <v>38.750770568847699</v>
      </c>
      <c r="I2340" s="6">
        <v>38.719230651855497</v>
      </c>
      <c r="J2340" s="6">
        <v>38.745780944824197</v>
      </c>
      <c r="K2340" s="6">
        <v>38.781787872314503</v>
      </c>
      <c r="L2340" s="6">
        <v>35.147388458252003</v>
      </c>
    </row>
    <row r="2341" spans="1:12" x14ac:dyDescent="0.25">
      <c r="A2341">
        <v>2911907</v>
      </c>
      <c r="B2341" t="str">
        <f t="shared" si="36"/>
        <v>IACU, BA, Brasil</v>
      </c>
      <c r="C2341" s="4" t="str">
        <f>_xlfn.XLOOKUP(A2341,[1]!DadosGHD[CD_GEOCMU],[1]!DadosGHD[Região])</f>
        <v>NE</v>
      </c>
      <c r="D2341" s="4" t="str">
        <f>_xlfn.XLOOKUP(A2341,[1]!DadosGHD[CD_GEOCMU],[1]!DadosGHD[uf])</f>
        <v>BA</v>
      </c>
      <c r="E2341" s="5" t="str">
        <f>_xlfn.XLOOKUP(A2341,[1]!DadosGHD[CD_GEOCMU],[1]!DadosGHD[MUNICIPIO])</f>
        <v>IACU</v>
      </c>
      <c r="F2341" s="6">
        <v>38.642715454101598</v>
      </c>
      <c r="G2341" s="6">
        <v>38.708988189697301</v>
      </c>
      <c r="H2341" s="6">
        <v>38.783393859863303</v>
      </c>
      <c r="I2341" s="6">
        <v>38.755332946777301</v>
      </c>
      <c r="J2341" s="6">
        <v>33.864650726318402</v>
      </c>
      <c r="K2341" s="6">
        <v>33.8930053710938</v>
      </c>
      <c r="L2341" s="6">
        <v>30.722164154052699</v>
      </c>
    </row>
    <row r="2342" spans="1:12" x14ac:dyDescent="0.25">
      <c r="A2342">
        <v>3135456</v>
      </c>
      <c r="B2342" t="str">
        <f t="shared" si="36"/>
        <v>JENIPAPO DE MINAS, MG, Brasil</v>
      </c>
      <c r="C2342" s="4" t="str">
        <f>_xlfn.XLOOKUP(A2342,[1]!DadosGHD[CD_GEOCMU],[1]!DadosGHD[Região])</f>
        <v>SD</v>
      </c>
      <c r="D2342" s="4" t="str">
        <f>_xlfn.XLOOKUP(A2342,[1]!DadosGHD[CD_GEOCMU],[1]!DadosGHD[uf])</f>
        <v>MG</v>
      </c>
      <c r="E2342" s="5" t="str">
        <f>_xlfn.XLOOKUP(A2342,[1]!DadosGHD[CD_GEOCMU],[1]!DadosGHD[MUNICIPIO])</f>
        <v>JENIPAPO DE MINAS</v>
      </c>
      <c r="F2342" s="6">
        <v>38.642814636230497</v>
      </c>
      <c r="G2342" s="6">
        <v>38.706634521484403</v>
      </c>
      <c r="H2342" s="6">
        <v>38.752967834472699</v>
      </c>
      <c r="I2342" s="6">
        <v>38.723709106445298</v>
      </c>
      <c r="J2342" s="6">
        <v>33.88720703125</v>
      </c>
      <c r="K2342" s="6">
        <v>38.801887512207003</v>
      </c>
      <c r="L2342" s="6">
        <v>35.151584625244098</v>
      </c>
    </row>
    <row r="2343" spans="1:12" x14ac:dyDescent="0.25">
      <c r="A2343">
        <v>2918308</v>
      </c>
      <c r="B2343" t="str">
        <f t="shared" si="36"/>
        <v>JITAUNA, BA, Brasil</v>
      </c>
      <c r="C2343" s="4" t="str">
        <f>_xlfn.XLOOKUP(A2343,[1]!DadosGHD[CD_GEOCMU],[1]!DadosGHD[Região])</f>
        <v>NE</v>
      </c>
      <c r="D2343" s="4" t="str">
        <f>_xlfn.XLOOKUP(A2343,[1]!DadosGHD[CD_GEOCMU],[1]!DadosGHD[uf])</f>
        <v>BA</v>
      </c>
      <c r="E2343" s="5" t="str">
        <f>_xlfn.XLOOKUP(A2343,[1]!DadosGHD[CD_GEOCMU],[1]!DadosGHD[MUNICIPIO])</f>
        <v>JITAUNA</v>
      </c>
      <c r="F2343" s="6">
        <v>38.642860412597699</v>
      </c>
      <c r="G2343" s="6">
        <v>38.703605651855497</v>
      </c>
      <c r="H2343" s="6">
        <v>38.7566108703613</v>
      </c>
      <c r="I2343" s="6">
        <v>38.743003845214801</v>
      </c>
      <c r="J2343" s="6">
        <v>38.747615814208999</v>
      </c>
      <c r="K2343" s="6">
        <v>33.913661956787102</v>
      </c>
      <c r="L2343" s="6">
        <v>26.295345306396499</v>
      </c>
    </row>
    <row r="2344" spans="1:12" x14ac:dyDescent="0.25">
      <c r="A2344">
        <v>4312427</v>
      </c>
      <c r="B2344" t="str">
        <f t="shared" si="36"/>
        <v>MORMACO, RS, Brasil</v>
      </c>
      <c r="C2344" s="4" t="str">
        <f>_xlfn.XLOOKUP(A2344,[1]!DadosGHD[CD_GEOCMU],[1]!DadosGHD[Região])</f>
        <v>SL</v>
      </c>
      <c r="D2344" s="4" t="str">
        <f>_xlfn.XLOOKUP(A2344,[1]!DadosGHD[CD_GEOCMU],[1]!DadosGHD[uf])</f>
        <v>RS</v>
      </c>
      <c r="E2344" s="5" t="str">
        <f>_xlfn.XLOOKUP(A2344,[1]!DadosGHD[CD_GEOCMU],[1]!DadosGHD[MUNICIPIO])</f>
        <v>MORMACO</v>
      </c>
      <c r="F2344" s="6">
        <v>38.643180847167997</v>
      </c>
      <c r="G2344" s="6">
        <v>43.696048736572301</v>
      </c>
      <c r="H2344" s="6">
        <v>43.7080078125</v>
      </c>
      <c r="I2344" s="6">
        <v>43.802707672119098</v>
      </c>
      <c r="J2344" s="6">
        <v>48.735794067382798</v>
      </c>
      <c r="K2344" s="6">
        <v>43.884654998779297</v>
      </c>
      <c r="L2344" s="6">
        <v>44.058120727539098</v>
      </c>
    </row>
    <row r="2345" spans="1:12" x14ac:dyDescent="0.25">
      <c r="A2345">
        <v>2509156</v>
      </c>
      <c r="B2345" t="str">
        <f t="shared" si="36"/>
        <v>MARIZOPOLIS, PB, Brasil</v>
      </c>
      <c r="C2345" s="4" t="str">
        <f>_xlfn.XLOOKUP(A2345,[1]!DadosGHD[CD_GEOCMU],[1]!DadosGHD[Região])</f>
        <v>NE</v>
      </c>
      <c r="D2345" s="4" t="str">
        <f>_xlfn.XLOOKUP(A2345,[1]!DadosGHD[CD_GEOCMU],[1]!DadosGHD[uf])</f>
        <v>PB</v>
      </c>
      <c r="E2345" s="5" t="str">
        <f>_xlfn.XLOOKUP(A2345,[1]!DadosGHD[CD_GEOCMU],[1]!DadosGHD[MUNICIPIO])</f>
        <v>MARIZOPOLIS</v>
      </c>
      <c r="F2345" s="6">
        <v>38.643222808837898</v>
      </c>
      <c r="G2345" s="6">
        <v>38.704830169677699</v>
      </c>
      <c r="H2345" s="6">
        <v>38.760322570800803</v>
      </c>
      <c r="I2345" s="6">
        <v>38.7297172546387</v>
      </c>
      <c r="J2345" s="6">
        <v>28.978685379028299</v>
      </c>
      <c r="K2345" s="6">
        <v>33.843456268310597</v>
      </c>
      <c r="L2345" s="6">
        <v>30.716724395751999</v>
      </c>
    </row>
    <row r="2346" spans="1:12" x14ac:dyDescent="0.25">
      <c r="A2346">
        <v>3112505</v>
      </c>
      <c r="B2346" t="str">
        <f t="shared" si="36"/>
        <v>CAPIM BRANCO, MG, Brasil</v>
      </c>
      <c r="C2346" s="4" t="str">
        <f>_xlfn.XLOOKUP(A2346,[1]!DadosGHD[CD_GEOCMU],[1]!DadosGHD[Região])</f>
        <v>SD</v>
      </c>
      <c r="D2346" s="4" t="str">
        <f>_xlfn.XLOOKUP(A2346,[1]!DadosGHD[CD_GEOCMU],[1]!DadosGHD[uf])</f>
        <v>MG</v>
      </c>
      <c r="E2346" s="5" t="str">
        <f>_xlfn.XLOOKUP(A2346,[1]!DadosGHD[CD_GEOCMU],[1]!DadosGHD[MUNICIPIO])</f>
        <v>CAPIM BRANCO</v>
      </c>
      <c r="F2346" s="6">
        <v>38.643268585205099</v>
      </c>
      <c r="G2346" s="6">
        <v>48.633171081542997</v>
      </c>
      <c r="H2346" s="6">
        <v>38.840824127197301</v>
      </c>
      <c r="I2346" s="6">
        <v>43.730556488037102</v>
      </c>
      <c r="J2346" s="6">
        <v>43.7409477233887</v>
      </c>
      <c r="K2346" s="6">
        <v>43.778118133544901</v>
      </c>
      <c r="L2346" s="6">
        <v>48.518680572509801</v>
      </c>
    </row>
    <row r="2347" spans="1:12" x14ac:dyDescent="0.25">
      <c r="A2347">
        <v>1714880</v>
      </c>
      <c r="B2347" t="str">
        <f t="shared" si="36"/>
        <v>NOVA OLINDA, TO, Brasil</v>
      </c>
      <c r="C2347" s="4" t="str">
        <f>_xlfn.XLOOKUP(A2347,[1]!DadosGHD[CD_GEOCMU],[1]!DadosGHD[Região])</f>
        <v>NO</v>
      </c>
      <c r="D2347" s="4" t="str">
        <f>_xlfn.XLOOKUP(A2347,[1]!DadosGHD[CD_GEOCMU],[1]!DadosGHD[uf])</f>
        <v>TO</v>
      </c>
      <c r="E2347" s="5" t="str">
        <f>_xlfn.XLOOKUP(A2347,[1]!DadosGHD[CD_GEOCMU],[1]!DadosGHD[MUNICIPIO])</f>
        <v>NOVA OLINDA</v>
      </c>
      <c r="F2347" s="6">
        <v>38.6437797546387</v>
      </c>
      <c r="G2347" s="6">
        <v>33.846179962158203</v>
      </c>
      <c r="H2347" s="6">
        <v>33.876541137695298</v>
      </c>
      <c r="I2347" s="6">
        <v>33.843578338623097</v>
      </c>
      <c r="J2347" s="6">
        <v>38.743125915527301</v>
      </c>
      <c r="K2347" s="6">
        <v>38.784027099609403</v>
      </c>
      <c r="L2347" s="6">
        <v>35.152870178222699</v>
      </c>
    </row>
    <row r="2348" spans="1:12" x14ac:dyDescent="0.25">
      <c r="A2348">
        <v>3102100</v>
      </c>
      <c r="B2348" t="str">
        <f t="shared" si="36"/>
        <v>ALTO RIO DOCE, MG, Brasil</v>
      </c>
      <c r="C2348" s="4" t="str">
        <f>_xlfn.XLOOKUP(A2348,[1]!DadosGHD[CD_GEOCMU],[1]!DadosGHD[Região])</f>
        <v>SD</v>
      </c>
      <c r="D2348" s="4" t="str">
        <f>_xlfn.XLOOKUP(A2348,[1]!DadosGHD[CD_GEOCMU],[1]!DadosGHD[uf])</f>
        <v>MG</v>
      </c>
      <c r="E2348" s="5" t="str">
        <f>_xlfn.XLOOKUP(A2348,[1]!DadosGHD[CD_GEOCMU],[1]!DadosGHD[MUNICIPIO])</f>
        <v>ALTO RIO DOCE</v>
      </c>
      <c r="F2348" s="6">
        <v>38.644050598144503</v>
      </c>
      <c r="G2348" s="6">
        <v>38.714393615722699</v>
      </c>
      <c r="H2348" s="6">
        <v>38.761924743652301</v>
      </c>
      <c r="I2348" s="6">
        <v>38.764503479003899</v>
      </c>
      <c r="J2348" s="6">
        <v>43.744396209716797</v>
      </c>
      <c r="K2348" s="6">
        <v>43.800579071044901</v>
      </c>
      <c r="L2348" s="6">
        <v>39.609367370605497</v>
      </c>
    </row>
    <row r="2349" spans="1:12" x14ac:dyDescent="0.25">
      <c r="A2349">
        <v>2202083</v>
      </c>
      <c r="B2349" t="str">
        <f t="shared" si="36"/>
        <v>CAJUEIRO DA PRAIA, PI, Brasil</v>
      </c>
      <c r="C2349" s="4" t="str">
        <f>_xlfn.XLOOKUP(A2349,[1]!DadosGHD[CD_GEOCMU],[1]!DadosGHD[Região])</f>
        <v>NE</v>
      </c>
      <c r="D2349" s="4" t="str">
        <f>_xlfn.XLOOKUP(A2349,[1]!DadosGHD[CD_GEOCMU],[1]!DadosGHD[uf])</f>
        <v>PI</v>
      </c>
      <c r="E2349" s="5" t="str">
        <f>_xlfn.XLOOKUP(A2349,[1]!DadosGHD[CD_GEOCMU],[1]!DadosGHD[MUNICIPIO])</f>
        <v>CAJUEIRO DA PRAIA</v>
      </c>
      <c r="F2349" s="6">
        <v>38.644054412841797</v>
      </c>
      <c r="G2349" s="6">
        <v>33.832862854003899</v>
      </c>
      <c r="H2349" s="6">
        <v>33.833332061767599</v>
      </c>
      <c r="I2349" s="6">
        <v>33.8159790039063</v>
      </c>
      <c r="J2349" s="6">
        <v>33.831218719482401</v>
      </c>
      <c r="K2349" s="6">
        <v>33.919158935546903</v>
      </c>
      <c r="L2349" s="6">
        <v>35.1233520507813</v>
      </c>
    </row>
    <row r="2350" spans="1:12" x14ac:dyDescent="0.25">
      <c r="A2350">
        <v>4321956</v>
      </c>
      <c r="B2350" t="str">
        <f t="shared" si="36"/>
        <v>TRINDADE DO SUL, RS, Brasil</v>
      </c>
      <c r="C2350" s="4" t="str">
        <f>_xlfn.XLOOKUP(A2350,[1]!DadosGHD[CD_GEOCMU],[1]!DadosGHD[Região])</f>
        <v>SL</v>
      </c>
      <c r="D2350" s="4" t="str">
        <f>_xlfn.XLOOKUP(A2350,[1]!DadosGHD[CD_GEOCMU],[1]!DadosGHD[uf])</f>
        <v>RS</v>
      </c>
      <c r="E2350" s="5" t="str">
        <f>_xlfn.XLOOKUP(A2350,[1]!DadosGHD[CD_GEOCMU],[1]!DadosGHD[MUNICIPIO])</f>
        <v>TRINDADE DO SUL</v>
      </c>
      <c r="F2350" s="6">
        <v>38.644096374511697</v>
      </c>
      <c r="G2350" s="6">
        <v>38.771354675292997</v>
      </c>
      <c r="H2350" s="6">
        <v>38.781730651855497</v>
      </c>
      <c r="I2350" s="6">
        <v>38.760162353515597</v>
      </c>
      <c r="J2350" s="6">
        <v>43.803184509277301</v>
      </c>
      <c r="K2350" s="6">
        <v>53.9293403625488</v>
      </c>
      <c r="L2350" s="6">
        <v>44.078178405761697</v>
      </c>
    </row>
    <row r="2351" spans="1:12" x14ac:dyDescent="0.25">
      <c r="A2351">
        <v>3166303</v>
      </c>
      <c r="B2351" t="str">
        <f t="shared" si="36"/>
        <v>SERICITA, MG, Brasil</v>
      </c>
      <c r="C2351" s="4" t="str">
        <f>_xlfn.XLOOKUP(A2351,[1]!DadosGHD[CD_GEOCMU],[1]!DadosGHD[Região])</f>
        <v>SD</v>
      </c>
      <c r="D2351" s="4" t="str">
        <f>_xlfn.XLOOKUP(A2351,[1]!DadosGHD[CD_GEOCMU],[1]!DadosGHD[uf])</f>
        <v>MG</v>
      </c>
      <c r="E2351" s="5" t="str">
        <f>_xlfn.XLOOKUP(A2351,[1]!DadosGHD[CD_GEOCMU],[1]!DadosGHD[MUNICIPIO])</f>
        <v>SERICITA</v>
      </c>
      <c r="F2351" s="6">
        <v>38.644153594970703</v>
      </c>
      <c r="G2351" s="6">
        <v>38.782684326171903</v>
      </c>
      <c r="H2351" s="6">
        <v>38.829544067382798</v>
      </c>
      <c r="I2351" s="6">
        <v>38.796485900878899</v>
      </c>
      <c r="J2351" s="6">
        <v>38.8067626953125</v>
      </c>
      <c r="K2351" s="6">
        <v>38.856292724609403</v>
      </c>
      <c r="L2351" s="6">
        <v>30.712406158447301</v>
      </c>
    </row>
    <row r="2352" spans="1:12" x14ac:dyDescent="0.25">
      <c r="A2352">
        <v>3135605</v>
      </c>
      <c r="B2352" t="str">
        <f t="shared" si="36"/>
        <v>JEQUITAI, MG, Brasil</v>
      </c>
      <c r="C2352" s="4" t="str">
        <f>_xlfn.XLOOKUP(A2352,[1]!DadosGHD[CD_GEOCMU],[1]!DadosGHD[Região])</f>
        <v>SD</v>
      </c>
      <c r="D2352" s="4" t="str">
        <f>_xlfn.XLOOKUP(A2352,[1]!DadosGHD[CD_GEOCMU],[1]!DadosGHD[uf])</f>
        <v>MG</v>
      </c>
      <c r="E2352" s="5" t="str">
        <f>_xlfn.XLOOKUP(A2352,[1]!DadosGHD[CD_GEOCMU],[1]!DadosGHD[MUNICIPIO])</f>
        <v>JEQUITAI</v>
      </c>
      <c r="F2352" s="6">
        <v>38.644321441650398</v>
      </c>
      <c r="G2352" s="6">
        <v>38.7020454406738</v>
      </c>
      <c r="H2352" s="6">
        <v>38.770347595214801</v>
      </c>
      <c r="I2352" s="6">
        <v>38.7459106445313</v>
      </c>
      <c r="J2352" s="6">
        <v>38.773624420166001</v>
      </c>
      <c r="K2352" s="6">
        <v>38.823600769042997</v>
      </c>
      <c r="L2352" s="6">
        <v>35.132652282714801</v>
      </c>
    </row>
    <row r="2353" spans="1:12" x14ac:dyDescent="0.25">
      <c r="A2353">
        <v>1501758</v>
      </c>
      <c r="B2353" t="str">
        <f t="shared" si="36"/>
        <v>BREJO GRANDE DO ARAGUAIA, PA, Brasil</v>
      </c>
      <c r="C2353" s="4" t="str">
        <f>_xlfn.XLOOKUP(A2353,[1]!DadosGHD[CD_GEOCMU],[1]!DadosGHD[Região])</f>
        <v>NO</v>
      </c>
      <c r="D2353" s="4" t="str">
        <f>_xlfn.XLOOKUP(A2353,[1]!DadosGHD[CD_GEOCMU],[1]!DadosGHD[uf])</f>
        <v>PA</v>
      </c>
      <c r="E2353" s="5" t="str">
        <f>_xlfn.XLOOKUP(A2353,[1]!DadosGHD[CD_GEOCMU],[1]!DadosGHD[MUNICIPIO])</f>
        <v>BREJO GRANDE DO ARAGUAIA</v>
      </c>
      <c r="F2353" s="6">
        <v>38.644363403320298</v>
      </c>
      <c r="G2353" s="6">
        <v>38.708694458007798</v>
      </c>
      <c r="H2353" s="6">
        <v>38.758064270019503</v>
      </c>
      <c r="I2353" s="6">
        <v>38.720867156982401</v>
      </c>
      <c r="J2353" s="6">
        <v>38.742919921875</v>
      </c>
      <c r="K2353" s="6">
        <v>38.780723571777301</v>
      </c>
      <c r="L2353" s="6">
        <v>30.687463760376001</v>
      </c>
    </row>
    <row r="2354" spans="1:12" x14ac:dyDescent="0.25">
      <c r="A2354">
        <v>5100102</v>
      </c>
      <c r="B2354" t="str">
        <f t="shared" si="36"/>
        <v>ACORIZAL, MT, Brasil</v>
      </c>
      <c r="C2354" s="4" t="str">
        <f>_xlfn.XLOOKUP(A2354,[1]!DadosGHD[CD_GEOCMU],[1]!DadosGHD[Região])</f>
        <v>CO</v>
      </c>
      <c r="D2354" s="4" t="str">
        <f>_xlfn.XLOOKUP(A2354,[1]!DadosGHD[CD_GEOCMU],[1]!DadosGHD[uf])</f>
        <v>MT</v>
      </c>
      <c r="E2354" s="5" t="str">
        <f>_xlfn.XLOOKUP(A2354,[1]!DadosGHD[CD_GEOCMU],[1]!DadosGHD[MUNICIPIO])</f>
        <v>ACORIZAL</v>
      </c>
      <c r="F2354" s="6">
        <v>38.644622802734403</v>
      </c>
      <c r="G2354" s="6">
        <v>38.710296630859403</v>
      </c>
      <c r="H2354" s="6">
        <v>43.7150268554688</v>
      </c>
      <c r="I2354" s="6">
        <v>43.687808990478501</v>
      </c>
      <c r="J2354" s="6">
        <v>43.711696624755902</v>
      </c>
      <c r="K2354" s="6">
        <v>38.881072998046903</v>
      </c>
      <c r="L2354" s="6">
        <v>35.112197875976598</v>
      </c>
    </row>
    <row r="2355" spans="1:12" x14ac:dyDescent="0.25">
      <c r="A2355">
        <v>2801603</v>
      </c>
      <c r="B2355" t="str">
        <f t="shared" si="36"/>
        <v>CEDRO DE SAO JOAO, SE, Brasil</v>
      </c>
      <c r="C2355" s="4" t="str">
        <f>_xlfn.XLOOKUP(A2355,[1]!DadosGHD[CD_GEOCMU],[1]!DadosGHD[Região])</f>
        <v>NE</v>
      </c>
      <c r="D2355" s="4" t="str">
        <f>_xlfn.XLOOKUP(A2355,[1]!DadosGHD[CD_GEOCMU],[1]!DadosGHD[uf])</f>
        <v>SE</v>
      </c>
      <c r="E2355" s="5" t="str">
        <f>_xlfn.XLOOKUP(A2355,[1]!DadosGHD[CD_GEOCMU],[1]!DadosGHD[MUNICIPIO])</f>
        <v>CEDRO DE SAO JOAO</v>
      </c>
      <c r="F2355" s="6">
        <v>38.644737243652301</v>
      </c>
      <c r="G2355" s="6">
        <v>38.741889953613303</v>
      </c>
      <c r="H2355" s="6">
        <v>38.782875061035199</v>
      </c>
      <c r="I2355" s="6">
        <v>38.742565155029297</v>
      </c>
      <c r="J2355" s="6">
        <v>38.7531547546387</v>
      </c>
      <c r="K2355" s="6">
        <v>38.819652557373097</v>
      </c>
      <c r="L2355" s="6">
        <v>35.150581359863303</v>
      </c>
    </row>
    <row r="2356" spans="1:12" x14ac:dyDescent="0.25">
      <c r="A2356">
        <v>2604007</v>
      </c>
      <c r="B2356" t="str">
        <f t="shared" si="36"/>
        <v>CARPINA, PE, Brasil</v>
      </c>
      <c r="C2356" s="4" t="str">
        <f>_xlfn.XLOOKUP(A2356,[1]!DadosGHD[CD_GEOCMU],[1]!DadosGHD[Região])</f>
        <v>NE</v>
      </c>
      <c r="D2356" s="4" t="str">
        <f>_xlfn.XLOOKUP(A2356,[1]!DadosGHD[CD_GEOCMU],[1]!DadosGHD[uf])</f>
        <v>PE</v>
      </c>
      <c r="E2356" s="5" t="str">
        <f>_xlfn.XLOOKUP(A2356,[1]!DadosGHD[CD_GEOCMU],[1]!DadosGHD[MUNICIPIO])</f>
        <v>CARPINA</v>
      </c>
      <c r="F2356" s="6">
        <v>38.644767761230497</v>
      </c>
      <c r="G2356" s="6">
        <v>38.683021545410199</v>
      </c>
      <c r="H2356" s="6">
        <v>38.746448516845703</v>
      </c>
      <c r="I2356" s="6">
        <v>38.741355895996101</v>
      </c>
      <c r="J2356" s="6">
        <v>38.779476165771499</v>
      </c>
      <c r="K2356" s="6">
        <v>38.828968048095703</v>
      </c>
      <c r="L2356" s="6">
        <v>35.152412414550803</v>
      </c>
    </row>
    <row r="2357" spans="1:12" x14ac:dyDescent="0.25">
      <c r="A2357">
        <v>2709400</v>
      </c>
      <c r="B2357" t="str">
        <f t="shared" si="36"/>
        <v>VICOSA, AL, Brasil</v>
      </c>
      <c r="C2357" s="4" t="str">
        <f>_xlfn.XLOOKUP(A2357,[1]!DadosGHD[CD_GEOCMU],[1]!DadosGHD[Região])</f>
        <v>NE</v>
      </c>
      <c r="D2357" s="4" t="str">
        <f>_xlfn.XLOOKUP(A2357,[1]!DadosGHD[CD_GEOCMU],[1]!DadosGHD[uf])</f>
        <v>AL</v>
      </c>
      <c r="E2357" s="5" t="str">
        <f>_xlfn.XLOOKUP(A2357,[1]!DadosGHD[CD_GEOCMU],[1]!DadosGHD[MUNICIPIO])</f>
        <v>VICOSA</v>
      </c>
      <c r="F2357" s="6">
        <v>38.6448974609375</v>
      </c>
      <c r="G2357" s="6">
        <v>38.714412689208999</v>
      </c>
      <c r="H2357" s="6">
        <v>38.761631011962898</v>
      </c>
      <c r="I2357" s="6">
        <v>38.729770660400398</v>
      </c>
      <c r="J2357" s="6">
        <v>38.760169982910199</v>
      </c>
      <c r="K2357" s="6">
        <v>38.799251556396499</v>
      </c>
      <c r="L2357" s="6">
        <v>26.295997619628899</v>
      </c>
    </row>
    <row r="2358" spans="1:12" x14ac:dyDescent="0.25">
      <c r="A2358">
        <v>3533254</v>
      </c>
      <c r="B2358" t="str">
        <f t="shared" si="36"/>
        <v>NOVAIS, SP, Brasil</v>
      </c>
      <c r="C2358" s="4" t="str">
        <f>_xlfn.XLOOKUP(A2358,[1]!DadosGHD[CD_GEOCMU],[1]!DadosGHD[Região])</f>
        <v>SD</v>
      </c>
      <c r="D2358" s="4" t="str">
        <f>_xlfn.XLOOKUP(A2358,[1]!DadosGHD[CD_GEOCMU],[1]!DadosGHD[uf])</f>
        <v>SP</v>
      </c>
      <c r="E2358" s="5" t="str">
        <f>_xlfn.XLOOKUP(A2358,[1]!DadosGHD[CD_GEOCMU],[1]!DadosGHD[MUNICIPIO])</f>
        <v>NOVAIS</v>
      </c>
      <c r="F2358" s="6">
        <v>38.645057678222699</v>
      </c>
      <c r="G2358" s="6">
        <v>38.6837348937988</v>
      </c>
      <c r="H2358" s="6">
        <v>33.874404907226598</v>
      </c>
      <c r="I2358" s="6">
        <v>33.843307495117202</v>
      </c>
      <c r="J2358" s="6">
        <v>38.769092559814503</v>
      </c>
      <c r="K2358" s="6">
        <v>38.808197021484403</v>
      </c>
      <c r="L2358" s="6">
        <v>39.574794769287102</v>
      </c>
    </row>
    <row r="2359" spans="1:12" x14ac:dyDescent="0.25">
      <c r="A2359">
        <v>1708205</v>
      </c>
      <c r="B2359" t="str">
        <f t="shared" si="36"/>
        <v>FORMOSO DO ARAGUAIA, TO, Brasil</v>
      </c>
      <c r="C2359" s="4" t="str">
        <f>_xlfn.XLOOKUP(A2359,[1]!DadosGHD[CD_GEOCMU],[1]!DadosGHD[Região])</f>
        <v>NO</v>
      </c>
      <c r="D2359" s="4" t="str">
        <f>_xlfn.XLOOKUP(A2359,[1]!DadosGHD[CD_GEOCMU],[1]!DadosGHD[uf])</f>
        <v>TO</v>
      </c>
      <c r="E2359" s="5" t="str">
        <f>_xlfn.XLOOKUP(A2359,[1]!DadosGHD[CD_GEOCMU],[1]!DadosGHD[MUNICIPIO])</f>
        <v>FORMOSO DO ARAGUAIA</v>
      </c>
      <c r="F2359" s="6">
        <v>38.645103454589801</v>
      </c>
      <c r="G2359" s="6">
        <v>38.723834991455099</v>
      </c>
      <c r="H2359" s="6">
        <v>38.785938262939503</v>
      </c>
      <c r="I2359" s="6">
        <v>38.739963531494098</v>
      </c>
      <c r="J2359" s="6">
        <v>33.895729064941399</v>
      </c>
      <c r="K2359" s="6">
        <v>33.920032501220703</v>
      </c>
      <c r="L2359" s="6">
        <v>30.700111389160199</v>
      </c>
    </row>
    <row r="2360" spans="1:12" x14ac:dyDescent="0.25">
      <c r="A2360">
        <v>4314753</v>
      </c>
      <c r="B2360" t="str">
        <f t="shared" si="36"/>
        <v>POCO DAS ANTAS, RS, Brasil</v>
      </c>
      <c r="C2360" s="4" t="str">
        <f>_xlfn.XLOOKUP(A2360,[1]!DadosGHD[CD_GEOCMU],[1]!DadosGHD[Região])</f>
        <v>SL</v>
      </c>
      <c r="D2360" s="4" t="str">
        <f>_xlfn.XLOOKUP(A2360,[1]!DadosGHD[CD_GEOCMU],[1]!DadosGHD[uf])</f>
        <v>RS</v>
      </c>
      <c r="E2360" s="5" t="str">
        <f>_xlfn.XLOOKUP(A2360,[1]!DadosGHD[CD_GEOCMU],[1]!DadosGHD[MUNICIPIO])</f>
        <v>POCO DAS ANTAS</v>
      </c>
      <c r="F2360" s="6">
        <v>38.645149230957003</v>
      </c>
      <c r="G2360" s="6">
        <v>48.692905426025398</v>
      </c>
      <c r="H2360" s="6">
        <v>48.851470947265597</v>
      </c>
      <c r="I2360" s="6">
        <v>58.867660522460902</v>
      </c>
      <c r="J2360" s="6">
        <v>63.9471626281738</v>
      </c>
      <c r="K2360" s="6">
        <v>59.070846557617202</v>
      </c>
      <c r="L2360" s="6">
        <v>57.589881896972699</v>
      </c>
    </row>
    <row r="2361" spans="1:12" x14ac:dyDescent="0.25">
      <c r="A2361">
        <v>2310605</v>
      </c>
      <c r="B2361" t="str">
        <f t="shared" si="36"/>
        <v>PENAFORTE, CE, Brasil</v>
      </c>
      <c r="C2361" s="4" t="str">
        <f>_xlfn.XLOOKUP(A2361,[1]!DadosGHD[CD_GEOCMU],[1]!DadosGHD[Região])</f>
        <v>NE</v>
      </c>
      <c r="D2361" s="4" t="str">
        <f>_xlfn.XLOOKUP(A2361,[1]!DadosGHD[CD_GEOCMU],[1]!DadosGHD[uf])</f>
        <v>CE</v>
      </c>
      <c r="E2361" s="5" t="str">
        <f>_xlfn.XLOOKUP(A2361,[1]!DadosGHD[CD_GEOCMU],[1]!DadosGHD[MUNICIPIO])</f>
        <v>PENAFORTE</v>
      </c>
      <c r="F2361" s="6">
        <v>38.645217895507798</v>
      </c>
      <c r="G2361" s="6">
        <v>38.699161529541001</v>
      </c>
      <c r="H2361" s="6">
        <v>38.742279052734403</v>
      </c>
      <c r="I2361" s="6">
        <v>33.862308502197301</v>
      </c>
      <c r="J2361" s="6">
        <v>33.877548217773402</v>
      </c>
      <c r="K2361" s="6">
        <v>38.830314636230497</v>
      </c>
      <c r="L2361" s="6">
        <v>35.123409271240199</v>
      </c>
    </row>
    <row r="2362" spans="1:12" x14ac:dyDescent="0.25">
      <c r="A2362">
        <v>2504702</v>
      </c>
      <c r="B2362" t="str">
        <f t="shared" si="36"/>
        <v>CONGO, PB, Brasil</v>
      </c>
      <c r="C2362" s="4" t="str">
        <f>_xlfn.XLOOKUP(A2362,[1]!DadosGHD[CD_GEOCMU],[1]!DadosGHD[Região])</f>
        <v>NE</v>
      </c>
      <c r="D2362" s="4" t="str">
        <f>_xlfn.XLOOKUP(A2362,[1]!DadosGHD[CD_GEOCMU],[1]!DadosGHD[uf])</f>
        <v>PB</v>
      </c>
      <c r="E2362" s="5" t="str">
        <f>_xlfn.XLOOKUP(A2362,[1]!DadosGHD[CD_GEOCMU],[1]!DadosGHD[MUNICIPIO])</f>
        <v>CONGO</v>
      </c>
      <c r="F2362" s="6">
        <v>38.645240783691399</v>
      </c>
      <c r="G2362" s="6">
        <v>38.684036254882798</v>
      </c>
      <c r="H2362" s="6">
        <v>38.797641754150398</v>
      </c>
      <c r="I2362" s="6">
        <v>38.8159370422363</v>
      </c>
      <c r="J2362" s="6">
        <v>38.777877807617202</v>
      </c>
      <c r="K2362" s="6">
        <v>43.777740478515597</v>
      </c>
      <c r="L2362" s="6">
        <v>35.132728576660199</v>
      </c>
    </row>
    <row r="2363" spans="1:12" x14ac:dyDescent="0.25">
      <c r="A2363">
        <v>1500131</v>
      </c>
      <c r="B2363" t="str">
        <f t="shared" si="36"/>
        <v>ABEL FIGUEIREDO, PA, Brasil</v>
      </c>
      <c r="C2363" s="4" t="str">
        <f>_xlfn.XLOOKUP(A2363,[1]!DadosGHD[CD_GEOCMU],[1]!DadosGHD[Região])</f>
        <v>NO</v>
      </c>
      <c r="D2363" s="4" t="str">
        <f>_xlfn.XLOOKUP(A2363,[1]!DadosGHD[CD_GEOCMU],[1]!DadosGHD[uf])</f>
        <v>PA</v>
      </c>
      <c r="E2363" s="5" t="str">
        <f>_xlfn.XLOOKUP(A2363,[1]!DadosGHD[CD_GEOCMU],[1]!DadosGHD[MUNICIPIO])</f>
        <v>ABEL FIGUEIREDO</v>
      </c>
      <c r="F2363" s="6">
        <v>38.645320892333999</v>
      </c>
      <c r="G2363" s="6">
        <v>38.702789306640597</v>
      </c>
      <c r="H2363" s="6">
        <v>38.741905212402301</v>
      </c>
      <c r="I2363" s="6">
        <v>38.714645385742202</v>
      </c>
      <c r="J2363" s="6">
        <v>33.890735626220703</v>
      </c>
      <c r="K2363" s="6">
        <v>38.844367980957003</v>
      </c>
      <c r="L2363" s="6">
        <v>30.711002349853501</v>
      </c>
    </row>
    <row r="2364" spans="1:12" x14ac:dyDescent="0.25">
      <c r="A2364">
        <v>5100359</v>
      </c>
      <c r="B2364" t="str">
        <f t="shared" si="36"/>
        <v>ALTO BOA VISTA, MT, Brasil</v>
      </c>
      <c r="C2364" s="4" t="str">
        <f>_xlfn.XLOOKUP(A2364,[1]!DadosGHD[CD_GEOCMU],[1]!DadosGHD[Região])</f>
        <v>CO</v>
      </c>
      <c r="D2364" s="4" t="str">
        <f>_xlfn.XLOOKUP(A2364,[1]!DadosGHD[CD_GEOCMU],[1]!DadosGHD[uf])</f>
        <v>MT</v>
      </c>
      <c r="E2364" s="5" t="str">
        <f>_xlfn.XLOOKUP(A2364,[1]!DadosGHD[CD_GEOCMU],[1]!DadosGHD[MUNICIPIO])</f>
        <v>ALTO BOA VISTA</v>
      </c>
      <c r="F2364" s="6">
        <v>38.645668029785199</v>
      </c>
      <c r="G2364" s="6">
        <v>43.643341064453097</v>
      </c>
      <c r="H2364" s="6">
        <v>38.817214965820298</v>
      </c>
      <c r="I2364" s="6">
        <v>38.767391204833999</v>
      </c>
      <c r="J2364" s="6">
        <v>38.7905883789063</v>
      </c>
      <c r="K2364" s="6">
        <v>38.8274536132813</v>
      </c>
      <c r="L2364" s="6">
        <v>35.119087219238303</v>
      </c>
    </row>
    <row r="2365" spans="1:12" x14ac:dyDescent="0.25">
      <c r="A2365">
        <v>4124004</v>
      </c>
      <c r="B2365" t="str">
        <f t="shared" si="36"/>
        <v>SANTANA DO ITARARE, PR, Brasil</v>
      </c>
      <c r="C2365" s="4" t="str">
        <f>_xlfn.XLOOKUP(A2365,[1]!DadosGHD[CD_GEOCMU],[1]!DadosGHD[Região])</f>
        <v>SL</v>
      </c>
      <c r="D2365" s="4" t="str">
        <f>_xlfn.XLOOKUP(A2365,[1]!DadosGHD[CD_GEOCMU],[1]!DadosGHD[uf])</f>
        <v>PR</v>
      </c>
      <c r="E2365" s="5" t="str">
        <f>_xlfn.XLOOKUP(A2365,[1]!DadosGHD[CD_GEOCMU],[1]!DadosGHD[MUNICIPIO])</f>
        <v>SANTANA DO ITARARE</v>
      </c>
      <c r="F2365" s="6">
        <v>38.645721435546903</v>
      </c>
      <c r="G2365" s="6">
        <v>43.654209136962898</v>
      </c>
      <c r="H2365" s="6">
        <v>43.719112396240199</v>
      </c>
      <c r="I2365" s="6">
        <v>43.697402954101598</v>
      </c>
      <c r="J2365" s="6">
        <v>43.7139701843262</v>
      </c>
      <c r="K2365" s="6">
        <v>38.884910583496101</v>
      </c>
      <c r="L2365" s="6">
        <v>35.156982421875</v>
      </c>
    </row>
    <row r="2366" spans="1:12" x14ac:dyDescent="0.25">
      <c r="A2366">
        <v>2918407</v>
      </c>
      <c r="B2366" t="str">
        <f t="shared" si="36"/>
        <v>JUAZEIRO, BA, Brasil</v>
      </c>
      <c r="C2366" s="4" t="str">
        <f>_xlfn.XLOOKUP(A2366,[1]!DadosGHD[CD_GEOCMU],[1]!DadosGHD[Região])</f>
        <v>NE</v>
      </c>
      <c r="D2366" s="4" t="str">
        <f>_xlfn.XLOOKUP(A2366,[1]!DadosGHD[CD_GEOCMU],[1]!DadosGHD[uf])</f>
        <v>BA</v>
      </c>
      <c r="E2366" s="5" t="str">
        <f>_xlfn.XLOOKUP(A2366,[1]!DadosGHD[CD_GEOCMU],[1]!DadosGHD[MUNICIPIO])</f>
        <v>JUAZEIRO</v>
      </c>
      <c r="F2366" s="6">
        <v>38.645755767822301</v>
      </c>
      <c r="G2366" s="6">
        <v>38.721263885498097</v>
      </c>
      <c r="H2366" s="6">
        <v>38.8092231750488</v>
      </c>
      <c r="I2366" s="6">
        <v>38.764358520507798</v>
      </c>
      <c r="J2366" s="6">
        <v>38.836994171142599</v>
      </c>
      <c r="K2366" s="6">
        <v>38.854873657226598</v>
      </c>
      <c r="L2366" s="6">
        <v>35.132640838623097</v>
      </c>
    </row>
    <row r="2367" spans="1:12" x14ac:dyDescent="0.25">
      <c r="A2367">
        <v>5213855</v>
      </c>
      <c r="B2367" t="str">
        <f t="shared" si="36"/>
        <v>MORRO AGUDO DE GOIAS, GO, Brasil</v>
      </c>
      <c r="C2367" s="4" t="str">
        <f>_xlfn.XLOOKUP(A2367,[1]!DadosGHD[CD_GEOCMU],[1]!DadosGHD[Região])</f>
        <v>CO</v>
      </c>
      <c r="D2367" s="4" t="str">
        <f>_xlfn.XLOOKUP(A2367,[1]!DadosGHD[CD_GEOCMU],[1]!DadosGHD[uf])</f>
        <v>GO</v>
      </c>
      <c r="E2367" s="5" t="str">
        <f>_xlfn.XLOOKUP(A2367,[1]!DadosGHD[CD_GEOCMU],[1]!DadosGHD[MUNICIPIO])</f>
        <v>MORRO AGUDO DE GOIAS</v>
      </c>
      <c r="F2367" s="6">
        <v>38.645790100097699</v>
      </c>
      <c r="G2367" s="6">
        <v>28.907878875732401</v>
      </c>
      <c r="H2367" s="6">
        <v>28.942651748657202</v>
      </c>
      <c r="I2367" s="6">
        <v>28.935560226440401</v>
      </c>
      <c r="J2367" s="6">
        <v>28.951765060424801</v>
      </c>
      <c r="K2367" s="6">
        <v>28.9686679840088</v>
      </c>
      <c r="L2367" s="6">
        <v>26.288812637329102</v>
      </c>
    </row>
    <row r="2368" spans="1:12" x14ac:dyDescent="0.25">
      <c r="A2368">
        <v>3300936</v>
      </c>
      <c r="B2368" t="str">
        <f t="shared" si="36"/>
        <v>CARAPEBUS, RJ, Brasil</v>
      </c>
      <c r="C2368" s="4" t="str">
        <f>_xlfn.XLOOKUP(A2368,[1]!DadosGHD[CD_GEOCMU],[1]!DadosGHD[Região])</f>
        <v>SD</v>
      </c>
      <c r="D2368" s="4" t="str">
        <f>_xlfn.XLOOKUP(A2368,[1]!DadosGHD[CD_GEOCMU],[1]!DadosGHD[uf])</f>
        <v>RJ</v>
      </c>
      <c r="E2368" s="5" t="str">
        <f>_xlfn.XLOOKUP(A2368,[1]!DadosGHD[CD_GEOCMU],[1]!DadosGHD[MUNICIPIO])</f>
        <v>CARAPEBUS</v>
      </c>
      <c r="F2368" s="6">
        <v>38.645820617675803</v>
      </c>
      <c r="G2368" s="6">
        <v>33.816383361816399</v>
      </c>
      <c r="H2368" s="6">
        <v>38.802017211914098</v>
      </c>
      <c r="I2368" s="6">
        <v>38.802288055419901</v>
      </c>
      <c r="J2368" s="6">
        <v>38.800971984863303</v>
      </c>
      <c r="K2368" s="6">
        <v>38.831466674804702</v>
      </c>
      <c r="L2368" s="6">
        <v>35.129005432128899</v>
      </c>
    </row>
    <row r="2369" spans="1:12" x14ac:dyDescent="0.25">
      <c r="A2369">
        <v>3150539</v>
      </c>
      <c r="B2369" t="str">
        <f t="shared" si="36"/>
        <v>PINGO-D'AGUA, MG, Brasil</v>
      </c>
      <c r="C2369" s="4" t="str">
        <f>_xlfn.XLOOKUP(A2369,[1]!DadosGHD[CD_GEOCMU],[1]!DadosGHD[Região])</f>
        <v>SD</v>
      </c>
      <c r="D2369" s="4" t="str">
        <f>_xlfn.XLOOKUP(A2369,[1]!DadosGHD[CD_GEOCMU],[1]!DadosGHD[uf])</f>
        <v>MG</v>
      </c>
      <c r="E2369" s="5" t="str">
        <f>_xlfn.XLOOKUP(A2369,[1]!DadosGHD[CD_GEOCMU],[1]!DadosGHD[MUNICIPIO])</f>
        <v>PINGO-D'AGUA</v>
      </c>
      <c r="F2369" s="6">
        <v>38.645820617675803</v>
      </c>
      <c r="G2369" s="6">
        <v>33.846458435058601</v>
      </c>
      <c r="H2369" s="6">
        <v>33.878856658935597</v>
      </c>
      <c r="I2369" s="6">
        <v>33.854583740234403</v>
      </c>
      <c r="J2369" s="6">
        <v>33.869594573974602</v>
      </c>
      <c r="K2369" s="6">
        <v>33.898952484130902</v>
      </c>
      <c r="L2369" s="6">
        <v>30.706083297729499</v>
      </c>
    </row>
    <row r="2370" spans="1:12" x14ac:dyDescent="0.25">
      <c r="A2370">
        <v>2109908</v>
      </c>
      <c r="B2370" t="str">
        <f t="shared" si="36"/>
        <v>SANTA INES, MA, Brasil</v>
      </c>
      <c r="C2370" s="4" t="str">
        <f>_xlfn.XLOOKUP(A2370,[1]!DadosGHD[CD_GEOCMU],[1]!DadosGHD[Região])</f>
        <v>NE</v>
      </c>
      <c r="D2370" s="4" t="str">
        <f>_xlfn.XLOOKUP(A2370,[1]!DadosGHD[CD_GEOCMU],[1]!DadosGHD[uf])</f>
        <v>MA</v>
      </c>
      <c r="E2370" s="5" t="str">
        <f>_xlfn.XLOOKUP(A2370,[1]!DadosGHD[CD_GEOCMU],[1]!DadosGHD[MUNICIPIO])</f>
        <v>SANTA INES</v>
      </c>
      <c r="F2370" s="6">
        <v>38.645954132080099</v>
      </c>
      <c r="G2370" s="6">
        <v>38.734230041503899</v>
      </c>
      <c r="H2370" s="6">
        <v>38.796821594238303</v>
      </c>
      <c r="I2370" s="6">
        <v>38.744514465332003</v>
      </c>
      <c r="J2370" s="6">
        <v>38.760292053222699</v>
      </c>
      <c r="K2370" s="6">
        <v>38.848663330078097</v>
      </c>
      <c r="L2370" s="6">
        <v>44.040988922119098</v>
      </c>
    </row>
    <row r="2371" spans="1:12" x14ac:dyDescent="0.25">
      <c r="A2371">
        <v>2917508</v>
      </c>
      <c r="B2371" t="str">
        <f t="shared" si="36"/>
        <v>JACOBINA, BA, Brasil</v>
      </c>
      <c r="C2371" s="4" t="str">
        <f>_xlfn.XLOOKUP(A2371,[1]!DadosGHD[CD_GEOCMU],[1]!DadosGHD[Região])</f>
        <v>NE</v>
      </c>
      <c r="D2371" s="4" t="str">
        <f>_xlfn.XLOOKUP(A2371,[1]!DadosGHD[CD_GEOCMU],[1]!DadosGHD[uf])</f>
        <v>BA</v>
      </c>
      <c r="E2371" s="5" t="str">
        <f>_xlfn.XLOOKUP(A2371,[1]!DadosGHD[CD_GEOCMU],[1]!DadosGHD[MUNICIPIO])</f>
        <v>JACOBINA</v>
      </c>
      <c r="F2371" s="6">
        <v>38.646095275878899</v>
      </c>
      <c r="G2371" s="6">
        <v>38.736209869384801</v>
      </c>
      <c r="H2371" s="6">
        <v>38.786018371582003</v>
      </c>
      <c r="I2371" s="6">
        <v>43.703517913818402</v>
      </c>
      <c r="J2371" s="6">
        <v>43.8018798828125</v>
      </c>
      <c r="K2371" s="6">
        <v>48.809303283691399</v>
      </c>
      <c r="L2371" s="6">
        <v>57.521511077880902</v>
      </c>
    </row>
    <row r="2372" spans="1:12" x14ac:dyDescent="0.25">
      <c r="A2372">
        <v>2104107</v>
      </c>
      <c r="B2372" t="str">
        <f t="shared" ref="B2372:B2435" si="37">_xlfn.CONCAT(E2372, ", ", D2372, ", Brasil")</f>
        <v>FORTALEZA DOS NOGUEIRAS, MA, Brasil</v>
      </c>
      <c r="C2372" s="4" t="str">
        <f>_xlfn.XLOOKUP(A2372,[1]!DadosGHD[CD_GEOCMU],[1]!DadosGHD[Região])</f>
        <v>NE</v>
      </c>
      <c r="D2372" s="4" t="str">
        <f>_xlfn.XLOOKUP(A2372,[1]!DadosGHD[CD_GEOCMU],[1]!DadosGHD[uf])</f>
        <v>MA</v>
      </c>
      <c r="E2372" s="5" t="str">
        <f>_xlfn.XLOOKUP(A2372,[1]!DadosGHD[CD_GEOCMU],[1]!DadosGHD[MUNICIPIO])</f>
        <v>FORTALEZA DOS NOGUEIRAS</v>
      </c>
      <c r="F2372" s="6">
        <v>38.646224975585902</v>
      </c>
      <c r="G2372" s="6">
        <v>38.699974060058601</v>
      </c>
      <c r="H2372" s="6">
        <v>38.749855041503899</v>
      </c>
      <c r="I2372" s="6">
        <v>38.752979278564503</v>
      </c>
      <c r="J2372" s="6">
        <v>38.821666717529297</v>
      </c>
      <c r="K2372" s="6">
        <v>43.764919281005902</v>
      </c>
      <c r="L2372" s="6">
        <v>30.690690994262699</v>
      </c>
    </row>
    <row r="2373" spans="1:12" x14ac:dyDescent="0.25">
      <c r="A2373">
        <v>2610004</v>
      </c>
      <c r="B2373" t="str">
        <f t="shared" si="37"/>
        <v>PALMARES, PE, Brasil</v>
      </c>
      <c r="C2373" s="4" t="str">
        <f>_xlfn.XLOOKUP(A2373,[1]!DadosGHD[CD_GEOCMU],[1]!DadosGHD[Região])</f>
        <v>NE</v>
      </c>
      <c r="D2373" s="4" t="str">
        <f>_xlfn.XLOOKUP(A2373,[1]!DadosGHD[CD_GEOCMU],[1]!DadosGHD[uf])</f>
        <v>PE</v>
      </c>
      <c r="E2373" s="5" t="str">
        <f>_xlfn.XLOOKUP(A2373,[1]!DadosGHD[CD_GEOCMU],[1]!DadosGHD[MUNICIPIO])</f>
        <v>PALMARES</v>
      </c>
      <c r="F2373" s="6">
        <v>38.6463012695313</v>
      </c>
      <c r="G2373" s="6">
        <v>38.717994689941399</v>
      </c>
      <c r="H2373" s="6">
        <v>38.768642425537102</v>
      </c>
      <c r="I2373" s="6">
        <v>38.736564636230497</v>
      </c>
      <c r="J2373" s="6">
        <v>38.750743865966797</v>
      </c>
      <c r="K2373" s="6">
        <v>33.915393829345703</v>
      </c>
      <c r="L2373" s="6">
        <v>30.706132888793899</v>
      </c>
    </row>
    <row r="2374" spans="1:12" x14ac:dyDescent="0.25">
      <c r="A2374">
        <v>3106655</v>
      </c>
      <c r="B2374" t="str">
        <f t="shared" si="37"/>
        <v>BERIZAL, MG, Brasil</v>
      </c>
      <c r="C2374" s="4" t="str">
        <f>_xlfn.XLOOKUP(A2374,[1]!DadosGHD[CD_GEOCMU],[1]!DadosGHD[Região])</f>
        <v>SD</v>
      </c>
      <c r="D2374" s="4" t="str">
        <f>_xlfn.XLOOKUP(A2374,[1]!DadosGHD[CD_GEOCMU],[1]!DadosGHD[uf])</f>
        <v>MG</v>
      </c>
      <c r="E2374" s="5" t="str">
        <f>_xlfn.XLOOKUP(A2374,[1]!DadosGHD[CD_GEOCMU],[1]!DadosGHD[MUNICIPIO])</f>
        <v>BERIZAL</v>
      </c>
      <c r="F2374" s="6">
        <v>38.646347045898402</v>
      </c>
      <c r="G2374" s="6">
        <v>33.846900939941399</v>
      </c>
      <c r="H2374" s="6">
        <v>33.885452270507798</v>
      </c>
      <c r="I2374" s="6">
        <v>38.820594787597699</v>
      </c>
      <c r="J2374" s="6">
        <v>38.837310791015597</v>
      </c>
      <c r="K2374" s="6">
        <v>38.882484436035199</v>
      </c>
      <c r="L2374" s="6">
        <v>39.556838989257798</v>
      </c>
    </row>
    <row r="2375" spans="1:12" x14ac:dyDescent="0.25">
      <c r="A2375">
        <v>3205010</v>
      </c>
      <c r="B2375" t="str">
        <f t="shared" si="37"/>
        <v>SOORETAMA, ES, Brasil</v>
      </c>
      <c r="C2375" s="4" t="str">
        <f>_xlfn.XLOOKUP(A2375,[1]!DadosGHD[CD_GEOCMU],[1]!DadosGHD[Região])</f>
        <v>SD</v>
      </c>
      <c r="D2375" s="4" t="str">
        <f>_xlfn.XLOOKUP(A2375,[1]!DadosGHD[CD_GEOCMU],[1]!DadosGHD[uf])</f>
        <v>ES</v>
      </c>
      <c r="E2375" s="5" t="str">
        <f>_xlfn.XLOOKUP(A2375,[1]!DadosGHD[CD_GEOCMU],[1]!DadosGHD[MUNICIPIO])</f>
        <v>SOORETAMA</v>
      </c>
      <c r="F2375" s="6">
        <v>38.646358489990199</v>
      </c>
      <c r="G2375" s="6">
        <v>38.748683929443402</v>
      </c>
      <c r="H2375" s="6">
        <v>38.817173004150398</v>
      </c>
      <c r="I2375" s="6">
        <v>43.690277099609403</v>
      </c>
      <c r="J2375" s="6">
        <v>43.742454528808601</v>
      </c>
      <c r="K2375" s="6">
        <v>43.762031555175803</v>
      </c>
      <c r="L2375" s="6">
        <v>44.0709838867188</v>
      </c>
    </row>
    <row r="2376" spans="1:12" x14ac:dyDescent="0.25">
      <c r="A2376">
        <v>4218350</v>
      </c>
      <c r="B2376" t="str">
        <f t="shared" si="37"/>
        <v>TREVISO, SC, Brasil</v>
      </c>
      <c r="C2376" s="4" t="str">
        <f>_xlfn.XLOOKUP(A2376,[1]!DadosGHD[CD_GEOCMU],[1]!DadosGHD[Região])</f>
        <v>SL</v>
      </c>
      <c r="D2376" s="4" t="str">
        <f>_xlfn.XLOOKUP(A2376,[1]!DadosGHD[CD_GEOCMU],[1]!DadosGHD[uf])</f>
        <v>SC</v>
      </c>
      <c r="E2376" s="5" t="str">
        <f>_xlfn.XLOOKUP(A2376,[1]!DadosGHD[CD_GEOCMU],[1]!DadosGHD[MUNICIPIO])</f>
        <v>TREVISO</v>
      </c>
      <c r="F2376" s="6">
        <v>38.646511077880902</v>
      </c>
      <c r="G2376" s="6">
        <v>43.7638969421387</v>
      </c>
      <c r="H2376" s="6">
        <v>43.835636138916001</v>
      </c>
      <c r="I2376" s="6">
        <v>48.777946472167997</v>
      </c>
      <c r="J2376" s="6">
        <v>43.753246307373097</v>
      </c>
      <c r="K2376" s="6">
        <v>43.826480865478501</v>
      </c>
      <c r="L2376" s="6">
        <v>57.533618927002003</v>
      </c>
    </row>
    <row r="2377" spans="1:12" x14ac:dyDescent="0.25">
      <c r="A2377">
        <v>2200103</v>
      </c>
      <c r="B2377" t="str">
        <f t="shared" si="37"/>
        <v>AGRICOLANDIA, PI, Brasil</v>
      </c>
      <c r="C2377" s="4" t="str">
        <f>_xlfn.XLOOKUP(A2377,[1]!DadosGHD[CD_GEOCMU],[1]!DadosGHD[Região])</f>
        <v>NE</v>
      </c>
      <c r="D2377" s="4" t="str">
        <f>_xlfn.XLOOKUP(A2377,[1]!DadosGHD[CD_GEOCMU],[1]!DadosGHD[uf])</f>
        <v>PI</v>
      </c>
      <c r="E2377" s="5" t="str">
        <f>_xlfn.XLOOKUP(A2377,[1]!DadosGHD[CD_GEOCMU],[1]!DadosGHD[MUNICIPIO])</f>
        <v>AGRICOLANDIA</v>
      </c>
      <c r="F2377" s="6">
        <v>38.646568298339801</v>
      </c>
      <c r="G2377" s="6">
        <v>33.843025207519503</v>
      </c>
      <c r="H2377" s="6">
        <v>33.879199981689503</v>
      </c>
      <c r="I2377" s="6">
        <v>33.852752685546903</v>
      </c>
      <c r="J2377" s="6">
        <v>33.864917755127003</v>
      </c>
      <c r="K2377" s="6">
        <v>33.854160308837898</v>
      </c>
      <c r="L2377" s="6">
        <v>30.709861755371101</v>
      </c>
    </row>
    <row r="2378" spans="1:12" x14ac:dyDescent="0.25">
      <c r="A2378">
        <v>1716208</v>
      </c>
      <c r="B2378" t="str">
        <f t="shared" si="37"/>
        <v>PARANA, TO, Brasil</v>
      </c>
      <c r="C2378" s="4" t="str">
        <f>_xlfn.XLOOKUP(A2378,[1]!DadosGHD[CD_GEOCMU],[1]!DadosGHD[Região])</f>
        <v>NO</v>
      </c>
      <c r="D2378" s="4" t="str">
        <f>_xlfn.XLOOKUP(A2378,[1]!DadosGHD[CD_GEOCMU],[1]!DadosGHD[uf])</f>
        <v>TO</v>
      </c>
      <c r="E2378" s="5" t="str">
        <f>_xlfn.XLOOKUP(A2378,[1]!DadosGHD[CD_GEOCMU],[1]!DadosGHD[MUNICIPIO])</f>
        <v>PARANA</v>
      </c>
      <c r="F2378" s="6">
        <v>38.646656036377003</v>
      </c>
      <c r="G2378" s="6">
        <v>38.69189453125</v>
      </c>
      <c r="H2378" s="6">
        <v>38.7489013671875</v>
      </c>
      <c r="I2378" s="6">
        <v>33.867729187011697</v>
      </c>
      <c r="J2378" s="6">
        <v>38.747673034667997</v>
      </c>
      <c r="K2378" s="6">
        <v>33.927070617675803</v>
      </c>
      <c r="L2378" s="6">
        <v>30.708154678344702</v>
      </c>
    </row>
    <row r="2379" spans="1:12" x14ac:dyDescent="0.25">
      <c r="A2379">
        <v>2904209</v>
      </c>
      <c r="B2379" t="str">
        <f t="shared" si="37"/>
        <v>BOTUPORA, BA, Brasil</v>
      </c>
      <c r="C2379" s="4" t="str">
        <f>_xlfn.XLOOKUP(A2379,[1]!DadosGHD[CD_GEOCMU],[1]!DadosGHD[Região])</f>
        <v>NE</v>
      </c>
      <c r="D2379" s="4" t="str">
        <f>_xlfn.XLOOKUP(A2379,[1]!DadosGHD[CD_GEOCMU],[1]!DadosGHD[uf])</f>
        <v>BA</v>
      </c>
      <c r="E2379" s="5" t="str">
        <f>_xlfn.XLOOKUP(A2379,[1]!DadosGHD[CD_GEOCMU],[1]!DadosGHD[MUNICIPIO])</f>
        <v>BOTUPORA</v>
      </c>
      <c r="F2379" s="6">
        <v>38.646778106689503</v>
      </c>
      <c r="G2379" s="6">
        <v>38.690868377685597</v>
      </c>
      <c r="H2379" s="6">
        <v>38.747276306152301</v>
      </c>
      <c r="I2379" s="6">
        <v>38.736457824707003</v>
      </c>
      <c r="J2379" s="6">
        <v>38.771495819091797</v>
      </c>
      <c r="K2379" s="6">
        <v>38.8080024719238</v>
      </c>
      <c r="L2379" s="6">
        <v>26.298753738403299</v>
      </c>
    </row>
    <row r="2380" spans="1:12" x14ac:dyDescent="0.25">
      <c r="A2380">
        <v>5003108</v>
      </c>
      <c r="B2380" t="str">
        <f t="shared" si="37"/>
        <v>CORGUINHO, MS, Brasil</v>
      </c>
      <c r="C2380" s="4" t="str">
        <f>_xlfn.XLOOKUP(A2380,[1]!DadosGHD[CD_GEOCMU],[1]!DadosGHD[Região])</f>
        <v>CO</v>
      </c>
      <c r="D2380" s="4" t="str">
        <f>_xlfn.XLOOKUP(A2380,[1]!DadosGHD[CD_GEOCMU],[1]!DadosGHD[uf])</f>
        <v>MS</v>
      </c>
      <c r="E2380" s="5" t="str">
        <f>_xlfn.XLOOKUP(A2380,[1]!DadosGHD[CD_GEOCMU],[1]!DadosGHD[MUNICIPIO])</f>
        <v>CORGUINHO</v>
      </c>
      <c r="F2380" s="6">
        <v>38.646892547607401</v>
      </c>
      <c r="G2380" s="6">
        <v>43.647106170654297</v>
      </c>
      <c r="H2380" s="6">
        <v>43.716789245605497</v>
      </c>
      <c r="I2380" s="6">
        <v>43.680694580078097</v>
      </c>
      <c r="J2380" s="6">
        <v>38.827674865722699</v>
      </c>
      <c r="K2380" s="6">
        <v>38.843124389648402</v>
      </c>
      <c r="L2380" s="6">
        <v>35.132270812988303</v>
      </c>
    </row>
    <row r="2381" spans="1:12" x14ac:dyDescent="0.25">
      <c r="A2381">
        <v>2312601</v>
      </c>
      <c r="B2381" t="str">
        <f t="shared" si="37"/>
        <v>SAO LUIS DO CURU, CE, Brasil</v>
      </c>
      <c r="C2381" s="4" t="str">
        <f>_xlfn.XLOOKUP(A2381,[1]!DadosGHD[CD_GEOCMU],[1]!DadosGHD[Região])</f>
        <v>NE</v>
      </c>
      <c r="D2381" s="4" t="str">
        <f>_xlfn.XLOOKUP(A2381,[1]!DadosGHD[CD_GEOCMU],[1]!DadosGHD[uf])</f>
        <v>CE</v>
      </c>
      <c r="E2381" s="5" t="str">
        <f>_xlfn.XLOOKUP(A2381,[1]!DadosGHD[CD_GEOCMU],[1]!DadosGHD[MUNICIPIO])</f>
        <v>SAO LUIS DO CURU</v>
      </c>
      <c r="F2381" s="6">
        <v>38.647060394287102</v>
      </c>
      <c r="G2381" s="6">
        <v>38.6893501281738</v>
      </c>
      <c r="H2381" s="6">
        <v>33.850654602050803</v>
      </c>
      <c r="I2381" s="6">
        <v>28.9578342437744</v>
      </c>
      <c r="J2381" s="6">
        <v>28.966306686401399</v>
      </c>
      <c r="K2381" s="6">
        <v>33.862106323242202</v>
      </c>
      <c r="L2381" s="6">
        <v>39.586345672607401</v>
      </c>
    </row>
    <row r="2382" spans="1:12" x14ac:dyDescent="0.25">
      <c r="A2382">
        <v>3302700</v>
      </c>
      <c r="B2382" t="str">
        <f t="shared" si="37"/>
        <v>MARICA, RJ, Brasil</v>
      </c>
      <c r="C2382" s="4" t="str">
        <f>_xlfn.XLOOKUP(A2382,[1]!DadosGHD[CD_GEOCMU],[1]!DadosGHD[Região])</f>
        <v>SD</v>
      </c>
      <c r="D2382" s="4" t="str">
        <f>_xlfn.XLOOKUP(A2382,[1]!DadosGHD[CD_GEOCMU],[1]!DadosGHD[uf])</f>
        <v>RJ</v>
      </c>
      <c r="E2382" s="5" t="str">
        <f>_xlfn.XLOOKUP(A2382,[1]!DadosGHD[CD_GEOCMU],[1]!DadosGHD[MUNICIPIO])</f>
        <v>MARICA</v>
      </c>
      <c r="F2382" s="6">
        <v>38.647239685058601</v>
      </c>
      <c r="G2382" s="6">
        <v>38.740737915039098</v>
      </c>
      <c r="H2382" s="6">
        <v>38.755760192871101</v>
      </c>
      <c r="I2382" s="6">
        <v>38.716625213623097</v>
      </c>
      <c r="J2382" s="6">
        <v>33.886470794677699</v>
      </c>
      <c r="K2382" s="6">
        <v>33.929008483886697</v>
      </c>
      <c r="L2382" s="6">
        <v>35.140655517578097</v>
      </c>
    </row>
    <row r="2383" spans="1:12" x14ac:dyDescent="0.25">
      <c r="A2383">
        <v>2610905</v>
      </c>
      <c r="B2383" t="str">
        <f t="shared" si="37"/>
        <v>PESQUEIRA, PE, Brasil</v>
      </c>
      <c r="C2383" s="4" t="str">
        <f>_xlfn.XLOOKUP(A2383,[1]!DadosGHD[CD_GEOCMU],[1]!DadosGHD[Região])</f>
        <v>NE</v>
      </c>
      <c r="D2383" s="4" t="str">
        <f>_xlfn.XLOOKUP(A2383,[1]!DadosGHD[CD_GEOCMU],[1]!DadosGHD[uf])</f>
        <v>PE</v>
      </c>
      <c r="E2383" s="5" t="str">
        <f>_xlfn.XLOOKUP(A2383,[1]!DadosGHD[CD_GEOCMU],[1]!DadosGHD[MUNICIPIO])</f>
        <v>PESQUEIRA</v>
      </c>
      <c r="F2383" s="6">
        <v>38.647544860839801</v>
      </c>
      <c r="G2383" s="6">
        <v>38.7332763671875</v>
      </c>
      <c r="H2383" s="6">
        <v>38.761184692382798</v>
      </c>
      <c r="I2383" s="6">
        <v>38.724185943603501</v>
      </c>
      <c r="J2383" s="6">
        <v>38.771110534667997</v>
      </c>
      <c r="K2383" s="6">
        <v>38.842384338378899</v>
      </c>
      <c r="L2383" s="6">
        <v>44.020973205566399</v>
      </c>
    </row>
    <row r="2384" spans="1:12" x14ac:dyDescent="0.25">
      <c r="A2384">
        <v>5102793</v>
      </c>
      <c r="B2384" t="str">
        <f t="shared" si="37"/>
        <v>CARLINDA, MT, Brasil</v>
      </c>
      <c r="C2384" s="4" t="str">
        <f>_xlfn.XLOOKUP(A2384,[1]!DadosGHD[CD_GEOCMU],[1]!DadosGHD[Região])</f>
        <v>CO</v>
      </c>
      <c r="D2384" s="4" t="str">
        <f>_xlfn.XLOOKUP(A2384,[1]!DadosGHD[CD_GEOCMU],[1]!DadosGHD[uf])</f>
        <v>MT</v>
      </c>
      <c r="E2384" s="5" t="str">
        <f>_xlfn.XLOOKUP(A2384,[1]!DadosGHD[CD_GEOCMU],[1]!DadosGHD[MUNICIPIO])</f>
        <v>CARLINDA</v>
      </c>
      <c r="F2384" s="6">
        <v>38.647586822509801</v>
      </c>
      <c r="G2384" s="6">
        <v>38.750106811523402</v>
      </c>
      <c r="H2384" s="6">
        <v>38.789466857910199</v>
      </c>
      <c r="I2384" s="6">
        <v>38.761177062988303</v>
      </c>
      <c r="J2384" s="6">
        <v>38.798561096191399</v>
      </c>
      <c r="K2384" s="6">
        <v>43.791755676269503</v>
      </c>
      <c r="L2384" s="6">
        <v>44.071254730224602</v>
      </c>
    </row>
    <row r="2385" spans="1:12" x14ac:dyDescent="0.25">
      <c r="A2385">
        <v>4305587</v>
      </c>
      <c r="B2385" t="str">
        <f t="shared" si="37"/>
        <v>COLINAS, RS, Brasil</v>
      </c>
      <c r="C2385" s="4" t="str">
        <f>_xlfn.XLOOKUP(A2385,[1]!DadosGHD[CD_GEOCMU],[1]!DadosGHD[Região])</f>
        <v>SL</v>
      </c>
      <c r="D2385" s="4" t="str">
        <f>_xlfn.XLOOKUP(A2385,[1]!DadosGHD[CD_GEOCMU],[1]!DadosGHD[uf])</f>
        <v>RS</v>
      </c>
      <c r="E2385" s="5" t="str">
        <f>_xlfn.XLOOKUP(A2385,[1]!DadosGHD[CD_GEOCMU],[1]!DadosGHD[MUNICIPIO])</f>
        <v>COLINAS</v>
      </c>
      <c r="F2385" s="6">
        <v>38.647758483886697</v>
      </c>
      <c r="G2385" s="6">
        <v>48.691944122314503</v>
      </c>
      <c r="H2385" s="6">
        <v>48.741668701171903</v>
      </c>
      <c r="I2385" s="6">
        <v>48.737281799316399</v>
      </c>
      <c r="J2385" s="6">
        <v>48.784461975097699</v>
      </c>
      <c r="K2385" s="6">
        <v>53.822006225585902</v>
      </c>
      <c r="L2385" s="6">
        <v>44.064704895019503</v>
      </c>
    </row>
    <row r="2386" spans="1:12" x14ac:dyDescent="0.25">
      <c r="A2386">
        <v>5108600</v>
      </c>
      <c r="B2386" t="str">
        <f t="shared" si="37"/>
        <v>VILA RICA, MT, Brasil</v>
      </c>
      <c r="C2386" s="4" t="str">
        <f>_xlfn.XLOOKUP(A2386,[1]!DadosGHD[CD_GEOCMU],[1]!DadosGHD[Região])</f>
        <v>CO</v>
      </c>
      <c r="D2386" s="4" t="str">
        <f>_xlfn.XLOOKUP(A2386,[1]!DadosGHD[CD_GEOCMU],[1]!DadosGHD[uf])</f>
        <v>MT</v>
      </c>
      <c r="E2386" s="5" t="str">
        <f>_xlfn.XLOOKUP(A2386,[1]!DadosGHD[CD_GEOCMU],[1]!DadosGHD[MUNICIPIO])</f>
        <v>VILA RICA</v>
      </c>
      <c r="F2386" s="6">
        <v>38.647777557373097</v>
      </c>
      <c r="G2386" s="6">
        <v>38.750091552734403</v>
      </c>
      <c r="H2386" s="6">
        <v>38.821273803710902</v>
      </c>
      <c r="I2386" s="6">
        <v>43.689579010009801</v>
      </c>
      <c r="J2386" s="6">
        <v>43.754188537597699</v>
      </c>
      <c r="K2386" s="6">
        <v>48.763442993164098</v>
      </c>
      <c r="L2386" s="6">
        <v>44.041419982910199</v>
      </c>
    </row>
    <row r="2387" spans="1:12" x14ac:dyDescent="0.25">
      <c r="A2387">
        <v>3138351</v>
      </c>
      <c r="B2387" t="str">
        <f t="shared" si="37"/>
        <v>LEME DO PRADO, MG, Brasil</v>
      </c>
      <c r="C2387" s="4" t="str">
        <f>_xlfn.XLOOKUP(A2387,[1]!DadosGHD[CD_GEOCMU],[1]!DadosGHD[Região])</f>
        <v>SD</v>
      </c>
      <c r="D2387" s="4" t="str">
        <f>_xlfn.XLOOKUP(A2387,[1]!DadosGHD[CD_GEOCMU],[1]!DadosGHD[uf])</f>
        <v>MG</v>
      </c>
      <c r="E2387" s="5" t="str">
        <f>_xlfn.XLOOKUP(A2387,[1]!DadosGHD[CD_GEOCMU],[1]!DadosGHD[MUNICIPIO])</f>
        <v>LEME DO PRADO</v>
      </c>
      <c r="F2387" s="6">
        <v>38.648094177246101</v>
      </c>
      <c r="G2387" s="6">
        <v>38.693016052246101</v>
      </c>
      <c r="H2387" s="6">
        <v>38.742988586425803</v>
      </c>
      <c r="I2387" s="6">
        <v>38.768070220947301</v>
      </c>
      <c r="J2387" s="6">
        <v>38.778694152832003</v>
      </c>
      <c r="K2387" s="6">
        <v>38.841121673583999</v>
      </c>
      <c r="L2387" s="6">
        <v>39.591999053955099</v>
      </c>
    </row>
    <row r="2388" spans="1:12" x14ac:dyDescent="0.25">
      <c r="A2388">
        <v>1302108</v>
      </c>
      <c r="B2388" t="str">
        <f t="shared" si="37"/>
        <v>JAPURA, AM, Brasil</v>
      </c>
      <c r="C2388" s="4" t="str">
        <f>_xlfn.XLOOKUP(A2388,[1]!DadosGHD[CD_GEOCMU],[1]!DadosGHD[Região])</f>
        <v>NO</v>
      </c>
      <c r="D2388" s="4" t="str">
        <f>_xlfn.XLOOKUP(A2388,[1]!DadosGHD[CD_GEOCMU],[1]!DadosGHD[uf])</f>
        <v>AM</v>
      </c>
      <c r="E2388" s="5" t="str">
        <f>_xlfn.XLOOKUP(A2388,[1]!DadosGHD[CD_GEOCMU],[1]!DadosGHD[MUNICIPIO])</f>
        <v>JAPURA</v>
      </c>
      <c r="F2388" s="6">
        <v>38.648124694824197</v>
      </c>
      <c r="G2388" s="6">
        <v>38.706863403320298</v>
      </c>
      <c r="H2388" s="6">
        <v>38.814788818359403</v>
      </c>
      <c r="I2388" s="6">
        <v>43.698074340820298</v>
      </c>
      <c r="J2388" s="6">
        <v>43.726009368896499</v>
      </c>
      <c r="K2388" s="6">
        <v>43.7679252624512</v>
      </c>
      <c r="L2388" s="6">
        <v>26.2809162139893</v>
      </c>
    </row>
    <row r="2389" spans="1:12" x14ac:dyDescent="0.25">
      <c r="A2389">
        <v>2923902</v>
      </c>
      <c r="B2389" t="str">
        <f t="shared" si="37"/>
        <v>PAU BRASIL, BA, Brasil</v>
      </c>
      <c r="C2389" s="4" t="str">
        <f>_xlfn.XLOOKUP(A2389,[1]!DadosGHD[CD_GEOCMU],[1]!DadosGHD[Região])</f>
        <v>NE</v>
      </c>
      <c r="D2389" s="4" t="str">
        <f>_xlfn.XLOOKUP(A2389,[1]!DadosGHD[CD_GEOCMU],[1]!DadosGHD[uf])</f>
        <v>BA</v>
      </c>
      <c r="E2389" s="5" t="str">
        <f>_xlfn.XLOOKUP(A2389,[1]!DadosGHD[CD_GEOCMU],[1]!DadosGHD[MUNICIPIO])</f>
        <v>PAU BRASIL</v>
      </c>
      <c r="F2389" s="6">
        <v>38.648277282714801</v>
      </c>
      <c r="G2389" s="6">
        <v>38.691379547119098</v>
      </c>
      <c r="H2389" s="6">
        <v>38.7506294250488</v>
      </c>
      <c r="I2389" s="6">
        <v>38.725517272949197</v>
      </c>
      <c r="J2389" s="6">
        <v>38.747535705566399</v>
      </c>
      <c r="K2389" s="6">
        <v>33.920440673828097</v>
      </c>
      <c r="L2389" s="6">
        <v>39.590694427490199</v>
      </c>
    </row>
    <row r="2390" spans="1:12" x14ac:dyDescent="0.25">
      <c r="A2390">
        <v>1400282</v>
      </c>
      <c r="B2390" t="str">
        <f t="shared" si="37"/>
        <v>IRACEMA, RR, Brasil</v>
      </c>
      <c r="C2390" s="4" t="str">
        <f>_xlfn.XLOOKUP(A2390,[1]!DadosGHD[CD_GEOCMU],[1]!DadosGHD[Região])</f>
        <v>NO</v>
      </c>
      <c r="D2390" s="4" t="str">
        <f>_xlfn.XLOOKUP(A2390,[1]!DadosGHD[CD_GEOCMU],[1]!DadosGHD[uf])</f>
        <v>RR</v>
      </c>
      <c r="E2390" s="5" t="str">
        <f>_xlfn.XLOOKUP(A2390,[1]!DadosGHD[CD_GEOCMU],[1]!DadosGHD[MUNICIPIO])</f>
        <v>IRACEMA</v>
      </c>
      <c r="F2390" s="6">
        <v>38.648384094238303</v>
      </c>
      <c r="G2390" s="6">
        <v>33.830562591552699</v>
      </c>
      <c r="H2390" s="6">
        <v>33.8366088867188</v>
      </c>
      <c r="I2390" s="6">
        <v>33.8116455078125</v>
      </c>
      <c r="J2390" s="6">
        <v>33.816734313964801</v>
      </c>
      <c r="K2390" s="6">
        <v>28.9686679840088</v>
      </c>
      <c r="L2390" s="6">
        <v>26.2798957824707</v>
      </c>
    </row>
    <row r="2391" spans="1:12" x14ac:dyDescent="0.25">
      <c r="A2391">
        <v>1600550</v>
      </c>
      <c r="B2391" t="str">
        <f t="shared" si="37"/>
        <v>PRACUUBA, AP, Brasil</v>
      </c>
      <c r="C2391" s="4" t="str">
        <f>_xlfn.XLOOKUP(A2391,[1]!DadosGHD[CD_GEOCMU],[1]!DadosGHD[Região])</f>
        <v>NO</v>
      </c>
      <c r="D2391" s="4" t="str">
        <f>_xlfn.XLOOKUP(A2391,[1]!DadosGHD[CD_GEOCMU],[1]!DadosGHD[uf])</f>
        <v>AP</v>
      </c>
      <c r="E2391" s="5" t="str">
        <f>_xlfn.XLOOKUP(A2391,[1]!DadosGHD[CD_GEOCMU],[1]!DadosGHD[MUNICIPIO])</f>
        <v>PRACUUBA</v>
      </c>
      <c r="F2391" s="6">
        <v>38.648414611816399</v>
      </c>
      <c r="G2391" s="6">
        <v>33.844718933105497</v>
      </c>
      <c r="H2391" s="6">
        <v>33.875297546386697</v>
      </c>
      <c r="I2391" s="6">
        <v>33.851680755615199</v>
      </c>
      <c r="J2391" s="6">
        <v>28.963315963745099</v>
      </c>
      <c r="K2391" s="6">
        <v>28.970167160034201</v>
      </c>
      <c r="L2391" s="6">
        <v>26.298179626464801</v>
      </c>
    </row>
    <row r="2392" spans="1:12" x14ac:dyDescent="0.25">
      <c r="A2392">
        <v>1503002</v>
      </c>
      <c r="B2392" t="str">
        <f t="shared" si="37"/>
        <v>FARO, PA, Brasil</v>
      </c>
      <c r="C2392" s="4" t="str">
        <f>_xlfn.XLOOKUP(A2392,[1]!DadosGHD[CD_GEOCMU],[1]!DadosGHD[Região])</f>
        <v>NO</v>
      </c>
      <c r="D2392" s="4" t="str">
        <f>_xlfn.XLOOKUP(A2392,[1]!DadosGHD[CD_GEOCMU],[1]!DadosGHD[uf])</f>
        <v>PA</v>
      </c>
      <c r="E2392" s="5" t="str">
        <f>_xlfn.XLOOKUP(A2392,[1]!DadosGHD[CD_GEOCMU],[1]!DadosGHD[MUNICIPIO])</f>
        <v>FARO</v>
      </c>
      <c r="F2392" s="6">
        <v>38.648479461669901</v>
      </c>
      <c r="G2392" s="6">
        <v>38.716934204101598</v>
      </c>
      <c r="H2392" s="6">
        <v>38.753074645996101</v>
      </c>
      <c r="I2392" s="6">
        <v>38.7310180664063</v>
      </c>
      <c r="J2392" s="6">
        <v>38.755699157714801</v>
      </c>
      <c r="K2392" s="6">
        <v>38.797935485839801</v>
      </c>
      <c r="L2392" s="6">
        <v>30.6933403015137</v>
      </c>
    </row>
    <row r="2393" spans="1:12" x14ac:dyDescent="0.25">
      <c r="A2393">
        <v>5105234</v>
      </c>
      <c r="B2393" t="str">
        <f t="shared" si="37"/>
        <v>LAMBARI D'OESTE, MT, Brasil</v>
      </c>
      <c r="C2393" s="4" t="str">
        <f>_xlfn.XLOOKUP(A2393,[1]!DadosGHD[CD_GEOCMU],[1]!DadosGHD[Região])</f>
        <v>CO</v>
      </c>
      <c r="D2393" s="4" t="str">
        <f>_xlfn.XLOOKUP(A2393,[1]!DadosGHD[CD_GEOCMU],[1]!DadosGHD[uf])</f>
        <v>MT</v>
      </c>
      <c r="E2393" s="5" t="str">
        <f>_xlfn.XLOOKUP(A2393,[1]!DadosGHD[CD_GEOCMU],[1]!DadosGHD[MUNICIPIO])</f>
        <v>LAMBARI D'OESTE</v>
      </c>
      <c r="F2393" s="6">
        <v>38.648735046386697</v>
      </c>
      <c r="G2393" s="6">
        <v>43.639625549316399</v>
      </c>
      <c r="H2393" s="6">
        <v>38.828075408935597</v>
      </c>
      <c r="I2393" s="6">
        <v>38.791801452636697</v>
      </c>
      <c r="J2393" s="6">
        <v>38.824138641357401</v>
      </c>
      <c r="K2393" s="6">
        <v>43.760921478271499</v>
      </c>
      <c r="L2393" s="6">
        <v>35.140071868896499</v>
      </c>
    </row>
    <row r="2394" spans="1:12" x14ac:dyDescent="0.25">
      <c r="A2394">
        <v>5107800</v>
      </c>
      <c r="B2394" t="str">
        <f t="shared" si="37"/>
        <v>SANTO ANTONIO DO LEVERGER, MT, Brasil</v>
      </c>
      <c r="C2394" s="4" t="str">
        <f>_xlfn.XLOOKUP(A2394,[1]!DadosGHD[CD_GEOCMU],[1]!DadosGHD[Região])</f>
        <v>CO</v>
      </c>
      <c r="D2394" s="4" t="str">
        <f>_xlfn.XLOOKUP(A2394,[1]!DadosGHD[CD_GEOCMU],[1]!DadosGHD[uf])</f>
        <v>MT</v>
      </c>
      <c r="E2394" s="5" t="str">
        <f>_xlfn.XLOOKUP(A2394,[1]!DadosGHD[CD_GEOCMU],[1]!DadosGHD[MUNICIPIO])</f>
        <v>SANTO ANTONIO DO LEVERGER</v>
      </c>
      <c r="F2394" s="6">
        <v>38.649059295654297</v>
      </c>
      <c r="G2394" s="6">
        <v>38.742073059082003</v>
      </c>
      <c r="H2394" s="6">
        <v>38.804073333740199</v>
      </c>
      <c r="I2394" s="6">
        <v>38.751205444335902</v>
      </c>
      <c r="J2394" s="6">
        <v>38.778568267822301</v>
      </c>
      <c r="K2394" s="6">
        <v>38.8038520812988</v>
      </c>
      <c r="L2394" s="6">
        <v>35.160118103027301</v>
      </c>
    </row>
    <row r="2395" spans="1:12" x14ac:dyDescent="0.25">
      <c r="A2395">
        <v>2413706</v>
      </c>
      <c r="B2395" t="str">
        <f t="shared" si="37"/>
        <v>SITIO NOVO, RN, Brasil</v>
      </c>
      <c r="C2395" s="4" t="str">
        <f>_xlfn.XLOOKUP(A2395,[1]!DadosGHD[CD_GEOCMU],[1]!DadosGHD[Região])</f>
        <v>NE</v>
      </c>
      <c r="D2395" s="4" t="str">
        <f>_xlfn.XLOOKUP(A2395,[1]!DadosGHD[CD_GEOCMU],[1]!DadosGHD[uf])</f>
        <v>RN</v>
      </c>
      <c r="E2395" s="5" t="str">
        <f>_xlfn.XLOOKUP(A2395,[1]!DadosGHD[CD_GEOCMU],[1]!DadosGHD[MUNICIPIO])</f>
        <v>SITIO NOVO</v>
      </c>
      <c r="F2395" s="6">
        <v>38.649116516113303</v>
      </c>
      <c r="G2395" s="6">
        <v>38.692543029785199</v>
      </c>
      <c r="H2395" s="6">
        <v>38.746673583984403</v>
      </c>
      <c r="I2395" s="6">
        <v>33.841400146484403</v>
      </c>
      <c r="J2395" s="6">
        <v>33.852470397949197</v>
      </c>
      <c r="K2395" s="6">
        <v>33.882049560546903</v>
      </c>
      <c r="L2395" s="6">
        <v>30.715925216674801</v>
      </c>
    </row>
    <row r="2396" spans="1:12" x14ac:dyDescent="0.25">
      <c r="A2396">
        <v>4107751</v>
      </c>
      <c r="B2396" t="str">
        <f t="shared" si="37"/>
        <v>FIGUEIRA, PR, Brasil</v>
      </c>
      <c r="C2396" s="4" t="str">
        <f>_xlfn.XLOOKUP(A2396,[1]!DadosGHD[CD_GEOCMU],[1]!DadosGHD[Região])</f>
        <v>SL</v>
      </c>
      <c r="D2396" s="4" t="str">
        <f>_xlfn.XLOOKUP(A2396,[1]!DadosGHD[CD_GEOCMU],[1]!DadosGHD[uf])</f>
        <v>PR</v>
      </c>
      <c r="E2396" s="5" t="str">
        <f>_xlfn.XLOOKUP(A2396,[1]!DadosGHD[CD_GEOCMU],[1]!DadosGHD[MUNICIPIO])</f>
        <v>FIGUEIRA</v>
      </c>
      <c r="F2396" s="6">
        <v>38.6493530273438</v>
      </c>
      <c r="G2396" s="6">
        <v>38.777744293212898</v>
      </c>
      <c r="H2396" s="6">
        <v>43.759273529052699</v>
      </c>
      <c r="I2396" s="6">
        <v>43.733982086181598</v>
      </c>
      <c r="J2396" s="6">
        <v>43.727210998535199</v>
      </c>
      <c r="K2396" s="6">
        <v>43.754844665527301</v>
      </c>
      <c r="L2396" s="6">
        <v>35.136299133300803</v>
      </c>
    </row>
    <row r="2397" spans="1:12" x14ac:dyDescent="0.25">
      <c r="A2397">
        <v>1706001</v>
      </c>
      <c r="B2397" t="str">
        <f t="shared" si="37"/>
        <v>COUTO MAGALHAES, TO, Brasil</v>
      </c>
      <c r="C2397" s="4" t="str">
        <f>_xlfn.XLOOKUP(A2397,[1]!DadosGHD[CD_GEOCMU],[1]!DadosGHD[Região])</f>
        <v>NO</v>
      </c>
      <c r="D2397" s="4" t="str">
        <f>_xlfn.XLOOKUP(A2397,[1]!DadosGHD[CD_GEOCMU],[1]!DadosGHD[uf])</f>
        <v>TO</v>
      </c>
      <c r="E2397" s="5" t="str">
        <f>_xlfn.XLOOKUP(A2397,[1]!DadosGHD[CD_GEOCMU],[1]!DadosGHD[MUNICIPIO])</f>
        <v>COUTO MAGALHAES</v>
      </c>
      <c r="F2397" s="6">
        <v>38.649604797363303</v>
      </c>
      <c r="G2397" s="6">
        <v>38.688465118408203</v>
      </c>
      <c r="H2397" s="6">
        <v>33.887123107910199</v>
      </c>
      <c r="I2397" s="6">
        <v>33.862037658691399</v>
      </c>
      <c r="J2397" s="6">
        <v>33.879749298095703</v>
      </c>
      <c r="K2397" s="6">
        <v>33.879783630371101</v>
      </c>
      <c r="L2397" s="6">
        <v>26.295804977416999</v>
      </c>
    </row>
    <row r="2398" spans="1:12" x14ac:dyDescent="0.25">
      <c r="A2398">
        <v>2801009</v>
      </c>
      <c r="B2398" t="str">
        <f t="shared" si="37"/>
        <v>CAMPO DO BRITO, SE, Brasil</v>
      </c>
      <c r="C2398" s="4" t="str">
        <f>_xlfn.XLOOKUP(A2398,[1]!DadosGHD[CD_GEOCMU],[1]!DadosGHD[Região])</f>
        <v>NE</v>
      </c>
      <c r="D2398" s="4" t="str">
        <f>_xlfn.XLOOKUP(A2398,[1]!DadosGHD[CD_GEOCMU],[1]!DadosGHD[uf])</f>
        <v>SE</v>
      </c>
      <c r="E2398" s="5" t="str">
        <f>_xlfn.XLOOKUP(A2398,[1]!DadosGHD[CD_GEOCMU],[1]!DadosGHD[MUNICIPIO])</f>
        <v>CAMPO DO BRITO</v>
      </c>
      <c r="F2398" s="6">
        <v>38.6497192382813</v>
      </c>
      <c r="G2398" s="6">
        <v>38.726211547851598</v>
      </c>
      <c r="H2398" s="6">
        <v>38.786651611328097</v>
      </c>
      <c r="I2398" s="6">
        <v>38.775062561035199</v>
      </c>
      <c r="J2398" s="6">
        <v>38.818996429443402</v>
      </c>
      <c r="K2398" s="6">
        <v>38.8303031921387</v>
      </c>
      <c r="L2398" s="6">
        <v>35.136772155761697</v>
      </c>
    </row>
    <row r="2399" spans="1:12" x14ac:dyDescent="0.25">
      <c r="A2399">
        <v>4211058</v>
      </c>
      <c r="B2399" t="str">
        <f t="shared" si="37"/>
        <v>MONTE CARLO, SC, Brasil</v>
      </c>
      <c r="C2399" s="4" t="str">
        <f>_xlfn.XLOOKUP(A2399,[1]!DadosGHD[CD_GEOCMU],[1]!DadosGHD[Região])</f>
        <v>SL</v>
      </c>
      <c r="D2399" s="4" t="str">
        <f>_xlfn.XLOOKUP(A2399,[1]!DadosGHD[CD_GEOCMU],[1]!DadosGHD[uf])</f>
        <v>SC</v>
      </c>
      <c r="E2399" s="5" t="str">
        <f>_xlfn.XLOOKUP(A2399,[1]!DadosGHD[CD_GEOCMU],[1]!DadosGHD[MUNICIPIO])</f>
        <v>MONTE CARLO</v>
      </c>
      <c r="F2399" s="6">
        <v>38.649753570556598</v>
      </c>
      <c r="G2399" s="6">
        <v>38.752170562744098</v>
      </c>
      <c r="H2399" s="6">
        <v>38.828334808349602</v>
      </c>
      <c r="I2399" s="6">
        <v>38.798870086669901</v>
      </c>
      <c r="J2399" s="6">
        <v>38.803863525390597</v>
      </c>
      <c r="K2399" s="6">
        <v>48.76416015625</v>
      </c>
      <c r="L2399" s="6">
        <v>57.589817047119098</v>
      </c>
    </row>
    <row r="2400" spans="1:12" x14ac:dyDescent="0.25">
      <c r="A2400">
        <v>3167608</v>
      </c>
      <c r="B2400" t="str">
        <f t="shared" si="37"/>
        <v>SIMONESIA, MG, Brasil</v>
      </c>
      <c r="C2400" s="4" t="str">
        <f>_xlfn.XLOOKUP(A2400,[1]!DadosGHD[CD_GEOCMU],[1]!DadosGHD[Região])</f>
        <v>SD</v>
      </c>
      <c r="D2400" s="4" t="str">
        <f>_xlfn.XLOOKUP(A2400,[1]!DadosGHD[CD_GEOCMU],[1]!DadosGHD[uf])</f>
        <v>MG</v>
      </c>
      <c r="E2400" s="5" t="str">
        <f>_xlfn.XLOOKUP(A2400,[1]!DadosGHD[CD_GEOCMU],[1]!DadosGHD[MUNICIPIO])</f>
        <v>SIMONESIA</v>
      </c>
      <c r="F2400" s="6">
        <v>38.6497993469238</v>
      </c>
      <c r="G2400" s="6">
        <v>38.701892852783203</v>
      </c>
      <c r="H2400" s="6">
        <v>38.831733703613303</v>
      </c>
      <c r="I2400" s="6">
        <v>38.817295074462898</v>
      </c>
      <c r="J2400" s="6">
        <v>38.808185577392599</v>
      </c>
      <c r="K2400" s="6">
        <v>38.8689155578613</v>
      </c>
      <c r="L2400" s="6">
        <v>35.150978088378899</v>
      </c>
    </row>
    <row r="2401" spans="1:12" x14ac:dyDescent="0.25">
      <c r="A2401">
        <v>2702702</v>
      </c>
      <c r="B2401" t="str">
        <f t="shared" si="37"/>
        <v>FELIZ DESERTO, AL, Brasil</v>
      </c>
      <c r="C2401" s="4" t="str">
        <f>_xlfn.XLOOKUP(A2401,[1]!DadosGHD[CD_GEOCMU],[1]!DadosGHD[Região])</f>
        <v>NE</v>
      </c>
      <c r="D2401" s="4" t="str">
        <f>_xlfn.XLOOKUP(A2401,[1]!DadosGHD[CD_GEOCMU],[1]!DadosGHD[uf])</f>
        <v>AL</v>
      </c>
      <c r="E2401" s="5" t="str">
        <f>_xlfn.XLOOKUP(A2401,[1]!DadosGHD[CD_GEOCMU],[1]!DadosGHD[MUNICIPIO])</f>
        <v>FELIZ DESERTO</v>
      </c>
      <c r="F2401" s="6">
        <v>38.649864196777301</v>
      </c>
      <c r="G2401" s="6">
        <v>38.683380126953097</v>
      </c>
      <c r="H2401" s="6">
        <v>33.884559631347699</v>
      </c>
      <c r="I2401" s="6">
        <v>33.8611869812012</v>
      </c>
      <c r="J2401" s="6">
        <v>33.876766204833999</v>
      </c>
      <c r="K2401" s="6">
        <v>33.906749725341797</v>
      </c>
      <c r="L2401" s="6">
        <v>30.691236495971701</v>
      </c>
    </row>
    <row r="2402" spans="1:12" x14ac:dyDescent="0.25">
      <c r="A2402">
        <v>3505351</v>
      </c>
      <c r="B2402" t="str">
        <f t="shared" si="37"/>
        <v>BARRA DO CHAPEU, SP, Brasil</v>
      </c>
      <c r="C2402" s="4" t="str">
        <f>_xlfn.XLOOKUP(A2402,[1]!DadosGHD[CD_GEOCMU],[1]!DadosGHD[Região])</f>
        <v>SD</v>
      </c>
      <c r="D2402" s="4" t="str">
        <f>_xlfn.XLOOKUP(A2402,[1]!DadosGHD[CD_GEOCMU],[1]!DadosGHD[uf])</f>
        <v>SP</v>
      </c>
      <c r="E2402" s="5" t="str">
        <f>_xlfn.XLOOKUP(A2402,[1]!DadosGHD[CD_GEOCMU],[1]!DadosGHD[MUNICIPIO])</f>
        <v>BARRA DO CHAPEU</v>
      </c>
      <c r="F2402" s="6">
        <v>38.649894714355497</v>
      </c>
      <c r="G2402" s="6">
        <v>33.811985015869098</v>
      </c>
      <c r="H2402" s="6">
        <v>28.975690841674801</v>
      </c>
      <c r="I2402" s="6">
        <v>28.957778930664102</v>
      </c>
      <c r="J2402" s="6">
        <v>28.970981597900401</v>
      </c>
      <c r="K2402" s="6">
        <v>29.001371383666999</v>
      </c>
      <c r="L2402" s="6">
        <v>26.299688339233398</v>
      </c>
    </row>
    <row r="2403" spans="1:12" x14ac:dyDescent="0.25">
      <c r="A2403">
        <v>2516201</v>
      </c>
      <c r="B2403" t="str">
        <f t="shared" si="37"/>
        <v>SOUSA, PB, Brasil</v>
      </c>
      <c r="C2403" s="4" t="str">
        <f>_xlfn.XLOOKUP(A2403,[1]!DadosGHD[CD_GEOCMU],[1]!DadosGHD[Região])</f>
        <v>NE</v>
      </c>
      <c r="D2403" s="4" t="str">
        <f>_xlfn.XLOOKUP(A2403,[1]!DadosGHD[CD_GEOCMU],[1]!DadosGHD[uf])</f>
        <v>PB</v>
      </c>
      <c r="E2403" s="5" t="str">
        <f>_xlfn.XLOOKUP(A2403,[1]!DadosGHD[CD_GEOCMU],[1]!DadosGHD[MUNICIPIO])</f>
        <v>SOUSA</v>
      </c>
      <c r="F2403" s="6">
        <v>38.6499214172363</v>
      </c>
      <c r="G2403" s="6">
        <v>38.755470275878899</v>
      </c>
      <c r="H2403" s="6">
        <v>43.713172912597699</v>
      </c>
      <c r="I2403" s="6">
        <v>43.754806518554702</v>
      </c>
      <c r="J2403" s="6">
        <v>43.816490173339801</v>
      </c>
      <c r="K2403" s="6">
        <v>43.783191680908203</v>
      </c>
      <c r="L2403" s="6">
        <v>39.594875335693402</v>
      </c>
    </row>
    <row r="2404" spans="1:12" x14ac:dyDescent="0.25">
      <c r="A2404">
        <v>4306429</v>
      </c>
      <c r="B2404" t="str">
        <f t="shared" si="37"/>
        <v>DOIS IRMAOS DAS MISSOES, RS, Brasil</v>
      </c>
      <c r="C2404" s="4" t="str">
        <f>_xlfn.XLOOKUP(A2404,[1]!DadosGHD[CD_GEOCMU],[1]!DadosGHD[Região])</f>
        <v>SL</v>
      </c>
      <c r="D2404" s="4" t="str">
        <f>_xlfn.XLOOKUP(A2404,[1]!DadosGHD[CD_GEOCMU],[1]!DadosGHD[uf])</f>
        <v>RS</v>
      </c>
      <c r="E2404" s="5" t="str">
        <f>_xlfn.XLOOKUP(A2404,[1]!DadosGHD[CD_GEOCMU],[1]!DadosGHD[MUNICIPIO])</f>
        <v>DOIS IRMAOS DAS MISSOES</v>
      </c>
      <c r="F2404" s="6">
        <v>38.650135040283203</v>
      </c>
      <c r="G2404" s="6">
        <v>48.714031219482401</v>
      </c>
      <c r="H2404" s="6">
        <v>48.770496368408203</v>
      </c>
      <c r="I2404" s="6">
        <v>48.720973968505902</v>
      </c>
      <c r="J2404" s="6">
        <v>48.766899108886697</v>
      </c>
      <c r="K2404" s="6">
        <v>53.821788787841797</v>
      </c>
      <c r="L2404" s="6">
        <v>48.530437469482401</v>
      </c>
    </row>
    <row r="2405" spans="1:12" x14ac:dyDescent="0.25">
      <c r="A2405">
        <v>2922201</v>
      </c>
      <c r="B2405" t="str">
        <f t="shared" si="37"/>
        <v>MUNIZ FERREIRA, BA, Brasil</v>
      </c>
      <c r="C2405" s="4" t="str">
        <f>_xlfn.XLOOKUP(A2405,[1]!DadosGHD[CD_GEOCMU],[1]!DadosGHD[Região])</f>
        <v>NE</v>
      </c>
      <c r="D2405" s="4" t="str">
        <f>_xlfn.XLOOKUP(A2405,[1]!DadosGHD[CD_GEOCMU],[1]!DadosGHD[uf])</f>
        <v>BA</v>
      </c>
      <c r="E2405" s="5" t="str">
        <f>_xlfn.XLOOKUP(A2405,[1]!DadosGHD[CD_GEOCMU],[1]!DadosGHD[MUNICIPIO])</f>
        <v>MUNIZ FERREIRA</v>
      </c>
      <c r="F2405" s="6">
        <v>38.650173187255902</v>
      </c>
      <c r="G2405" s="6">
        <v>38.714881896972699</v>
      </c>
      <c r="H2405" s="6">
        <v>38.813446044921903</v>
      </c>
      <c r="I2405" s="6">
        <v>38.797325134277301</v>
      </c>
      <c r="J2405" s="6">
        <v>38.7942924499512</v>
      </c>
      <c r="K2405" s="6">
        <v>38.810428619384801</v>
      </c>
      <c r="L2405" s="6">
        <v>35.157691955566399</v>
      </c>
    </row>
    <row r="2406" spans="1:12" x14ac:dyDescent="0.25">
      <c r="A2406">
        <v>1101484</v>
      </c>
      <c r="B2406" t="str">
        <f t="shared" si="37"/>
        <v>SAO FELIPE D'OESTE, RO, Brasil</v>
      </c>
      <c r="C2406" s="4" t="str">
        <f>_xlfn.XLOOKUP(A2406,[1]!DadosGHD[CD_GEOCMU],[1]!DadosGHD[Região])</f>
        <v>NO</v>
      </c>
      <c r="D2406" s="4" t="str">
        <f>_xlfn.XLOOKUP(A2406,[1]!DadosGHD[CD_GEOCMU],[1]!DadosGHD[uf])</f>
        <v>RO</v>
      </c>
      <c r="E2406" s="5" t="str">
        <f>_xlfn.XLOOKUP(A2406,[1]!DadosGHD[CD_GEOCMU],[1]!DadosGHD[MUNICIPIO])</f>
        <v>SAO FELIPE D'OESTE</v>
      </c>
      <c r="F2406" s="6">
        <v>38.650325775146499</v>
      </c>
      <c r="G2406" s="6">
        <v>38.782184600830099</v>
      </c>
      <c r="H2406" s="6">
        <v>43.7146186828613</v>
      </c>
      <c r="I2406" s="6">
        <v>43.679767608642599</v>
      </c>
      <c r="J2406" s="6">
        <v>43.709514617919901</v>
      </c>
      <c r="K2406" s="6">
        <v>38.880119323730497</v>
      </c>
      <c r="L2406" s="6">
        <v>35.121158599853501</v>
      </c>
    </row>
    <row r="2407" spans="1:12" x14ac:dyDescent="0.25">
      <c r="A2407">
        <v>2503803</v>
      </c>
      <c r="B2407" t="str">
        <f t="shared" si="37"/>
        <v>CALDAS BRANDAO, PB, Brasil</v>
      </c>
      <c r="C2407" s="4" t="str">
        <f>_xlfn.XLOOKUP(A2407,[1]!DadosGHD[CD_GEOCMU],[1]!DadosGHD[Região])</f>
        <v>NE</v>
      </c>
      <c r="D2407" s="4" t="str">
        <f>_xlfn.XLOOKUP(A2407,[1]!DadosGHD[CD_GEOCMU],[1]!DadosGHD[uf])</f>
        <v>PB</v>
      </c>
      <c r="E2407" s="5" t="str">
        <f>_xlfn.XLOOKUP(A2407,[1]!DadosGHD[CD_GEOCMU],[1]!DadosGHD[MUNICIPIO])</f>
        <v>CALDAS BRANDAO</v>
      </c>
      <c r="F2407" s="6">
        <v>38.650379180908203</v>
      </c>
      <c r="G2407" s="6">
        <v>38.709518432617202</v>
      </c>
      <c r="H2407" s="6">
        <v>38.765827178955099</v>
      </c>
      <c r="I2407" s="6">
        <v>38.7420043945313</v>
      </c>
      <c r="J2407" s="6">
        <v>38.799861907958999</v>
      </c>
      <c r="K2407" s="6">
        <v>33.905555725097699</v>
      </c>
      <c r="L2407" s="6">
        <v>30.714775085449201</v>
      </c>
    </row>
    <row r="2408" spans="1:12" x14ac:dyDescent="0.25">
      <c r="A2408">
        <v>5106505</v>
      </c>
      <c r="B2408" t="str">
        <f t="shared" si="37"/>
        <v>POCONE, MT, Brasil</v>
      </c>
      <c r="C2408" s="4" t="str">
        <f>_xlfn.XLOOKUP(A2408,[1]!DadosGHD[CD_GEOCMU],[1]!DadosGHD[Região])</f>
        <v>CO</v>
      </c>
      <c r="D2408" s="4" t="str">
        <f>_xlfn.XLOOKUP(A2408,[1]!DadosGHD[CD_GEOCMU],[1]!DadosGHD[uf])</f>
        <v>MT</v>
      </c>
      <c r="E2408" s="5" t="str">
        <f>_xlfn.XLOOKUP(A2408,[1]!DadosGHD[CD_GEOCMU],[1]!DadosGHD[MUNICIPIO])</f>
        <v>POCONE</v>
      </c>
      <c r="F2408" s="6">
        <v>38.650489807128899</v>
      </c>
      <c r="G2408" s="6">
        <v>38.750209808349602</v>
      </c>
      <c r="H2408" s="6">
        <v>38.785346984863303</v>
      </c>
      <c r="I2408" s="6">
        <v>38.756076812744098</v>
      </c>
      <c r="J2408" s="6">
        <v>38.760696411132798</v>
      </c>
      <c r="K2408" s="6">
        <v>38.798629760742202</v>
      </c>
      <c r="L2408" s="6">
        <v>35.133399963378899</v>
      </c>
    </row>
    <row r="2409" spans="1:12" x14ac:dyDescent="0.25">
      <c r="A2409">
        <v>4215059</v>
      </c>
      <c r="B2409" t="str">
        <f t="shared" si="37"/>
        <v>RIO RUFINO, SC, Brasil</v>
      </c>
      <c r="C2409" s="4" t="str">
        <f>_xlfn.XLOOKUP(A2409,[1]!DadosGHD[CD_GEOCMU],[1]!DadosGHD[Região])</f>
        <v>SL</v>
      </c>
      <c r="D2409" s="4" t="str">
        <f>_xlfn.XLOOKUP(A2409,[1]!DadosGHD[CD_GEOCMU],[1]!DadosGHD[uf])</f>
        <v>SC</v>
      </c>
      <c r="E2409" s="5" t="str">
        <f>_xlfn.XLOOKUP(A2409,[1]!DadosGHD[CD_GEOCMU],[1]!DadosGHD[MUNICIPIO])</f>
        <v>RIO RUFINO</v>
      </c>
      <c r="F2409" s="6">
        <v>38.650539398193402</v>
      </c>
      <c r="G2409" s="6">
        <v>38.762641906738303</v>
      </c>
      <c r="H2409" s="6">
        <v>43.7720756530762</v>
      </c>
      <c r="I2409" s="6">
        <v>43.685291290283203</v>
      </c>
      <c r="J2409" s="6">
        <v>38.822898864746101</v>
      </c>
      <c r="K2409" s="6">
        <v>48.803756713867202</v>
      </c>
      <c r="L2409" s="6">
        <v>53.037181854248097</v>
      </c>
    </row>
    <row r="2410" spans="1:12" x14ac:dyDescent="0.25">
      <c r="A2410">
        <v>3503950</v>
      </c>
      <c r="B2410" t="str">
        <f t="shared" si="37"/>
        <v>ASPASIA, SP, Brasil</v>
      </c>
      <c r="C2410" s="4" t="str">
        <f>_xlfn.XLOOKUP(A2410,[1]!DadosGHD[CD_GEOCMU],[1]!DadosGHD[Região])</f>
        <v>SD</v>
      </c>
      <c r="D2410" s="4" t="str">
        <f>_xlfn.XLOOKUP(A2410,[1]!DadosGHD[CD_GEOCMU],[1]!DadosGHD[uf])</f>
        <v>SP</v>
      </c>
      <c r="E2410" s="5" t="str">
        <f>_xlfn.XLOOKUP(A2410,[1]!DadosGHD[CD_GEOCMU],[1]!DadosGHD[MUNICIPIO])</f>
        <v>ASPASIA</v>
      </c>
      <c r="F2410" s="6">
        <v>38.650657653808601</v>
      </c>
      <c r="G2410" s="6">
        <v>38.757289886474602</v>
      </c>
      <c r="H2410" s="6">
        <v>43.718101501464801</v>
      </c>
      <c r="I2410" s="6">
        <v>38.775432586669901</v>
      </c>
      <c r="J2410" s="6">
        <v>38.808517456054702</v>
      </c>
      <c r="K2410" s="6">
        <v>38.8768920898438</v>
      </c>
      <c r="L2410" s="6">
        <v>35.126518249511697</v>
      </c>
    </row>
    <row r="2411" spans="1:12" x14ac:dyDescent="0.25">
      <c r="A2411">
        <v>1200336</v>
      </c>
      <c r="B2411" t="str">
        <f t="shared" si="37"/>
        <v>MANCIO LIMA, AC, Brasil</v>
      </c>
      <c r="C2411" s="4" t="str">
        <f>_xlfn.XLOOKUP(A2411,[1]!DadosGHD[CD_GEOCMU],[1]!DadosGHD[Região])</f>
        <v>NO</v>
      </c>
      <c r="D2411" s="4" t="str">
        <f>_xlfn.XLOOKUP(A2411,[1]!DadosGHD[CD_GEOCMU],[1]!DadosGHD[uf])</f>
        <v>AC</v>
      </c>
      <c r="E2411" s="5" t="str">
        <f>_xlfn.XLOOKUP(A2411,[1]!DadosGHD[CD_GEOCMU],[1]!DadosGHD[MUNICIPIO])</f>
        <v>MANCIO LIMA</v>
      </c>
      <c r="F2411" s="6">
        <v>38.650833129882798</v>
      </c>
      <c r="G2411" s="6">
        <v>33.841770172119098</v>
      </c>
      <c r="H2411" s="6">
        <v>33.885509490966797</v>
      </c>
      <c r="I2411" s="6">
        <v>33.8662109375</v>
      </c>
      <c r="J2411" s="6">
        <v>33.875877380371101</v>
      </c>
      <c r="K2411" s="6">
        <v>33.890216827392599</v>
      </c>
      <c r="L2411" s="6">
        <v>26.294893264770501</v>
      </c>
    </row>
    <row r="2412" spans="1:12" x14ac:dyDescent="0.25">
      <c r="A2412">
        <v>3126752</v>
      </c>
      <c r="B2412" t="str">
        <f t="shared" si="37"/>
        <v>FRANCISCOPOLIS, MG, Brasil</v>
      </c>
      <c r="C2412" s="4" t="str">
        <f>_xlfn.XLOOKUP(A2412,[1]!DadosGHD[CD_GEOCMU],[1]!DadosGHD[Região])</f>
        <v>SD</v>
      </c>
      <c r="D2412" s="4" t="str">
        <f>_xlfn.XLOOKUP(A2412,[1]!DadosGHD[CD_GEOCMU],[1]!DadosGHD[uf])</f>
        <v>MG</v>
      </c>
      <c r="E2412" s="5" t="str">
        <f>_xlfn.XLOOKUP(A2412,[1]!DadosGHD[CD_GEOCMU],[1]!DadosGHD[MUNICIPIO])</f>
        <v>FRANCISCOPOLIS</v>
      </c>
      <c r="F2412" s="6">
        <v>38.651077270507798</v>
      </c>
      <c r="G2412" s="6">
        <v>38.716987609863303</v>
      </c>
      <c r="H2412" s="6">
        <v>38.773674011230497</v>
      </c>
      <c r="I2412" s="6">
        <v>38.751441955566399</v>
      </c>
      <c r="J2412" s="6">
        <v>38.762176513671903</v>
      </c>
      <c r="K2412" s="6">
        <v>38.8011283874512</v>
      </c>
      <c r="L2412" s="6">
        <v>35.128543853759801</v>
      </c>
    </row>
    <row r="2413" spans="1:12" x14ac:dyDescent="0.25">
      <c r="A2413">
        <v>3107208</v>
      </c>
      <c r="B2413" t="str">
        <f t="shared" si="37"/>
        <v>BOCAINA DE MINAS, MG, Brasil</v>
      </c>
      <c r="C2413" s="4" t="str">
        <f>_xlfn.XLOOKUP(A2413,[1]!DadosGHD[CD_GEOCMU],[1]!DadosGHD[Região])</f>
        <v>SD</v>
      </c>
      <c r="D2413" s="4" t="str">
        <f>_xlfn.XLOOKUP(A2413,[1]!DadosGHD[CD_GEOCMU],[1]!DadosGHD[uf])</f>
        <v>MG</v>
      </c>
      <c r="E2413" s="5" t="str">
        <f>_xlfn.XLOOKUP(A2413,[1]!DadosGHD[CD_GEOCMU],[1]!DadosGHD[MUNICIPIO])</f>
        <v>BOCAINA DE MINAS</v>
      </c>
      <c r="F2413" s="6">
        <v>38.651081085205099</v>
      </c>
      <c r="G2413" s="6">
        <v>38.705375671386697</v>
      </c>
      <c r="H2413" s="6">
        <v>38.809455871582003</v>
      </c>
      <c r="I2413" s="6">
        <v>38.800971984863303</v>
      </c>
      <c r="J2413" s="6">
        <v>43.711784362792997</v>
      </c>
      <c r="K2413" s="6">
        <v>43.779956817627003</v>
      </c>
      <c r="L2413" s="6">
        <v>48.501522064208999</v>
      </c>
    </row>
    <row r="2414" spans="1:12" x14ac:dyDescent="0.25">
      <c r="A2414">
        <v>3304805</v>
      </c>
      <c r="B2414" t="str">
        <f t="shared" si="37"/>
        <v>SAO FIDELIS, RJ, Brasil</v>
      </c>
      <c r="C2414" s="4" t="str">
        <f>_xlfn.XLOOKUP(A2414,[1]!DadosGHD[CD_GEOCMU],[1]!DadosGHD[Região])</f>
        <v>SD</v>
      </c>
      <c r="D2414" s="4" t="str">
        <f>_xlfn.XLOOKUP(A2414,[1]!DadosGHD[CD_GEOCMU],[1]!DadosGHD[uf])</f>
        <v>RJ</v>
      </c>
      <c r="E2414" s="5" t="str">
        <f>_xlfn.XLOOKUP(A2414,[1]!DadosGHD[CD_GEOCMU],[1]!DadosGHD[MUNICIPIO])</f>
        <v>SAO FIDELIS</v>
      </c>
      <c r="F2414" s="6">
        <v>38.651107788085902</v>
      </c>
      <c r="G2414" s="6">
        <v>38.732048034667997</v>
      </c>
      <c r="H2414" s="6">
        <v>38.819465637207003</v>
      </c>
      <c r="I2414" s="6">
        <v>43.717052459716797</v>
      </c>
      <c r="J2414" s="6">
        <v>43.819488525390597</v>
      </c>
      <c r="K2414" s="6">
        <v>43.761226654052699</v>
      </c>
      <c r="L2414" s="6">
        <v>39.5796928405762</v>
      </c>
    </row>
    <row r="2415" spans="1:12" x14ac:dyDescent="0.25">
      <c r="A2415">
        <v>2616001</v>
      </c>
      <c r="B2415" t="str">
        <f t="shared" si="37"/>
        <v>VENTUROSA, PE, Brasil</v>
      </c>
      <c r="C2415" s="4" t="str">
        <f>_xlfn.XLOOKUP(A2415,[1]!DadosGHD[CD_GEOCMU],[1]!DadosGHD[Região])</f>
        <v>NE</v>
      </c>
      <c r="D2415" s="4" t="str">
        <f>_xlfn.XLOOKUP(A2415,[1]!DadosGHD[CD_GEOCMU],[1]!DadosGHD[uf])</f>
        <v>PE</v>
      </c>
      <c r="E2415" s="5" t="str">
        <f>_xlfn.XLOOKUP(A2415,[1]!DadosGHD[CD_GEOCMU],[1]!DadosGHD[MUNICIPIO])</f>
        <v>VENTUROSA</v>
      </c>
      <c r="F2415" s="6">
        <v>38.651191711425803</v>
      </c>
      <c r="G2415" s="6">
        <v>38.698081970214801</v>
      </c>
      <c r="H2415" s="6">
        <v>33.881511688232401</v>
      </c>
      <c r="I2415" s="6">
        <v>33.856796264648402</v>
      </c>
      <c r="J2415" s="6">
        <v>33.884159088134801</v>
      </c>
      <c r="K2415" s="6">
        <v>33.9120903015137</v>
      </c>
      <c r="L2415" s="6">
        <v>30.704423904418899</v>
      </c>
    </row>
    <row r="2416" spans="1:12" x14ac:dyDescent="0.25">
      <c r="A2416">
        <v>2205607</v>
      </c>
      <c r="B2416" t="str">
        <f t="shared" si="37"/>
        <v>LANDRI SALES, PI, Brasil</v>
      </c>
      <c r="C2416" s="4" t="str">
        <f>_xlfn.XLOOKUP(A2416,[1]!DadosGHD[CD_GEOCMU],[1]!DadosGHD[Região])</f>
        <v>NE</v>
      </c>
      <c r="D2416" s="4" t="str">
        <f>_xlfn.XLOOKUP(A2416,[1]!DadosGHD[CD_GEOCMU],[1]!DadosGHD[uf])</f>
        <v>PI</v>
      </c>
      <c r="E2416" s="5" t="str">
        <f>_xlfn.XLOOKUP(A2416,[1]!DadosGHD[CD_GEOCMU],[1]!DadosGHD[MUNICIPIO])</f>
        <v>LANDRI SALES</v>
      </c>
      <c r="F2416" s="6">
        <v>38.651252746582003</v>
      </c>
      <c r="G2416" s="6">
        <v>38.692493438720703</v>
      </c>
      <c r="H2416" s="6">
        <v>33.896293640136697</v>
      </c>
      <c r="I2416" s="6">
        <v>38.714344024658203</v>
      </c>
      <c r="J2416" s="6">
        <v>38.777858734130902</v>
      </c>
      <c r="K2416" s="6">
        <v>38.826248168945298</v>
      </c>
      <c r="L2416" s="6">
        <v>35.134323120117202</v>
      </c>
    </row>
    <row r="2417" spans="1:12" x14ac:dyDescent="0.25">
      <c r="A2417">
        <v>2105203</v>
      </c>
      <c r="B2417" t="str">
        <f t="shared" si="37"/>
        <v>IGARAPE GRANDE, MA, Brasil</v>
      </c>
      <c r="C2417" s="4" t="str">
        <f>_xlfn.XLOOKUP(A2417,[1]!DadosGHD[CD_GEOCMU],[1]!DadosGHD[Região])</f>
        <v>NE</v>
      </c>
      <c r="D2417" s="4" t="str">
        <f>_xlfn.XLOOKUP(A2417,[1]!DadosGHD[CD_GEOCMU],[1]!DadosGHD[uf])</f>
        <v>MA</v>
      </c>
      <c r="E2417" s="5" t="str">
        <f>_xlfn.XLOOKUP(A2417,[1]!DadosGHD[CD_GEOCMU],[1]!DadosGHD[MUNICIPIO])</f>
        <v>IGARAPE GRANDE</v>
      </c>
      <c r="F2417" s="6">
        <v>38.651317596435597</v>
      </c>
      <c r="G2417" s="6">
        <v>38.699844360351598</v>
      </c>
      <c r="H2417" s="6">
        <v>33.894985198974602</v>
      </c>
      <c r="I2417" s="6">
        <v>33.872859954833999</v>
      </c>
      <c r="J2417" s="6">
        <v>33.892078399658203</v>
      </c>
      <c r="K2417" s="6">
        <v>33.922130584716797</v>
      </c>
      <c r="L2417" s="6">
        <v>26.294384002685501</v>
      </c>
    </row>
    <row r="2418" spans="1:12" x14ac:dyDescent="0.25">
      <c r="A2418">
        <v>4202131</v>
      </c>
      <c r="B2418" t="str">
        <f t="shared" si="37"/>
        <v>BELA VISTA DO TOLDO, SC, Brasil</v>
      </c>
      <c r="C2418" s="4" t="str">
        <f>_xlfn.XLOOKUP(A2418,[1]!DadosGHD[CD_GEOCMU],[1]!DadosGHD[Região])</f>
        <v>SL</v>
      </c>
      <c r="D2418" s="4" t="str">
        <f>_xlfn.XLOOKUP(A2418,[1]!DadosGHD[CD_GEOCMU],[1]!DadosGHD[uf])</f>
        <v>SC</v>
      </c>
      <c r="E2418" s="5" t="str">
        <f>_xlfn.XLOOKUP(A2418,[1]!DadosGHD[CD_GEOCMU],[1]!DadosGHD[MUNICIPIO])</f>
        <v>BELA VISTA DO TOLDO</v>
      </c>
      <c r="F2418" s="6">
        <v>38.651340484619098</v>
      </c>
      <c r="G2418" s="6">
        <v>43.663074493408203</v>
      </c>
      <c r="H2418" s="6">
        <v>38.834762573242202</v>
      </c>
      <c r="I2418" s="6">
        <v>38.722488403320298</v>
      </c>
      <c r="J2418" s="6">
        <v>38.7471733093262</v>
      </c>
      <c r="K2418" s="6">
        <v>43.785240173339801</v>
      </c>
      <c r="L2418" s="6">
        <v>35.126884460449197</v>
      </c>
    </row>
    <row r="2419" spans="1:12" x14ac:dyDescent="0.25">
      <c r="A2419">
        <v>3140159</v>
      </c>
      <c r="B2419" t="str">
        <f t="shared" si="37"/>
        <v>MARIO CAMPOS, MG, Brasil</v>
      </c>
      <c r="C2419" s="4" t="str">
        <f>_xlfn.XLOOKUP(A2419,[1]!DadosGHD[CD_GEOCMU],[1]!DadosGHD[Região])</f>
        <v>SD</v>
      </c>
      <c r="D2419" s="4" t="str">
        <f>_xlfn.XLOOKUP(A2419,[1]!DadosGHD[CD_GEOCMU],[1]!DadosGHD[uf])</f>
        <v>MG</v>
      </c>
      <c r="E2419" s="5" t="str">
        <f>_xlfn.XLOOKUP(A2419,[1]!DadosGHD[CD_GEOCMU],[1]!DadosGHD[MUNICIPIO])</f>
        <v>MARIO CAMPOS</v>
      </c>
      <c r="F2419" s="6">
        <v>38.6517143249512</v>
      </c>
      <c r="G2419" s="6">
        <v>38.758392333984403</v>
      </c>
      <c r="H2419" s="6">
        <v>38.7694091796875</v>
      </c>
      <c r="I2419" s="6">
        <v>33.842113494873097</v>
      </c>
      <c r="J2419" s="6">
        <v>33.839817047119098</v>
      </c>
      <c r="K2419" s="6">
        <v>38.828178405761697</v>
      </c>
      <c r="L2419" s="6">
        <v>44.029525756835902</v>
      </c>
    </row>
    <row r="2420" spans="1:12" x14ac:dyDescent="0.25">
      <c r="A2420">
        <v>4122206</v>
      </c>
      <c r="B2420" t="str">
        <f t="shared" si="37"/>
        <v>RIO BRANCO DO SUL, PR, Brasil</v>
      </c>
      <c r="C2420" s="4" t="str">
        <f>_xlfn.XLOOKUP(A2420,[1]!DadosGHD[CD_GEOCMU],[1]!DadosGHD[Região])</f>
        <v>SL</v>
      </c>
      <c r="D2420" s="4" t="str">
        <f>_xlfn.XLOOKUP(A2420,[1]!DadosGHD[CD_GEOCMU],[1]!DadosGHD[uf])</f>
        <v>PR</v>
      </c>
      <c r="E2420" s="5" t="str">
        <f>_xlfn.XLOOKUP(A2420,[1]!DadosGHD[CD_GEOCMU],[1]!DadosGHD[MUNICIPIO])</f>
        <v>RIO BRANCO DO SUL</v>
      </c>
      <c r="F2420" s="6">
        <v>38.651725769042997</v>
      </c>
      <c r="G2420" s="6">
        <v>38.726463317871101</v>
      </c>
      <c r="H2420" s="6">
        <v>38.775253295898402</v>
      </c>
      <c r="I2420" s="6">
        <v>38.777473449707003</v>
      </c>
      <c r="J2420" s="6">
        <v>38.795032501220703</v>
      </c>
      <c r="K2420" s="6">
        <v>43.847949981689503</v>
      </c>
      <c r="L2420" s="6">
        <v>44.074909210205099</v>
      </c>
    </row>
    <row r="2421" spans="1:12" x14ac:dyDescent="0.25">
      <c r="A2421">
        <v>2502409</v>
      </c>
      <c r="B2421" t="str">
        <f t="shared" si="37"/>
        <v>BONITO DE SANTA FE, PB, Brasil</v>
      </c>
      <c r="C2421" s="4" t="str">
        <f>_xlfn.XLOOKUP(A2421,[1]!DadosGHD[CD_GEOCMU],[1]!DadosGHD[Região])</f>
        <v>NE</v>
      </c>
      <c r="D2421" s="4" t="str">
        <f>_xlfn.XLOOKUP(A2421,[1]!DadosGHD[CD_GEOCMU],[1]!DadosGHD[uf])</f>
        <v>PB</v>
      </c>
      <c r="E2421" s="5" t="str">
        <f>_xlfn.XLOOKUP(A2421,[1]!DadosGHD[CD_GEOCMU],[1]!DadosGHD[MUNICIPIO])</f>
        <v>BONITO DE SANTA FE</v>
      </c>
      <c r="F2421" s="6">
        <v>38.651786804199197</v>
      </c>
      <c r="G2421" s="6">
        <v>38.707233428955099</v>
      </c>
      <c r="H2421" s="6">
        <v>33.870872497558601</v>
      </c>
      <c r="I2421" s="6">
        <v>33.8466606140137</v>
      </c>
      <c r="J2421" s="6">
        <v>33.863758087158203</v>
      </c>
      <c r="K2421" s="6">
        <v>33.892581939697301</v>
      </c>
      <c r="L2421" s="6">
        <v>35.112045288085902</v>
      </c>
    </row>
    <row r="2422" spans="1:12" x14ac:dyDescent="0.25">
      <c r="A2422">
        <v>2614303</v>
      </c>
      <c r="B2422" t="str">
        <f t="shared" si="37"/>
        <v>MOREILANDIA, PE, Brasil</v>
      </c>
      <c r="C2422" s="4" t="str">
        <f>_xlfn.XLOOKUP(A2422,[1]!DadosGHD[CD_GEOCMU],[1]!DadosGHD[Região])</f>
        <v>NE</v>
      </c>
      <c r="D2422" s="4" t="str">
        <f>_xlfn.XLOOKUP(A2422,[1]!DadosGHD[CD_GEOCMU],[1]!DadosGHD[uf])</f>
        <v>PE</v>
      </c>
      <c r="E2422" s="5" t="str">
        <f>_xlfn.XLOOKUP(A2422,[1]!DadosGHD[CD_GEOCMU],[1]!DadosGHD[MUNICIPIO])</f>
        <v>MOREILANDIA</v>
      </c>
      <c r="F2422" s="6">
        <v>38.651973724365199</v>
      </c>
      <c r="G2422" s="6">
        <v>38.696712493896499</v>
      </c>
      <c r="H2422" s="6">
        <v>33.876052856445298</v>
      </c>
      <c r="I2422" s="6">
        <v>33.845298767089801</v>
      </c>
      <c r="J2422" s="6">
        <v>33.875091552734403</v>
      </c>
      <c r="K2422" s="6">
        <v>33.927375793457003</v>
      </c>
      <c r="L2422" s="6">
        <v>30.706497192382798</v>
      </c>
    </row>
    <row r="2423" spans="1:12" x14ac:dyDescent="0.25">
      <c r="A2423">
        <v>2606408</v>
      </c>
      <c r="B2423" t="str">
        <f t="shared" si="37"/>
        <v>GRAVATA, PE, Brasil</v>
      </c>
      <c r="C2423" s="4" t="str">
        <f>_xlfn.XLOOKUP(A2423,[1]!DadosGHD[CD_GEOCMU],[1]!DadosGHD[Região])</f>
        <v>NE</v>
      </c>
      <c r="D2423" s="4" t="str">
        <f>_xlfn.XLOOKUP(A2423,[1]!DadosGHD[CD_GEOCMU],[1]!DadosGHD[uf])</f>
        <v>PE</v>
      </c>
      <c r="E2423" s="5" t="str">
        <f>_xlfn.XLOOKUP(A2423,[1]!DadosGHD[CD_GEOCMU],[1]!DadosGHD[MUNICIPIO])</f>
        <v>GRAVATA</v>
      </c>
      <c r="F2423" s="6">
        <v>38.652111053466797</v>
      </c>
      <c r="G2423" s="6">
        <v>38.739345550537102</v>
      </c>
      <c r="H2423" s="6">
        <v>38.7679252624512</v>
      </c>
      <c r="I2423" s="6">
        <v>38.806896209716797</v>
      </c>
      <c r="J2423" s="6">
        <v>38.835090637207003</v>
      </c>
      <c r="K2423" s="6">
        <v>38.871818542480497</v>
      </c>
      <c r="L2423" s="6">
        <v>44.026447296142599</v>
      </c>
    </row>
    <row r="2424" spans="1:12" x14ac:dyDescent="0.25">
      <c r="A2424">
        <v>4301073</v>
      </c>
      <c r="B2424" t="str">
        <f t="shared" si="37"/>
        <v>ARROIO DO PADRE, RS, Brasil</v>
      </c>
      <c r="C2424" s="4" t="str">
        <f>_xlfn.XLOOKUP(A2424,[1]!DadosGHD[CD_GEOCMU],[1]!DadosGHD[Região])</f>
        <v>SL</v>
      </c>
      <c r="D2424" s="4" t="str">
        <f>_xlfn.XLOOKUP(A2424,[1]!DadosGHD[CD_GEOCMU],[1]!DadosGHD[uf])</f>
        <v>RS</v>
      </c>
      <c r="E2424" s="5" t="str">
        <f>_xlfn.XLOOKUP(A2424,[1]!DadosGHD[CD_GEOCMU],[1]!DadosGHD[MUNICIPIO])</f>
        <v>ARROIO DO PADRE</v>
      </c>
      <c r="F2424" s="6">
        <v>38.6522216796875</v>
      </c>
      <c r="G2424" s="6">
        <v>43.737789154052699</v>
      </c>
      <c r="H2424" s="6">
        <v>48.717945098877003</v>
      </c>
      <c r="I2424" s="6">
        <v>48.794429779052699</v>
      </c>
      <c r="J2424" s="6">
        <v>48.806388854980497</v>
      </c>
      <c r="K2424" s="6">
        <v>48.813716888427699</v>
      </c>
      <c r="L2424" s="6">
        <v>48.534671783447301</v>
      </c>
    </row>
    <row r="2425" spans="1:12" x14ac:dyDescent="0.25">
      <c r="A2425">
        <v>4108650</v>
      </c>
      <c r="B2425" t="str">
        <f t="shared" si="37"/>
        <v>GOIOXIM, PR, Brasil</v>
      </c>
      <c r="C2425" s="4" t="str">
        <f>_xlfn.XLOOKUP(A2425,[1]!DadosGHD[CD_GEOCMU],[1]!DadosGHD[Região])</f>
        <v>SL</v>
      </c>
      <c r="D2425" s="4" t="str">
        <f>_xlfn.XLOOKUP(A2425,[1]!DadosGHD[CD_GEOCMU],[1]!DadosGHD[uf])</f>
        <v>PR</v>
      </c>
      <c r="E2425" s="5" t="str">
        <f>_xlfn.XLOOKUP(A2425,[1]!DadosGHD[CD_GEOCMU],[1]!DadosGHD[MUNICIPIO])</f>
        <v>GOIOXIM</v>
      </c>
      <c r="F2425" s="6">
        <v>38.652275085449197</v>
      </c>
      <c r="G2425" s="6">
        <v>38.783939361572301</v>
      </c>
      <c r="H2425" s="6">
        <v>38.842308044433601</v>
      </c>
      <c r="I2425" s="6">
        <v>38.734786987304702</v>
      </c>
      <c r="J2425" s="6">
        <v>38.751472473144503</v>
      </c>
      <c r="K2425" s="6">
        <v>38.792263031005902</v>
      </c>
      <c r="L2425" s="6">
        <v>30.6972141265869</v>
      </c>
    </row>
    <row r="2426" spans="1:12" x14ac:dyDescent="0.25">
      <c r="A2426">
        <v>2107308</v>
      </c>
      <c r="B2426" t="str">
        <f t="shared" si="37"/>
        <v>NOVA IORQUE, MA, Brasil</v>
      </c>
      <c r="C2426" s="4" t="str">
        <f>_xlfn.XLOOKUP(A2426,[1]!DadosGHD[CD_GEOCMU],[1]!DadosGHD[Região])</f>
        <v>NE</v>
      </c>
      <c r="D2426" s="4" t="str">
        <f>_xlfn.XLOOKUP(A2426,[1]!DadosGHD[CD_GEOCMU],[1]!DadosGHD[uf])</f>
        <v>MA</v>
      </c>
      <c r="E2426" s="5" t="str">
        <f>_xlfn.XLOOKUP(A2426,[1]!DadosGHD[CD_GEOCMU],[1]!DadosGHD[MUNICIPIO])</f>
        <v>NOVA IORQUE</v>
      </c>
      <c r="F2426" s="6">
        <v>38.652290344238303</v>
      </c>
      <c r="G2426" s="6">
        <v>38.688064575195298</v>
      </c>
      <c r="H2426" s="6">
        <v>33.886280059814503</v>
      </c>
      <c r="I2426" s="6">
        <v>33.870319366455099</v>
      </c>
      <c r="J2426" s="6">
        <v>33.894218444824197</v>
      </c>
      <c r="K2426" s="6">
        <v>28.978946685791001</v>
      </c>
      <c r="L2426" s="6">
        <v>26.2947177886963</v>
      </c>
    </row>
    <row r="2427" spans="1:12" x14ac:dyDescent="0.25">
      <c r="A2427">
        <v>3142908</v>
      </c>
      <c r="B2427" t="str">
        <f t="shared" si="37"/>
        <v>MONTE AZUL, MG, Brasil</v>
      </c>
      <c r="C2427" s="4" t="str">
        <f>_xlfn.XLOOKUP(A2427,[1]!DadosGHD[CD_GEOCMU],[1]!DadosGHD[Região])</f>
        <v>SD</v>
      </c>
      <c r="D2427" s="4" t="str">
        <f>_xlfn.XLOOKUP(A2427,[1]!DadosGHD[CD_GEOCMU],[1]!DadosGHD[uf])</f>
        <v>MG</v>
      </c>
      <c r="E2427" s="5" t="str">
        <f>_xlfn.XLOOKUP(A2427,[1]!DadosGHD[CD_GEOCMU],[1]!DadosGHD[MUNICIPIO])</f>
        <v>MONTE AZUL</v>
      </c>
      <c r="F2427" s="6">
        <v>38.652297973632798</v>
      </c>
      <c r="G2427" s="6">
        <v>38.744438171386697</v>
      </c>
      <c r="H2427" s="6">
        <v>38.833827972412102</v>
      </c>
      <c r="I2427" s="6">
        <v>38.821929931640597</v>
      </c>
      <c r="J2427" s="6">
        <v>38.844230651855497</v>
      </c>
      <c r="K2427" s="6">
        <v>38.851985931396499</v>
      </c>
      <c r="L2427" s="6">
        <v>35.149734497070298</v>
      </c>
    </row>
    <row r="2428" spans="1:12" x14ac:dyDescent="0.25">
      <c r="A2428">
        <v>2904308</v>
      </c>
      <c r="B2428" t="str">
        <f t="shared" si="37"/>
        <v>BREJOES, BA, Brasil</v>
      </c>
      <c r="C2428" s="4" t="str">
        <f>_xlfn.XLOOKUP(A2428,[1]!DadosGHD[CD_GEOCMU],[1]!DadosGHD[Região])</f>
        <v>NE</v>
      </c>
      <c r="D2428" s="4" t="str">
        <f>_xlfn.XLOOKUP(A2428,[1]!DadosGHD[CD_GEOCMU],[1]!DadosGHD[uf])</f>
        <v>BA</v>
      </c>
      <c r="E2428" s="5" t="str">
        <f>_xlfn.XLOOKUP(A2428,[1]!DadosGHD[CD_GEOCMU],[1]!DadosGHD[MUNICIPIO])</f>
        <v>BREJOES</v>
      </c>
      <c r="F2428" s="6">
        <v>38.652351379394503</v>
      </c>
      <c r="G2428" s="6">
        <v>38.6979789733887</v>
      </c>
      <c r="H2428" s="6">
        <v>38.767990112304702</v>
      </c>
      <c r="I2428" s="6">
        <v>38.759044647216797</v>
      </c>
      <c r="J2428" s="6">
        <v>38.756137847900398</v>
      </c>
      <c r="K2428" s="6">
        <v>33.890632629394503</v>
      </c>
      <c r="L2428" s="6">
        <v>30.7115383148193</v>
      </c>
    </row>
    <row r="2429" spans="1:12" x14ac:dyDescent="0.25">
      <c r="A2429">
        <v>4106803</v>
      </c>
      <c r="B2429" t="str">
        <f t="shared" si="37"/>
        <v>CRUZ MACHADO, PR, Brasil</v>
      </c>
      <c r="C2429" s="4" t="str">
        <f>_xlfn.XLOOKUP(A2429,[1]!DadosGHD[CD_GEOCMU],[1]!DadosGHD[Região])</f>
        <v>SL</v>
      </c>
      <c r="D2429" s="4" t="str">
        <f>_xlfn.XLOOKUP(A2429,[1]!DadosGHD[CD_GEOCMU],[1]!DadosGHD[uf])</f>
        <v>PR</v>
      </c>
      <c r="E2429" s="5" t="str">
        <f>_xlfn.XLOOKUP(A2429,[1]!DadosGHD[CD_GEOCMU],[1]!DadosGHD[MUNICIPIO])</f>
        <v>CRUZ MACHADO</v>
      </c>
      <c r="F2429" s="6">
        <v>38.652477264404297</v>
      </c>
      <c r="G2429" s="6">
        <v>38.736396789550803</v>
      </c>
      <c r="H2429" s="6">
        <v>38.773509979248097</v>
      </c>
      <c r="I2429" s="6">
        <v>38.745632171630902</v>
      </c>
      <c r="J2429" s="6">
        <v>38.822513580322301</v>
      </c>
      <c r="K2429" s="6">
        <v>38.853694915771499</v>
      </c>
      <c r="L2429" s="6">
        <v>39.569908142089801</v>
      </c>
    </row>
    <row r="2430" spans="1:12" x14ac:dyDescent="0.25">
      <c r="A2430">
        <v>2401404</v>
      </c>
      <c r="B2430" t="str">
        <f t="shared" si="37"/>
        <v>BAIA FORMOSA, RN, Brasil</v>
      </c>
      <c r="C2430" s="4" t="str">
        <f>_xlfn.XLOOKUP(A2430,[1]!DadosGHD[CD_GEOCMU],[1]!DadosGHD[Região])</f>
        <v>NE</v>
      </c>
      <c r="D2430" s="4" t="str">
        <f>_xlfn.XLOOKUP(A2430,[1]!DadosGHD[CD_GEOCMU],[1]!DadosGHD[uf])</f>
        <v>RN</v>
      </c>
      <c r="E2430" s="5" t="str">
        <f>_xlfn.XLOOKUP(A2430,[1]!DadosGHD[CD_GEOCMU],[1]!DadosGHD[MUNICIPIO])</f>
        <v>BAIA FORMOSA</v>
      </c>
      <c r="F2430" s="6">
        <v>38.652477264404297</v>
      </c>
      <c r="G2430" s="6">
        <v>38.700645446777301</v>
      </c>
      <c r="H2430" s="6">
        <v>33.890762329101598</v>
      </c>
      <c r="I2430" s="6">
        <v>38.730457305908203</v>
      </c>
      <c r="J2430" s="6">
        <v>38.7997016906738</v>
      </c>
      <c r="K2430" s="6">
        <v>33.887935638427699</v>
      </c>
      <c r="L2430" s="6">
        <v>39.591144561767599</v>
      </c>
    </row>
    <row r="2431" spans="1:12" x14ac:dyDescent="0.25">
      <c r="A2431">
        <v>2111573</v>
      </c>
      <c r="B2431" t="str">
        <f t="shared" si="37"/>
        <v>SAO PEDRO DOS CRENTES, MA, Brasil</v>
      </c>
      <c r="C2431" s="4" t="str">
        <f>_xlfn.XLOOKUP(A2431,[1]!DadosGHD[CD_GEOCMU],[1]!DadosGHD[Região])</f>
        <v>NE</v>
      </c>
      <c r="D2431" s="4" t="str">
        <f>_xlfn.XLOOKUP(A2431,[1]!DadosGHD[CD_GEOCMU],[1]!DadosGHD[uf])</f>
        <v>MA</v>
      </c>
      <c r="E2431" s="5" t="str">
        <f>_xlfn.XLOOKUP(A2431,[1]!DadosGHD[CD_GEOCMU],[1]!DadosGHD[MUNICIPIO])</f>
        <v>SAO PEDRO DOS CRENTES</v>
      </c>
      <c r="F2431" s="6">
        <v>38.652641296386697</v>
      </c>
      <c r="G2431" s="6">
        <v>38.788169860839801</v>
      </c>
      <c r="H2431" s="6">
        <v>38.796943664550803</v>
      </c>
      <c r="I2431" s="6">
        <v>38.769283294677699</v>
      </c>
      <c r="J2431" s="6">
        <v>38.781940460205099</v>
      </c>
      <c r="K2431" s="6">
        <v>38.867435455322301</v>
      </c>
      <c r="L2431" s="6">
        <v>39.6057739257813</v>
      </c>
    </row>
    <row r="2432" spans="1:12" x14ac:dyDescent="0.25">
      <c r="A2432">
        <v>3521150</v>
      </c>
      <c r="B2432" t="str">
        <f t="shared" si="37"/>
        <v>IPIGUA, SP, Brasil</v>
      </c>
      <c r="C2432" s="4" t="str">
        <f>_xlfn.XLOOKUP(A2432,[1]!DadosGHD[CD_GEOCMU],[1]!DadosGHD[Região])</f>
        <v>SD</v>
      </c>
      <c r="D2432" s="4" t="str">
        <f>_xlfn.XLOOKUP(A2432,[1]!DadosGHD[CD_GEOCMU],[1]!DadosGHD[uf])</f>
        <v>SP</v>
      </c>
      <c r="E2432" s="5" t="str">
        <f>_xlfn.XLOOKUP(A2432,[1]!DadosGHD[CD_GEOCMU],[1]!DadosGHD[MUNICIPIO])</f>
        <v>IPIGUA</v>
      </c>
      <c r="F2432" s="6">
        <v>38.652671813964801</v>
      </c>
      <c r="G2432" s="6">
        <v>38.692264556884801</v>
      </c>
      <c r="H2432" s="6">
        <v>33.8920288085938</v>
      </c>
      <c r="I2432" s="6">
        <v>38.722202301025398</v>
      </c>
      <c r="J2432" s="6">
        <v>33.8678169250488</v>
      </c>
      <c r="K2432" s="6">
        <v>33.884231567382798</v>
      </c>
      <c r="L2432" s="6">
        <v>26.287797927856399</v>
      </c>
    </row>
    <row r="2433" spans="1:12" x14ac:dyDescent="0.25">
      <c r="A2433">
        <v>1703602</v>
      </c>
      <c r="B2433" t="str">
        <f t="shared" si="37"/>
        <v>BRASILANDIA DO TOCANTINS, TO, Brasil</v>
      </c>
      <c r="C2433" s="4" t="str">
        <f>_xlfn.XLOOKUP(A2433,[1]!DadosGHD[CD_GEOCMU],[1]!DadosGHD[Região])</f>
        <v>NO</v>
      </c>
      <c r="D2433" s="4" t="str">
        <f>_xlfn.XLOOKUP(A2433,[1]!DadosGHD[CD_GEOCMU],[1]!DadosGHD[uf])</f>
        <v>TO</v>
      </c>
      <c r="E2433" s="5" t="str">
        <f>_xlfn.XLOOKUP(A2433,[1]!DadosGHD[CD_GEOCMU],[1]!DadosGHD[MUNICIPIO])</f>
        <v>BRASILANDIA DO TOCANTINS</v>
      </c>
      <c r="F2433" s="6">
        <v>38.652683258056598</v>
      </c>
      <c r="G2433" s="6">
        <v>33.812553405761697</v>
      </c>
      <c r="H2433" s="6">
        <v>33.843482971191399</v>
      </c>
      <c r="I2433" s="6">
        <v>33.8281059265137</v>
      </c>
      <c r="J2433" s="6">
        <v>28.9409065246582</v>
      </c>
      <c r="K2433" s="6">
        <v>28.9686679840088</v>
      </c>
      <c r="L2433" s="6">
        <v>26.295354843139702</v>
      </c>
    </row>
    <row r="2434" spans="1:12" x14ac:dyDescent="0.25">
      <c r="A2434">
        <v>3200508</v>
      </c>
      <c r="B2434" t="str">
        <f t="shared" si="37"/>
        <v>APIACA, ES, Brasil</v>
      </c>
      <c r="C2434" s="4" t="str">
        <f>_xlfn.XLOOKUP(A2434,[1]!DadosGHD[CD_GEOCMU],[1]!DadosGHD[Região])</f>
        <v>SD</v>
      </c>
      <c r="D2434" s="4" t="str">
        <f>_xlfn.XLOOKUP(A2434,[1]!DadosGHD[CD_GEOCMU],[1]!DadosGHD[uf])</f>
        <v>ES</v>
      </c>
      <c r="E2434" s="5" t="str">
        <f>_xlfn.XLOOKUP(A2434,[1]!DadosGHD[CD_GEOCMU],[1]!DadosGHD[MUNICIPIO])</f>
        <v>APIACA</v>
      </c>
      <c r="F2434" s="6">
        <v>38.652683258056598</v>
      </c>
      <c r="G2434" s="6">
        <v>38.690151214599602</v>
      </c>
      <c r="H2434" s="6">
        <v>33.860313415527301</v>
      </c>
      <c r="I2434" s="6">
        <v>33.838058471679702</v>
      </c>
      <c r="J2434" s="6">
        <v>38.749057769775398</v>
      </c>
      <c r="K2434" s="6">
        <v>38.826351165771499</v>
      </c>
      <c r="L2434" s="6">
        <v>39.589973449707003</v>
      </c>
    </row>
    <row r="2435" spans="1:12" x14ac:dyDescent="0.25">
      <c r="A2435">
        <v>5209903</v>
      </c>
      <c r="B2435" t="str">
        <f t="shared" si="37"/>
        <v>IACIARA, GO, Brasil</v>
      </c>
      <c r="C2435" s="4" t="str">
        <f>_xlfn.XLOOKUP(A2435,[1]!DadosGHD[CD_GEOCMU],[1]!DadosGHD[Região])</f>
        <v>CO</v>
      </c>
      <c r="D2435" s="4" t="str">
        <f>_xlfn.XLOOKUP(A2435,[1]!DadosGHD[CD_GEOCMU],[1]!DadosGHD[uf])</f>
        <v>GO</v>
      </c>
      <c r="E2435" s="5" t="str">
        <f>_xlfn.XLOOKUP(A2435,[1]!DadosGHD[CD_GEOCMU],[1]!DadosGHD[MUNICIPIO])</f>
        <v>IACIARA</v>
      </c>
      <c r="F2435" s="6">
        <v>38.652755737304702</v>
      </c>
      <c r="G2435" s="6">
        <v>38.738365173339801</v>
      </c>
      <c r="H2435" s="6">
        <v>38.789817810058601</v>
      </c>
      <c r="I2435" s="6">
        <v>38.768531799316399</v>
      </c>
      <c r="J2435" s="6">
        <v>38.773292541503899</v>
      </c>
      <c r="K2435" s="6">
        <v>38.795337677002003</v>
      </c>
      <c r="L2435" s="6">
        <v>26.296930313110401</v>
      </c>
    </row>
    <row r="2436" spans="1:12" x14ac:dyDescent="0.25">
      <c r="A2436">
        <v>3132701</v>
      </c>
      <c r="B2436" t="str">
        <f t="shared" ref="B2436:B2499" si="38">_xlfn.CONCAT(E2436, ", ", D2436, ", Brasil")</f>
        <v>ITAMBACURI, MG, Brasil</v>
      </c>
      <c r="C2436" s="4" t="str">
        <f>_xlfn.XLOOKUP(A2436,[1]!DadosGHD[CD_GEOCMU],[1]!DadosGHD[Região])</f>
        <v>SD</v>
      </c>
      <c r="D2436" s="4" t="str">
        <f>_xlfn.XLOOKUP(A2436,[1]!DadosGHD[CD_GEOCMU],[1]!DadosGHD[uf])</f>
        <v>MG</v>
      </c>
      <c r="E2436" s="5" t="str">
        <f>_xlfn.XLOOKUP(A2436,[1]!DadosGHD[CD_GEOCMU],[1]!DadosGHD[MUNICIPIO])</f>
        <v>ITAMBACURI</v>
      </c>
      <c r="F2436" s="6">
        <v>38.652824401855497</v>
      </c>
      <c r="G2436" s="6">
        <v>38.755645751953097</v>
      </c>
      <c r="H2436" s="6">
        <v>38.808082580566399</v>
      </c>
      <c r="I2436" s="6">
        <v>38.783817291259801</v>
      </c>
      <c r="J2436" s="6">
        <v>38.794158935546903</v>
      </c>
      <c r="K2436" s="6">
        <v>38.830131530761697</v>
      </c>
      <c r="L2436" s="6">
        <v>30.7222709655762</v>
      </c>
    </row>
    <row r="2437" spans="1:12" x14ac:dyDescent="0.25">
      <c r="A2437">
        <v>5204854</v>
      </c>
      <c r="B2437" t="str">
        <f t="shared" si="38"/>
        <v>CAMPO LIMPO DE GOIAS, GO, Brasil</v>
      </c>
      <c r="C2437" s="4" t="str">
        <f>_xlfn.XLOOKUP(A2437,[1]!DadosGHD[CD_GEOCMU],[1]!DadosGHD[Região])</f>
        <v>CO</v>
      </c>
      <c r="D2437" s="4" t="str">
        <f>_xlfn.XLOOKUP(A2437,[1]!DadosGHD[CD_GEOCMU],[1]!DadosGHD[uf])</f>
        <v>GO</v>
      </c>
      <c r="E2437" s="5" t="str">
        <f>_xlfn.XLOOKUP(A2437,[1]!DadosGHD[CD_GEOCMU],[1]!DadosGHD[MUNICIPIO])</f>
        <v>CAMPO LIMPO DE GOIAS</v>
      </c>
      <c r="F2437" s="6">
        <v>38.6530570983887</v>
      </c>
      <c r="G2437" s="6">
        <v>38.712619781494098</v>
      </c>
      <c r="H2437" s="6">
        <v>38.827239990234403</v>
      </c>
      <c r="I2437" s="6">
        <v>38.716663360595703</v>
      </c>
      <c r="J2437" s="6">
        <v>33.8738403320313</v>
      </c>
      <c r="K2437" s="6">
        <v>33.9066352844238</v>
      </c>
      <c r="L2437" s="6">
        <v>30.691646575927699</v>
      </c>
    </row>
    <row r="2438" spans="1:12" x14ac:dyDescent="0.25">
      <c r="A2438">
        <v>3203601</v>
      </c>
      <c r="B2438" t="str">
        <f t="shared" si="38"/>
        <v>MUCURICI, ES, Brasil</v>
      </c>
      <c r="C2438" s="4" t="str">
        <f>_xlfn.XLOOKUP(A2438,[1]!DadosGHD[CD_GEOCMU],[1]!DadosGHD[Região])</f>
        <v>SD</v>
      </c>
      <c r="D2438" s="4" t="str">
        <f>_xlfn.XLOOKUP(A2438,[1]!DadosGHD[CD_GEOCMU],[1]!DadosGHD[uf])</f>
        <v>ES</v>
      </c>
      <c r="E2438" s="5" t="str">
        <f>_xlfn.XLOOKUP(A2438,[1]!DadosGHD[CD_GEOCMU],[1]!DadosGHD[MUNICIPIO])</f>
        <v>MUCURICI</v>
      </c>
      <c r="F2438" s="6">
        <v>38.653068542480497</v>
      </c>
      <c r="G2438" s="6">
        <v>38.708992004394503</v>
      </c>
      <c r="H2438" s="6">
        <v>38.767730712890597</v>
      </c>
      <c r="I2438" s="6">
        <v>38.7733764648438</v>
      </c>
      <c r="J2438" s="6">
        <v>38.778636932373097</v>
      </c>
      <c r="K2438" s="6">
        <v>38.855155944824197</v>
      </c>
      <c r="L2438" s="6">
        <v>44.068405151367202</v>
      </c>
    </row>
    <row r="2439" spans="1:12" x14ac:dyDescent="0.25">
      <c r="A2439">
        <v>2412302</v>
      </c>
      <c r="B2439" t="str">
        <f t="shared" si="38"/>
        <v>SAO JOSE DO CAMPESTRE, RN, Brasil</v>
      </c>
      <c r="C2439" s="4" t="str">
        <f>_xlfn.XLOOKUP(A2439,[1]!DadosGHD[CD_GEOCMU],[1]!DadosGHD[Região])</f>
        <v>NE</v>
      </c>
      <c r="D2439" s="4" t="str">
        <f>_xlfn.XLOOKUP(A2439,[1]!DadosGHD[CD_GEOCMU],[1]!DadosGHD[uf])</f>
        <v>RN</v>
      </c>
      <c r="E2439" s="5" t="str">
        <f>_xlfn.XLOOKUP(A2439,[1]!DadosGHD[CD_GEOCMU],[1]!DadosGHD[MUNICIPIO])</f>
        <v>SAO JOSE DO CAMPESTRE</v>
      </c>
      <c r="F2439" s="6">
        <v>38.6531791687012</v>
      </c>
      <c r="G2439" s="6">
        <v>38.717552185058601</v>
      </c>
      <c r="H2439" s="6">
        <v>33.879806518554702</v>
      </c>
      <c r="I2439" s="6">
        <v>33.8614311218262</v>
      </c>
      <c r="J2439" s="6">
        <v>33.877742767333999</v>
      </c>
      <c r="K2439" s="6">
        <v>33.895500183105497</v>
      </c>
      <c r="L2439" s="6">
        <v>26.293653488159201</v>
      </c>
    </row>
    <row r="2440" spans="1:12" x14ac:dyDescent="0.25">
      <c r="A2440">
        <v>4111704</v>
      </c>
      <c r="B2440" t="str">
        <f t="shared" si="38"/>
        <v>JABOTI, PR, Brasil</v>
      </c>
      <c r="C2440" s="4" t="str">
        <f>_xlfn.XLOOKUP(A2440,[1]!DadosGHD[CD_GEOCMU],[1]!DadosGHD[Região])</f>
        <v>SL</v>
      </c>
      <c r="D2440" s="4" t="str">
        <f>_xlfn.XLOOKUP(A2440,[1]!DadosGHD[CD_GEOCMU],[1]!DadosGHD[uf])</f>
        <v>PR</v>
      </c>
      <c r="E2440" s="5" t="str">
        <f>_xlfn.XLOOKUP(A2440,[1]!DadosGHD[CD_GEOCMU],[1]!DadosGHD[MUNICIPIO])</f>
        <v>JABOTI</v>
      </c>
      <c r="F2440" s="6">
        <v>38.6531982421875</v>
      </c>
      <c r="G2440" s="6">
        <v>43.6541557312012</v>
      </c>
      <c r="H2440" s="6">
        <v>38.838798522949197</v>
      </c>
      <c r="I2440" s="6">
        <v>38.800376892089801</v>
      </c>
      <c r="J2440" s="6">
        <v>38.813423156738303</v>
      </c>
      <c r="K2440" s="6">
        <v>38.864311218261697</v>
      </c>
      <c r="L2440" s="6">
        <v>35.117549896240199</v>
      </c>
    </row>
    <row r="2441" spans="1:12" x14ac:dyDescent="0.25">
      <c r="A2441">
        <v>1716307</v>
      </c>
      <c r="B2441" t="str">
        <f t="shared" si="38"/>
        <v>PAU D'ARCO, TO, Brasil</v>
      </c>
      <c r="C2441" s="4" t="str">
        <f>_xlfn.XLOOKUP(A2441,[1]!DadosGHD[CD_GEOCMU],[1]!DadosGHD[Região])</f>
        <v>NO</v>
      </c>
      <c r="D2441" s="4" t="str">
        <f>_xlfn.XLOOKUP(A2441,[1]!DadosGHD[CD_GEOCMU],[1]!DadosGHD[uf])</f>
        <v>TO</v>
      </c>
      <c r="E2441" s="5" t="str">
        <f>_xlfn.XLOOKUP(A2441,[1]!DadosGHD[CD_GEOCMU],[1]!DadosGHD[MUNICIPIO])</f>
        <v>PAU D'ARCO</v>
      </c>
      <c r="F2441" s="6">
        <v>38.653469085693402</v>
      </c>
      <c r="G2441" s="6">
        <v>38.688663482666001</v>
      </c>
      <c r="H2441" s="6">
        <v>33.886272430419901</v>
      </c>
      <c r="I2441" s="6">
        <v>33.859165191650398</v>
      </c>
      <c r="J2441" s="6">
        <v>33.878589630127003</v>
      </c>
      <c r="K2441" s="6">
        <v>33.903842926025398</v>
      </c>
      <c r="L2441" s="6">
        <v>30.690122604370099</v>
      </c>
    </row>
    <row r="2442" spans="1:12" x14ac:dyDescent="0.25">
      <c r="A2442">
        <v>2407609</v>
      </c>
      <c r="B2442" t="str">
        <f t="shared" si="38"/>
        <v>MESSIAS TARGINO, RN, Brasil</v>
      </c>
      <c r="C2442" s="4" t="str">
        <f>_xlfn.XLOOKUP(A2442,[1]!DadosGHD[CD_GEOCMU],[1]!DadosGHD[Região])</f>
        <v>NE</v>
      </c>
      <c r="D2442" s="4" t="str">
        <f>_xlfn.XLOOKUP(A2442,[1]!DadosGHD[CD_GEOCMU],[1]!DadosGHD[uf])</f>
        <v>RN</v>
      </c>
      <c r="E2442" s="5" t="str">
        <f>_xlfn.XLOOKUP(A2442,[1]!DadosGHD[CD_GEOCMU],[1]!DadosGHD[MUNICIPIO])</f>
        <v>MESSIAS TARGINO</v>
      </c>
      <c r="F2442" s="6">
        <v>38.653480529785199</v>
      </c>
      <c r="G2442" s="6">
        <v>38.6870727539063</v>
      </c>
      <c r="H2442" s="6">
        <v>33.8907279968262</v>
      </c>
      <c r="I2442" s="6">
        <v>33.866985321044901</v>
      </c>
      <c r="J2442" s="6">
        <v>33.882167816162102</v>
      </c>
      <c r="K2442" s="6">
        <v>33.911888122558601</v>
      </c>
      <c r="L2442" s="6">
        <v>35.149612426757798</v>
      </c>
    </row>
    <row r="2443" spans="1:12" x14ac:dyDescent="0.25">
      <c r="A2443">
        <v>2207405</v>
      </c>
      <c r="B2443" t="str">
        <f t="shared" si="38"/>
        <v>PALMEIRA DO PIAUI, PI, Brasil</v>
      </c>
      <c r="C2443" s="4" t="str">
        <f>_xlfn.XLOOKUP(A2443,[1]!DadosGHD[CD_GEOCMU],[1]!DadosGHD[Região])</f>
        <v>NE</v>
      </c>
      <c r="D2443" s="4" t="str">
        <f>_xlfn.XLOOKUP(A2443,[1]!DadosGHD[CD_GEOCMU],[1]!DadosGHD[uf])</f>
        <v>PI</v>
      </c>
      <c r="E2443" s="5" t="str">
        <f>_xlfn.XLOOKUP(A2443,[1]!DadosGHD[CD_GEOCMU],[1]!DadosGHD[MUNICIPIO])</f>
        <v>PALMEIRA DO PIAUI</v>
      </c>
      <c r="F2443" s="6">
        <v>38.654106140136697</v>
      </c>
      <c r="G2443" s="6">
        <v>38.690143585205099</v>
      </c>
      <c r="H2443" s="6">
        <v>33.883331298828097</v>
      </c>
      <c r="I2443" s="6">
        <v>33.854572296142599</v>
      </c>
      <c r="J2443" s="6">
        <v>33.867950439453097</v>
      </c>
      <c r="K2443" s="6">
        <v>33.898952484130902</v>
      </c>
      <c r="L2443" s="6">
        <v>26.295639038085898</v>
      </c>
    </row>
    <row r="2444" spans="1:12" x14ac:dyDescent="0.25">
      <c r="A2444">
        <v>2914703</v>
      </c>
      <c r="B2444" t="str">
        <f t="shared" si="38"/>
        <v>ITABERABA, BA, Brasil</v>
      </c>
      <c r="C2444" s="4" t="str">
        <f>_xlfn.XLOOKUP(A2444,[1]!DadosGHD[CD_GEOCMU],[1]!DadosGHD[Região])</f>
        <v>NE</v>
      </c>
      <c r="D2444" s="4" t="str">
        <f>_xlfn.XLOOKUP(A2444,[1]!DadosGHD[CD_GEOCMU],[1]!DadosGHD[uf])</f>
        <v>BA</v>
      </c>
      <c r="E2444" s="5" t="str">
        <f>_xlfn.XLOOKUP(A2444,[1]!DadosGHD[CD_GEOCMU],[1]!DadosGHD[MUNICIPIO])</f>
        <v>ITABERABA</v>
      </c>
      <c r="F2444" s="6">
        <v>38.654197692871101</v>
      </c>
      <c r="G2444" s="6">
        <v>38.709388732910199</v>
      </c>
      <c r="H2444" s="6">
        <v>38.817558288574197</v>
      </c>
      <c r="I2444" s="6">
        <v>43.697891235351598</v>
      </c>
      <c r="J2444" s="6">
        <v>43.771793365478501</v>
      </c>
      <c r="K2444" s="6">
        <v>43.815414428710902</v>
      </c>
      <c r="L2444" s="6">
        <v>39.592605590820298</v>
      </c>
    </row>
    <row r="2445" spans="1:12" x14ac:dyDescent="0.25">
      <c r="A2445">
        <v>2506004</v>
      </c>
      <c r="B2445" t="str">
        <f t="shared" si="38"/>
        <v>ESPERANCA, PB, Brasil</v>
      </c>
      <c r="C2445" s="4" t="str">
        <f>_xlfn.XLOOKUP(A2445,[1]!DadosGHD[CD_GEOCMU],[1]!DadosGHD[Região])</f>
        <v>NE</v>
      </c>
      <c r="D2445" s="4" t="str">
        <f>_xlfn.XLOOKUP(A2445,[1]!DadosGHD[CD_GEOCMU],[1]!DadosGHD[uf])</f>
        <v>PB</v>
      </c>
      <c r="E2445" s="5" t="str">
        <f>_xlfn.XLOOKUP(A2445,[1]!DadosGHD[CD_GEOCMU],[1]!DadosGHD[MUNICIPIO])</f>
        <v>ESPERANCA</v>
      </c>
      <c r="F2445" s="6">
        <v>38.654201507568402</v>
      </c>
      <c r="G2445" s="6">
        <v>38.742473602294901</v>
      </c>
      <c r="H2445" s="6">
        <v>38.780857086181598</v>
      </c>
      <c r="I2445" s="6">
        <v>38.7653617858887</v>
      </c>
      <c r="J2445" s="6">
        <v>38.815391540527301</v>
      </c>
      <c r="K2445" s="6">
        <v>43.776092529296903</v>
      </c>
      <c r="L2445" s="6">
        <v>35.155349731445298</v>
      </c>
    </row>
    <row r="2446" spans="1:12" x14ac:dyDescent="0.25">
      <c r="A2446">
        <v>5214051</v>
      </c>
      <c r="B2446" t="str">
        <f t="shared" si="38"/>
        <v>MUNDO NOVO, GO, Brasil</v>
      </c>
      <c r="C2446" s="4" t="str">
        <f>_xlfn.XLOOKUP(A2446,[1]!DadosGHD[CD_GEOCMU],[1]!DadosGHD[Região])</f>
        <v>CO</v>
      </c>
      <c r="D2446" s="4" t="str">
        <f>_xlfn.XLOOKUP(A2446,[1]!DadosGHD[CD_GEOCMU],[1]!DadosGHD[uf])</f>
        <v>GO</v>
      </c>
      <c r="E2446" s="5" t="str">
        <f>_xlfn.XLOOKUP(A2446,[1]!DadosGHD[CD_GEOCMU],[1]!DadosGHD[MUNICIPIO])</f>
        <v>MUNDO NOVO</v>
      </c>
      <c r="F2446" s="6">
        <v>38.654308319091797</v>
      </c>
      <c r="G2446" s="6">
        <v>38.777198791503899</v>
      </c>
      <c r="H2446" s="6">
        <v>43.7660942077637</v>
      </c>
      <c r="I2446" s="6">
        <v>43.759330749511697</v>
      </c>
      <c r="J2446" s="6">
        <v>43.778087615966797</v>
      </c>
      <c r="K2446" s="6">
        <v>43.767421722412102</v>
      </c>
      <c r="L2446" s="6">
        <v>30.690221786498999</v>
      </c>
    </row>
    <row r="2447" spans="1:12" x14ac:dyDescent="0.25">
      <c r="A2447">
        <v>4121208</v>
      </c>
      <c r="B2447" t="str">
        <f t="shared" si="38"/>
        <v>QUITANDINHA, PR, Brasil</v>
      </c>
      <c r="C2447" s="4" t="str">
        <f>_xlfn.XLOOKUP(A2447,[1]!DadosGHD[CD_GEOCMU],[1]!DadosGHD[Região])</f>
        <v>SL</v>
      </c>
      <c r="D2447" s="4" t="str">
        <f>_xlfn.XLOOKUP(A2447,[1]!DadosGHD[CD_GEOCMU],[1]!DadosGHD[uf])</f>
        <v>PR</v>
      </c>
      <c r="E2447" s="5" t="str">
        <f>_xlfn.XLOOKUP(A2447,[1]!DadosGHD[CD_GEOCMU],[1]!DadosGHD[MUNICIPIO])</f>
        <v>QUITANDINHA</v>
      </c>
      <c r="F2447" s="6">
        <v>38.654376983642599</v>
      </c>
      <c r="G2447" s="6">
        <v>38.706699371337898</v>
      </c>
      <c r="H2447" s="6">
        <v>38.757347106933601</v>
      </c>
      <c r="I2447" s="6">
        <v>38.771629333496101</v>
      </c>
      <c r="J2447" s="6">
        <v>38.843826293945298</v>
      </c>
      <c r="K2447" s="6">
        <v>43.858432769775398</v>
      </c>
      <c r="L2447" s="6">
        <v>48.545417785644503</v>
      </c>
    </row>
    <row r="2448" spans="1:12" x14ac:dyDescent="0.25">
      <c r="A2448">
        <v>3127602</v>
      </c>
      <c r="B2448" t="str">
        <f t="shared" si="38"/>
        <v>GOUVEIA, MG, Brasil</v>
      </c>
      <c r="C2448" s="4" t="str">
        <f>_xlfn.XLOOKUP(A2448,[1]!DadosGHD[CD_GEOCMU],[1]!DadosGHD[Região])</f>
        <v>SD</v>
      </c>
      <c r="D2448" s="4" t="str">
        <f>_xlfn.XLOOKUP(A2448,[1]!DadosGHD[CD_GEOCMU],[1]!DadosGHD[uf])</f>
        <v>MG</v>
      </c>
      <c r="E2448" s="5" t="str">
        <f>_xlfn.XLOOKUP(A2448,[1]!DadosGHD[CD_GEOCMU],[1]!DadosGHD[MUNICIPIO])</f>
        <v>GOUVEIA</v>
      </c>
      <c r="F2448" s="6">
        <v>38.654396057128899</v>
      </c>
      <c r="G2448" s="6">
        <v>38.744415283203097</v>
      </c>
      <c r="H2448" s="6">
        <v>38.766712188720703</v>
      </c>
      <c r="I2448" s="6">
        <v>38.750694274902301</v>
      </c>
      <c r="J2448" s="6">
        <v>38.808860778808601</v>
      </c>
      <c r="K2448" s="6">
        <v>43.786098480224602</v>
      </c>
      <c r="L2448" s="6">
        <v>44.065208435058601</v>
      </c>
    </row>
    <row r="2449" spans="1:12" x14ac:dyDescent="0.25">
      <c r="A2449">
        <v>3101201</v>
      </c>
      <c r="B2449" t="str">
        <f t="shared" si="38"/>
        <v>AIURUOCA, MG, Brasil</v>
      </c>
      <c r="C2449" s="4" t="str">
        <f>_xlfn.XLOOKUP(A2449,[1]!DadosGHD[CD_GEOCMU],[1]!DadosGHD[Região])</f>
        <v>SD</v>
      </c>
      <c r="D2449" s="4" t="str">
        <f>_xlfn.XLOOKUP(A2449,[1]!DadosGHD[CD_GEOCMU],[1]!DadosGHD[uf])</f>
        <v>MG</v>
      </c>
      <c r="E2449" s="5" t="str">
        <f>_xlfn.XLOOKUP(A2449,[1]!DadosGHD[CD_GEOCMU],[1]!DadosGHD[MUNICIPIO])</f>
        <v>AIURUOCA</v>
      </c>
      <c r="F2449" s="6">
        <v>38.654464721679702</v>
      </c>
      <c r="G2449" s="6">
        <v>38.714637756347699</v>
      </c>
      <c r="H2449" s="6">
        <v>38.777122497558601</v>
      </c>
      <c r="I2449" s="6">
        <v>38.752685546875</v>
      </c>
      <c r="J2449" s="6">
        <v>38.758888244628899</v>
      </c>
      <c r="K2449" s="6">
        <v>33.930179595947301</v>
      </c>
      <c r="L2449" s="6">
        <v>35.119880676269503</v>
      </c>
    </row>
    <row r="2450" spans="1:12" x14ac:dyDescent="0.25">
      <c r="A2450">
        <v>1100452</v>
      </c>
      <c r="B2450" t="str">
        <f t="shared" si="38"/>
        <v>BURITIS, RO, Brasil</v>
      </c>
      <c r="C2450" s="4" t="str">
        <f>_xlfn.XLOOKUP(A2450,[1]!DadosGHD[CD_GEOCMU],[1]!DadosGHD[Região])</f>
        <v>NO</v>
      </c>
      <c r="D2450" s="4" t="str">
        <f>_xlfn.XLOOKUP(A2450,[1]!DadosGHD[CD_GEOCMU],[1]!DadosGHD[uf])</f>
        <v>RO</v>
      </c>
      <c r="E2450" s="5" t="str">
        <f>_xlfn.XLOOKUP(A2450,[1]!DadosGHD[CD_GEOCMU],[1]!DadosGHD[MUNICIPIO])</f>
        <v>BURITIS</v>
      </c>
      <c r="F2450" s="6">
        <v>38.654525756835902</v>
      </c>
      <c r="G2450" s="6">
        <v>38.7466011047363</v>
      </c>
      <c r="H2450" s="6">
        <v>38.805007934570298</v>
      </c>
      <c r="I2450" s="6">
        <v>43.677925109863303</v>
      </c>
      <c r="J2450" s="6">
        <v>43.714859008789098</v>
      </c>
      <c r="K2450" s="6">
        <v>43.816818237304702</v>
      </c>
      <c r="L2450" s="6">
        <v>48.517093658447301</v>
      </c>
    </row>
    <row r="2451" spans="1:12" x14ac:dyDescent="0.25">
      <c r="A2451">
        <v>2400208</v>
      </c>
      <c r="B2451" t="str">
        <f t="shared" si="38"/>
        <v>ACU, RN, Brasil</v>
      </c>
      <c r="C2451" s="4" t="str">
        <f>_xlfn.XLOOKUP(A2451,[1]!DadosGHD[CD_GEOCMU],[1]!DadosGHD[Região])</f>
        <v>NE</v>
      </c>
      <c r="D2451" s="4" t="str">
        <f>_xlfn.XLOOKUP(A2451,[1]!DadosGHD[CD_GEOCMU],[1]!DadosGHD[uf])</f>
        <v>RN</v>
      </c>
      <c r="E2451" s="5" t="str">
        <f>_xlfn.XLOOKUP(A2451,[1]!DadosGHD[CD_GEOCMU],[1]!DadosGHD[MUNICIPIO])</f>
        <v>ACU</v>
      </c>
      <c r="F2451" s="6">
        <v>38.654598236083999</v>
      </c>
      <c r="G2451" s="6">
        <v>38.746971130371101</v>
      </c>
      <c r="H2451" s="6">
        <v>43.730258941650398</v>
      </c>
      <c r="I2451" s="6">
        <v>43.701423645019503</v>
      </c>
      <c r="J2451" s="6">
        <v>43.7232666015625</v>
      </c>
      <c r="K2451" s="6">
        <v>43.855850219726598</v>
      </c>
      <c r="L2451" s="6">
        <v>48.509246826171903</v>
      </c>
    </row>
    <row r="2452" spans="1:12" x14ac:dyDescent="0.25">
      <c r="A2452">
        <v>3167301</v>
      </c>
      <c r="B2452" t="str">
        <f t="shared" si="38"/>
        <v>SILVEIRANIA, MG, Brasil</v>
      </c>
      <c r="C2452" s="4" t="str">
        <f>_xlfn.XLOOKUP(A2452,[1]!DadosGHD[CD_GEOCMU],[1]!DadosGHD[Região])</f>
        <v>SD</v>
      </c>
      <c r="D2452" s="4" t="str">
        <f>_xlfn.XLOOKUP(A2452,[1]!DadosGHD[CD_GEOCMU],[1]!DadosGHD[uf])</f>
        <v>MG</v>
      </c>
      <c r="E2452" s="5" t="str">
        <f>_xlfn.XLOOKUP(A2452,[1]!DadosGHD[CD_GEOCMU],[1]!DadosGHD[MUNICIPIO])</f>
        <v>SILVEIRANIA</v>
      </c>
      <c r="F2452" s="6">
        <v>38.654655456542997</v>
      </c>
      <c r="G2452" s="6">
        <v>33.812217712402301</v>
      </c>
      <c r="H2452" s="6">
        <v>33.858722686767599</v>
      </c>
      <c r="I2452" s="6">
        <v>48.699134826660199</v>
      </c>
      <c r="J2452" s="6">
        <v>38.765899658203097</v>
      </c>
      <c r="K2452" s="6">
        <v>38.8115043640137</v>
      </c>
      <c r="L2452" s="6">
        <v>35.131092071533203</v>
      </c>
    </row>
    <row r="2453" spans="1:12" x14ac:dyDescent="0.25">
      <c r="A2453">
        <v>4121703</v>
      </c>
      <c r="B2453" t="str">
        <f t="shared" si="38"/>
        <v>RESERVA, PR, Brasil</v>
      </c>
      <c r="C2453" s="4" t="str">
        <f>_xlfn.XLOOKUP(A2453,[1]!DadosGHD[CD_GEOCMU],[1]!DadosGHD[Região])</f>
        <v>SL</v>
      </c>
      <c r="D2453" s="4" t="str">
        <f>_xlfn.XLOOKUP(A2453,[1]!DadosGHD[CD_GEOCMU],[1]!DadosGHD[uf])</f>
        <v>PR</v>
      </c>
      <c r="E2453" s="5" t="str">
        <f>_xlfn.XLOOKUP(A2453,[1]!DadosGHD[CD_GEOCMU],[1]!DadosGHD[MUNICIPIO])</f>
        <v>RESERVA</v>
      </c>
      <c r="F2453" s="6">
        <v>38.654716491699197</v>
      </c>
      <c r="G2453" s="6">
        <v>38.729728698730497</v>
      </c>
      <c r="H2453" s="6">
        <v>38.795860290527301</v>
      </c>
      <c r="I2453" s="6">
        <v>38.815116882324197</v>
      </c>
      <c r="J2453" s="6">
        <v>43.715385437011697</v>
      </c>
      <c r="K2453" s="6">
        <v>43.779319763183601</v>
      </c>
      <c r="L2453" s="6">
        <v>39.578418731689503</v>
      </c>
    </row>
    <row r="2454" spans="1:12" x14ac:dyDescent="0.25">
      <c r="A2454">
        <v>2411007</v>
      </c>
      <c r="B2454" t="str">
        <f t="shared" si="38"/>
        <v>RODOLFO FERNANDES, RN, Brasil</v>
      </c>
      <c r="C2454" s="4" t="str">
        <f>_xlfn.XLOOKUP(A2454,[1]!DadosGHD[CD_GEOCMU],[1]!DadosGHD[Região])</f>
        <v>NE</v>
      </c>
      <c r="D2454" s="4" t="str">
        <f>_xlfn.XLOOKUP(A2454,[1]!DadosGHD[CD_GEOCMU],[1]!DadosGHD[uf])</f>
        <v>RN</v>
      </c>
      <c r="E2454" s="5" t="str">
        <f>_xlfn.XLOOKUP(A2454,[1]!DadosGHD[CD_GEOCMU],[1]!DadosGHD[MUNICIPIO])</f>
        <v>RODOLFO FERNANDES</v>
      </c>
      <c r="F2454" s="6">
        <v>38.654869079589801</v>
      </c>
      <c r="G2454" s="6">
        <v>38.741001129150398</v>
      </c>
      <c r="H2454" s="6">
        <v>38.831123352050803</v>
      </c>
      <c r="I2454" s="6">
        <v>38.800289154052699</v>
      </c>
      <c r="J2454" s="6">
        <v>38.823593139648402</v>
      </c>
      <c r="K2454" s="6">
        <v>38.8909301757813</v>
      </c>
      <c r="L2454" s="6">
        <v>39.567031860351598</v>
      </c>
    </row>
    <row r="2455" spans="1:12" x14ac:dyDescent="0.25">
      <c r="A2455">
        <v>3160108</v>
      </c>
      <c r="B2455" t="str">
        <f t="shared" si="38"/>
        <v>SANTO ANTONIO DO GRAMA, MG, Brasil</v>
      </c>
      <c r="C2455" s="4" t="str">
        <f>_xlfn.XLOOKUP(A2455,[1]!DadosGHD[CD_GEOCMU],[1]!DadosGHD[Região])</f>
        <v>SD</v>
      </c>
      <c r="D2455" s="4" t="str">
        <f>_xlfn.XLOOKUP(A2455,[1]!DadosGHD[CD_GEOCMU],[1]!DadosGHD[uf])</f>
        <v>MG</v>
      </c>
      <c r="E2455" s="5" t="str">
        <f>_xlfn.XLOOKUP(A2455,[1]!DadosGHD[CD_GEOCMU],[1]!DadosGHD[MUNICIPIO])</f>
        <v>SANTO ANTONIO DO GRAMA</v>
      </c>
      <c r="F2455" s="6">
        <v>38.655342102050803</v>
      </c>
      <c r="G2455" s="6">
        <v>43.729785919189503</v>
      </c>
      <c r="H2455" s="6">
        <v>43.796035766601598</v>
      </c>
      <c r="I2455" s="6">
        <v>43.799911499023402</v>
      </c>
      <c r="J2455" s="6">
        <v>48.699028015136697</v>
      </c>
      <c r="K2455" s="6">
        <v>43.773941040039098</v>
      </c>
      <c r="L2455" s="6">
        <v>39.560470581054702</v>
      </c>
    </row>
    <row r="2456" spans="1:12" x14ac:dyDescent="0.25">
      <c r="A2456">
        <v>1400308</v>
      </c>
      <c r="B2456" t="str">
        <f t="shared" si="38"/>
        <v>MUCAJAI, RR, Brasil</v>
      </c>
      <c r="C2456" s="4" t="str">
        <f>_xlfn.XLOOKUP(A2456,[1]!DadosGHD[CD_GEOCMU],[1]!DadosGHD[Região])</f>
        <v>NO</v>
      </c>
      <c r="D2456" s="4" t="str">
        <f>_xlfn.XLOOKUP(A2456,[1]!DadosGHD[CD_GEOCMU],[1]!DadosGHD[uf])</f>
        <v>RR</v>
      </c>
      <c r="E2456" s="5" t="str">
        <f>_xlfn.XLOOKUP(A2456,[1]!DadosGHD[CD_GEOCMU],[1]!DadosGHD[MUNICIPIO])</f>
        <v>MUCAJAI</v>
      </c>
      <c r="F2456" s="6">
        <v>38.655361175537102</v>
      </c>
      <c r="G2456" s="6">
        <v>38.719593048095703</v>
      </c>
      <c r="H2456" s="6">
        <v>38.7738227844238</v>
      </c>
      <c r="I2456" s="6">
        <v>38.798553466796903</v>
      </c>
      <c r="J2456" s="6">
        <v>38.803352355957003</v>
      </c>
      <c r="K2456" s="6">
        <v>38.811695098877003</v>
      </c>
      <c r="L2456" s="6">
        <v>26.296293258666999</v>
      </c>
    </row>
    <row r="2457" spans="1:12" x14ac:dyDescent="0.25">
      <c r="A2457">
        <v>3135209</v>
      </c>
      <c r="B2457" t="str">
        <f t="shared" si="38"/>
        <v>JANUARIA, MG, Brasil</v>
      </c>
      <c r="C2457" s="4" t="str">
        <f>_xlfn.XLOOKUP(A2457,[1]!DadosGHD[CD_GEOCMU],[1]!DadosGHD[Região])</f>
        <v>SD</v>
      </c>
      <c r="D2457" s="4" t="str">
        <f>_xlfn.XLOOKUP(A2457,[1]!DadosGHD[CD_GEOCMU],[1]!DadosGHD[uf])</f>
        <v>MG</v>
      </c>
      <c r="E2457" s="5" t="str">
        <f>_xlfn.XLOOKUP(A2457,[1]!DadosGHD[CD_GEOCMU],[1]!DadosGHD[MUNICIPIO])</f>
        <v>JANUARIA</v>
      </c>
      <c r="F2457" s="6">
        <v>38.655475616455099</v>
      </c>
      <c r="G2457" s="6">
        <v>38.741912841796903</v>
      </c>
      <c r="H2457" s="6">
        <v>43.741909027099602</v>
      </c>
      <c r="I2457" s="6">
        <v>43.681900024414098</v>
      </c>
      <c r="J2457" s="6">
        <v>38.782081604003899</v>
      </c>
      <c r="K2457" s="6">
        <v>38.815773010253899</v>
      </c>
      <c r="L2457" s="6">
        <v>44.017356872558601</v>
      </c>
    </row>
    <row r="2458" spans="1:12" x14ac:dyDescent="0.25">
      <c r="A2458">
        <v>3143153</v>
      </c>
      <c r="B2458" t="str">
        <f t="shared" si="38"/>
        <v>MONTE FORMOSO, MG, Brasil</v>
      </c>
      <c r="C2458" s="4" t="str">
        <f>_xlfn.XLOOKUP(A2458,[1]!DadosGHD[CD_GEOCMU],[1]!DadosGHD[Região])</f>
        <v>SD</v>
      </c>
      <c r="D2458" s="4" t="str">
        <f>_xlfn.XLOOKUP(A2458,[1]!DadosGHD[CD_GEOCMU],[1]!DadosGHD[uf])</f>
        <v>MG</v>
      </c>
      <c r="E2458" s="5" t="str">
        <f>_xlfn.XLOOKUP(A2458,[1]!DadosGHD[CD_GEOCMU],[1]!DadosGHD[MUNICIPIO])</f>
        <v>MONTE FORMOSO</v>
      </c>
      <c r="F2458" s="6">
        <v>38.655555725097699</v>
      </c>
      <c r="G2458" s="6">
        <v>38.684577941894503</v>
      </c>
      <c r="H2458" s="6">
        <v>38.743980407714801</v>
      </c>
      <c r="I2458" s="6">
        <v>38.720821380615199</v>
      </c>
      <c r="J2458" s="6">
        <v>38.739486694335902</v>
      </c>
      <c r="K2458" s="6">
        <v>33.915779113769503</v>
      </c>
      <c r="L2458" s="6">
        <v>30.6973991394043</v>
      </c>
    </row>
    <row r="2459" spans="1:12" x14ac:dyDescent="0.25">
      <c r="A2459">
        <v>2402006</v>
      </c>
      <c r="B2459" t="str">
        <f t="shared" si="38"/>
        <v>CAICO, RN, Brasil</v>
      </c>
      <c r="C2459" s="4" t="str">
        <f>_xlfn.XLOOKUP(A2459,[1]!DadosGHD[CD_GEOCMU],[1]!DadosGHD[Região])</f>
        <v>NE</v>
      </c>
      <c r="D2459" s="4" t="str">
        <f>_xlfn.XLOOKUP(A2459,[1]!DadosGHD[CD_GEOCMU],[1]!DadosGHD[uf])</f>
        <v>RN</v>
      </c>
      <c r="E2459" s="5" t="str">
        <f>_xlfn.XLOOKUP(A2459,[1]!DadosGHD[CD_GEOCMU],[1]!DadosGHD[MUNICIPIO])</f>
        <v>CAICO</v>
      </c>
      <c r="F2459" s="6">
        <v>38.655719757080099</v>
      </c>
      <c r="G2459" s="6">
        <v>38.773689270019503</v>
      </c>
      <c r="H2459" s="6">
        <v>38.832267761230497</v>
      </c>
      <c r="I2459" s="6">
        <v>43.715953826904297</v>
      </c>
      <c r="J2459" s="6">
        <v>43.758285522460902</v>
      </c>
      <c r="K2459" s="6">
        <v>48.767463684082003</v>
      </c>
      <c r="L2459" s="6">
        <v>48.518077850341797</v>
      </c>
    </row>
    <row r="2460" spans="1:12" x14ac:dyDescent="0.25">
      <c r="A2460">
        <v>3127800</v>
      </c>
      <c r="B2460" t="str">
        <f t="shared" si="38"/>
        <v>GRAO MOGOL, MG, Brasil</v>
      </c>
      <c r="C2460" s="4" t="str">
        <f>_xlfn.XLOOKUP(A2460,[1]!DadosGHD[CD_GEOCMU],[1]!DadosGHD[Região])</f>
        <v>SD</v>
      </c>
      <c r="D2460" s="4" t="str">
        <f>_xlfn.XLOOKUP(A2460,[1]!DadosGHD[CD_GEOCMU],[1]!DadosGHD[uf])</f>
        <v>MG</v>
      </c>
      <c r="E2460" s="5" t="str">
        <f>_xlfn.XLOOKUP(A2460,[1]!DadosGHD[CD_GEOCMU],[1]!DadosGHD[MUNICIPIO])</f>
        <v>GRAO MOGOL</v>
      </c>
      <c r="F2460" s="6">
        <v>38.655879974365199</v>
      </c>
      <c r="G2460" s="6">
        <v>33.831062316894503</v>
      </c>
      <c r="H2460" s="6">
        <v>33.891178131103501</v>
      </c>
      <c r="I2460" s="6">
        <v>38.716712951660199</v>
      </c>
      <c r="J2460" s="6">
        <v>38.739788055419901</v>
      </c>
      <c r="K2460" s="6">
        <v>33.932117462158203</v>
      </c>
      <c r="L2460" s="6">
        <v>35.126987457275398</v>
      </c>
    </row>
    <row r="2461" spans="1:12" x14ac:dyDescent="0.25">
      <c r="A2461">
        <v>4100905</v>
      </c>
      <c r="B2461" t="str">
        <f t="shared" si="38"/>
        <v>AMAPORA, PR, Brasil</v>
      </c>
      <c r="C2461" s="4" t="str">
        <f>_xlfn.XLOOKUP(A2461,[1]!DadosGHD[CD_GEOCMU],[1]!DadosGHD[Região])</f>
        <v>SL</v>
      </c>
      <c r="D2461" s="4" t="str">
        <f>_xlfn.XLOOKUP(A2461,[1]!DadosGHD[CD_GEOCMU],[1]!DadosGHD[uf])</f>
        <v>PR</v>
      </c>
      <c r="E2461" s="5" t="str">
        <f>_xlfn.XLOOKUP(A2461,[1]!DadosGHD[CD_GEOCMU],[1]!DadosGHD[MUNICIPIO])</f>
        <v>AMAPORA</v>
      </c>
      <c r="F2461" s="6">
        <v>38.655967712402301</v>
      </c>
      <c r="G2461" s="6">
        <v>43.703060150146499</v>
      </c>
      <c r="H2461" s="6">
        <v>33.846744537353501</v>
      </c>
      <c r="I2461" s="6">
        <v>33.820484161377003</v>
      </c>
      <c r="J2461" s="6">
        <v>33.8287162780762</v>
      </c>
      <c r="K2461" s="6">
        <v>33.850261688232401</v>
      </c>
      <c r="L2461" s="6">
        <v>35.120597839355497</v>
      </c>
    </row>
    <row r="2462" spans="1:12" x14ac:dyDescent="0.25">
      <c r="A2462">
        <v>2904605</v>
      </c>
      <c r="B2462" t="str">
        <f t="shared" si="38"/>
        <v>BRUMADO, BA, Brasil</v>
      </c>
      <c r="C2462" s="4" t="str">
        <f>_xlfn.XLOOKUP(A2462,[1]!DadosGHD[CD_GEOCMU],[1]!DadosGHD[Região])</f>
        <v>NE</v>
      </c>
      <c r="D2462" s="4" t="str">
        <f>_xlfn.XLOOKUP(A2462,[1]!DadosGHD[CD_GEOCMU],[1]!DadosGHD[uf])</f>
        <v>BA</v>
      </c>
      <c r="E2462" s="5" t="str">
        <f>_xlfn.XLOOKUP(A2462,[1]!DadosGHD[CD_GEOCMU],[1]!DadosGHD[MUNICIPIO])</f>
        <v>BRUMADO</v>
      </c>
      <c r="F2462" s="6">
        <v>38.656013488769503</v>
      </c>
      <c r="G2462" s="6">
        <v>38.723045349121101</v>
      </c>
      <c r="H2462" s="6">
        <v>38.764533996582003</v>
      </c>
      <c r="I2462" s="6">
        <v>38.743175506591797</v>
      </c>
      <c r="J2462" s="6">
        <v>38.775283813476598</v>
      </c>
      <c r="K2462" s="6">
        <v>38.874412536621101</v>
      </c>
      <c r="L2462" s="6">
        <v>35.147415161132798</v>
      </c>
    </row>
    <row r="2463" spans="1:12" x14ac:dyDescent="0.25">
      <c r="A2463">
        <v>2403400</v>
      </c>
      <c r="B2463" t="str">
        <f t="shared" si="38"/>
        <v>EQUADOR, RN, Brasil</v>
      </c>
      <c r="C2463" s="4" t="str">
        <f>_xlfn.XLOOKUP(A2463,[1]!DadosGHD[CD_GEOCMU],[1]!DadosGHD[Região])</f>
        <v>NE</v>
      </c>
      <c r="D2463" s="4" t="str">
        <f>_xlfn.XLOOKUP(A2463,[1]!DadosGHD[CD_GEOCMU],[1]!DadosGHD[uf])</f>
        <v>RN</v>
      </c>
      <c r="E2463" s="5" t="str">
        <f>_xlfn.XLOOKUP(A2463,[1]!DadosGHD[CD_GEOCMU],[1]!DadosGHD[MUNICIPIO])</f>
        <v>EQUADOR</v>
      </c>
      <c r="F2463" s="6">
        <v>38.656185150146499</v>
      </c>
      <c r="G2463" s="6">
        <v>38.690643310546903</v>
      </c>
      <c r="H2463" s="6">
        <v>38.740264892578097</v>
      </c>
      <c r="I2463" s="6">
        <v>38.734733581542997</v>
      </c>
      <c r="J2463" s="6">
        <v>38.769081115722699</v>
      </c>
      <c r="K2463" s="6">
        <v>43.7919311523438</v>
      </c>
      <c r="L2463" s="6">
        <v>48.518608093261697</v>
      </c>
    </row>
    <row r="2464" spans="1:12" x14ac:dyDescent="0.25">
      <c r="A2464">
        <v>3107000</v>
      </c>
      <c r="B2464" t="str">
        <f t="shared" si="38"/>
        <v>BIQUINHAS, MG, Brasil</v>
      </c>
      <c r="C2464" s="4" t="str">
        <f>_xlfn.XLOOKUP(A2464,[1]!DadosGHD[CD_GEOCMU],[1]!DadosGHD[Região])</f>
        <v>SD</v>
      </c>
      <c r="D2464" s="4" t="str">
        <f>_xlfn.XLOOKUP(A2464,[1]!DadosGHD[CD_GEOCMU],[1]!DadosGHD[uf])</f>
        <v>MG</v>
      </c>
      <c r="E2464" s="5" t="str">
        <f>_xlfn.XLOOKUP(A2464,[1]!DadosGHD[CD_GEOCMU],[1]!DadosGHD[MUNICIPIO])</f>
        <v>BIQUINHAS</v>
      </c>
      <c r="F2464" s="6">
        <v>38.6563911437988</v>
      </c>
      <c r="G2464" s="6">
        <v>48.756980895996101</v>
      </c>
      <c r="H2464" s="6">
        <v>48.832901000976598</v>
      </c>
      <c r="I2464" s="6">
        <v>48.805885314941399</v>
      </c>
      <c r="J2464" s="6">
        <v>48.800830841064503</v>
      </c>
      <c r="K2464" s="6">
        <v>48.888313293457003</v>
      </c>
      <c r="L2464" s="6">
        <v>48.537269592285199</v>
      </c>
    </row>
    <row r="2465" spans="1:12" x14ac:dyDescent="0.25">
      <c r="A2465">
        <v>2928901</v>
      </c>
      <c r="B2465" t="str">
        <f t="shared" si="38"/>
        <v>SAO DESIDERIO, BA, Brasil</v>
      </c>
      <c r="C2465" s="4" t="str">
        <f>_xlfn.XLOOKUP(A2465,[1]!DadosGHD[CD_GEOCMU],[1]!DadosGHD[Região])</f>
        <v>NE</v>
      </c>
      <c r="D2465" s="4" t="str">
        <f>_xlfn.XLOOKUP(A2465,[1]!DadosGHD[CD_GEOCMU],[1]!DadosGHD[uf])</f>
        <v>BA</v>
      </c>
      <c r="E2465" s="5" t="str">
        <f>_xlfn.XLOOKUP(A2465,[1]!DadosGHD[CD_GEOCMU],[1]!DadosGHD[MUNICIPIO])</f>
        <v>SAO DESIDERIO</v>
      </c>
      <c r="F2465" s="6">
        <v>38.656467437744098</v>
      </c>
      <c r="G2465" s="6">
        <v>38.740585327148402</v>
      </c>
      <c r="H2465" s="6">
        <v>38.792274475097699</v>
      </c>
      <c r="I2465" s="6">
        <v>38.764503479003899</v>
      </c>
      <c r="J2465" s="6">
        <v>38.804004669189503</v>
      </c>
      <c r="K2465" s="6">
        <v>38.884548187255902</v>
      </c>
      <c r="L2465" s="6">
        <v>30.717607498168899</v>
      </c>
    </row>
    <row r="2466" spans="1:12" x14ac:dyDescent="0.25">
      <c r="A2466">
        <v>2700805</v>
      </c>
      <c r="B2466" t="str">
        <f t="shared" si="38"/>
        <v>BELEM, AL, Brasil</v>
      </c>
      <c r="C2466" s="4" t="str">
        <f>_xlfn.XLOOKUP(A2466,[1]!DadosGHD[CD_GEOCMU],[1]!DadosGHD[Região])</f>
        <v>NE</v>
      </c>
      <c r="D2466" s="4" t="str">
        <f>_xlfn.XLOOKUP(A2466,[1]!DadosGHD[CD_GEOCMU],[1]!DadosGHD[uf])</f>
        <v>AL</v>
      </c>
      <c r="E2466" s="5" t="str">
        <f>_xlfn.XLOOKUP(A2466,[1]!DadosGHD[CD_GEOCMU],[1]!DadosGHD[MUNICIPIO])</f>
        <v>BELEM</v>
      </c>
      <c r="F2466" s="6">
        <v>38.656639099121101</v>
      </c>
      <c r="G2466" s="6">
        <v>38.694263458252003</v>
      </c>
      <c r="H2466" s="6">
        <v>38.739879608154297</v>
      </c>
      <c r="I2466" s="6">
        <v>38.717308044433601</v>
      </c>
      <c r="J2466" s="6">
        <v>38.753673553466797</v>
      </c>
      <c r="K2466" s="6">
        <v>48.888713836669901</v>
      </c>
      <c r="L2466" s="6">
        <v>35.133460998535199</v>
      </c>
    </row>
    <row r="2467" spans="1:12" x14ac:dyDescent="0.25">
      <c r="A2467">
        <v>2600609</v>
      </c>
      <c r="B2467" t="str">
        <f t="shared" si="38"/>
        <v>ALAGOINHA, PE, Brasil</v>
      </c>
      <c r="C2467" s="4" t="str">
        <f>_xlfn.XLOOKUP(A2467,[1]!DadosGHD[CD_GEOCMU],[1]!DadosGHD[Região])</f>
        <v>NE</v>
      </c>
      <c r="D2467" s="4" t="str">
        <f>_xlfn.XLOOKUP(A2467,[1]!DadosGHD[CD_GEOCMU],[1]!DadosGHD[uf])</f>
        <v>PE</v>
      </c>
      <c r="E2467" s="5" t="str">
        <f>_xlfn.XLOOKUP(A2467,[1]!DadosGHD[CD_GEOCMU],[1]!DadosGHD[MUNICIPIO])</f>
        <v>ALAGOINHA</v>
      </c>
      <c r="F2467" s="6">
        <v>38.656661987304702</v>
      </c>
      <c r="G2467" s="6">
        <v>38.739967346191399</v>
      </c>
      <c r="H2467" s="6">
        <v>38.776695251464801</v>
      </c>
      <c r="I2467" s="6">
        <v>38.747707366943402</v>
      </c>
      <c r="J2467" s="6">
        <v>38.763957977294901</v>
      </c>
      <c r="K2467" s="6">
        <v>38.811069488525398</v>
      </c>
      <c r="L2467" s="6">
        <v>39.562889099121101</v>
      </c>
    </row>
    <row r="2468" spans="1:12" x14ac:dyDescent="0.25">
      <c r="A2468">
        <v>4104253</v>
      </c>
      <c r="B2468" t="str">
        <f t="shared" si="38"/>
        <v>CAMPO MAGRO, PR, Brasil</v>
      </c>
      <c r="C2468" s="4" t="str">
        <f>_xlfn.XLOOKUP(A2468,[1]!DadosGHD[CD_GEOCMU],[1]!DadosGHD[Região])</f>
        <v>SL</v>
      </c>
      <c r="D2468" s="4" t="str">
        <f>_xlfn.XLOOKUP(A2468,[1]!DadosGHD[CD_GEOCMU],[1]!DadosGHD[uf])</f>
        <v>PR</v>
      </c>
      <c r="E2468" s="5" t="str">
        <f>_xlfn.XLOOKUP(A2468,[1]!DadosGHD[CD_GEOCMU],[1]!DadosGHD[MUNICIPIO])</f>
        <v>CAMPO MAGRO</v>
      </c>
      <c r="F2468" s="6">
        <v>38.657066345214801</v>
      </c>
      <c r="G2468" s="6">
        <v>38.728782653808601</v>
      </c>
      <c r="H2468" s="6">
        <v>38.803901672363303</v>
      </c>
      <c r="I2468" s="6">
        <v>38.795059204101598</v>
      </c>
      <c r="J2468" s="6">
        <v>38.7913208007813</v>
      </c>
      <c r="K2468" s="6">
        <v>38.8710327148438</v>
      </c>
      <c r="L2468" s="6">
        <v>48.501377105712898</v>
      </c>
    </row>
    <row r="2469" spans="1:12" x14ac:dyDescent="0.25">
      <c r="A2469">
        <v>3121803</v>
      </c>
      <c r="B2469" t="str">
        <f t="shared" si="38"/>
        <v>DIONISIO, MG, Brasil</v>
      </c>
      <c r="C2469" s="4" t="str">
        <f>_xlfn.XLOOKUP(A2469,[1]!DadosGHD[CD_GEOCMU],[1]!DadosGHD[Região])</f>
        <v>SD</v>
      </c>
      <c r="D2469" s="4" t="str">
        <f>_xlfn.XLOOKUP(A2469,[1]!DadosGHD[CD_GEOCMU],[1]!DadosGHD[uf])</f>
        <v>MG</v>
      </c>
      <c r="E2469" s="5" t="str">
        <f>_xlfn.XLOOKUP(A2469,[1]!DadosGHD[CD_GEOCMU],[1]!DadosGHD[MUNICIPIO])</f>
        <v>DIONISIO</v>
      </c>
      <c r="F2469" s="6">
        <v>38.657146453857401</v>
      </c>
      <c r="G2469" s="6">
        <v>33.842727661132798</v>
      </c>
      <c r="H2469" s="6">
        <v>33.887786865234403</v>
      </c>
      <c r="I2469" s="6">
        <v>33.802093505859403</v>
      </c>
      <c r="J2469" s="6">
        <v>33.840377807617202</v>
      </c>
      <c r="K2469" s="6">
        <v>33.888786315917997</v>
      </c>
      <c r="L2469" s="6">
        <v>35.141925811767599</v>
      </c>
    </row>
    <row r="2470" spans="1:12" x14ac:dyDescent="0.25">
      <c r="A2470">
        <v>3129004</v>
      </c>
      <c r="B2470" t="str">
        <f t="shared" si="38"/>
        <v>GUIRICEMA, MG, Brasil</v>
      </c>
      <c r="C2470" s="4" t="str">
        <f>_xlfn.XLOOKUP(A2470,[1]!DadosGHD[CD_GEOCMU],[1]!DadosGHD[Região])</f>
        <v>SD</v>
      </c>
      <c r="D2470" s="4" t="str">
        <f>_xlfn.XLOOKUP(A2470,[1]!DadosGHD[CD_GEOCMU],[1]!DadosGHD[uf])</f>
        <v>MG</v>
      </c>
      <c r="E2470" s="5" t="str">
        <f>_xlfn.XLOOKUP(A2470,[1]!DadosGHD[CD_GEOCMU],[1]!DadosGHD[MUNICIPIO])</f>
        <v>GUIRICEMA</v>
      </c>
      <c r="F2470" s="6">
        <v>38.6572074890137</v>
      </c>
      <c r="G2470" s="6">
        <v>38.723609924316399</v>
      </c>
      <c r="H2470" s="6">
        <v>33.868644714355497</v>
      </c>
      <c r="I2470" s="6">
        <v>33.853477478027301</v>
      </c>
      <c r="J2470" s="6">
        <v>38.7686958312988</v>
      </c>
      <c r="K2470" s="6">
        <v>33.922863006591797</v>
      </c>
      <c r="L2470" s="6">
        <v>44.021926879882798</v>
      </c>
    </row>
    <row r="2471" spans="1:12" x14ac:dyDescent="0.25">
      <c r="A2471">
        <v>4314035</v>
      </c>
      <c r="B2471" t="str">
        <f t="shared" si="38"/>
        <v>PARECI NOVO, RS, Brasil</v>
      </c>
      <c r="C2471" s="4" t="str">
        <f>_xlfn.XLOOKUP(A2471,[1]!DadosGHD[CD_GEOCMU],[1]!DadosGHD[Região])</f>
        <v>SL</v>
      </c>
      <c r="D2471" s="4" t="str">
        <f>_xlfn.XLOOKUP(A2471,[1]!DadosGHD[CD_GEOCMU],[1]!DadosGHD[uf])</f>
        <v>RS</v>
      </c>
      <c r="E2471" s="5" t="str">
        <f>_xlfn.XLOOKUP(A2471,[1]!DadosGHD[CD_GEOCMU],[1]!DadosGHD[MUNICIPIO])</f>
        <v>PARECI NOVO</v>
      </c>
      <c r="F2471" s="6">
        <v>38.657211303710902</v>
      </c>
      <c r="G2471" s="6">
        <v>48.63525390625</v>
      </c>
      <c r="H2471" s="6">
        <v>48.747951507568402</v>
      </c>
      <c r="I2471" s="6">
        <v>53.719024658203097</v>
      </c>
      <c r="J2471" s="6">
        <v>53.778659820556598</v>
      </c>
      <c r="K2471" s="6">
        <v>53.858028411865199</v>
      </c>
      <c r="L2471" s="6">
        <v>57.533786773681598</v>
      </c>
    </row>
    <row r="2472" spans="1:12" x14ac:dyDescent="0.25">
      <c r="A2472">
        <v>3124005</v>
      </c>
      <c r="B2472" t="str">
        <f t="shared" si="38"/>
        <v>ERVALIA, MG, Brasil</v>
      </c>
      <c r="C2472" s="4" t="str">
        <f>_xlfn.XLOOKUP(A2472,[1]!DadosGHD[CD_GEOCMU],[1]!DadosGHD[Região])</f>
        <v>SD</v>
      </c>
      <c r="D2472" s="4" t="str">
        <f>_xlfn.XLOOKUP(A2472,[1]!DadosGHD[CD_GEOCMU],[1]!DadosGHD[uf])</f>
        <v>MG</v>
      </c>
      <c r="E2472" s="5" t="str">
        <f>_xlfn.XLOOKUP(A2472,[1]!DadosGHD[CD_GEOCMU],[1]!DadosGHD[MUNICIPIO])</f>
        <v>ERVALIA</v>
      </c>
      <c r="F2472" s="6">
        <v>38.657264709472699</v>
      </c>
      <c r="G2472" s="6">
        <v>38.739795684814503</v>
      </c>
      <c r="H2472" s="6">
        <v>38.792400360107401</v>
      </c>
      <c r="I2472" s="6">
        <v>38.812309265136697</v>
      </c>
      <c r="J2472" s="6">
        <v>38.841365814208999</v>
      </c>
      <c r="K2472" s="6">
        <v>38.867225646972699</v>
      </c>
      <c r="L2472" s="6">
        <v>30.701738357543899</v>
      </c>
    </row>
    <row r="2473" spans="1:12" x14ac:dyDescent="0.25">
      <c r="A2473">
        <v>2407401</v>
      </c>
      <c r="B2473" t="str">
        <f t="shared" si="38"/>
        <v>MARTINS, RN, Brasil</v>
      </c>
      <c r="C2473" s="4" t="str">
        <f>_xlfn.XLOOKUP(A2473,[1]!DadosGHD[CD_GEOCMU],[1]!DadosGHD[Região])</f>
        <v>NE</v>
      </c>
      <c r="D2473" s="4" t="str">
        <f>_xlfn.XLOOKUP(A2473,[1]!DadosGHD[CD_GEOCMU],[1]!DadosGHD[uf])</f>
        <v>RN</v>
      </c>
      <c r="E2473" s="5" t="str">
        <f>_xlfn.XLOOKUP(A2473,[1]!DadosGHD[CD_GEOCMU],[1]!DadosGHD[MUNICIPIO])</f>
        <v>MARTINS</v>
      </c>
      <c r="F2473" s="6">
        <v>38.657417297363303</v>
      </c>
      <c r="G2473" s="6">
        <v>38.713920593261697</v>
      </c>
      <c r="H2473" s="6">
        <v>33.894599914550803</v>
      </c>
      <c r="I2473" s="6">
        <v>43.707435607910199</v>
      </c>
      <c r="J2473" s="6">
        <v>38.778865814208999</v>
      </c>
      <c r="K2473" s="6">
        <v>43.840377807617202</v>
      </c>
      <c r="L2473" s="6">
        <v>52.980533599853501</v>
      </c>
    </row>
    <row r="2474" spans="1:12" x14ac:dyDescent="0.25">
      <c r="A2474">
        <v>2700300</v>
      </c>
      <c r="B2474" t="str">
        <f t="shared" si="38"/>
        <v>ARAPIRACA, AL, Brasil</v>
      </c>
      <c r="C2474" s="4" t="str">
        <f>_xlfn.XLOOKUP(A2474,[1]!DadosGHD[CD_GEOCMU],[1]!DadosGHD[Região])</f>
        <v>NE</v>
      </c>
      <c r="D2474" s="4" t="str">
        <f>_xlfn.XLOOKUP(A2474,[1]!DadosGHD[CD_GEOCMU],[1]!DadosGHD[uf])</f>
        <v>AL</v>
      </c>
      <c r="E2474" s="5" t="str">
        <f>_xlfn.XLOOKUP(A2474,[1]!DadosGHD[CD_GEOCMU],[1]!DadosGHD[MUNICIPIO])</f>
        <v>ARAPIRACA</v>
      </c>
      <c r="F2474" s="6">
        <v>38.657497406005902</v>
      </c>
      <c r="G2474" s="6">
        <v>38.7323608398438</v>
      </c>
      <c r="H2474" s="6">
        <v>38.776390075683601</v>
      </c>
      <c r="I2474" s="6">
        <v>38.749305725097699</v>
      </c>
      <c r="J2474" s="6">
        <v>38.7729301452637</v>
      </c>
      <c r="K2474" s="6">
        <v>38.814582824707003</v>
      </c>
      <c r="L2474" s="6">
        <v>35.1273193359375</v>
      </c>
    </row>
    <row r="2475" spans="1:12" x14ac:dyDescent="0.25">
      <c r="A2475">
        <v>3506904</v>
      </c>
      <c r="B2475" t="str">
        <f t="shared" si="38"/>
        <v>BOFETE, SP, Brasil</v>
      </c>
      <c r="C2475" s="4" t="str">
        <f>_xlfn.XLOOKUP(A2475,[1]!DadosGHD[CD_GEOCMU],[1]!DadosGHD[Região])</f>
        <v>SD</v>
      </c>
      <c r="D2475" s="4" t="str">
        <f>_xlfn.XLOOKUP(A2475,[1]!DadosGHD[CD_GEOCMU],[1]!DadosGHD[uf])</f>
        <v>SP</v>
      </c>
      <c r="E2475" s="5" t="str">
        <f>_xlfn.XLOOKUP(A2475,[1]!DadosGHD[CD_GEOCMU],[1]!DadosGHD[MUNICIPIO])</f>
        <v>BOFETE</v>
      </c>
      <c r="F2475" s="6">
        <v>38.6575736999512</v>
      </c>
      <c r="G2475" s="6">
        <v>38.722389221191399</v>
      </c>
      <c r="H2475" s="6">
        <v>38.756790161132798</v>
      </c>
      <c r="I2475" s="6">
        <v>38.747280120849602</v>
      </c>
      <c r="J2475" s="6">
        <v>38.800422668457003</v>
      </c>
      <c r="K2475" s="6">
        <v>38.864295959472699</v>
      </c>
      <c r="L2475" s="6">
        <v>48.504405975341797</v>
      </c>
    </row>
    <row r="2476" spans="1:12" x14ac:dyDescent="0.25">
      <c r="A2476">
        <v>4322533</v>
      </c>
      <c r="B2476" t="str">
        <f t="shared" si="38"/>
        <v>VALE DO SOL, RS, Brasil</v>
      </c>
      <c r="C2476" s="4" t="str">
        <f>_xlfn.XLOOKUP(A2476,[1]!DadosGHD[CD_GEOCMU],[1]!DadosGHD[Região])</f>
        <v>SL</v>
      </c>
      <c r="D2476" s="4" t="str">
        <f>_xlfn.XLOOKUP(A2476,[1]!DadosGHD[CD_GEOCMU],[1]!DadosGHD[uf])</f>
        <v>RS</v>
      </c>
      <c r="E2476" s="5" t="str">
        <f>_xlfn.XLOOKUP(A2476,[1]!DadosGHD[CD_GEOCMU],[1]!DadosGHD[MUNICIPIO])</f>
        <v>VALE DO SOL</v>
      </c>
      <c r="F2476" s="6">
        <v>38.657627105712898</v>
      </c>
      <c r="G2476" s="6">
        <v>38.786525726318402</v>
      </c>
      <c r="H2476" s="6">
        <v>38.825138092041001</v>
      </c>
      <c r="I2476" s="6">
        <v>38.8048095703125</v>
      </c>
      <c r="J2476" s="6">
        <v>38.827171325683601</v>
      </c>
      <c r="K2476" s="6">
        <v>38.883476257324197</v>
      </c>
      <c r="L2476" s="6">
        <v>39.610893249511697</v>
      </c>
    </row>
    <row r="2477" spans="1:12" x14ac:dyDescent="0.25">
      <c r="A2477">
        <v>1718808</v>
      </c>
      <c r="B2477" t="str">
        <f t="shared" si="38"/>
        <v>SAMPAIO, TO, Brasil</v>
      </c>
      <c r="C2477" s="4" t="str">
        <f>_xlfn.XLOOKUP(A2477,[1]!DadosGHD[CD_GEOCMU],[1]!DadosGHD[Região])</f>
        <v>NO</v>
      </c>
      <c r="D2477" s="4" t="str">
        <f>_xlfn.XLOOKUP(A2477,[1]!DadosGHD[CD_GEOCMU],[1]!DadosGHD[uf])</f>
        <v>TO</v>
      </c>
      <c r="E2477" s="5" t="str">
        <f>_xlfn.XLOOKUP(A2477,[1]!DadosGHD[CD_GEOCMU],[1]!DadosGHD[MUNICIPIO])</f>
        <v>SAMPAIO</v>
      </c>
      <c r="F2477" s="6">
        <v>38.657814025878899</v>
      </c>
      <c r="G2477" s="6">
        <v>38.688381195068402</v>
      </c>
      <c r="H2477" s="6">
        <v>33.888416290283203</v>
      </c>
      <c r="I2477" s="6">
        <v>33.862777709960902</v>
      </c>
      <c r="J2477" s="6">
        <v>33.876228332519503</v>
      </c>
      <c r="K2477" s="6">
        <v>33.9041557312012</v>
      </c>
      <c r="L2477" s="6">
        <v>30.687343597412099</v>
      </c>
    </row>
    <row r="2478" spans="1:12" x14ac:dyDescent="0.25">
      <c r="A2478">
        <v>4110508</v>
      </c>
      <c r="B2478" t="str">
        <f t="shared" si="38"/>
        <v>IPIRANGA, PR, Brasil</v>
      </c>
      <c r="C2478" s="4" t="str">
        <f>_xlfn.XLOOKUP(A2478,[1]!DadosGHD[CD_GEOCMU],[1]!DadosGHD[Região])</f>
        <v>SL</v>
      </c>
      <c r="D2478" s="4" t="str">
        <f>_xlfn.XLOOKUP(A2478,[1]!DadosGHD[CD_GEOCMU],[1]!DadosGHD[uf])</f>
        <v>PR</v>
      </c>
      <c r="E2478" s="5" t="str">
        <f>_xlfn.XLOOKUP(A2478,[1]!DadosGHD[CD_GEOCMU],[1]!DadosGHD[MUNICIPIO])</f>
        <v>IPIRANGA</v>
      </c>
      <c r="F2478" s="6">
        <v>38.657825469970703</v>
      </c>
      <c r="G2478" s="6">
        <v>38.786067962646499</v>
      </c>
      <c r="H2478" s="6">
        <v>38.830471038818402</v>
      </c>
      <c r="I2478" s="6">
        <v>38.786994934082003</v>
      </c>
      <c r="J2478" s="6">
        <v>38.814186096191399</v>
      </c>
      <c r="K2478" s="6">
        <v>38.868804931640597</v>
      </c>
      <c r="L2478" s="6">
        <v>39.560611724853501</v>
      </c>
    </row>
    <row r="2479" spans="1:12" x14ac:dyDescent="0.25">
      <c r="A2479">
        <v>3136520</v>
      </c>
      <c r="B2479" t="str">
        <f t="shared" si="38"/>
        <v>JOSE GONCALVES DE MINAS, MG, Brasil</v>
      </c>
      <c r="C2479" s="4" t="str">
        <f>_xlfn.XLOOKUP(A2479,[1]!DadosGHD[CD_GEOCMU],[1]!DadosGHD[Região])</f>
        <v>SD</v>
      </c>
      <c r="D2479" s="4" t="str">
        <f>_xlfn.XLOOKUP(A2479,[1]!DadosGHD[CD_GEOCMU],[1]!DadosGHD[uf])</f>
        <v>MG</v>
      </c>
      <c r="E2479" s="5" t="str">
        <f>_xlfn.XLOOKUP(A2479,[1]!DadosGHD[CD_GEOCMU],[1]!DadosGHD[MUNICIPIO])</f>
        <v>JOSE GONCALVES DE MINAS</v>
      </c>
      <c r="F2479" s="6">
        <v>38.657829284667997</v>
      </c>
      <c r="G2479" s="6">
        <v>38.705329895019503</v>
      </c>
      <c r="H2479" s="6">
        <v>38.775802612304702</v>
      </c>
      <c r="I2479" s="6">
        <v>38.744060516357401</v>
      </c>
      <c r="J2479" s="6">
        <v>38.764659881591797</v>
      </c>
      <c r="K2479" s="6">
        <v>38.837493896484403</v>
      </c>
      <c r="L2479" s="6">
        <v>35.153205871582003</v>
      </c>
    </row>
    <row r="2480" spans="1:12" x14ac:dyDescent="0.25">
      <c r="A2480">
        <v>2908507</v>
      </c>
      <c r="B2480" t="str">
        <f t="shared" si="38"/>
        <v>CONCEICAO DO JACUIPE, BA, Brasil</v>
      </c>
      <c r="C2480" s="4" t="str">
        <f>_xlfn.XLOOKUP(A2480,[1]!DadosGHD[CD_GEOCMU],[1]!DadosGHD[Região])</f>
        <v>NE</v>
      </c>
      <c r="D2480" s="4" t="str">
        <f>_xlfn.XLOOKUP(A2480,[1]!DadosGHD[CD_GEOCMU],[1]!DadosGHD[uf])</f>
        <v>BA</v>
      </c>
      <c r="E2480" s="5" t="str">
        <f>_xlfn.XLOOKUP(A2480,[1]!DadosGHD[CD_GEOCMU],[1]!DadosGHD[MUNICIPIO])</f>
        <v>CONCEICAO DO JACUIPE</v>
      </c>
      <c r="F2480" s="6">
        <v>38.657871246337898</v>
      </c>
      <c r="G2480" s="6">
        <v>38.757301330566399</v>
      </c>
      <c r="H2480" s="6">
        <v>38.850669860839801</v>
      </c>
      <c r="I2480" s="6">
        <v>43.7252388000488</v>
      </c>
      <c r="J2480" s="6">
        <v>43.727317810058601</v>
      </c>
      <c r="K2480" s="6">
        <v>43.791141510009801</v>
      </c>
      <c r="L2480" s="6">
        <v>44.064296722412102</v>
      </c>
    </row>
    <row r="2481" spans="1:12" x14ac:dyDescent="0.25">
      <c r="A2481">
        <v>4320859</v>
      </c>
      <c r="B2481" t="str">
        <f t="shared" si="38"/>
        <v>TABAI, RS, Brasil</v>
      </c>
      <c r="C2481" s="4" t="str">
        <f>_xlfn.XLOOKUP(A2481,[1]!DadosGHD[CD_GEOCMU],[1]!DadosGHD[Região])</f>
        <v>SL</v>
      </c>
      <c r="D2481" s="4" t="str">
        <f>_xlfn.XLOOKUP(A2481,[1]!DadosGHD[CD_GEOCMU],[1]!DadosGHD[uf])</f>
        <v>RS</v>
      </c>
      <c r="E2481" s="5" t="str">
        <f>_xlfn.XLOOKUP(A2481,[1]!DadosGHD[CD_GEOCMU],[1]!DadosGHD[MUNICIPIO])</f>
        <v>TABAI</v>
      </c>
      <c r="F2481" s="6">
        <v>38.658058166503899</v>
      </c>
      <c r="G2481" s="6">
        <v>38.6908149719238</v>
      </c>
      <c r="H2481" s="6">
        <v>33.89599609375</v>
      </c>
      <c r="I2481" s="6">
        <v>38.7385063171387</v>
      </c>
      <c r="J2481" s="6">
        <v>38.840663909912102</v>
      </c>
      <c r="K2481" s="6">
        <v>43.839752197265597</v>
      </c>
      <c r="L2481" s="6">
        <v>48.545948028564503</v>
      </c>
    </row>
    <row r="2482" spans="1:12" x14ac:dyDescent="0.25">
      <c r="A2482">
        <v>4105201</v>
      </c>
      <c r="B2482" t="str">
        <f t="shared" si="38"/>
        <v>CERRO AZUL, PR, Brasil</v>
      </c>
      <c r="C2482" s="4" t="str">
        <f>_xlfn.XLOOKUP(A2482,[1]!DadosGHD[CD_GEOCMU],[1]!DadosGHD[Região])</f>
        <v>SL</v>
      </c>
      <c r="D2482" s="4" t="str">
        <f>_xlfn.XLOOKUP(A2482,[1]!DadosGHD[CD_GEOCMU],[1]!DadosGHD[uf])</f>
        <v>PR</v>
      </c>
      <c r="E2482" s="5" t="str">
        <f>_xlfn.XLOOKUP(A2482,[1]!DadosGHD[CD_GEOCMU],[1]!DadosGHD[MUNICIPIO])</f>
        <v>CERRO AZUL</v>
      </c>
      <c r="F2482" s="6">
        <v>38.658111572265597</v>
      </c>
      <c r="G2482" s="6">
        <v>38.719753265380902</v>
      </c>
      <c r="H2482" s="6">
        <v>38.792289733886697</v>
      </c>
      <c r="I2482" s="6">
        <v>38.790256500244098</v>
      </c>
      <c r="J2482" s="6">
        <v>43.7188911437988</v>
      </c>
      <c r="K2482" s="6">
        <v>43.766765594482401</v>
      </c>
      <c r="L2482" s="6">
        <v>35.134304046630902</v>
      </c>
    </row>
    <row r="2483" spans="1:12" x14ac:dyDescent="0.25">
      <c r="A2483">
        <v>2603603</v>
      </c>
      <c r="B2483" t="str">
        <f t="shared" si="38"/>
        <v>CAMUTANGA, PE, Brasil</v>
      </c>
      <c r="C2483" s="4" t="str">
        <f>_xlfn.XLOOKUP(A2483,[1]!DadosGHD[CD_GEOCMU],[1]!DadosGHD[Região])</f>
        <v>NE</v>
      </c>
      <c r="D2483" s="4" t="str">
        <f>_xlfn.XLOOKUP(A2483,[1]!DadosGHD[CD_GEOCMU],[1]!DadosGHD[uf])</f>
        <v>PE</v>
      </c>
      <c r="E2483" s="5" t="str">
        <f>_xlfn.XLOOKUP(A2483,[1]!DadosGHD[CD_GEOCMU],[1]!DadosGHD[MUNICIPIO])</f>
        <v>CAMUTANGA</v>
      </c>
      <c r="F2483" s="6">
        <v>38.658145904541001</v>
      </c>
      <c r="G2483" s="6">
        <v>38.707672119140597</v>
      </c>
      <c r="H2483" s="6">
        <v>38.764541625976598</v>
      </c>
      <c r="I2483" s="6">
        <v>38.719738006591797</v>
      </c>
      <c r="J2483" s="6">
        <v>33.863277435302699</v>
      </c>
      <c r="K2483" s="6">
        <v>33.875473022460902</v>
      </c>
      <c r="L2483" s="6">
        <v>30.7193508148193</v>
      </c>
    </row>
    <row r="2484" spans="1:12" x14ac:dyDescent="0.25">
      <c r="A2484">
        <v>2205706</v>
      </c>
      <c r="B2484" t="str">
        <f t="shared" si="38"/>
        <v>LUIS CORREIA, PI, Brasil</v>
      </c>
      <c r="C2484" s="4" t="str">
        <f>_xlfn.XLOOKUP(A2484,[1]!DadosGHD[CD_GEOCMU],[1]!DadosGHD[Região])</f>
        <v>NE</v>
      </c>
      <c r="D2484" s="4" t="str">
        <f>_xlfn.XLOOKUP(A2484,[1]!DadosGHD[CD_GEOCMU],[1]!DadosGHD[uf])</f>
        <v>PI</v>
      </c>
      <c r="E2484" s="5" t="str">
        <f>_xlfn.XLOOKUP(A2484,[1]!DadosGHD[CD_GEOCMU],[1]!DadosGHD[MUNICIPIO])</f>
        <v>LUIS CORREIA</v>
      </c>
      <c r="F2484" s="6">
        <v>38.658195495605497</v>
      </c>
      <c r="G2484" s="6">
        <v>33.836067199707003</v>
      </c>
      <c r="H2484" s="6">
        <v>33.8894233703613</v>
      </c>
      <c r="I2484" s="6">
        <v>33.870796203613303</v>
      </c>
      <c r="J2484" s="6">
        <v>33.883014678955099</v>
      </c>
      <c r="K2484" s="6">
        <v>33.918361663818402</v>
      </c>
      <c r="L2484" s="6">
        <v>30.716169357299801</v>
      </c>
    </row>
    <row r="2485" spans="1:12" x14ac:dyDescent="0.25">
      <c r="A2485">
        <v>4310900</v>
      </c>
      <c r="B2485" t="str">
        <f t="shared" si="38"/>
        <v>JACUTINGA, RS, Brasil</v>
      </c>
      <c r="C2485" s="4" t="str">
        <f>_xlfn.XLOOKUP(A2485,[1]!DadosGHD[CD_GEOCMU],[1]!DadosGHD[Região])</f>
        <v>SL</v>
      </c>
      <c r="D2485" s="4" t="str">
        <f>_xlfn.XLOOKUP(A2485,[1]!DadosGHD[CD_GEOCMU],[1]!DadosGHD[uf])</f>
        <v>RS</v>
      </c>
      <c r="E2485" s="5" t="str">
        <f>_xlfn.XLOOKUP(A2485,[1]!DadosGHD[CD_GEOCMU],[1]!DadosGHD[MUNICIPIO])</f>
        <v>JACUTINGA</v>
      </c>
      <c r="F2485" s="6">
        <v>38.658226013183601</v>
      </c>
      <c r="G2485" s="6">
        <v>48.655841827392599</v>
      </c>
      <c r="H2485" s="6">
        <v>48.7311820983887</v>
      </c>
      <c r="I2485" s="6">
        <v>48.727062225341797</v>
      </c>
      <c r="J2485" s="6">
        <v>48.805614471435597</v>
      </c>
      <c r="K2485" s="6">
        <v>48.866844177246101</v>
      </c>
      <c r="L2485" s="6">
        <v>53.011936187744098</v>
      </c>
    </row>
    <row r="2486" spans="1:12" x14ac:dyDescent="0.25">
      <c r="A2486">
        <v>4309050</v>
      </c>
      <c r="B2486" t="str">
        <f t="shared" si="38"/>
        <v>GLORINHA, RS, Brasil</v>
      </c>
      <c r="C2486" s="4" t="str">
        <f>_xlfn.XLOOKUP(A2486,[1]!DadosGHD[CD_GEOCMU],[1]!DadosGHD[Região])</f>
        <v>SL</v>
      </c>
      <c r="D2486" s="4" t="str">
        <f>_xlfn.XLOOKUP(A2486,[1]!DadosGHD[CD_GEOCMU],[1]!DadosGHD[uf])</f>
        <v>RS</v>
      </c>
      <c r="E2486" s="5" t="str">
        <f>_xlfn.XLOOKUP(A2486,[1]!DadosGHD[CD_GEOCMU],[1]!DadosGHD[MUNICIPIO])</f>
        <v>GLORINHA</v>
      </c>
      <c r="F2486" s="6">
        <v>38.658302307128899</v>
      </c>
      <c r="G2486" s="6">
        <v>43.649295806884801</v>
      </c>
      <c r="H2486" s="6">
        <v>43.7238159179688</v>
      </c>
      <c r="I2486" s="6">
        <v>43.760749816894503</v>
      </c>
      <c r="J2486" s="6">
        <v>48.702850341796903</v>
      </c>
      <c r="K2486" s="6">
        <v>43.872566223144503</v>
      </c>
      <c r="L2486" s="6">
        <v>44.056137084960902</v>
      </c>
    </row>
    <row r="2487" spans="1:12" x14ac:dyDescent="0.25">
      <c r="A2487">
        <v>4101309</v>
      </c>
      <c r="B2487" t="str">
        <f t="shared" si="38"/>
        <v>ANTONIO OLINTO, PR, Brasil</v>
      </c>
      <c r="C2487" s="4" t="str">
        <f>_xlfn.XLOOKUP(A2487,[1]!DadosGHD[CD_GEOCMU],[1]!DadosGHD[Região])</f>
        <v>SL</v>
      </c>
      <c r="D2487" s="4" t="str">
        <f>_xlfn.XLOOKUP(A2487,[1]!DadosGHD[CD_GEOCMU],[1]!DadosGHD[uf])</f>
        <v>PR</v>
      </c>
      <c r="E2487" s="5" t="str">
        <f>_xlfn.XLOOKUP(A2487,[1]!DadosGHD[CD_GEOCMU],[1]!DadosGHD[MUNICIPIO])</f>
        <v>ANTONIO OLINTO</v>
      </c>
      <c r="F2487" s="6">
        <v>38.658409118652301</v>
      </c>
      <c r="G2487" s="6">
        <v>43.7339477539063</v>
      </c>
      <c r="H2487" s="6">
        <v>43.794197082519503</v>
      </c>
      <c r="I2487" s="6">
        <v>43.7634086608887</v>
      </c>
      <c r="J2487" s="6">
        <v>43.782035827636697</v>
      </c>
      <c r="K2487" s="6">
        <v>43.810657501220703</v>
      </c>
      <c r="L2487" s="6">
        <v>35.135169982910199</v>
      </c>
    </row>
    <row r="2488" spans="1:12" x14ac:dyDescent="0.25">
      <c r="A2488">
        <v>2411403</v>
      </c>
      <c r="B2488" t="str">
        <f t="shared" si="38"/>
        <v>SANTANA DO MATOS, RN, Brasil</v>
      </c>
      <c r="C2488" s="4" t="str">
        <f>_xlfn.XLOOKUP(A2488,[1]!DadosGHD[CD_GEOCMU],[1]!DadosGHD[Região])</f>
        <v>NE</v>
      </c>
      <c r="D2488" s="4" t="str">
        <f>_xlfn.XLOOKUP(A2488,[1]!DadosGHD[CD_GEOCMU],[1]!DadosGHD[uf])</f>
        <v>RN</v>
      </c>
      <c r="E2488" s="5" t="str">
        <f>_xlfn.XLOOKUP(A2488,[1]!DadosGHD[CD_GEOCMU],[1]!DadosGHD[MUNICIPIO])</f>
        <v>SANTANA DO MATOS</v>
      </c>
      <c r="F2488" s="6">
        <v>38.658504486083999</v>
      </c>
      <c r="G2488" s="6">
        <v>38.759597778320298</v>
      </c>
      <c r="H2488" s="6">
        <v>33.885799407958999</v>
      </c>
      <c r="I2488" s="6">
        <v>33.869636535644503</v>
      </c>
      <c r="J2488" s="6">
        <v>38.758384704589801</v>
      </c>
      <c r="K2488" s="6">
        <v>38.789276123046903</v>
      </c>
      <c r="L2488" s="6">
        <v>35.150169372558601</v>
      </c>
    </row>
    <row r="2489" spans="1:12" x14ac:dyDescent="0.25">
      <c r="A2489">
        <v>2915205</v>
      </c>
      <c r="B2489" t="str">
        <f t="shared" si="38"/>
        <v>ITAGIBA, BA, Brasil</v>
      </c>
      <c r="C2489" s="4" t="str">
        <f>_xlfn.XLOOKUP(A2489,[1]!DadosGHD[CD_GEOCMU],[1]!DadosGHD[Região])</f>
        <v>NE</v>
      </c>
      <c r="D2489" s="4" t="str">
        <f>_xlfn.XLOOKUP(A2489,[1]!DadosGHD[CD_GEOCMU],[1]!DadosGHD[uf])</f>
        <v>BA</v>
      </c>
      <c r="E2489" s="5" t="str">
        <f>_xlfn.XLOOKUP(A2489,[1]!DadosGHD[CD_GEOCMU],[1]!DadosGHD[MUNICIPIO])</f>
        <v>ITAGIBA</v>
      </c>
      <c r="F2489" s="6">
        <v>38.658725738525398</v>
      </c>
      <c r="G2489" s="6">
        <v>38.698890686035199</v>
      </c>
      <c r="H2489" s="6">
        <v>38.755947113037102</v>
      </c>
      <c r="I2489" s="6">
        <v>38.731666564941399</v>
      </c>
      <c r="J2489" s="6">
        <v>38.752525329589801</v>
      </c>
      <c r="K2489" s="6">
        <v>33.905834197998097</v>
      </c>
      <c r="L2489" s="6">
        <v>26.291284561157202</v>
      </c>
    </row>
    <row r="2490" spans="1:12" x14ac:dyDescent="0.25">
      <c r="A2490">
        <v>4125555</v>
      </c>
      <c r="B2490" t="str">
        <f t="shared" si="38"/>
        <v>SAO MANOEL DO PARANA, PR, Brasil</v>
      </c>
      <c r="C2490" s="4" t="str">
        <f>_xlfn.XLOOKUP(A2490,[1]!DadosGHD[CD_GEOCMU],[1]!DadosGHD[Região])</f>
        <v>SL</v>
      </c>
      <c r="D2490" s="4" t="str">
        <f>_xlfn.XLOOKUP(A2490,[1]!DadosGHD[CD_GEOCMU],[1]!DadosGHD[uf])</f>
        <v>PR</v>
      </c>
      <c r="E2490" s="5" t="str">
        <f>_xlfn.XLOOKUP(A2490,[1]!DadosGHD[CD_GEOCMU],[1]!DadosGHD[MUNICIPIO])</f>
        <v>SAO MANOEL DO PARANA</v>
      </c>
      <c r="F2490" s="6">
        <v>38.659000396728501</v>
      </c>
      <c r="G2490" s="6">
        <v>48.727394104003899</v>
      </c>
      <c r="H2490" s="6">
        <v>48.800197601318402</v>
      </c>
      <c r="I2490" s="6">
        <v>48.818477630615199</v>
      </c>
      <c r="J2490" s="6">
        <v>53.760299682617202</v>
      </c>
      <c r="K2490" s="6">
        <v>48.848720550537102</v>
      </c>
      <c r="L2490" s="6">
        <v>39.591903686523402</v>
      </c>
    </row>
    <row r="2491" spans="1:12" x14ac:dyDescent="0.25">
      <c r="A2491">
        <v>2405405</v>
      </c>
      <c r="B2491" t="str">
        <f t="shared" si="38"/>
        <v>JAPI, RN, Brasil</v>
      </c>
      <c r="C2491" s="4" t="str">
        <f>_xlfn.XLOOKUP(A2491,[1]!DadosGHD[CD_GEOCMU],[1]!DadosGHD[Região])</f>
        <v>NE</v>
      </c>
      <c r="D2491" s="4" t="str">
        <f>_xlfn.XLOOKUP(A2491,[1]!DadosGHD[CD_GEOCMU],[1]!DadosGHD[uf])</f>
        <v>RN</v>
      </c>
      <c r="E2491" s="5" t="str">
        <f>_xlfn.XLOOKUP(A2491,[1]!DadosGHD[CD_GEOCMU],[1]!DadosGHD[MUNICIPIO])</f>
        <v>JAPI</v>
      </c>
      <c r="F2491" s="6">
        <v>38.659088134765597</v>
      </c>
      <c r="G2491" s="6">
        <v>38.702518463134801</v>
      </c>
      <c r="H2491" s="6">
        <v>38.762619018554702</v>
      </c>
      <c r="I2491" s="6">
        <v>33.8596000671387</v>
      </c>
      <c r="J2491" s="6">
        <v>33.869297027587898</v>
      </c>
      <c r="K2491" s="6">
        <v>33.902114868164098</v>
      </c>
      <c r="L2491" s="6">
        <v>26.294313430786101</v>
      </c>
    </row>
    <row r="2492" spans="1:12" x14ac:dyDescent="0.25">
      <c r="A2492">
        <v>5221197</v>
      </c>
      <c r="B2492" t="str">
        <f t="shared" si="38"/>
        <v>TEREZOPOLIS DE GOIAS, GO, Brasil</v>
      </c>
      <c r="C2492" s="4" t="str">
        <f>_xlfn.XLOOKUP(A2492,[1]!DadosGHD[CD_GEOCMU],[1]!DadosGHD[Região])</f>
        <v>CO</v>
      </c>
      <c r="D2492" s="4" t="str">
        <f>_xlfn.XLOOKUP(A2492,[1]!DadosGHD[CD_GEOCMU],[1]!DadosGHD[uf])</f>
        <v>GO</v>
      </c>
      <c r="E2492" s="5" t="str">
        <f>_xlfn.XLOOKUP(A2492,[1]!DadosGHD[CD_GEOCMU],[1]!DadosGHD[MUNICIPIO])</f>
        <v>TEREZOPOLIS DE GOIAS</v>
      </c>
      <c r="F2492" s="6">
        <v>38.659187316894503</v>
      </c>
      <c r="G2492" s="6">
        <v>38.723918914794901</v>
      </c>
      <c r="H2492" s="6">
        <v>38.786903381347699</v>
      </c>
      <c r="I2492" s="6">
        <v>33.873653411865199</v>
      </c>
      <c r="J2492" s="6">
        <v>38.782646179199197</v>
      </c>
      <c r="K2492" s="6">
        <v>38.806224822998097</v>
      </c>
      <c r="L2492" s="6">
        <v>35.137565612792997</v>
      </c>
    </row>
    <row r="2493" spans="1:12" x14ac:dyDescent="0.25">
      <c r="A2493">
        <v>1101559</v>
      </c>
      <c r="B2493" t="str">
        <f t="shared" si="38"/>
        <v>TEIXEIROPOLIS, RO, Brasil</v>
      </c>
      <c r="C2493" s="4" t="str">
        <f>_xlfn.XLOOKUP(A2493,[1]!DadosGHD[CD_GEOCMU],[1]!DadosGHD[Região])</f>
        <v>NO</v>
      </c>
      <c r="D2493" s="4" t="str">
        <f>_xlfn.XLOOKUP(A2493,[1]!DadosGHD[CD_GEOCMU],[1]!DadosGHD[uf])</f>
        <v>RO</v>
      </c>
      <c r="E2493" s="5" t="str">
        <f>_xlfn.XLOOKUP(A2493,[1]!DadosGHD[CD_GEOCMU],[1]!DadosGHD[MUNICIPIO])</f>
        <v>TEIXEIROPOLIS</v>
      </c>
      <c r="F2493" s="6">
        <v>38.659217834472699</v>
      </c>
      <c r="G2493" s="6">
        <v>38.695026397705099</v>
      </c>
      <c r="H2493" s="6">
        <v>43.766880035400398</v>
      </c>
      <c r="I2493" s="6">
        <v>48.766754150390597</v>
      </c>
      <c r="J2493" s="6">
        <v>48.7847290039063</v>
      </c>
      <c r="K2493" s="6">
        <v>48.845859527587898</v>
      </c>
      <c r="L2493" s="6">
        <v>39.582038879394503</v>
      </c>
    </row>
    <row r="2494" spans="1:12" x14ac:dyDescent="0.25">
      <c r="A2494">
        <v>2923001</v>
      </c>
      <c r="B2494" t="str">
        <f t="shared" si="38"/>
        <v>NOVA VICOSA, BA, Brasil</v>
      </c>
      <c r="C2494" s="4" t="str">
        <f>_xlfn.XLOOKUP(A2494,[1]!DadosGHD[CD_GEOCMU],[1]!DadosGHD[Região])</f>
        <v>NE</v>
      </c>
      <c r="D2494" s="4" t="str">
        <f>_xlfn.XLOOKUP(A2494,[1]!DadosGHD[CD_GEOCMU],[1]!DadosGHD[uf])</f>
        <v>BA</v>
      </c>
      <c r="E2494" s="5" t="str">
        <f>_xlfn.XLOOKUP(A2494,[1]!DadosGHD[CD_GEOCMU],[1]!DadosGHD[MUNICIPIO])</f>
        <v>NOVA VICOSA</v>
      </c>
      <c r="F2494" s="6">
        <v>38.659221649169901</v>
      </c>
      <c r="G2494" s="6">
        <v>38.750259399414098</v>
      </c>
      <c r="H2494" s="6">
        <v>38.8210639953613</v>
      </c>
      <c r="I2494" s="6">
        <v>38.771293640136697</v>
      </c>
      <c r="J2494" s="6">
        <v>38.758857727050803</v>
      </c>
      <c r="K2494" s="6">
        <v>33.925735473632798</v>
      </c>
      <c r="L2494" s="6">
        <v>30.720884323120099</v>
      </c>
    </row>
    <row r="2495" spans="1:12" x14ac:dyDescent="0.25">
      <c r="A2495">
        <v>2310001</v>
      </c>
      <c r="B2495" t="str">
        <f t="shared" si="38"/>
        <v>PALHANO, CE, Brasil</v>
      </c>
      <c r="C2495" s="4" t="str">
        <f>_xlfn.XLOOKUP(A2495,[1]!DadosGHD[CD_GEOCMU],[1]!DadosGHD[Região])</f>
        <v>NE</v>
      </c>
      <c r="D2495" s="4" t="str">
        <f>_xlfn.XLOOKUP(A2495,[1]!DadosGHD[CD_GEOCMU],[1]!DadosGHD[uf])</f>
        <v>CE</v>
      </c>
      <c r="E2495" s="5" t="str">
        <f>_xlfn.XLOOKUP(A2495,[1]!DadosGHD[CD_GEOCMU],[1]!DadosGHD[MUNICIPIO])</f>
        <v>PALHANO</v>
      </c>
      <c r="F2495" s="6">
        <v>38.659233093261697</v>
      </c>
      <c r="G2495" s="6">
        <v>38.686672210693402</v>
      </c>
      <c r="H2495" s="6">
        <v>33.890960693359403</v>
      </c>
      <c r="I2495" s="6">
        <v>33.873981475830099</v>
      </c>
      <c r="J2495" s="6">
        <v>38.780147552490199</v>
      </c>
      <c r="K2495" s="6">
        <v>38.791996002197301</v>
      </c>
      <c r="L2495" s="6">
        <v>35.153305053710902</v>
      </c>
    </row>
    <row r="2496" spans="1:12" x14ac:dyDescent="0.25">
      <c r="A2496">
        <v>4306700</v>
      </c>
      <c r="B2496" t="str">
        <f t="shared" si="38"/>
        <v>DONA FRANCISCA, RS, Brasil</v>
      </c>
      <c r="C2496" s="4" t="str">
        <f>_xlfn.XLOOKUP(A2496,[1]!DadosGHD[CD_GEOCMU],[1]!DadosGHD[Região])</f>
        <v>SL</v>
      </c>
      <c r="D2496" s="4" t="str">
        <f>_xlfn.XLOOKUP(A2496,[1]!DadosGHD[CD_GEOCMU],[1]!DadosGHD[uf])</f>
        <v>RS</v>
      </c>
      <c r="E2496" s="5" t="str">
        <f>_xlfn.XLOOKUP(A2496,[1]!DadosGHD[CD_GEOCMU],[1]!DadosGHD[MUNICIPIO])</f>
        <v>DONA FRANCISCA</v>
      </c>
      <c r="F2496" s="6">
        <v>38.659233093261697</v>
      </c>
      <c r="G2496" s="6">
        <v>48.686367034912102</v>
      </c>
      <c r="H2496" s="6">
        <v>53.776443481445298</v>
      </c>
      <c r="I2496" s="6">
        <v>63.915843963623097</v>
      </c>
      <c r="J2496" s="6">
        <v>58.977622985839801</v>
      </c>
      <c r="K2496" s="6">
        <v>59.093887329101598</v>
      </c>
      <c r="L2496" s="6">
        <v>53.062942504882798</v>
      </c>
    </row>
    <row r="2497" spans="1:12" x14ac:dyDescent="0.25">
      <c r="A2497">
        <v>2408904</v>
      </c>
      <c r="B2497" t="str">
        <f t="shared" si="38"/>
        <v>PARELHAS, RN, Brasil</v>
      </c>
      <c r="C2497" s="4" t="str">
        <f>_xlfn.XLOOKUP(A2497,[1]!DadosGHD[CD_GEOCMU],[1]!DadosGHD[Região])</f>
        <v>NE</v>
      </c>
      <c r="D2497" s="4" t="str">
        <f>_xlfn.XLOOKUP(A2497,[1]!DadosGHD[CD_GEOCMU],[1]!DadosGHD[uf])</f>
        <v>RN</v>
      </c>
      <c r="E2497" s="5" t="str">
        <f>_xlfn.XLOOKUP(A2497,[1]!DadosGHD[CD_GEOCMU],[1]!DadosGHD[MUNICIPIO])</f>
        <v>PARELHAS</v>
      </c>
      <c r="F2497" s="6">
        <v>38.659492492675803</v>
      </c>
      <c r="G2497" s="6">
        <v>38.740043640136697</v>
      </c>
      <c r="H2497" s="6">
        <v>38.804927825927699</v>
      </c>
      <c r="I2497" s="6">
        <v>38.782127380371101</v>
      </c>
      <c r="J2497" s="6">
        <v>38.766017913818402</v>
      </c>
      <c r="K2497" s="6">
        <v>43.829940795898402</v>
      </c>
      <c r="L2497" s="6">
        <v>48.559894561767599</v>
      </c>
    </row>
    <row r="2498" spans="1:12" x14ac:dyDescent="0.25">
      <c r="A2498">
        <v>2920502</v>
      </c>
      <c r="B2498" t="str">
        <f t="shared" si="38"/>
        <v>MARACAS, BA, Brasil</v>
      </c>
      <c r="C2498" s="4" t="str">
        <f>_xlfn.XLOOKUP(A2498,[1]!DadosGHD[CD_GEOCMU],[1]!DadosGHD[Região])</f>
        <v>NE</v>
      </c>
      <c r="D2498" s="4" t="str">
        <f>_xlfn.XLOOKUP(A2498,[1]!DadosGHD[CD_GEOCMU],[1]!DadosGHD[uf])</f>
        <v>BA</v>
      </c>
      <c r="E2498" s="5" t="str">
        <f>_xlfn.XLOOKUP(A2498,[1]!DadosGHD[CD_GEOCMU],[1]!DadosGHD[MUNICIPIO])</f>
        <v>MARACAS</v>
      </c>
      <c r="F2498" s="6">
        <v>38.659736633300803</v>
      </c>
      <c r="G2498" s="6">
        <v>38.712013244628899</v>
      </c>
      <c r="H2498" s="6">
        <v>38.770099639892599</v>
      </c>
      <c r="I2498" s="6">
        <v>38.7452392578125</v>
      </c>
      <c r="J2498" s="6">
        <v>38.750373840332003</v>
      </c>
      <c r="K2498" s="6">
        <v>33.919811248779297</v>
      </c>
      <c r="L2498" s="6">
        <v>26.283565521240199</v>
      </c>
    </row>
    <row r="2499" spans="1:12" x14ac:dyDescent="0.25">
      <c r="A2499">
        <v>3132305</v>
      </c>
      <c r="B2499" t="str">
        <f t="shared" si="38"/>
        <v>ITAIPE, MG, Brasil</v>
      </c>
      <c r="C2499" s="4" t="str">
        <f>_xlfn.XLOOKUP(A2499,[1]!DadosGHD[CD_GEOCMU],[1]!DadosGHD[Região])</f>
        <v>SD</v>
      </c>
      <c r="D2499" s="4" t="str">
        <f>_xlfn.XLOOKUP(A2499,[1]!DadosGHD[CD_GEOCMU],[1]!DadosGHD[uf])</f>
        <v>MG</v>
      </c>
      <c r="E2499" s="5" t="str">
        <f>_xlfn.XLOOKUP(A2499,[1]!DadosGHD[CD_GEOCMU],[1]!DadosGHD[MUNICIPIO])</f>
        <v>ITAIPE</v>
      </c>
      <c r="F2499" s="6">
        <v>38.659843444824197</v>
      </c>
      <c r="G2499" s="6">
        <v>38.755767822265597</v>
      </c>
      <c r="H2499" s="6">
        <v>38.796504974365199</v>
      </c>
      <c r="I2499" s="6">
        <v>38.771610260009801</v>
      </c>
      <c r="J2499" s="6">
        <v>38.7968139648438</v>
      </c>
      <c r="K2499" s="6">
        <v>38.791202545166001</v>
      </c>
      <c r="L2499" s="6">
        <v>35.115085601806598</v>
      </c>
    </row>
    <row r="2500" spans="1:12" x14ac:dyDescent="0.25">
      <c r="A2500">
        <v>2607109</v>
      </c>
      <c r="B2500" t="str">
        <f t="shared" ref="B2500:B2563" si="39">_xlfn.CONCAT(E2500, ", ", D2500, ", Brasil")</f>
        <v>INGAZEIRA, PE, Brasil</v>
      </c>
      <c r="C2500" s="4" t="str">
        <f>_xlfn.XLOOKUP(A2500,[1]!DadosGHD[CD_GEOCMU],[1]!DadosGHD[Região])</f>
        <v>NE</v>
      </c>
      <c r="D2500" s="4" t="str">
        <f>_xlfn.XLOOKUP(A2500,[1]!DadosGHD[CD_GEOCMU],[1]!DadosGHD[uf])</f>
        <v>PE</v>
      </c>
      <c r="E2500" s="5" t="str">
        <f>_xlfn.XLOOKUP(A2500,[1]!DadosGHD[CD_GEOCMU],[1]!DadosGHD[MUNICIPIO])</f>
        <v>INGAZEIRA</v>
      </c>
      <c r="F2500" s="6">
        <v>38.659919738769503</v>
      </c>
      <c r="G2500" s="6">
        <v>38.743350982666001</v>
      </c>
      <c r="H2500" s="6">
        <v>38.814586639404297</v>
      </c>
      <c r="I2500" s="6">
        <v>38.794692993164098</v>
      </c>
      <c r="J2500" s="6">
        <v>43.715969085693402</v>
      </c>
      <c r="K2500" s="6">
        <v>38.857696533203097</v>
      </c>
      <c r="L2500" s="6">
        <v>44.056980133056598</v>
      </c>
    </row>
    <row r="2501" spans="1:12" x14ac:dyDescent="0.25">
      <c r="A2501">
        <v>3127370</v>
      </c>
      <c r="B2501" t="str">
        <f t="shared" si="39"/>
        <v>GOIABEIRA, MG, Brasil</v>
      </c>
      <c r="C2501" s="4" t="str">
        <f>_xlfn.XLOOKUP(A2501,[1]!DadosGHD[CD_GEOCMU],[1]!DadosGHD[Região])</f>
        <v>SD</v>
      </c>
      <c r="D2501" s="4" t="str">
        <f>_xlfn.XLOOKUP(A2501,[1]!DadosGHD[CD_GEOCMU],[1]!DadosGHD[uf])</f>
        <v>MG</v>
      </c>
      <c r="E2501" s="5" t="str">
        <f>_xlfn.XLOOKUP(A2501,[1]!DadosGHD[CD_GEOCMU],[1]!DadosGHD[MUNICIPIO])</f>
        <v>GOIABEIRA</v>
      </c>
      <c r="F2501" s="6">
        <v>38.660026550292997</v>
      </c>
      <c r="G2501" s="6">
        <v>43.690273284912102</v>
      </c>
      <c r="H2501" s="6">
        <v>43.735908508300803</v>
      </c>
      <c r="I2501" s="6">
        <v>43.692535400390597</v>
      </c>
      <c r="J2501" s="6">
        <v>43.727214813232401</v>
      </c>
      <c r="K2501" s="6">
        <v>38.872222900390597</v>
      </c>
      <c r="L2501" s="6">
        <v>44.063274383544901</v>
      </c>
    </row>
    <row r="2502" spans="1:12" x14ac:dyDescent="0.25">
      <c r="A2502">
        <v>2706109</v>
      </c>
      <c r="B2502" t="str">
        <f t="shared" si="39"/>
        <v>OURO BRANCO, AL, Brasil</v>
      </c>
      <c r="C2502" s="4" t="str">
        <f>_xlfn.XLOOKUP(A2502,[1]!DadosGHD[CD_GEOCMU],[1]!DadosGHD[Região])</f>
        <v>NE</v>
      </c>
      <c r="D2502" s="4" t="str">
        <f>_xlfn.XLOOKUP(A2502,[1]!DadosGHD[CD_GEOCMU],[1]!DadosGHD[uf])</f>
        <v>AL</v>
      </c>
      <c r="E2502" s="5" t="str">
        <f>_xlfn.XLOOKUP(A2502,[1]!DadosGHD[CD_GEOCMU],[1]!DadosGHD[MUNICIPIO])</f>
        <v>OURO BRANCO</v>
      </c>
      <c r="F2502" s="6">
        <v>38.660179138183601</v>
      </c>
      <c r="G2502" s="6">
        <v>33.8429565429688</v>
      </c>
      <c r="H2502" s="6">
        <v>33.8874320983887</v>
      </c>
      <c r="I2502" s="6">
        <v>33.8637886047363</v>
      </c>
      <c r="J2502" s="6">
        <v>33.8667602539063</v>
      </c>
      <c r="K2502" s="6">
        <v>33.889602661132798</v>
      </c>
      <c r="L2502" s="6">
        <v>30.6860961914063</v>
      </c>
    </row>
    <row r="2503" spans="1:12" x14ac:dyDescent="0.25">
      <c r="A2503">
        <v>2906501</v>
      </c>
      <c r="B2503" t="str">
        <f t="shared" si="39"/>
        <v>CANDEIAS, BA, Brasil</v>
      </c>
      <c r="C2503" s="4" t="str">
        <f>_xlfn.XLOOKUP(A2503,[1]!DadosGHD[CD_GEOCMU],[1]!DadosGHD[Região])</f>
        <v>NE</v>
      </c>
      <c r="D2503" s="4" t="str">
        <f>_xlfn.XLOOKUP(A2503,[1]!DadosGHD[CD_GEOCMU],[1]!DadosGHD[uf])</f>
        <v>BA</v>
      </c>
      <c r="E2503" s="5" t="str">
        <f>_xlfn.XLOOKUP(A2503,[1]!DadosGHD[CD_GEOCMU],[1]!DadosGHD[MUNICIPIO])</f>
        <v>CANDEIAS</v>
      </c>
      <c r="F2503" s="6">
        <v>38.660453796386697</v>
      </c>
      <c r="G2503" s="6">
        <v>38.715263366699197</v>
      </c>
      <c r="H2503" s="6">
        <v>38.7592582702637</v>
      </c>
      <c r="I2503" s="6">
        <v>38.785743713378899</v>
      </c>
      <c r="J2503" s="6">
        <v>38.822078704833999</v>
      </c>
      <c r="K2503" s="6">
        <v>43.762989044189503</v>
      </c>
      <c r="L2503" s="6">
        <v>44.055736541748097</v>
      </c>
    </row>
    <row r="2504" spans="1:12" x14ac:dyDescent="0.25">
      <c r="A2504">
        <v>2917102</v>
      </c>
      <c r="B2504" t="str">
        <f t="shared" si="39"/>
        <v>ITORORO, BA, Brasil</v>
      </c>
      <c r="C2504" s="4" t="str">
        <f>_xlfn.XLOOKUP(A2504,[1]!DadosGHD[CD_GEOCMU],[1]!DadosGHD[Região])</f>
        <v>NE</v>
      </c>
      <c r="D2504" s="4" t="str">
        <f>_xlfn.XLOOKUP(A2504,[1]!DadosGHD[CD_GEOCMU],[1]!DadosGHD[uf])</f>
        <v>BA</v>
      </c>
      <c r="E2504" s="5" t="str">
        <f>_xlfn.XLOOKUP(A2504,[1]!DadosGHD[CD_GEOCMU],[1]!DadosGHD[MUNICIPIO])</f>
        <v>ITORORO</v>
      </c>
      <c r="F2504" s="6">
        <v>38.6604614257813</v>
      </c>
      <c r="G2504" s="6">
        <v>38.690834045410199</v>
      </c>
      <c r="H2504" s="6">
        <v>38.741630554199197</v>
      </c>
      <c r="I2504" s="6">
        <v>38.723106384277301</v>
      </c>
      <c r="J2504" s="6">
        <v>38.747688293457003</v>
      </c>
      <c r="K2504" s="6">
        <v>38.810054779052699</v>
      </c>
      <c r="L2504" s="6">
        <v>35.144290924072301</v>
      </c>
    </row>
    <row r="2505" spans="1:12" x14ac:dyDescent="0.25">
      <c r="A2505">
        <v>2702009</v>
      </c>
      <c r="B2505" t="str">
        <f t="shared" si="39"/>
        <v>COITE DO NOIA, AL, Brasil</v>
      </c>
      <c r="C2505" s="4" t="str">
        <f>_xlfn.XLOOKUP(A2505,[1]!DadosGHD[CD_GEOCMU],[1]!DadosGHD[Região])</f>
        <v>NE</v>
      </c>
      <c r="D2505" s="4" t="str">
        <f>_xlfn.XLOOKUP(A2505,[1]!DadosGHD[CD_GEOCMU],[1]!DadosGHD[uf])</f>
        <v>AL</v>
      </c>
      <c r="E2505" s="5" t="str">
        <f>_xlfn.XLOOKUP(A2505,[1]!DadosGHD[CD_GEOCMU],[1]!DadosGHD[MUNICIPIO])</f>
        <v>COITE DO NOIA</v>
      </c>
      <c r="F2505" s="6">
        <v>38.660736083984403</v>
      </c>
      <c r="G2505" s="6">
        <v>33.845191955566399</v>
      </c>
      <c r="H2505" s="6">
        <v>33.885066986083999</v>
      </c>
      <c r="I2505" s="6">
        <v>33.839271545410199</v>
      </c>
      <c r="J2505" s="6">
        <v>33.857234954833999</v>
      </c>
      <c r="K2505" s="6">
        <v>33.842525482177699</v>
      </c>
      <c r="L2505" s="6">
        <v>26.283340454101602</v>
      </c>
    </row>
    <row r="2506" spans="1:12" x14ac:dyDescent="0.25">
      <c r="A2506">
        <v>4127882</v>
      </c>
      <c r="B2506" t="str">
        <f t="shared" si="39"/>
        <v>TUNAS DO PARANA, PR, Brasil</v>
      </c>
      <c r="C2506" s="4" t="str">
        <f>_xlfn.XLOOKUP(A2506,[1]!DadosGHD[CD_GEOCMU],[1]!DadosGHD[Região])</f>
        <v>SL</v>
      </c>
      <c r="D2506" s="4" t="str">
        <f>_xlfn.XLOOKUP(A2506,[1]!DadosGHD[CD_GEOCMU],[1]!DadosGHD[uf])</f>
        <v>PR</v>
      </c>
      <c r="E2506" s="5" t="str">
        <f>_xlfn.XLOOKUP(A2506,[1]!DadosGHD[CD_GEOCMU],[1]!DadosGHD[MUNICIPIO])</f>
        <v>TUNAS DO PARANA</v>
      </c>
      <c r="F2506" s="6">
        <v>38.660861968994098</v>
      </c>
      <c r="G2506" s="6">
        <v>38.738121032714801</v>
      </c>
      <c r="H2506" s="6">
        <v>33.868175506591797</v>
      </c>
      <c r="I2506" s="6">
        <v>33.842170715332003</v>
      </c>
      <c r="J2506" s="6">
        <v>33.845413208007798</v>
      </c>
      <c r="K2506" s="6">
        <v>33.870193481445298</v>
      </c>
      <c r="L2506" s="6">
        <v>30.720842361450199</v>
      </c>
    </row>
    <row r="2507" spans="1:12" x14ac:dyDescent="0.25">
      <c r="A2507">
        <v>2900702</v>
      </c>
      <c r="B2507" t="str">
        <f t="shared" si="39"/>
        <v>ALAGOINHAS, BA, Brasil</v>
      </c>
      <c r="C2507" s="4" t="str">
        <f>_xlfn.XLOOKUP(A2507,[1]!DadosGHD[CD_GEOCMU],[1]!DadosGHD[Região])</f>
        <v>NE</v>
      </c>
      <c r="D2507" s="4" t="str">
        <f>_xlfn.XLOOKUP(A2507,[1]!DadosGHD[CD_GEOCMU],[1]!DadosGHD[uf])</f>
        <v>BA</v>
      </c>
      <c r="E2507" s="5" t="str">
        <f>_xlfn.XLOOKUP(A2507,[1]!DadosGHD[CD_GEOCMU],[1]!DadosGHD[MUNICIPIO])</f>
        <v>ALAGOINHAS</v>
      </c>
      <c r="F2507" s="6">
        <v>38.660911560058601</v>
      </c>
      <c r="G2507" s="6">
        <v>38.728595733642599</v>
      </c>
      <c r="H2507" s="6">
        <v>38.791713714599602</v>
      </c>
      <c r="I2507" s="6">
        <v>38.784626007080099</v>
      </c>
      <c r="J2507" s="6">
        <v>38.833812713623097</v>
      </c>
      <c r="K2507" s="6">
        <v>38.880413055419901</v>
      </c>
      <c r="L2507" s="6">
        <v>39.589557647705099</v>
      </c>
    </row>
    <row r="2508" spans="1:12" x14ac:dyDescent="0.25">
      <c r="A2508">
        <v>3125408</v>
      </c>
      <c r="B2508" t="str">
        <f t="shared" si="39"/>
        <v>FELICIO DOS SANTOS, MG, Brasil</v>
      </c>
      <c r="C2508" s="4" t="str">
        <f>_xlfn.XLOOKUP(A2508,[1]!DadosGHD[CD_GEOCMU],[1]!DadosGHD[Região])</f>
        <v>SD</v>
      </c>
      <c r="D2508" s="4" t="str">
        <f>_xlfn.XLOOKUP(A2508,[1]!DadosGHD[CD_GEOCMU],[1]!DadosGHD[uf])</f>
        <v>MG</v>
      </c>
      <c r="E2508" s="5" t="str">
        <f>_xlfn.XLOOKUP(A2508,[1]!DadosGHD[CD_GEOCMU],[1]!DadosGHD[MUNICIPIO])</f>
        <v>FELICIO DOS SANTOS</v>
      </c>
      <c r="F2508" s="6">
        <v>38.660968780517599</v>
      </c>
      <c r="G2508" s="6">
        <v>38.701141357421903</v>
      </c>
      <c r="H2508" s="6">
        <v>38.753456115722699</v>
      </c>
      <c r="I2508" s="6">
        <v>38.731582641601598</v>
      </c>
      <c r="J2508" s="6">
        <v>38.755622863769503</v>
      </c>
      <c r="K2508" s="6">
        <v>43.779022216796903</v>
      </c>
      <c r="L2508" s="6">
        <v>39.597293853759801</v>
      </c>
    </row>
    <row r="2509" spans="1:12" x14ac:dyDescent="0.25">
      <c r="A2509">
        <v>4215505</v>
      </c>
      <c r="B2509" t="str">
        <f t="shared" si="39"/>
        <v>SANTA CECILIA, SC, Brasil</v>
      </c>
      <c r="C2509" s="4" t="str">
        <f>_xlfn.XLOOKUP(A2509,[1]!DadosGHD[CD_GEOCMU],[1]!DadosGHD[Região])</f>
        <v>SL</v>
      </c>
      <c r="D2509" s="4" t="str">
        <f>_xlfn.XLOOKUP(A2509,[1]!DadosGHD[CD_GEOCMU],[1]!DadosGHD[uf])</f>
        <v>SC</v>
      </c>
      <c r="E2509" s="5" t="str">
        <f>_xlfn.XLOOKUP(A2509,[1]!DadosGHD[CD_GEOCMU],[1]!DadosGHD[MUNICIPIO])</f>
        <v>SANTA CECILIA</v>
      </c>
      <c r="F2509" s="6">
        <v>38.661083221435597</v>
      </c>
      <c r="G2509" s="6">
        <v>38.762199401855497</v>
      </c>
      <c r="H2509" s="6">
        <v>38.808559417724602</v>
      </c>
      <c r="I2509" s="6">
        <v>38.789421081542997</v>
      </c>
      <c r="J2509" s="6">
        <v>38.831939697265597</v>
      </c>
      <c r="K2509" s="6">
        <v>43.767982482910199</v>
      </c>
      <c r="L2509" s="6">
        <v>39.556190490722699</v>
      </c>
    </row>
    <row r="2510" spans="1:12" x14ac:dyDescent="0.25">
      <c r="A2510">
        <v>5208301</v>
      </c>
      <c r="B2510" t="str">
        <f t="shared" si="39"/>
        <v>DIVINOPOLIS DE GOIAS, GO, Brasil</v>
      </c>
      <c r="C2510" s="4" t="str">
        <f>_xlfn.XLOOKUP(A2510,[1]!DadosGHD[CD_GEOCMU],[1]!DadosGHD[Região])</f>
        <v>CO</v>
      </c>
      <c r="D2510" s="4" t="str">
        <f>_xlfn.XLOOKUP(A2510,[1]!DadosGHD[CD_GEOCMU],[1]!DadosGHD[uf])</f>
        <v>GO</v>
      </c>
      <c r="E2510" s="5" t="str">
        <f>_xlfn.XLOOKUP(A2510,[1]!DadosGHD[CD_GEOCMU],[1]!DadosGHD[MUNICIPIO])</f>
        <v>DIVINOPOLIS DE GOIAS</v>
      </c>
      <c r="F2510" s="6">
        <v>38.661094665527301</v>
      </c>
      <c r="G2510" s="6">
        <v>38.6961479187012</v>
      </c>
      <c r="H2510" s="6">
        <v>33.895587921142599</v>
      </c>
      <c r="I2510" s="6">
        <v>33.872909545898402</v>
      </c>
      <c r="J2510" s="6">
        <v>33.894340515136697</v>
      </c>
      <c r="K2510" s="6">
        <v>38.790473937988303</v>
      </c>
      <c r="L2510" s="6">
        <v>39.5594673156738</v>
      </c>
    </row>
    <row r="2511" spans="1:12" x14ac:dyDescent="0.25">
      <c r="A2511">
        <v>3304144</v>
      </c>
      <c r="B2511" t="str">
        <f t="shared" si="39"/>
        <v>QUEIMADOS, RJ, Brasil</v>
      </c>
      <c r="C2511" s="4" t="str">
        <f>_xlfn.XLOOKUP(A2511,[1]!DadosGHD[CD_GEOCMU],[1]!DadosGHD[Região])</f>
        <v>SD</v>
      </c>
      <c r="D2511" s="4" t="str">
        <f>_xlfn.XLOOKUP(A2511,[1]!DadosGHD[CD_GEOCMU],[1]!DadosGHD[uf])</f>
        <v>RJ</v>
      </c>
      <c r="E2511" s="5" t="str">
        <f>_xlfn.XLOOKUP(A2511,[1]!DadosGHD[CD_GEOCMU],[1]!DadosGHD[MUNICIPIO])</f>
        <v>QUEIMADOS</v>
      </c>
      <c r="F2511" s="6">
        <v>38.661125183105497</v>
      </c>
      <c r="G2511" s="6">
        <v>38.738273620605497</v>
      </c>
      <c r="H2511" s="6">
        <v>38.754955291748097</v>
      </c>
      <c r="I2511" s="6">
        <v>38.7181587219238</v>
      </c>
      <c r="J2511" s="6">
        <v>38.758068084716797</v>
      </c>
      <c r="K2511" s="6">
        <v>38.789852142333999</v>
      </c>
      <c r="L2511" s="6">
        <v>39.580204010009801</v>
      </c>
    </row>
    <row r="2512" spans="1:12" x14ac:dyDescent="0.25">
      <c r="A2512">
        <v>2312908</v>
      </c>
      <c r="B2512" t="str">
        <f t="shared" si="39"/>
        <v>SOBRAL, CE, Brasil</v>
      </c>
      <c r="C2512" s="4" t="str">
        <f>_xlfn.XLOOKUP(A2512,[1]!DadosGHD[CD_GEOCMU],[1]!DadosGHD[Região])</f>
        <v>NE</v>
      </c>
      <c r="D2512" s="4" t="str">
        <f>_xlfn.XLOOKUP(A2512,[1]!DadosGHD[CD_GEOCMU],[1]!DadosGHD[uf])</f>
        <v>CE</v>
      </c>
      <c r="E2512" s="5" t="str">
        <f>_xlfn.XLOOKUP(A2512,[1]!DadosGHD[CD_GEOCMU],[1]!DadosGHD[MUNICIPIO])</f>
        <v>SOBRAL</v>
      </c>
      <c r="F2512" s="6">
        <v>38.661144256591797</v>
      </c>
      <c r="G2512" s="6">
        <v>43.638252258300803</v>
      </c>
      <c r="H2512" s="6">
        <v>43.749191284179702</v>
      </c>
      <c r="I2512" s="6">
        <v>43.735958099365199</v>
      </c>
      <c r="J2512" s="6">
        <v>43.795021057128899</v>
      </c>
      <c r="K2512" s="6">
        <v>43.853363037109403</v>
      </c>
      <c r="L2512" s="6">
        <v>44.076683044433601</v>
      </c>
    </row>
    <row r="2513" spans="1:12" x14ac:dyDescent="0.25">
      <c r="A2513">
        <v>2514404</v>
      </c>
      <c r="B2513" t="str">
        <f t="shared" si="39"/>
        <v>SAO JOSE DE ESPINHARAS, PB, Brasil</v>
      </c>
      <c r="C2513" s="4" t="str">
        <f>_xlfn.XLOOKUP(A2513,[1]!DadosGHD[CD_GEOCMU],[1]!DadosGHD[Região])</f>
        <v>NE</v>
      </c>
      <c r="D2513" s="4" t="str">
        <f>_xlfn.XLOOKUP(A2513,[1]!DadosGHD[CD_GEOCMU],[1]!DadosGHD[uf])</f>
        <v>PB</v>
      </c>
      <c r="E2513" s="5" t="str">
        <f>_xlfn.XLOOKUP(A2513,[1]!DadosGHD[CD_GEOCMU],[1]!DadosGHD[MUNICIPIO])</f>
        <v>SAO JOSE DE ESPINHARAS</v>
      </c>
      <c r="F2513" s="6">
        <v>38.661174774169901</v>
      </c>
      <c r="G2513" s="6">
        <v>38.687980651855497</v>
      </c>
      <c r="H2513" s="6">
        <v>33.886962890625</v>
      </c>
      <c r="I2513" s="6">
        <v>33.863868713378899</v>
      </c>
      <c r="J2513" s="6">
        <v>33.8813285827637</v>
      </c>
      <c r="K2513" s="6">
        <v>33.915313720703097</v>
      </c>
      <c r="L2513" s="6">
        <v>30.698572158813501</v>
      </c>
    </row>
    <row r="2514" spans="1:12" x14ac:dyDescent="0.25">
      <c r="A2514">
        <v>3136009</v>
      </c>
      <c r="B2514" t="str">
        <f t="shared" si="39"/>
        <v>JOAIMA, MG, Brasil</v>
      </c>
      <c r="C2514" s="4" t="str">
        <f>_xlfn.XLOOKUP(A2514,[1]!DadosGHD[CD_GEOCMU],[1]!DadosGHD[Região])</f>
        <v>SD</v>
      </c>
      <c r="D2514" s="4" t="str">
        <f>_xlfn.XLOOKUP(A2514,[1]!DadosGHD[CD_GEOCMU],[1]!DadosGHD[uf])</f>
        <v>MG</v>
      </c>
      <c r="E2514" s="5" t="str">
        <f>_xlfn.XLOOKUP(A2514,[1]!DadosGHD[CD_GEOCMU],[1]!DadosGHD[MUNICIPIO])</f>
        <v>JOAIMA</v>
      </c>
      <c r="F2514" s="6">
        <v>38.661247253417997</v>
      </c>
      <c r="G2514" s="6">
        <v>38.763389587402301</v>
      </c>
      <c r="H2514" s="6">
        <v>38.818778991699197</v>
      </c>
      <c r="I2514" s="6">
        <v>38.792030334472699</v>
      </c>
      <c r="J2514" s="6">
        <v>38.801837921142599</v>
      </c>
      <c r="K2514" s="6">
        <v>38.858997344970703</v>
      </c>
      <c r="L2514" s="6">
        <v>35.120418548583999</v>
      </c>
    </row>
    <row r="2515" spans="1:12" x14ac:dyDescent="0.25">
      <c r="A2515">
        <v>4107546</v>
      </c>
      <c r="B2515" t="str">
        <f t="shared" si="39"/>
        <v>ESPIGAO ALTO DO IGUACU, PR, Brasil</v>
      </c>
      <c r="C2515" s="4" t="str">
        <f>_xlfn.XLOOKUP(A2515,[1]!DadosGHD[CD_GEOCMU],[1]!DadosGHD[Região])</f>
        <v>SL</v>
      </c>
      <c r="D2515" s="4" t="str">
        <f>_xlfn.XLOOKUP(A2515,[1]!DadosGHD[CD_GEOCMU],[1]!DadosGHD[uf])</f>
        <v>PR</v>
      </c>
      <c r="E2515" s="5" t="str">
        <f>_xlfn.XLOOKUP(A2515,[1]!DadosGHD[CD_GEOCMU],[1]!DadosGHD[MUNICIPIO])</f>
        <v>ESPIGAO ALTO DO IGUACU</v>
      </c>
      <c r="F2515" s="6">
        <v>38.661258697509801</v>
      </c>
      <c r="G2515" s="6">
        <v>43.686569213867202</v>
      </c>
      <c r="H2515" s="6">
        <v>43.798648834228501</v>
      </c>
      <c r="I2515" s="6">
        <v>43.802776336669901</v>
      </c>
      <c r="J2515" s="6">
        <v>48.723442077636697</v>
      </c>
      <c r="K2515" s="6">
        <v>38.876125335693402</v>
      </c>
      <c r="L2515" s="6">
        <v>35.121501922607401</v>
      </c>
    </row>
    <row r="2516" spans="1:12" x14ac:dyDescent="0.25">
      <c r="A2516">
        <v>3126703</v>
      </c>
      <c r="B2516" t="str">
        <f t="shared" si="39"/>
        <v>FRANCISCO SA, MG, Brasil</v>
      </c>
      <c r="C2516" s="4" t="str">
        <f>_xlfn.XLOOKUP(A2516,[1]!DadosGHD[CD_GEOCMU],[1]!DadosGHD[Região])</f>
        <v>SD</v>
      </c>
      <c r="D2516" s="4" t="str">
        <f>_xlfn.XLOOKUP(A2516,[1]!DadosGHD[CD_GEOCMU],[1]!DadosGHD[uf])</f>
        <v>MG</v>
      </c>
      <c r="E2516" s="5" t="str">
        <f>_xlfn.XLOOKUP(A2516,[1]!DadosGHD[CD_GEOCMU],[1]!DadosGHD[MUNICIPIO])</f>
        <v>FRANCISCO SA</v>
      </c>
      <c r="F2516" s="6">
        <v>38.661289215087898</v>
      </c>
      <c r="G2516" s="6">
        <v>38.737102508544901</v>
      </c>
      <c r="H2516" s="6">
        <v>38.8342895507813</v>
      </c>
      <c r="I2516" s="6">
        <v>43.715522766113303</v>
      </c>
      <c r="J2516" s="6">
        <v>43.7218627929688</v>
      </c>
      <c r="K2516" s="6">
        <v>43.777786254882798</v>
      </c>
      <c r="L2516" s="6">
        <v>39.593544006347699</v>
      </c>
    </row>
    <row r="2517" spans="1:12" x14ac:dyDescent="0.25">
      <c r="A2517">
        <v>3141405</v>
      </c>
      <c r="B2517" t="str">
        <f t="shared" si="39"/>
        <v>MEDINA, MG, Brasil</v>
      </c>
      <c r="C2517" s="4" t="str">
        <f>_xlfn.XLOOKUP(A2517,[1]!DadosGHD[CD_GEOCMU],[1]!DadosGHD[Região])</f>
        <v>SD</v>
      </c>
      <c r="D2517" s="4" t="str">
        <f>_xlfn.XLOOKUP(A2517,[1]!DadosGHD[CD_GEOCMU],[1]!DadosGHD[uf])</f>
        <v>MG</v>
      </c>
      <c r="E2517" s="5" t="str">
        <f>_xlfn.XLOOKUP(A2517,[1]!DadosGHD[CD_GEOCMU],[1]!DadosGHD[MUNICIPIO])</f>
        <v>MEDINA</v>
      </c>
      <c r="F2517" s="6">
        <v>38.661304473877003</v>
      </c>
      <c r="G2517" s="6">
        <v>38.700138092041001</v>
      </c>
      <c r="H2517" s="6">
        <v>38.741569519042997</v>
      </c>
      <c r="I2517" s="6">
        <v>38.739253997802699</v>
      </c>
      <c r="J2517" s="6">
        <v>38.768104553222699</v>
      </c>
      <c r="K2517" s="6">
        <v>38.835659027099602</v>
      </c>
      <c r="L2517" s="6">
        <v>35.1415405273438</v>
      </c>
    </row>
    <row r="2518" spans="1:12" x14ac:dyDescent="0.25">
      <c r="A2518">
        <v>2302503</v>
      </c>
      <c r="B2518" t="str">
        <f t="shared" si="39"/>
        <v>BREJO SANTO, CE, Brasil</v>
      </c>
      <c r="C2518" s="4" t="str">
        <f>_xlfn.XLOOKUP(A2518,[1]!DadosGHD[CD_GEOCMU],[1]!DadosGHD[Região])</f>
        <v>NE</v>
      </c>
      <c r="D2518" s="4" t="str">
        <f>_xlfn.XLOOKUP(A2518,[1]!DadosGHD[CD_GEOCMU],[1]!DadosGHD[uf])</f>
        <v>CE</v>
      </c>
      <c r="E2518" s="5" t="str">
        <f>_xlfn.XLOOKUP(A2518,[1]!DadosGHD[CD_GEOCMU],[1]!DadosGHD[MUNICIPIO])</f>
        <v>BREJO SANTO</v>
      </c>
      <c r="F2518" s="6">
        <v>38.661323547363303</v>
      </c>
      <c r="G2518" s="6">
        <v>43.6511840820313</v>
      </c>
      <c r="H2518" s="6">
        <v>43.746612548828097</v>
      </c>
      <c r="I2518" s="6">
        <v>43.709049224853501</v>
      </c>
      <c r="J2518" s="6">
        <v>43.734683990478501</v>
      </c>
      <c r="K2518" s="6">
        <v>43.8220024108887</v>
      </c>
      <c r="L2518" s="6">
        <v>44.059665679931598</v>
      </c>
    </row>
    <row r="2519" spans="1:12" x14ac:dyDescent="0.25">
      <c r="A2519">
        <v>2933455</v>
      </c>
      <c r="B2519" t="str">
        <f t="shared" si="39"/>
        <v>WANDERLEY, BA, Brasil</v>
      </c>
      <c r="C2519" s="4" t="str">
        <f>_xlfn.XLOOKUP(A2519,[1]!DadosGHD[CD_GEOCMU],[1]!DadosGHD[Região])</f>
        <v>NE</v>
      </c>
      <c r="D2519" s="4" t="str">
        <f>_xlfn.XLOOKUP(A2519,[1]!DadosGHD[CD_GEOCMU],[1]!DadosGHD[uf])</f>
        <v>BA</v>
      </c>
      <c r="E2519" s="5" t="str">
        <f>_xlfn.XLOOKUP(A2519,[1]!DadosGHD[CD_GEOCMU],[1]!DadosGHD[MUNICIPIO])</f>
        <v>WANDERLEY</v>
      </c>
      <c r="F2519" s="6">
        <v>38.6613960266113</v>
      </c>
      <c r="G2519" s="6">
        <v>38.711311340332003</v>
      </c>
      <c r="H2519" s="6">
        <v>38.763435363769503</v>
      </c>
      <c r="I2519" s="6">
        <v>38.738086700439503</v>
      </c>
      <c r="J2519" s="6">
        <v>33.872570037841797</v>
      </c>
      <c r="K2519" s="6">
        <v>33.917446136474602</v>
      </c>
      <c r="L2519" s="6">
        <v>26.288396835327202</v>
      </c>
    </row>
    <row r="2520" spans="1:12" x14ac:dyDescent="0.25">
      <c r="A2520">
        <v>4114708</v>
      </c>
      <c r="B2520" t="str">
        <f t="shared" si="39"/>
        <v>MARIA HELENA, PR, Brasil</v>
      </c>
      <c r="C2520" s="4" t="str">
        <f>_xlfn.XLOOKUP(A2520,[1]!DadosGHD[CD_GEOCMU],[1]!DadosGHD[Região])</f>
        <v>SL</v>
      </c>
      <c r="D2520" s="4" t="str">
        <f>_xlfn.XLOOKUP(A2520,[1]!DadosGHD[CD_GEOCMU],[1]!DadosGHD[uf])</f>
        <v>PR</v>
      </c>
      <c r="E2520" s="5" t="str">
        <f>_xlfn.XLOOKUP(A2520,[1]!DadosGHD[CD_GEOCMU],[1]!DadosGHD[MUNICIPIO])</f>
        <v>MARIA HELENA</v>
      </c>
      <c r="F2520" s="6">
        <v>38.661525726318402</v>
      </c>
      <c r="G2520" s="6">
        <v>43.668331146240199</v>
      </c>
      <c r="H2520" s="6">
        <v>43.839923858642599</v>
      </c>
      <c r="I2520" s="6">
        <v>48.7633247375488</v>
      </c>
      <c r="J2520" s="6">
        <v>48.821865081787102</v>
      </c>
      <c r="K2520" s="6">
        <v>48.850730895996101</v>
      </c>
      <c r="L2520" s="6">
        <v>48.488979339599602</v>
      </c>
    </row>
    <row r="2521" spans="1:12" x14ac:dyDescent="0.25">
      <c r="A2521">
        <v>2403004</v>
      </c>
      <c r="B2521" t="str">
        <f t="shared" si="39"/>
        <v>CRUZETA, RN, Brasil</v>
      </c>
      <c r="C2521" s="4" t="str">
        <f>_xlfn.XLOOKUP(A2521,[1]!DadosGHD[CD_GEOCMU],[1]!DadosGHD[Região])</f>
        <v>NE</v>
      </c>
      <c r="D2521" s="4" t="str">
        <f>_xlfn.XLOOKUP(A2521,[1]!DadosGHD[CD_GEOCMU],[1]!DadosGHD[uf])</f>
        <v>RN</v>
      </c>
      <c r="E2521" s="5" t="str">
        <f>_xlfn.XLOOKUP(A2521,[1]!DadosGHD[CD_GEOCMU],[1]!DadosGHD[MUNICIPIO])</f>
        <v>CRUZETA</v>
      </c>
      <c r="F2521" s="6">
        <v>38.661594390869098</v>
      </c>
      <c r="G2521" s="6">
        <v>38.691368103027301</v>
      </c>
      <c r="H2521" s="6">
        <v>38.753128051757798</v>
      </c>
      <c r="I2521" s="6">
        <v>38.752368927002003</v>
      </c>
      <c r="J2521" s="6">
        <v>38.770053863525398</v>
      </c>
      <c r="K2521" s="6">
        <v>38.811679840087898</v>
      </c>
      <c r="L2521" s="6">
        <v>39.58154296875</v>
      </c>
    </row>
    <row r="2522" spans="1:12" x14ac:dyDescent="0.25">
      <c r="A2522">
        <v>4211892</v>
      </c>
      <c r="B2522" t="str">
        <f t="shared" si="39"/>
        <v>PAINEL, SC, Brasil</v>
      </c>
      <c r="C2522" s="4" t="str">
        <f>_xlfn.XLOOKUP(A2522,[1]!DadosGHD[CD_GEOCMU],[1]!DadosGHD[Região])</f>
        <v>SL</v>
      </c>
      <c r="D2522" s="4" t="str">
        <f>_xlfn.XLOOKUP(A2522,[1]!DadosGHD[CD_GEOCMU],[1]!DadosGHD[uf])</f>
        <v>SC</v>
      </c>
      <c r="E2522" s="5" t="str">
        <f>_xlfn.XLOOKUP(A2522,[1]!DadosGHD[CD_GEOCMU],[1]!DadosGHD[MUNICIPIO])</f>
        <v>PAINEL</v>
      </c>
      <c r="F2522" s="6">
        <v>38.6616020202637</v>
      </c>
      <c r="G2522" s="6">
        <v>48.742122650146499</v>
      </c>
      <c r="H2522" s="6">
        <v>53.823551177978501</v>
      </c>
      <c r="I2522" s="6">
        <v>53.800899505615199</v>
      </c>
      <c r="J2522" s="6">
        <v>43.702426910400398</v>
      </c>
      <c r="K2522" s="6">
        <v>48.763671875</v>
      </c>
      <c r="L2522" s="6">
        <v>48.490444183349602</v>
      </c>
    </row>
    <row r="2523" spans="1:12" x14ac:dyDescent="0.25">
      <c r="A2523">
        <v>2707909</v>
      </c>
      <c r="B2523" t="str">
        <f t="shared" si="39"/>
        <v>SANTA LUZIA DO NORTE, AL, Brasil</v>
      </c>
      <c r="C2523" s="4" t="str">
        <f>_xlfn.XLOOKUP(A2523,[1]!DadosGHD[CD_GEOCMU],[1]!DadosGHD[Região])</f>
        <v>NE</v>
      </c>
      <c r="D2523" s="4" t="str">
        <f>_xlfn.XLOOKUP(A2523,[1]!DadosGHD[CD_GEOCMU],[1]!DadosGHD[uf])</f>
        <v>AL</v>
      </c>
      <c r="E2523" s="5" t="str">
        <f>_xlfn.XLOOKUP(A2523,[1]!DadosGHD[CD_GEOCMU],[1]!DadosGHD[MUNICIPIO])</f>
        <v>SANTA LUZIA DO NORTE</v>
      </c>
      <c r="F2523" s="6">
        <v>38.661647796630902</v>
      </c>
      <c r="G2523" s="6">
        <v>33.805839538574197</v>
      </c>
      <c r="H2523" s="6">
        <v>33.841522216796903</v>
      </c>
      <c r="I2523" s="6">
        <v>33.849979400634801</v>
      </c>
      <c r="J2523" s="6">
        <v>33.861434936523402</v>
      </c>
      <c r="K2523" s="6">
        <v>28.9686679840088</v>
      </c>
      <c r="L2523" s="6">
        <v>26.285568237304702</v>
      </c>
    </row>
    <row r="2524" spans="1:12" x14ac:dyDescent="0.25">
      <c r="A2524">
        <v>5203104</v>
      </c>
      <c r="B2524" t="str">
        <f t="shared" si="39"/>
        <v>BALIZA, GO, Brasil</v>
      </c>
      <c r="C2524" s="4" t="str">
        <f>_xlfn.XLOOKUP(A2524,[1]!DadosGHD[CD_GEOCMU],[1]!DadosGHD[Região])</f>
        <v>CO</v>
      </c>
      <c r="D2524" s="4" t="str">
        <f>_xlfn.XLOOKUP(A2524,[1]!DadosGHD[CD_GEOCMU],[1]!DadosGHD[uf])</f>
        <v>GO</v>
      </c>
      <c r="E2524" s="5" t="str">
        <f>_xlfn.XLOOKUP(A2524,[1]!DadosGHD[CD_GEOCMU],[1]!DadosGHD[MUNICIPIO])</f>
        <v>BALIZA</v>
      </c>
      <c r="F2524" s="6">
        <v>38.661712646484403</v>
      </c>
      <c r="G2524" s="6">
        <v>38.687690734863303</v>
      </c>
      <c r="H2524" s="6">
        <v>33.878658294677699</v>
      </c>
      <c r="I2524" s="6">
        <v>33.861305236816399</v>
      </c>
      <c r="J2524" s="6">
        <v>33.871746063232401</v>
      </c>
      <c r="K2524" s="6">
        <v>33.893520355224602</v>
      </c>
      <c r="L2524" s="6">
        <v>30.702806472778299</v>
      </c>
    </row>
    <row r="2525" spans="1:12" x14ac:dyDescent="0.25">
      <c r="A2525">
        <v>2926202</v>
      </c>
      <c r="B2525" t="str">
        <f t="shared" si="39"/>
        <v>RIACHAO DAS NEVES, BA, Brasil</v>
      </c>
      <c r="C2525" s="4" t="str">
        <f>_xlfn.XLOOKUP(A2525,[1]!DadosGHD[CD_GEOCMU],[1]!DadosGHD[Região])</f>
        <v>NE</v>
      </c>
      <c r="D2525" s="4" t="str">
        <f>_xlfn.XLOOKUP(A2525,[1]!DadosGHD[CD_GEOCMU],[1]!DadosGHD[uf])</f>
        <v>BA</v>
      </c>
      <c r="E2525" s="5" t="str">
        <f>_xlfn.XLOOKUP(A2525,[1]!DadosGHD[CD_GEOCMU],[1]!DadosGHD[MUNICIPIO])</f>
        <v>RIACHAO DAS NEVES</v>
      </c>
      <c r="F2525" s="6">
        <v>38.661720275878899</v>
      </c>
      <c r="G2525" s="6">
        <v>38.771816253662102</v>
      </c>
      <c r="H2525" s="6">
        <v>38.825065612792997</v>
      </c>
      <c r="I2525" s="6">
        <v>43.7000732421875</v>
      </c>
      <c r="J2525" s="6">
        <v>43.740669250488303</v>
      </c>
      <c r="K2525" s="6">
        <v>38.834659576416001</v>
      </c>
      <c r="L2525" s="6">
        <v>30.6853847503662</v>
      </c>
    </row>
    <row r="2526" spans="1:12" x14ac:dyDescent="0.25">
      <c r="A2526">
        <v>2928604</v>
      </c>
      <c r="B2526" t="str">
        <f t="shared" si="39"/>
        <v>SANTO AMARO, BA, Brasil</v>
      </c>
      <c r="C2526" s="4" t="str">
        <f>_xlfn.XLOOKUP(A2526,[1]!DadosGHD[CD_GEOCMU],[1]!DadosGHD[Região])</f>
        <v>NE</v>
      </c>
      <c r="D2526" s="4" t="str">
        <f>_xlfn.XLOOKUP(A2526,[1]!DadosGHD[CD_GEOCMU],[1]!DadosGHD[uf])</f>
        <v>BA</v>
      </c>
      <c r="E2526" s="5" t="str">
        <f>_xlfn.XLOOKUP(A2526,[1]!DadosGHD[CD_GEOCMU],[1]!DadosGHD[MUNICIPIO])</f>
        <v>SANTO AMARO</v>
      </c>
      <c r="F2526" s="6">
        <v>38.661811828613303</v>
      </c>
      <c r="G2526" s="6">
        <v>38.762393951416001</v>
      </c>
      <c r="H2526" s="6">
        <v>38.845260620117202</v>
      </c>
      <c r="I2526" s="6">
        <v>43.690582275390597</v>
      </c>
      <c r="J2526" s="6">
        <v>43.708820343017599</v>
      </c>
      <c r="K2526" s="6">
        <v>38.889392852783203</v>
      </c>
      <c r="L2526" s="6">
        <v>35.155349731445298</v>
      </c>
    </row>
    <row r="2527" spans="1:12" x14ac:dyDescent="0.25">
      <c r="A2527">
        <v>2900603</v>
      </c>
      <c r="B2527" t="str">
        <f t="shared" si="39"/>
        <v>AIQUARA, BA, Brasil</v>
      </c>
      <c r="C2527" s="4" t="str">
        <f>_xlfn.XLOOKUP(A2527,[1]!DadosGHD[CD_GEOCMU],[1]!DadosGHD[Região])</f>
        <v>NE</v>
      </c>
      <c r="D2527" s="4" t="str">
        <f>_xlfn.XLOOKUP(A2527,[1]!DadosGHD[CD_GEOCMU],[1]!DadosGHD[uf])</f>
        <v>BA</v>
      </c>
      <c r="E2527" s="5" t="str">
        <f>_xlfn.XLOOKUP(A2527,[1]!DadosGHD[CD_GEOCMU],[1]!DadosGHD[MUNICIPIO])</f>
        <v>AIQUARA</v>
      </c>
      <c r="F2527" s="6">
        <v>38.661811828613303</v>
      </c>
      <c r="G2527" s="6">
        <v>38.693347930908203</v>
      </c>
      <c r="H2527" s="6">
        <v>33.896202087402301</v>
      </c>
      <c r="I2527" s="6">
        <v>38.7232055664063</v>
      </c>
      <c r="J2527" s="6">
        <v>38.779506683349602</v>
      </c>
      <c r="K2527" s="6">
        <v>33.929191589355497</v>
      </c>
      <c r="L2527" s="6">
        <v>26.2993488311768</v>
      </c>
    </row>
    <row r="2528" spans="1:12" x14ac:dyDescent="0.25">
      <c r="A2528">
        <v>1502202</v>
      </c>
      <c r="B2528" t="str">
        <f t="shared" si="39"/>
        <v>CAPANEMA, PA, Brasil</v>
      </c>
      <c r="C2528" s="4" t="str">
        <f>_xlfn.XLOOKUP(A2528,[1]!DadosGHD[CD_GEOCMU],[1]!DadosGHD[Região])</f>
        <v>NO</v>
      </c>
      <c r="D2528" s="4" t="str">
        <f>_xlfn.XLOOKUP(A2528,[1]!DadosGHD[CD_GEOCMU],[1]!DadosGHD[uf])</f>
        <v>PA</v>
      </c>
      <c r="E2528" s="5" t="str">
        <f>_xlfn.XLOOKUP(A2528,[1]!DadosGHD[CD_GEOCMU],[1]!DadosGHD[MUNICIPIO])</f>
        <v>CAPANEMA</v>
      </c>
      <c r="F2528" s="6">
        <v>38.661872863769503</v>
      </c>
      <c r="G2528" s="6">
        <v>38.747734069824197</v>
      </c>
      <c r="H2528" s="6">
        <v>38.786388397216797</v>
      </c>
      <c r="I2528" s="6">
        <v>38.768058776855497</v>
      </c>
      <c r="J2528" s="6">
        <v>38.808387756347699</v>
      </c>
      <c r="K2528" s="6">
        <v>38.850090026855497</v>
      </c>
      <c r="L2528" s="6">
        <v>35.150184631347699</v>
      </c>
    </row>
    <row r="2529" spans="1:12" x14ac:dyDescent="0.25">
      <c r="A2529">
        <v>4128534</v>
      </c>
      <c r="B2529" t="str">
        <f t="shared" si="39"/>
        <v>VENTANIA, PR, Brasil</v>
      </c>
      <c r="C2529" s="4" t="str">
        <f>_xlfn.XLOOKUP(A2529,[1]!DadosGHD[CD_GEOCMU],[1]!DadosGHD[Região])</f>
        <v>SL</v>
      </c>
      <c r="D2529" s="4" t="str">
        <f>_xlfn.XLOOKUP(A2529,[1]!DadosGHD[CD_GEOCMU],[1]!DadosGHD[uf])</f>
        <v>PR</v>
      </c>
      <c r="E2529" s="5" t="str">
        <f>_xlfn.XLOOKUP(A2529,[1]!DadosGHD[CD_GEOCMU],[1]!DadosGHD[MUNICIPIO])</f>
        <v>VENTANIA</v>
      </c>
      <c r="F2529" s="6">
        <v>38.661964416503899</v>
      </c>
      <c r="G2529" s="6">
        <v>43.638442993164098</v>
      </c>
      <c r="H2529" s="6">
        <v>38.796943664550803</v>
      </c>
      <c r="I2529" s="6">
        <v>38.7782592773438</v>
      </c>
      <c r="J2529" s="6">
        <v>38.808006286621101</v>
      </c>
      <c r="K2529" s="6">
        <v>38.8380737304688</v>
      </c>
      <c r="L2529" s="6">
        <v>35.1571044921875</v>
      </c>
    </row>
    <row r="2530" spans="1:12" x14ac:dyDescent="0.25">
      <c r="A2530">
        <v>1701101</v>
      </c>
      <c r="B2530" t="str">
        <f t="shared" si="39"/>
        <v>APARECIDA DO RIO NEGRO, TO, Brasil</v>
      </c>
      <c r="C2530" s="4" t="str">
        <f>_xlfn.XLOOKUP(A2530,[1]!DadosGHD[CD_GEOCMU],[1]!DadosGHD[Região])</f>
        <v>NO</v>
      </c>
      <c r="D2530" s="4" t="str">
        <f>_xlfn.XLOOKUP(A2530,[1]!DadosGHD[CD_GEOCMU],[1]!DadosGHD[uf])</f>
        <v>TO</v>
      </c>
      <c r="E2530" s="5" t="str">
        <f>_xlfn.XLOOKUP(A2530,[1]!DadosGHD[CD_GEOCMU],[1]!DadosGHD[MUNICIPIO])</f>
        <v>APARECIDA DO RIO NEGRO</v>
      </c>
      <c r="F2530" s="6">
        <v>38.661964416503899</v>
      </c>
      <c r="G2530" s="6">
        <v>38.693111419677699</v>
      </c>
      <c r="H2530" s="6">
        <v>33.890247344970703</v>
      </c>
      <c r="I2530" s="6">
        <v>33.861351013183601</v>
      </c>
      <c r="J2530" s="6">
        <v>33.874305725097699</v>
      </c>
      <c r="K2530" s="6">
        <v>33.903282165527301</v>
      </c>
      <c r="L2530" s="6">
        <v>26.2955417633057</v>
      </c>
    </row>
    <row r="2531" spans="1:12" x14ac:dyDescent="0.25">
      <c r="A2531">
        <v>3122603</v>
      </c>
      <c r="B2531" t="str">
        <f t="shared" si="39"/>
        <v>DOM JOAQUIM, MG, Brasil</v>
      </c>
      <c r="C2531" s="4" t="str">
        <f>_xlfn.XLOOKUP(A2531,[1]!DadosGHD[CD_GEOCMU],[1]!DadosGHD[Região])</f>
        <v>SD</v>
      </c>
      <c r="D2531" s="4" t="str">
        <f>_xlfn.XLOOKUP(A2531,[1]!DadosGHD[CD_GEOCMU],[1]!DadosGHD[uf])</f>
        <v>MG</v>
      </c>
      <c r="E2531" s="5" t="str">
        <f>_xlfn.XLOOKUP(A2531,[1]!DadosGHD[CD_GEOCMU],[1]!DadosGHD[MUNICIPIO])</f>
        <v>DOM JOAQUIM</v>
      </c>
      <c r="F2531" s="6">
        <v>38.662120819091797</v>
      </c>
      <c r="G2531" s="6">
        <v>43.675765991210902</v>
      </c>
      <c r="H2531" s="6">
        <v>43.735149383544901</v>
      </c>
      <c r="I2531" s="6">
        <v>43.726585388183601</v>
      </c>
      <c r="J2531" s="6">
        <v>43.724136352539098</v>
      </c>
      <c r="K2531" s="6">
        <v>38.819938659667997</v>
      </c>
      <c r="L2531" s="6">
        <v>39.605216979980497</v>
      </c>
    </row>
    <row r="2532" spans="1:12" x14ac:dyDescent="0.25">
      <c r="A2532">
        <v>3138104</v>
      </c>
      <c r="B2532" t="str">
        <f t="shared" si="39"/>
        <v>LASSANCE, MG, Brasil</v>
      </c>
      <c r="C2532" s="4" t="str">
        <f>_xlfn.XLOOKUP(A2532,[1]!DadosGHD[CD_GEOCMU],[1]!DadosGHD[Região])</f>
        <v>SD</v>
      </c>
      <c r="D2532" s="4" t="str">
        <f>_xlfn.XLOOKUP(A2532,[1]!DadosGHD[CD_GEOCMU],[1]!DadosGHD[uf])</f>
        <v>MG</v>
      </c>
      <c r="E2532" s="5" t="str">
        <f>_xlfn.XLOOKUP(A2532,[1]!DadosGHD[CD_GEOCMU],[1]!DadosGHD[MUNICIPIO])</f>
        <v>LASSANCE</v>
      </c>
      <c r="F2532" s="6">
        <v>38.662208557128899</v>
      </c>
      <c r="G2532" s="6">
        <v>33.839759826660199</v>
      </c>
      <c r="H2532" s="6">
        <v>33.881866455078097</v>
      </c>
      <c r="I2532" s="6">
        <v>33.861488342285199</v>
      </c>
      <c r="J2532" s="6">
        <v>33.851680755615199</v>
      </c>
      <c r="K2532" s="6">
        <v>33.916404724121101</v>
      </c>
      <c r="L2532" s="6">
        <v>35.143215179443402</v>
      </c>
    </row>
    <row r="2533" spans="1:12" x14ac:dyDescent="0.25">
      <c r="A2533">
        <v>1505437</v>
      </c>
      <c r="B2533" t="str">
        <f t="shared" si="39"/>
        <v>OURILANDIA DO NORTE, PA, Brasil</v>
      </c>
      <c r="C2533" s="4" t="str">
        <f>_xlfn.XLOOKUP(A2533,[1]!DadosGHD[CD_GEOCMU],[1]!DadosGHD[Região])</f>
        <v>NO</v>
      </c>
      <c r="D2533" s="4" t="str">
        <f>_xlfn.XLOOKUP(A2533,[1]!DadosGHD[CD_GEOCMU],[1]!DadosGHD[uf])</f>
        <v>PA</v>
      </c>
      <c r="E2533" s="5" t="str">
        <f>_xlfn.XLOOKUP(A2533,[1]!DadosGHD[CD_GEOCMU],[1]!DadosGHD[MUNICIPIO])</f>
        <v>OURILANDIA DO NORTE</v>
      </c>
      <c r="F2533" s="6">
        <v>38.662239074707003</v>
      </c>
      <c r="G2533" s="6">
        <v>33.845890045166001</v>
      </c>
      <c r="H2533" s="6">
        <v>33.877559661865199</v>
      </c>
      <c r="I2533" s="6">
        <v>33.851818084716797</v>
      </c>
      <c r="J2533" s="6">
        <v>33.867771148681598</v>
      </c>
      <c r="K2533" s="6">
        <v>38.789714813232401</v>
      </c>
      <c r="L2533" s="6">
        <v>35.144538879394503</v>
      </c>
    </row>
    <row r="2534" spans="1:12" x14ac:dyDescent="0.25">
      <c r="A2534">
        <v>2201705</v>
      </c>
      <c r="B2534" t="str">
        <f t="shared" si="39"/>
        <v>BERTOLINIA, PI, Brasil</v>
      </c>
      <c r="C2534" s="4" t="str">
        <f>_xlfn.XLOOKUP(A2534,[1]!DadosGHD[CD_GEOCMU],[1]!DadosGHD[Região])</f>
        <v>NE</v>
      </c>
      <c r="D2534" s="4" t="str">
        <f>_xlfn.XLOOKUP(A2534,[1]!DadosGHD[CD_GEOCMU],[1]!DadosGHD[uf])</f>
        <v>PI</v>
      </c>
      <c r="E2534" s="5" t="str">
        <f>_xlfn.XLOOKUP(A2534,[1]!DadosGHD[CD_GEOCMU],[1]!DadosGHD[MUNICIPIO])</f>
        <v>BERTOLINIA</v>
      </c>
      <c r="F2534" s="6">
        <v>38.662311553955099</v>
      </c>
      <c r="G2534" s="6">
        <v>38.6942329406738</v>
      </c>
      <c r="H2534" s="6">
        <v>38.746009826660199</v>
      </c>
      <c r="I2534" s="6">
        <v>38.724796295166001</v>
      </c>
      <c r="J2534" s="6">
        <v>38.752433776855497</v>
      </c>
      <c r="K2534" s="6">
        <v>38.783287048339801</v>
      </c>
      <c r="L2534" s="6">
        <v>35.120521545410199</v>
      </c>
    </row>
    <row r="2535" spans="1:12" x14ac:dyDescent="0.25">
      <c r="A2535">
        <v>5200100</v>
      </c>
      <c r="B2535" t="str">
        <f t="shared" si="39"/>
        <v>ABADIANIA, GO, Brasil</v>
      </c>
      <c r="C2535" s="4" t="str">
        <f>_xlfn.XLOOKUP(A2535,[1]!DadosGHD[CD_GEOCMU],[1]!DadosGHD[Região])</f>
        <v>CO</v>
      </c>
      <c r="D2535" s="4" t="str">
        <f>_xlfn.XLOOKUP(A2535,[1]!DadosGHD[CD_GEOCMU],[1]!DadosGHD[uf])</f>
        <v>GO</v>
      </c>
      <c r="E2535" s="5" t="str">
        <f>_xlfn.XLOOKUP(A2535,[1]!DadosGHD[CD_GEOCMU],[1]!DadosGHD[MUNICIPIO])</f>
        <v>ABADIANIA</v>
      </c>
      <c r="F2535" s="6">
        <v>38.662315368652301</v>
      </c>
      <c r="G2535" s="6">
        <v>38.705009460449197</v>
      </c>
      <c r="H2535" s="6">
        <v>38.753120422363303</v>
      </c>
      <c r="I2535" s="6">
        <v>33.864284515380902</v>
      </c>
      <c r="J2535" s="6">
        <v>33.868595123291001</v>
      </c>
      <c r="K2535" s="6">
        <v>33.904579162597699</v>
      </c>
      <c r="L2535" s="6">
        <v>35.127281188964801</v>
      </c>
    </row>
    <row r="2536" spans="1:12" x14ac:dyDescent="0.25">
      <c r="A2536">
        <v>2807600</v>
      </c>
      <c r="B2536" t="str">
        <f t="shared" si="39"/>
        <v>UMBAUBA, SE, Brasil</v>
      </c>
      <c r="C2536" s="4" t="str">
        <f>_xlfn.XLOOKUP(A2536,[1]!DadosGHD[CD_GEOCMU],[1]!DadosGHD[Região])</f>
        <v>NE</v>
      </c>
      <c r="D2536" s="4" t="str">
        <f>_xlfn.XLOOKUP(A2536,[1]!DadosGHD[CD_GEOCMU],[1]!DadosGHD[uf])</f>
        <v>SE</v>
      </c>
      <c r="E2536" s="5" t="str">
        <f>_xlfn.XLOOKUP(A2536,[1]!DadosGHD[CD_GEOCMU],[1]!DadosGHD[MUNICIPIO])</f>
        <v>UMBAUBA</v>
      </c>
      <c r="F2536" s="6">
        <v>38.662513732910199</v>
      </c>
      <c r="G2536" s="6">
        <v>38.726444244384801</v>
      </c>
      <c r="H2536" s="6">
        <v>38.768199920654297</v>
      </c>
      <c r="I2536" s="6">
        <v>38.745433807373097</v>
      </c>
      <c r="J2536" s="6">
        <v>38.774219512939503</v>
      </c>
      <c r="K2536" s="6">
        <v>38.8152465820313</v>
      </c>
      <c r="L2536" s="6">
        <v>30.710882186889702</v>
      </c>
    </row>
    <row r="2537" spans="1:12" x14ac:dyDescent="0.25">
      <c r="A2537">
        <v>2108207</v>
      </c>
      <c r="B2537" t="str">
        <f t="shared" si="39"/>
        <v>PEDREIRAS, MA, Brasil</v>
      </c>
      <c r="C2537" s="4" t="str">
        <f>_xlfn.XLOOKUP(A2537,[1]!DadosGHD[CD_GEOCMU],[1]!DadosGHD[Região])</f>
        <v>NE</v>
      </c>
      <c r="D2537" s="4" t="str">
        <f>_xlfn.XLOOKUP(A2537,[1]!DadosGHD[CD_GEOCMU],[1]!DadosGHD[uf])</f>
        <v>MA</v>
      </c>
      <c r="E2537" s="5" t="str">
        <f>_xlfn.XLOOKUP(A2537,[1]!DadosGHD[CD_GEOCMU],[1]!DadosGHD[MUNICIPIO])</f>
        <v>PEDREIRAS</v>
      </c>
      <c r="F2537" s="6">
        <v>38.662528991699197</v>
      </c>
      <c r="G2537" s="6">
        <v>38.7391166687012</v>
      </c>
      <c r="H2537" s="6">
        <v>38.776523590087898</v>
      </c>
      <c r="I2537" s="6">
        <v>38.772380828857401</v>
      </c>
      <c r="J2537" s="6">
        <v>38.808990478515597</v>
      </c>
      <c r="K2537" s="6">
        <v>38.832534790039098</v>
      </c>
      <c r="L2537" s="6">
        <v>30.6909580230713</v>
      </c>
    </row>
    <row r="2538" spans="1:12" x14ac:dyDescent="0.25">
      <c r="A2538">
        <v>2918001</v>
      </c>
      <c r="B2538" t="str">
        <f t="shared" si="39"/>
        <v>JEQUIE, BA, Brasil</v>
      </c>
      <c r="C2538" s="4" t="str">
        <f>_xlfn.XLOOKUP(A2538,[1]!DadosGHD[CD_GEOCMU],[1]!DadosGHD[Região])</f>
        <v>NE</v>
      </c>
      <c r="D2538" s="4" t="str">
        <f>_xlfn.XLOOKUP(A2538,[1]!DadosGHD[CD_GEOCMU],[1]!DadosGHD[uf])</f>
        <v>BA</v>
      </c>
      <c r="E2538" s="5" t="str">
        <f>_xlfn.XLOOKUP(A2538,[1]!DadosGHD[CD_GEOCMU],[1]!DadosGHD[MUNICIPIO])</f>
        <v>JEQUIE</v>
      </c>
      <c r="F2538" s="6">
        <v>38.662765502929702</v>
      </c>
      <c r="G2538" s="6">
        <v>38.721992492675803</v>
      </c>
      <c r="H2538" s="6">
        <v>38.772548675537102</v>
      </c>
      <c r="I2538" s="6">
        <v>38.745510101318402</v>
      </c>
      <c r="J2538" s="6">
        <v>38.764137268066399</v>
      </c>
      <c r="K2538" s="6">
        <v>38.858264923095703</v>
      </c>
      <c r="L2538" s="6">
        <v>44.016891479492202</v>
      </c>
    </row>
    <row r="2539" spans="1:12" x14ac:dyDescent="0.25">
      <c r="A2539">
        <v>2611101</v>
      </c>
      <c r="B2539" t="str">
        <f t="shared" si="39"/>
        <v>PETROLINA, PE, Brasil</v>
      </c>
      <c r="C2539" s="4" t="str">
        <f>_xlfn.XLOOKUP(A2539,[1]!DadosGHD[CD_GEOCMU],[1]!DadosGHD[Região])</f>
        <v>NE</v>
      </c>
      <c r="D2539" s="4" t="str">
        <f>_xlfn.XLOOKUP(A2539,[1]!DadosGHD[CD_GEOCMU],[1]!DadosGHD[uf])</f>
        <v>PE</v>
      </c>
      <c r="E2539" s="5" t="str">
        <f>_xlfn.XLOOKUP(A2539,[1]!DadosGHD[CD_GEOCMU],[1]!DadosGHD[MUNICIPIO])</f>
        <v>PETROLINA</v>
      </c>
      <c r="F2539" s="6">
        <v>38.662834167480497</v>
      </c>
      <c r="G2539" s="6">
        <v>38.738021850585902</v>
      </c>
      <c r="H2539" s="6">
        <v>38.815376281738303</v>
      </c>
      <c r="I2539" s="6">
        <v>38.804492950439503</v>
      </c>
      <c r="J2539" s="6">
        <v>38.843582153320298</v>
      </c>
      <c r="K2539" s="6">
        <v>38.833095550537102</v>
      </c>
      <c r="L2539" s="6">
        <v>39.586925506591797</v>
      </c>
    </row>
    <row r="2540" spans="1:12" x14ac:dyDescent="0.25">
      <c r="A2540">
        <v>1718550</v>
      </c>
      <c r="B2540" t="str">
        <f t="shared" si="39"/>
        <v>RIACHINHO, TO, Brasil</v>
      </c>
      <c r="C2540" s="4" t="str">
        <f>_xlfn.XLOOKUP(A2540,[1]!DadosGHD[CD_GEOCMU],[1]!DadosGHD[Região])</f>
        <v>NO</v>
      </c>
      <c r="D2540" s="4" t="str">
        <f>_xlfn.XLOOKUP(A2540,[1]!DadosGHD[CD_GEOCMU],[1]!DadosGHD[uf])</f>
        <v>TO</v>
      </c>
      <c r="E2540" s="5" t="str">
        <f>_xlfn.XLOOKUP(A2540,[1]!DadosGHD[CD_GEOCMU],[1]!DadosGHD[MUNICIPIO])</f>
        <v>RIACHINHO</v>
      </c>
      <c r="F2540" s="6">
        <v>38.662895202636697</v>
      </c>
      <c r="G2540" s="6">
        <v>38.691932678222699</v>
      </c>
      <c r="H2540" s="6">
        <v>33.889312744140597</v>
      </c>
      <c r="I2540" s="6">
        <v>33.868778228759801</v>
      </c>
      <c r="J2540" s="6">
        <v>33.8820190429688</v>
      </c>
      <c r="K2540" s="6">
        <v>33.909690856933601</v>
      </c>
      <c r="L2540" s="6">
        <v>30.690996170043899</v>
      </c>
    </row>
    <row r="2541" spans="1:12" x14ac:dyDescent="0.25">
      <c r="A2541">
        <v>2615201</v>
      </c>
      <c r="B2541" t="str">
        <f t="shared" si="39"/>
        <v>TERRA NOVA, PE, Brasil</v>
      </c>
      <c r="C2541" s="4" t="str">
        <f>_xlfn.XLOOKUP(A2541,[1]!DadosGHD[CD_GEOCMU],[1]!DadosGHD[Região])</f>
        <v>NE</v>
      </c>
      <c r="D2541" s="4" t="str">
        <f>_xlfn.XLOOKUP(A2541,[1]!DadosGHD[CD_GEOCMU],[1]!DadosGHD[uf])</f>
        <v>PE</v>
      </c>
      <c r="E2541" s="5" t="str">
        <f>_xlfn.XLOOKUP(A2541,[1]!DadosGHD[CD_GEOCMU],[1]!DadosGHD[MUNICIPIO])</f>
        <v>TERRA NOVA</v>
      </c>
      <c r="F2541" s="6">
        <v>38.663169860839801</v>
      </c>
      <c r="G2541" s="6">
        <v>38.725166320800803</v>
      </c>
      <c r="H2541" s="6">
        <v>38.741100311279297</v>
      </c>
      <c r="I2541" s="6">
        <v>33.809547424316399</v>
      </c>
      <c r="J2541" s="6">
        <v>33.840103149414098</v>
      </c>
      <c r="K2541" s="6">
        <v>33.864040374755902</v>
      </c>
      <c r="L2541" s="6">
        <v>30.710578918456999</v>
      </c>
    </row>
    <row r="2542" spans="1:12" x14ac:dyDescent="0.25">
      <c r="A2542">
        <v>2201408</v>
      </c>
      <c r="B2542" t="str">
        <f t="shared" si="39"/>
        <v>BARRO DURO, PI, Brasil</v>
      </c>
      <c r="C2542" s="4" t="str">
        <f>_xlfn.XLOOKUP(A2542,[1]!DadosGHD[CD_GEOCMU],[1]!DadosGHD[Região])</f>
        <v>NE</v>
      </c>
      <c r="D2542" s="4" t="str">
        <f>_xlfn.XLOOKUP(A2542,[1]!DadosGHD[CD_GEOCMU],[1]!DadosGHD[uf])</f>
        <v>PI</v>
      </c>
      <c r="E2542" s="5" t="str">
        <f>_xlfn.XLOOKUP(A2542,[1]!DadosGHD[CD_GEOCMU],[1]!DadosGHD[MUNICIPIO])</f>
        <v>BARRO DURO</v>
      </c>
      <c r="F2542" s="6">
        <v>38.663337707519503</v>
      </c>
      <c r="G2542" s="6">
        <v>33.835971832275398</v>
      </c>
      <c r="H2542" s="6">
        <v>33.868751525878899</v>
      </c>
      <c r="I2542" s="6">
        <v>33.842350006103501</v>
      </c>
      <c r="J2542" s="6">
        <v>33.8227348327637</v>
      </c>
      <c r="K2542" s="6">
        <v>33.854557037353501</v>
      </c>
      <c r="L2542" s="6">
        <v>26.2798957824707</v>
      </c>
    </row>
    <row r="2543" spans="1:12" x14ac:dyDescent="0.25">
      <c r="A2543">
        <v>3170800</v>
      </c>
      <c r="B2543" t="str">
        <f t="shared" si="39"/>
        <v>VARZEA DA PALMA, MG, Brasil</v>
      </c>
      <c r="C2543" s="4" t="str">
        <f>_xlfn.XLOOKUP(A2543,[1]!DadosGHD[CD_GEOCMU],[1]!DadosGHD[Região])</f>
        <v>SD</v>
      </c>
      <c r="D2543" s="4" t="str">
        <f>_xlfn.XLOOKUP(A2543,[1]!DadosGHD[CD_GEOCMU],[1]!DadosGHD[uf])</f>
        <v>MG</v>
      </c>
      <c r="E2543" s="5" t="str">
        <f>_xlfn.XLOOKUP(A2543,[1]!DadosGHD[CD_GEOCMU],[1]!DadosGHD[MUNICIPIO])</f>
        <v>VARZEA DA PALMA</v>
      </c>
      <c r="F2543" s="6">
        <v>38.663379669189503</v>
      </c>
      <c r="G2543" s="6">
        <v>38.759487152099602</v>
      </c>
      <c r="H2543" s="6">
        <v>38.789230346679702</v>
      </c>
      <c r="I2543" s="6">
        <v>38.755973815917997</v>
      </c>
      <c r="J2543" s="6">
        <v>38.771156311035199</v>
      </c>
      <c r="K2543" s="6">
        <v>38.804248809814503</v>
      </c>
      <c r="L2543" s="6">
        <v>35.149185180664098</v>
      </c>
    </row>
    <row r="2544" spans="1:12" x14ac:dyDescent="0.25">
      <c r="A2544">
        <v>4318424</v>
      </c>
      <c r="B2544" t="str">
        <f t="shared" si="39"/>
        <v>SAO JOAO DA URTIGA, RS, Brasil</v>
      </c>
      <c r="C2544" s="4" t="str">
        <f>_xlfn.XLOOKUP(A2544,[1]!DadosGHD[CD_GEOCMU],[1]!DadosGHD[Região])</f>
        <v>SL</v>
      </c>
      <c r="D2544" s="4" t="str">
        <f>_xlfn.XLOOKUP(A2544,[1]!DadosGHD[CD_GEOCMU],[1]!DadosGHD[uf])</f>
        <v>RS</v>
      </c>
      <c r="E2544" s="5" t="str">
        <f>_xlfn.XLOOKUP(A2544,[1]!DadosGHD[CD_GEOCMU],[1]!DadosGHD[MUNICIPIO])</f>
        <v>SAO JOAO DA URTIGA</v>
      </c>
      <c r="F2544" s="6">
        <v>38.6634712219238</v>
      </c>
      <c r="G2544" s="6">
        <v>43.737377166748097</v>
      </c>
      <c r="H2544" s="6">
        <v>43.717449188232401</v>
      </c>
      <c r="I2544" s="6">
        <v>48.7041015625</v>
      </c>
      <c r="J2544" s="6">
        <v>48.773609161377003</v>
      </c>
      <c r="K2544" s="6">
        <v>53.920154571533203</v>
      </c>
      <c r="L2544" s="6">
        <v>44.059406280517599</v>
      </c>
    </row>
    <row r="2545" spans="1:12" x14ac:dyDescent="0.25">
      <c r="A2545">
        <v>1718451</v>
      </c>
      <c r="B2545" t="str">
        <f t="shared" si="39"/>
        <v>PUGMIL, TO, Brasil</v>
      </c>
      <c r="C2545" s="4" t="str">
        <f>_xlfn.XLOOKUP(A2545,[1]!DadosGHD[CD_GEOCMU],[1]!DadosGHD[Região])</f>
        <v>NO</v>
      </c>
      <c r="D2545" s="4" t="str">
        <f>_xlfn.XLOOKUP(A2545,[1]!DadosGHD[CD_GEOCMU],[1]!DadosGHD[uf])</f>
        <v>TO</v>
      </c>
      <c r="E2545" s="5" t="str">
        <f>_xlfn.XLOOKUP(A2545,[1]!DadosGHD[CD_GEOCMU],[1]!DadosGHD[MUNICIPIO])</f>
        <v>PUGMIL</v>
      </c>
      <c r="F2545" s="6">
        <v>38.663745880127003</v>
      </c>
      <c r="G2545" s="6">
        <v>33.822410583496101</v>
      </c>
      <c r="H2545" s="6">
        <v>33.862236022949197</v>
      </c>
      <c r="I2545" s="6">
        <v>33.831825256347699</v>
      </c>
      <c r="J2545" s="6">
        <v>28.9409065246582</v>
      </c>
      <c r="K2545" s="6">
        <v>28.9686679840088</v>
      </c>
      <c r="L2545" s="6">
        <v>26.2798957824707</v>
      </c>
    </row>
    <row r="2546" spans="1:12" x14ac:dyDescent="0.25">
      <c r="A2546">
        <v>2805000</v>
      </c>
      <c r="B2546" t="str">
        <f t="shared" si="39"/>
        <v>PEDRA MOLE, SE, Brasil</v>
      </c>
      <c r="C2546" s="4" t="str">
        <f>_xlfn.XLOOKUP(A2546,[1]!DadosGHD[CD_GEOCMU],[1]!DadosGHD[Região])</f>
        <v>NE</v>
      </c>
      <c r="D2546" s="4" t="str">
        <f>_xlfn.XLOOKUP(A2546,[1]!DadosGHD[CD_GEOCMU],[1]!DadosGHD[uf])</f>
        <v>SE</v>
      </c>
      <c r="E2546" s="5" t="str">
        <f>_xlfn.XLOOKUP(A2546,[1]!DadosGHD[CD_GEOCMU],[1]!DadosGHD[MUNICIPIO])</f>
        <v>PEDRA MOLE</v>
      </c>
      <c r="F2546" s="6">
        <v>38.663909912109403</v>
      </c>
      <c r="G2546" s="6">
        <v>38.765274047851598</v>
      </c>
      <c r="H2546" s="6">
        <v>28.942651748657202</v>
      </c>
      <c r="I2546" s="6">
        <v>28.925045013427699</v>
      </c>
      <c r="J2546" s="6">
        <v>28.9409065246582</v>
      </c>
      <c r="K2546" s="6">
        <v>28.9686679840088</v>
      </c>
      <c r="L2546" s="6">
        <v>26.282884597778299</v>
      </c>
    </row>
    <row r="2547" spans="1:12" x14ac:dyDescent="0.25">
      <c r="A2547">
        <v>5103908</v>
      </c>
      <c r="B2547" t="str">
        <f t="shared" si="39"/>
        <v>GENERAL CARNEIRO, MT, Brasil</v>
      </c>
      <c r="C2547" s="4" t="str">
        <f>_xlfn.XLOOKUP(A2547,[1]!DadosGHD[CD_GEOCMU],[1]!DadosGHD[Região])</f>
        <v>CO</v>
      </c>
      <c r="D2547" s="4" t="str">
        <f>_xlfn.XLOOKUP(A2547,[1]!DadosGHD[CD_GEOCMU],[1]!DadosGHD[uf])</f>
        <v>MT</v>
      </c>
      <c r="E2547" s="5" t="str">
        <f>_xlfn.XLOOKUP(A2547,[1]!DadosGHD[CD_GEOCMU],[1]!DadosGHD[MUNICIPIO])</f>
        <v>GENERAL CARNEIRO</v>
      </c>
      <c r="F2547" s="6">
        <v>38.663917541503899</v>
      </c>
      <c r="G2547" s="6">
        <v>38.7026176452637</v>
      </c>
      <c r="H2547" s="6">
        <v>33.890998840332003</v>
      </c>
      <c r="I2547" s="6">
        <v>33.858779907226598</v>
      </c>
      <c r="J2547" s="6">
        <v>33.863597869873097</v>
      </c>
      <c r="K2547" s="6">
        <v>38.807441711425803</v>
      </c>
      <c r="L2547" s="6">
        <v>30.689661026001001</v>
      </c>
    </row>
    <row r="2548" spans="1:12" x14ac:dyDescent="0.25">
      <c r="A2548">
        <v>2110807</v>
      </c>
      <c r="B2548" t="str">
        <f t="shared" si="39"/>
        <v>SAO FELIX DE BALSAS, MA, Brasil</v>
      </c>
      <c r="C2548" s="4" t="str">
        <f>_xlfn.XLOOKUP(A2548,[1]!DadosGHD[CD_GEOCMU],[1]!DadosGHD[Região])</f>
        <v>NE</v>
      </c>
      <c r="D2548" s="4" t="str">
        <f>_xlfn.XLOOKUP(A2548,[1]!DadosGHD[CD_GEOCMU],[1]!DadosGHD[uf])</f>
        <v>MA</v>
      </c>
      <c r="E2548" s="5" t="str">
        <f>_xlfn.XLOOKUP(A2548,[1]!DadosGHD[CD_GEOCMU],[1]!DadosGHD[MUNICIPIO])</f>
        <v>SAO FELIX DE BALSAS</v>
      </c>
      <c r="F2548" s="6">
        <v>38.663990020752003</v>
      </c>
      <c r="G2548" s="6">
        <v>38.697807312011697</v>
      </c>
      <c r="H2548" s="6">
        <v>33.889118194580099</v>
      </c>
      <c r="I2548" s="6">
        <v>33.8676147460938</v>
      </c>
      <c r="J2548" s="6">
        <v>33.884979248046903</v>
      </c>
      <c r="K2548" s="6">
        <v>33.916801452636697</v>
      </c>
      <c r="L2548" s="6">
        <v>30.684633255004901</v>
      </c>
    </row>
    <row r="2549" spans="1:12" x14ac:dyDescent="0.25">
      <c r="A2549">
        <v>2104503</v>
      </c>
      <c r="B2549" t="str">
        <f t="shared" si="39"/>
        <v>GOVERNADOR ARCHER, MA, Brasil</v>
      </c>
      <c r="C2549" s="4" t="str">
        <f>_xlfn.XLOOKUP(A2549,[1]!DadosGHD[CD_GEOCMU],[1]!DadosGHD[Região])</f>
        <v>NE</v>
      </c>
      <c r="D2549" s="4" t="str">
        <f>_xlfn.XLOOKUP(A2549,[1]!DadosGHD[CD_GEOCMU],[1]!DadosGHD[uf])</f>
        <v>MA</v>
      </c>
      <c r="E2549" s="5" t="str">
        <f>_xlfn.XLOOKUP(A2549,[1]!DadosGHD[CD_GEOCMU],[1]!DadosGHD[MUNICIPIO])</f>
        <v>GOVERNADOR ARCHER</v>
      </c>
      <c r="F2549" s="6">
        <v>38.664451599121101</v>
      </c>
      <c r="G2549" s="6">
        <v>38.708919525146499</v>
      </c>
      <c r="H2549" s="6">
        <v>38.746700286865199</v>
      </c>
      <c r="I2549" s="6">
        <v>38.718276977539098</v>
      </c>
      <c r="J2549" s="6">
        <v>33.854061126708999</v>
      </c>
      <c r="K2549" s="6">
        <v>29.004926681518601</v>
      </c>
      <c r="L2549" s="6">
        <v>26.2798957824707</v>
      </c>
    </row>
    <row r="2550" spans="1:12" x14ac:dyDescent="0.25">
      <c r="A2550">
        <v>5107354</v>
      </c>
      <c r="B2550" t="str">
        <f t="shared" si="39"/>
        <v>SAO JOSE DO XINGU, MT, Brasil</v>
      </c>
      <c r="C2550" s="4" t="str">
        <f>_xlfn.XLOOKUP(A2550,[1]!DadosGHD[CD_GEOCMU],[1]!DadosGHD[Região])</f>
        <v>CO</v>
      </c>
      <c r="D2550" s="4" t="str">
        <f>_xlfn.XLOOKUP(A2550,[1]!DadosGHD[CD_GEOCMU],[1]!DadosGHD[uf])</f>
        <v>MT</v>
      </c>
      <c r="E2550" s="5" t="str">
        <f>_xlfn.XLOOKUP(A2550,[1]!DadosGHD[CD_GEOCMU],[1]!DadosGHD[MUNICIPIO])</f>
        <v>SAO JOSE DO XINGU</v>
      </c>
      <c r="F2550" s="6">
        <v>38.664649963378899</v>
      </c>
      <c r="G2550" s="6">
        <v>43.661495208740199</v>
      </c>
      <c r="H2550" s="6">
        <v>43.7170219421387</v>
      </c>
      <c r="I2550" s="6">
        <v>43.682411193847699</v>
      </c>
      <c r="J2550" s="6">
        <v>38.844749450683601</v>
      </c>
      <c r="K2550" s="6">
        <v>38.8382568359375</v>
      </c>
      <c r="L2550" s="6">
        <v>30.6973781585693</v>
      </c>
    </row>
    <row r="2551" spans="1:12" x14ac:dyDescent="0.25">
      <c r="A2551">
        <v>5205497</v>
      </c>
      <c r="B2551" t="str">
        <f t="shared" si="39"/>
        <v>CIDADE OCIDENTAL, GO, Brasil</v>
      </c>
      <c r="C2551" s="4" t="str">
        <f>_xlfn.XLOOKUP(A2551,[1]!DadosGHD[CD_GEOCMU],[1]!DadosGHD[Região])</f>
        <v>CO</v>
      </c>
      <c r="D2551" s="4" t="str">
        <f>_xlfn.XLOOKUP(A2551,[1]!DadosGHD[CD_GEOCMU],[1]!DadosGHD[uf])</f>
        <v>GO</v>
      </c>
      <c r="E2551" s="5" t="str">
        <f>_xlfn.XLOOKUP(A2551,[1]!DadosGHD[CD_GEOCMU],[1]!DadosGHD[MUNICIPIO])</f>
        <v>CIDADE OCIDENTAL</v>
      </c>
      <c r="F2551" s="6">
        <v>38.664726257324197</v>
      </c>
      <c r="G2551" s="6">
        <v>38.768470764160199</v>
      </c>
      <c r="H2551" s="6">
        <v>38.832813262939503</v>
      </c>
      <c r="I2551" s="6">
        <v>43.708786010742202</v>
      </c>
      <c r="J2551" s="6">
        <v>43.749782562255902</v>
      </c>
      <c r="K2551" s="6">
        <v>38.849845886230497</v>
      </c>
      <c r="L2551" s="6">
        <v>39.602569580078097</v>
      </c>
    </row>
    <row r="2552" spans="1:12" x14ac:dyDescent="0.25">
      <c r="A2552">
        <v>3127057</v>
      </c>
      <c r="B2552" t="str">
        <f t="shared" si="39"/>
        <v>FRONTEIRA DOS VALES, MG, Brasil</v>
      </c>
      <c r="C2552" s="4" t="str">
        <f>_xlfn.XLOOKUP(A2552,[1]!DadosGHD[CD_GEOCMU],[1]!DadosGHD[Região])</f>
        <v>SD</v>
      </c>
      <c r="D2552" s="4" t="str">
        <f>_xlfn.XLOOKUP(A2552,[1]!DadosGHD[CD_GEOCMU],[1]!DadosGHD[uf])</f>
        <v>MG</v>
      </c>
      <c r="E2552" s="5" t="str">
        <f>_xlfn.XLOOKUP(A2552,[1]!DadosGHD[CD_GEOCMU],[1]!DadosGHD[MUNICIPIO])</f>
        <v>FRONTEIRA DOS VALES</v>
      </c>
      <c r="F2552" s="6">
        <v>38.664791107177699</v>
      </c>
      <c r="G2552" s="6">
        <v>38.698322296142599</v>
      </c>
      <c r="H2552" s="6">
        <v>38.741065979003899</v>
      </c>
      <c r="I2552" s="6">
        <v>33.8745307922363</v>
      </c>
      <c r="J2552" s="6">
        <v>33.8919067382813</v>
      </c>
      <c r="K2552" s="6">
        <v>38.7880859375</v>
      </c>
      <c r="L2552" s="6">
        <v>35.114646911621101</v>
      </c>
    </row>
    <row r="2553" spans="1:12" x14ac:dyDescent="0.25">
      <c r="A2553">
        <v>4306957</v>
      </c>
      <c r="B2553" t="str">
        <f t="shared" si="39"/>
        <v>ENTRE RIOS DO SUL, RS, Brasil</v>
      </c>
      <c r="C2553" s="4" t="str">
        <f>_xlfn.XLOOKUP(A2553,[1]!DadosGHD[CD_GEOCMU],[1]!DadosGHD[Região])</f>
        <v>SL</v>
      </c>
      <c r="D2553" s="4" t="str">
        <f>_xlfn.XLOOKUP(A2553,[1]!DadosGHD[CD_GEOCMU],[1]!DadosGHD[uf])</f>
        <v>RS</v>
      </c>
      <c r="E2553" s="5" t="str">
        <f>_xlfn.XLOOKUP(A2553,[1]!DadosGHD[CD_GEOCMU],[1]!DadosGHD[MUNICIPIO])</f>
        <v>ENTRE RIOS DO SUL</v>
      </c>
      <c r="F2553" s="6">
        <v>38.665004730224602</v>
      </c>
      <c r="G2553" s="6">
        <v>48.737400054931598</v>
      </c>
      <c r="H2553" s="6">
        <v>48.827846527099602</v>
      </c>
      <c r="I2553" s="6">
        <v>53.791797637939503</v>
      </c>
      <c r="J2553" s="6">
        <v>58.889171600341797</v>
      </c>
      <c r="K2553" s="6">
        <v>58.940391540527301</v>
      </c>
      <c r="L2553" s="6">
        <v>53.021854400634801</v>
      </c>
    </row>
    <row r="2554" spans="1:12" x14ac:dyDescent="0.25">
      <c r="A2554">
        <v>1712504</v>
      </c>
      <c r="B2554" t="str">
        <f t="shared" si="39"/>
        <v>MARIANOPOLIS DO TOCANTINS, TO, Brasil</v>
      </c>
      <c r="C2554" s="4" t="str">
        <f>_xlfn.XLOOKUP(A2554,[1]!DadosGHD[CD_GEOCMU],[1]!DadosGHD[Região])</f>
        <v>NO</v>
      </c>
      <c r="D2554" s="4" t="str">
        <f>_xlfn.XLOOKUP(A2554,[1]!DadosGHD[CD_GEOCMU],[1]!DadosGHD[uf])</f>
        <v>TO</v>
      </c>
      <c r="E2554" s="5" t="str">
        <f>_xlfn.XLOOKUP(A2554,[1]!DadosGHD[CD_GEOCMU],[1]!DadosGHD[MUNICIPIO])</f>
        <v>MARIANOPOLIS DO TOCANTINS</v>
      </c>
      <c r="F2554" s="6">
        <v>38.665412902832003</v>
      </c>
      <c r="G2554" s="6">
        <v>43.706638336181598</v>
      </c>
      <c r="H2554" s="6">
        <v>43.745170593261697</v>
      </c>
      <c r="I2554" s="6">
        <v>43.766792297363303</v>
      </c>
      <c r="J2554" s="6">
        <v>43.776092529296903</v>
      </c>
      <c r="K2554" s="6">
        <v>38.842899322509801</v>
      </c>
      <c r="L2554" s="6">
        <v>30.710565567016602</v>
      </c>
    </row>
    <row r="2555" spans="1:12" x14ac:dyDescent="0.25">
      <c r="A2555">
        <v>1717800</v>
      </c>
      <c r="B2555" t="str">
        <f t="shared" si="39"/>
        <v>PONTE ALTA DO BOM JESUS, TO, Brasil</v>
      </c>
      <c r="C2555" s="4" t="str">
        <f>_xlfn.XLOOKUP(A2555,[1]!DadosGHD[CD_GEOCMU],[1]!DadosGHD[Região])</f>
        <v>NO</v>
      </c>
      <c r="D2555" s="4" t="str">
        <f>_xlfn.XLOOKUP(A2555,[1]!DadosGHD[CD_GEOCMU],[1]!DadosGHD[uf])</f>
        <v>TO</v>
      </c>
      <c r="E2555" s="5" t="str">
        <f>_xlfn.XLOOKUP(A2555,[1]!DadosGHD[CD_GEOCMU],[1]!DadosGHD[MUNICIPIO])</f>
        <v>PONTE ALTA DO BOM JESUS</v>
      </c>
      <c r="F2555" s="6">
        <v>38.665443420410199</v>
      </c>
      <c r="G2555" s="6">
        <v>38.698890686035199</v>
      </c>
      <c r="H2555" s="6">
        <v>38.740123748779297</v>
      </c>
      <c r="I2555" s="6">
        <v>33.872776031494098</v>
      </c>
      <c r="J2555" s="6">
        <v>33.891147613525398</v>
      </c>
      <c r="K2555" s="6">
        <v>33.917140960693402</v>
      </c>
      <c r="L2555" s="6">
        <v>30.693788528442401</v>
      </c>
    </row>
    <row r="2556" spans="1:12" x14ac:dyDescent="0.25">
      <c r="A2556">
        <v>5200852</v>
      </c>
      <c r="B2556" t="str">
        <f t="shared" si="39"/>
        <v>AMERICANO DO BRASIL, GO, Brasil</v>
      </c>
      <c r="C2556" s="4" t="str">
        <f>_xlfn.XLOOKUP(A2556,[1]!DadosGHD[CD_GEOCMU],[1]!DadosGHD[Região])</f>
        <v>CO</v>
      </c>
      <c r="D2556" s="4" t="str">
        <f>_xlfn.XLOOKUP(A2556,[1]!DadosGHD[CD_GEOCMU],[1]!DadosGHD[uf])</f>
        <v>GO</v>
      </c>
      <c r="E2556" s="5" t="str">
        <f>_xlfn.XLOOKUP(A2556,[1]!DadosGHD[CD_GEOCMU],[1]!DadosGHD[MUNICIPIO])</f>
        <v>AMERICANO DO BRASIL</v>
      </c>
      <c r="F2556" s="6">
        <v>38.665672302246101</v>
      </c>
      <c r="G2556" s="6">
        <v>38.722145080566399</v>
      </c>
      <c r="H2556" s="6">
        <v>43.7080268859863</v>
      </c>
      <c r="I2556" s="6">
        <v>43.713150024414098</v>
      </c>
      <c r="J2556" s="6">
        <v>43.779407501220703</v>
      </c>
      <c r="K2556" s="6">
        <v>38.8721313476563</v>
      </c>
      <c r="L2556" s="6">
        <v>44.044769287109403</v>
      </c>
    </row>
    <row r="2557" spans="1:12" x14ac:dyDescent="0.25">
      <c r="A2557">
        <v>4315008</v>
      </c>
      <c r="B2557" t="str">
        <f t="shared" si="39"/>
        <v>PORTO LUCENA, RS, Brasil</v>
      </c>
      <c r="C2557" s="4" t="str">
        <f>_xlfn.XLOOKUP(A2557,[1]!DadosGHD[CD_GEOCMU],[1]!DadosGHD[Região])</f>
        <v>SL</v>
      </c>
      <c r="D2557" s="4" t="str">
        <f>_xlfn.XLOOKUP(A2557,[1]!DadosGHD[CD_GEOCMU],[1]!DadosGHD[uf])</f>
        <v>RS</v>
      </c>
      <c r="E2557" s="5" t="str">
        <f>_xlfn.XLOOKUP(A2557,[1]!DadosGHD[CD_GEOCMU],[1]!DadosGHD[MUNICIPIO])</f>
        <v>PORTO LUCENA</v>
      </c>
      <c r="F2557" s="6">
        <v>38.666099548339801</v>
      </c>
      <c r="G2557" s="6">
        <v>43.757774353027301</v>
      </c>
      <c r="H2557" s="6">
        <v>58.825668334960902</v>
      </c>
      <c r="I2557" s="6">
        <v>58.918483734130902</v>
      </c>
      <c r="J2557" s="6">
        <v>58.949447631835902</v>
      </c>
      <c r="K2557" s="6">
        <v>53.953193664550803</v>
      </c>
      <c r="L2557" s="6">
        <v>48.5257568359375</v>
      </c>
    </row>
    <row r="2558" spans="1:12" x14ac:dyDescent="0.25">
      <c r="A2558">
        <v>3301876</v>
      </c>
      <c r="B2558" t="str">
        <f t="shared" si="39"/>
        <v>IGUABA GRANDE, RJ, Brasil</v>
      </c>
      <c r="C2558" s="4" t="str">
        <f>_xlfn.XLOOKUP(A2558,[1]!DadosGHD[CD_GEOCMU],[1]!DadosGHD[Região])</f>
        <v>SD</v>
      </c>
      <c r="D2558" s="4" t="str">
        <f>_xlfn.XLOOKUP(A2558,[1]!DadosGHD[CD_GEOCMU],[1]!DadosGHD[uf])</f>
        <v>RJ</v>
      </c>
      <c r="E2558" s="5" t="str">
        <f>_xlfn.XLOOKUP(A2558,[1]!DadosGHD[CD_GEOCMU],[1]!DadosGHD[MUNICIPIO])</f>
        <v>IGUABA GRANDE</v>
      </c>
      <c r="F2558" s="6">
        <v>38.666282653808601</v>
      </c>
      <c r="G2558" s="6">
        <v>38.756736755371101</v>
      </c>
      <c r="H2558" s="6">
        <v>38.818958282470703</v>
      </c>
      <c r="I2558" s="6">
        <v>48.775798797607401</v>
      </c>
      <c r="J2558" s="6">
        <v>43.776256561279297</v>
      </c>
      <c r="K2558" s="6">
        <v>48.836647033691399</v>
      </c>
      <c r="L2558" s="6">
        <v>57.526985168457003</v>
      </c>
    </row>
    <row r="2559" spans="1:12" x14ac:dyDescent="0.25">
      <c r="A2559">
        <v>2705705</v>
      </c>
      <c r="B2559" t="str">
        <f t="shared" si="39"/>
        <v>OLHO D'AGUA DAS FLORES, AL, Brasil</v>
      </c>
      <c r="C2559" s="4" t="str">
        <f>_xlfn.XLOOKUP(A2559,[1]!DadosGHD[CD_GEOCMU],[1]!DadosGHD[Região])</f>
        <v>NE</v>
      </c>
      <c r="D2559" s="4" t="str">
        <f>_xlfn.XLOOKUP(A2559,[1]!DadosGHD[CD_GEOCMU],[1]!DadosGHD[uf])</f>
        <v>AL</v>
      </c>
      <c r="E2559" s="5" t="str">
        <f>_xlfn.XLOOKUP(A2559,[1]!DadosGHD[CD_GEOCMU],[1]!DadosGHD[MUNICIPIO])</f>
        <v>OLHO D'AGUA DAS FLORES</v>
      </c>
      <c r="F2559" s="6">
        <v>38.666305541992202</v>
      </c>
      <c r="G2559" s="6">
        <v>38.715469360351598</v>
      </c>
      <c r="H2559" s="6">
        <v>38.767204284667997</v>
      </c>
      <c r="I2559" s="6">
        <v>38.734344482421903</v>
      </c>
      <c r="J2559" s="6">
        <v>38.746009826660199</v>
      </c>
      <c r="K2559" s="6">
        <v>38.837596893310597</v>
      </c>
      <c r="L2559" s="6">
        <v>30.714128494262699</v>
      </c>
    </row>
    <row r="2560" spans="1:12" x14ac:dyDescent="0.25">
      <c r="A2560">
        <v>3148400</v>
      </c>
      <c r="B2560" t="str">
        <f t="shared" si="39"/>
        <v>PAULISTAS, MG, Brasil</v>
      </c>
      <c r="C2560" s="4" t="str">
        <f>_xlfn.XLOOKUP(A2560,[1]!DadosGHD[CD_GEOCMU],[1]!DadosGHD[Região])</f>
        <v>SD</v>
      </c>
      <c r="D2560" s="4" t="str">
        <f>_xlfn.XLOOKUP(A2560,[1]!DadosGHD[CD_GEOCMU],[1]!DadosGHD[uf])</f>
        <v>MG</v>
      </c>
      <c r="E2560" s="5" t="str">
        <f>_xlfn.XLOOKUP(A2560,[1]!DadosGHD[CD_GEOCMU],[1]!DadosGHD[MUNICIPIO])</f>
        <v>PAULISTAS</v>
      </c>
      <c r="F2560" s="6">
        <v>38.666465759277301</v>
      </c>
      <c r="G2560" s="6">
        <v>38.727466583252003</v>
      </c>
      <c r="H2560" s="6">
        <v>38.777854919433601</v>
      </c>
      <c r="I2560" s="6">
        <v>38.732288360595703</v>
      </c>
      <c r="J2560" s="6">
        <v>38.751396179199197</v>
      </c>
      <c r="K2560" s="6">
        <v>38.783718109130902</v>
      </c>
      <c r="L2560" s="6">
        <v>30.713214874267599</v>
      </c>
    </row>
    <row r="2561" spans="1:12" x14ac:dyDescent="0.25">
      <c r="A2561">
        <v>3514957</v>
      </c>
      <c r="B2561" t="str">
        <f t="shared" si="39"/>
        <v>EMBAUBA, SP, Brasil</v>
      </c>
      <c r="C2561" s="4" t="str">
        <f>_xlfn.XLOOKUP(A2561,[1]!DadosGHD[CD_GEOCMU],[1]!DadosGHD[Região])</f>
        <v>SD</v>
      </c>
      <c r="D2561" s="4" t="str">
        <f>_xlfn.XLOOKUP(A2561,[1]!DadosGHD[CD_GEOCMU],[1]!DadosGHD[uf])</f>
        <v>SP</v>
      </c>
      <c r="E2561" s="5" t="str">
        <f>_xlfn.XLOOKUP(A2561,[1]!DadosGHD[CD_GEOCMU],[1]!DadosGHD[MUNICIPIO])</f>
        <v>EMBAUBA</v>
      </c>
      <c r="F2561" s="6">
        <v>38.666496276855497</v>
      </c>
      <c r="G2561" s="6">
        <v>38.771564483642599</v>
      </c>
      <c r="H2561" s="6">
        <v>38.804466247558601</v>
      </c>
      <c r="I2561" s="6">
        <v>38.769248962402301</v>
      </c>
      <c r="J2561" s="6">
        <v>43.736068725585902</v>
      </c>
      <c r="K2561" s="6">
        <v>43.766750335693402</v>
      </c>
      <c r="L2561" s="6">
        <v>39.556083679199197</v>
      </c>
    </row>
    <row r="2562" spans="1:12" x14ac:dyDescent="0.25">
      <c r="A2562">
        <v>1718709</v>
      </c>
      <c r="B2562" t="str">
        <f t="shared" si="39"/>
        <v>RIO DOS BOIS, TO, Brasil</v>
      </c>
      <c r="C2562" s="4" t="str">
        <f>_xlfn.XLOOKUP(A2562,[1]!DadosGHD[CD_GEOCMU],[1]!DadosGHD[Região])</f>
        <v>NO</v>
      </c>
      <c r="D2562" s="4" t="str">
        <f>_xlfn.XLOOKUP(A2562,[1]!DadosGHD[CD_GEOCMU],[1]!DadosGHD[uf])</f>
        <v>TO</v>
      </c>
      <c r="E2562" s="5" t="str">
        <f>_xlfn.XLOOKUP(A2562,[1]!DadosGHD[CD_GEOCMU],[1]!DadosGHD[MUNICIPIO])</f>
        <v>RIO DOS BOIS</v>
      </c>
      <c r="F2562" s="6">
        <v>38.666591644287102</v>
      </c>
      <c r="G2562" s="6">
        <v>28.913623809814499</v>
      </c>
      <c r="H2562" s="6">
        <v>28.943264007568398</v>
      </c>
      <c r="I2562" s="6">
        <v>28.925045013427699</v>
      </c>
      <c r="J2562" s="6">
        <v>28.9409065246582</v>
      </c>
      <c r="K2562" s="6">
        <v>28.9686679840088</v>
      </c>
      <c r="L2562" s="6">
        <v>30.705671310424801</v>
      </c>
    </row>
    <row r="2563" spans="1:12" x14ac:dyDescent="0.25">
      <c r="A2563">
        <v>5005202</v>
      </c>
      <c r="B2563" t="str">
        <f t="shared" si="39"/>
        <v>LADARIO, MS, Brasil</v>
      </c>
      <c r="C2563" s="4" t="str">
        <f>_xlfn.XLOOKUP(A2563,[1]!DadosGHD[CD_GEOCMU],[1]!DadosGHD[Região])</f>
        <v>CO</v>
      </c>
      <c r="D2563" s="4" t="str">
        <f>_xlfn.XLOOKUP(A2563,[1]!DadosGHD[CD_GEOCMU],[1]!DadosGHD[uf])</f>
        <v>MS</v>
      </c>
      <c r="E2563" s="5" t="str">
        <f>_xlfn.XLOOKUP(A2563,[1]!DadosGHD[CD_GEOCMU],[1]!DadosGHD[MUNICIPIO])</f>
        <v>LADARIO</v>
      </c>
      <c r="F2563" s="6">
        <v>38.666652679443402</v>
      </c>
      <c r="G2563" s="6">
        <v>38.742622375488303</v>
      </c>
      <c r="H2563" s="6">
        <v>38.790897369384801</v>
      </c>
      <c r="I2563" s="6">
        <v>38.761543273925803</v>
      </c>
      <c r="J2563" s="6">
        <v>38.753807067871101</v>
      </c>
      <c r="K2563" s="6">
        <v>33.9054145812988</v>
      </c>
      <c r="L2563" s="6">
        <v>30.708005905151399</v>
      </c>
    </row>
    <row r="2564" spans="1:12" x14ac:dyDescent="0.25">
      <c r="A2564">
        <v>2925303</v>
      </c>
      <c r="B2564" t="str">
        <f t="shared" ref="B2564:B2627" si="40">_xlfn.CONCAT(E2564, ", ", D2564, ", Brasil")</f>
        <v>PORTO SEGURO, BA, Brasil</v>
      </c>
      <c r="C2564" s="4" t="str">
        <f>_xlfn.XLOOKUP(A2564,[1]!DadosGHD[CD_GEOCMU],[1]!DadosGHD[Região])</f>
        <v>NE</v>
      </c>
      <c r="D2564" s="4" t="str">
        <f>_xlfn.XLOOKUP(A2564,[1]!DadosGHD[CD_GEOCMU],[1]!DadosGHD[uf])</f>
        <v>BA</v>
      </c>
      <c r="E2564" s="5" t="str">
        <f>_xlfn.XLOOKUP(A2564,[1]!DadosGHD[CD_GEOCMU],[1]!DadosGHD[MUNICIPIO])</f>
        <v>PORTO SEGURO</v>
      </c>
      <c r="F2564" s="6">
        <v>38.666675567627003</v>
      </c>
      <c r="G2564" s="6">
        <v>38.728736877441399</v>
      </c>
      <c r="H2564" s="6">
        <v>38.820426940917997</v>
      </c>
      <c r="I2564" s="6">
        <v>38.800628662109403</v>
      </c>
      <c r="J2564" s="6">
        <v>38.838340759277301</v>
      </c>
      <c r="K2564" s="6">
        <v>38.871437072753899</v>
      </c>
      <c r="L2564" s="6">
        <v>39.591392517089801</v>
      </c>
    </row>
    <row r="2565" spans="1:12" x14ac:dyDescent="0.25">
      <c r="A2565">
        <v>3108701</v>
      </c>
      <c r="B2565" t="str">
        <f t="shared" si="40"/>
        <v>BRAS PIRES, MG, Brasil</v>
      </c>
      <c r="C2565" s="4" t="str">
        <f>_xlfn.XLOOKUP(A2565,[1]!DadosGHD[CD_GEOCMU],[1]!DadosGHD[Região])</f>
        <v>SD</v>
      </c>
      <c r="D2565" s="4" t="str">
        <f>_xlfn.XLOOKUP(A2565,[1]!DadosGHD[CD_GEOCMU],[1]!DadosGHD[uf])</f>
        <v>MG</v>
      </c>
      <c r="E2565" s="5" t="str">
        <f>_xlfn.XLOOKUP(A2565,[1]!DadosGHD[CD_GEOCMU],[1]!DadosGHD[MUNICIPIO])</f>
        <v>BRAS PIRES</v>
      </c>
      <c r="F2565" s="6">
        <v>38.666679382324197</v>
      </c>
      <c r="G2565" s="6">
        <v>38.700416564941399</v>
      </c>
      <c r="H2565" s="6">
        <v>38.772499084472699</v>
      </c>
      <c r="I2565" s="6">
        <v>38.807456970214801</v>
      </c>
      <c r="J2565" s="6">
        <v>43.754650115966797</v>
      </c>
      <c r="K2565" s="6">
        <v>43.8309135437012</v>
      </c>
      <c r="L2565" s="6">
        <v>39.610469818115199</v>
      </c>
    </row>
    <row r="2566" spans="1:12" x14ac:dyDescent="0.25">
      <c r="A2566">
        <v>3144003</v>
      </c>
      <c r="B2566" t="str">
        <f t="shared" si="40"/>
        <v>MUTUM, MG, Brasil</v>
      </c>
      <c r="C2566" s="4" t="str">
        <f>_xlfn.XLOOKUP(A2566,[1]!DadosGHD[CD_GEOCMU],[1]!DadosGHD[Região])</f>
        <v>SD</v>
      </c>
      <c r="D2566" s="4" t="str">
        <f>_xlfn.XLOOKUP(A2566,[1]!DadosGHD[CD_GEOCMU],[1]!DadosGHD[uf])</f>
        <v>MG</v>
      </c>
      <c r="E2566" s="5" t="str">
        <f>_xlfn.XLOOKUP(A2566,[1]!DadosGHD[CD_GEOCMU],[1]!DadosGHD[MUNICIPIO])</f>
        <v>MUTUM</v>
      </c>
      <c r="F2566" s="6">
        <v>38.666782379150398</v>
      </c>
      <c r="G2566" s="6">
        <v>38.738418579101598</v>
      </c>
      <c r="H2566" s="6">
        <v>38.786731719970703</v>
      </c>
      <c r="I2566" s="6">
        <v>38.765052795410199</v>
      </c>
      <c r="J2566" s="6">
        <v>38.7940864562988</v>
      </c>
      <c r="K2566" s="6">
        <v>38.832008361816399</v>
      </c>
      <c r="L2566" s="6">
        <v>35.1170043945313</v>
      </c>
    </row>
    <row r="2567" spans="1:12" x14ac:dyDescent="0.25">
      <c r="A2567">
        <v>3201100</v>
      </c>
      <c r="B2567" t="str">
        <f t="shared" si="40"/>
        <v>BOM JESUS DO NORTE, ES, Brasil</v>
      </c>
      <c r="C2567" s="4" t="str">
        <f>_xlfn.XLOOKUP(A2567,[1]!DadosGHD[CD_GEOCMU],[1]!DadosGHD[Região])</f>
        <v>SD</v>
      </c>
      <c r="D2567" s="4" t="str">
        <f>_xlfn.XLOOKUP(A2567,[1]!DadosGHD[CD_GEOCMU],[1]!DadosGHD[uf])</f>
        <v>ES</v>
      </c>
      <c r="E2567" s="5" t="str">
        <f>_xlfn.XLOOKUP(A2567,[1]!DadosGHD[CD_GEOCMU],[1]!DadosGHD[MUNICIPIO])</f>
        <v>BOM JESUS DO NORTE</v>
      </c>
      <c r="F2567" s="6">
        <v>38.666957855224602</v>
      </c>
      <c r="G2567" s="6">
        <v>38.766178131103501</v>
      </c>
      <c r="H2567" s="6">
        <v>38.816703796386697</v>
      </c>
      <c r="I2567" s="6">
        <v>38.7641792297363</v>
      </c>
      <c r="J2567" s="6">
        <v>43.779621124267599</v>
      </c>
      <c r="K2567" s="6">
        <v>48.7949829101563</v>
      </c>
      <c r="L2567" s="6">
        <v>48.529335021972699</v>
      </c>
    </row>
    <row r="2568" spans="1:12" x14ac:dyDescent="0.25">
      <c r="A2568">
        <v>5203807</v>
      </c>
      <c r="B2568" t="str">
        <f t="shared" si="40"/>
        <v>BRITANIA, GO, Brasil</v>
      </c>
      <c r="C2568" s="4" t="str">
        <f>_xlfn.XLOOKUP(A2568,[1]!DadosGHD[CD_GEOCMU],[1]!DadosGHD[Região])</f>
        <v>CO</v>
      </c>
      <c r="D2568" s="4" t="str">
        <f>_xlfn.XLOOKUP(A2568,[1]!DadosGHD[CD_GEOCMU],[1]!DadosGHD[uf])</f>
        <v>GO</v>
      </c>
      <c r="E2568" s="5" t="str">
        <f>_xlfn.XLOOKUP(A2568,[1]!DadosGHD[CD_GEOCMU],[1]!DadosGHD[MUNICIPIO])</f>
        <v>BRITANIA</v>
      </c>
      <c r="F2568" s="6">
        <v>38.667171478271499</v>
      </c>
      <c r="G2568" s="6">
        <v>38.744850158691399</v>
      </c>
      <c r="H2568" s="6">
        <v>38.820854187011697</v>
      </c>
      <c r="I2568" s="6">
        <v>38.793441772460902</v>
      </c>
      <c r="J2568" s="6">
        <v>38.795818328857401</v>
      </c>
      <c r="K2568" s="6">
        <v>43.790740966796903</v>
      </c>
      <c r="L2568" s="6">
        <v>35.1417236328125</v>
      </c>
    </row>
    <row r="2569" spans="1:12" x14ac:dyDescent="0.25">
      <c r="A2569">
        <v>3118106</v>
      </c>
      <c r="B2569" t="str">
        <f t="shared" si="40"/>
        <v>CONGONHAS DO NORTE, MG, Brasil</v>
      </c>
      <c r="C2569" s="4" t="str">
        <f>_xlfn.XLOOKUP(A2569,[1]!DadosGHD[CD_GEOCMU],[1]!DadosGHD[Região])</f>
        <v>SD</v>
      </c>
      <c r="D2569" s="4" t="str">
        <f>_xlfn.XLOOKUP(A2569,[1]!DadosGHD[CD_GEOCMU],[1]!DadosGHD[uf])</f>
        <v>MG</v>
      </c>
      <c r="E2569" s="5" t="str">
        <f>_xlfn.XLOOKUP(A2569,[1]!DadosGHD[CD_GEOCMU],[1]!DadosGHD[MUNICIPIO])</f>
        <v>CONGONHAS DO NORTE</v>
      </c>
      <c r="F2569" s="6">
        <v>38.667362213134801</v>
      </c>
      <c r="G2569" s="6">
        <v>38.713020324707003</v>
      </c>
      <c r="H2569" s="6">
        <v>38.773349761962898</v>
      </c>
      <c r="I2569" s="6">
        <v>38.780189514160199</v>
      </c>
      <c r="J2569" s="6">
        <v>38.801433563232401</v>
      </c>
      <c r="K2569" s="6">
        <v>38.835700988769503</v>
      </c>
      <c r="L2569" s="6">
        <v>44.0242729187012</v>
      </c>
    </row>
    <row r="2570" spans="1:12" x14ac:dyDescent="0.25">
      <c r="A2570">
        <v>2930105</v>
      </c>
      <c r="B2570" t="str">
        <f t="shared" si="40"/>
        <v>SENHOR DO BONFIM, BA, Brasil</v>
      </c>
      <c r="C2570" s="4" t="str">
        <f>_xlfn.XLOOKUP(A2570,[1]!DadosGHD[CD_GEOCMU],[1]!DadosGHD[Região])</f>
        <v>NE</v>
      </c>
      <c r="D2570" s="4" t="str">
        <f>_xlfn.XLOOKUP(A2570,[1]!DadosGHD[CD_GEOCMU],[1]!DadosGHD[uf])</f>
        <v>BA</v>
      </c>
      <c r="E2570" s="5" t="str">
        <f>_xlfn.XLOOKUP(A2570,[1]!DadosGHD[CD_GEOCMU],[1]!DadosGHD[MUNICIPIO])</f>
        <v>SENHOR DO BONFIM</v>
      </c>
      <c r="F2570" s="6">
        <v>38.667453765869098</v>
      </c>
      <c r="G2570" s="6">
        <v>38.727348327636697</v>
      </c>
      <c r="H2570" s="6">
        <v>38.764720916748097</v>
      </c>
      <c r="I2570" s="6">
        <v>38.7738037109375</v>
      </c>
      <c r="J2570" s="6">
        <v>48.731136322021499</v>
      </c>
      <c r="K2570" s="6">
        <v>48.858627319335902</v>
      </c>
      <c r="L2570" s="6">
        <v>44.059726715087898</v>
      </c>
    </row>
    <row r="2571" spans="1:12" x14ac:dyDescent="0.25">
      <c r="A2571">
        <v>3304706</v>
      </c>
      <c r="B2571" t="str">
        <f t="shared" si="40"/>
        <v>SANTO ANTONIO DE PADUA, RJ, Brasil</v>
      </c>
      <c r="C2571" s="4" t="str">
        <f>_xlfn.XLOOKUP(A2571,[1]!DadosGHD[CD_GEOCMU],[1]!DadosGHD[Região])</f>
        <v>SD</v>
      </c>
      <c r="D2571" s="4" t="str">
        <f>_xlfn.XLOOKUP(A2571,[1]!DadosGHD[CD_GEOCMU],[1]!DadosGHD[uf])</f>
        <v>RJ</v>
      </c>
      <c r="E2571" s="5" t="str">
        <f>_xlfn.XLOOKUP(A2571,[1]!DadosGHD[CD_GEOCMU],[1]!DadosGHD[MUNICIPIO])</f>
        <v>SANTO ANTONIO DE PADUA</v>
      </c>
      <c r="F2571" s="6">
        <v>38.667617797851598</v>
      </c>
      <c r="G2571" s="6">
        <v>38.7418022155762</v>
      </c>
      <c r="H2571" s="6">
        <v>38.7783813476563</v>
      </c>
      <c r="I2571" s="6">
        <v>38.786239624023402</v>
      </c>
      <c r="J2571" s="6">
        <v>38.838523864746101</v>
      </c>
      <c r="K2571" s="6">
        <v>38.865928649902301</v>
      </c>
      <c r="L2571" s="6">
        <v>35.139324188232401</v>
      </c>
    </row>
    <row r="2572" spans="1:12" x14ac:dyDescent="0.25">
      <c r="A2572">
        <v>4127601</v>
      </c>
      <c r="B2572" t="str">
        <f t="shared" si="40"/>
        <v>TIJUCAS DO SUL, PR, Brasil</v>
      </c>
      <c r="C2572" s="4" t="str">
        <f>_xlfn.XLOOKUP(A2572,[1]!DadosGHD[CD_GEOCMU],[1]!DadosGHD[Região])</f>
        <v>SL</v>
      </c>
      <c r="D2572" s="4" t="str">
        <f>_xlfn.XLOOKUP(A2572,[1]!DadosGHD[CD_GEOCMU],[1]!DadosGHD[uf])</f>
        <v>PR</v>
      </c>
      <c r="E2572" s="5" t="str">
        <f>_xlfn.XLOOKUP(A2572,[1]!DadosGHD[CD_GEOCMU],[1]!DadosGHD[MUNICIPIO])</f>
        <v>TIJUCAS DO SUL</v>
      </c>
      <c r="F2572" s="6">
        <v>38.667778015136697</v>
      </c>
      <c r="G2572" s="6">
        <v>38.723770141601598</v>
      </c>
      <c r="H2572" s="6">
        <v>38.808601379394503</v>
      </c>
      <c r="I2572" s="6">
        <v>38.8034477233887</v>
      </c>
      <c r="J2572" s="6">
        <v>38.831264495849602</v>
      </c>
      <c r="K2572" s="6">
        <v>38.841991424560597</v>
      </c>
      <c r="L2572" s="6">
        <v>44.065540313720703</v>
      </c>
    </row>
    <row r="2573" spans="1:12" x14ac:dyDescent="0.25">
      <c r="A2573">
        <v>1600501</v>
      </c>
      <c r="B2573" t="str">
        <f t="shared" si="40"/>
        <v>OIAPOQUE, AP, Brasil</v>
      </c>
      <c r="C2573" s="4" t="str">
        <f>_xlfn.XLOOKUP(A2573,[1]!DadosGHD[CD_GEOCMU],[1]!DadosGHD[Região])</f>
        <v>NO</v>
      </c>
      <c r="D2573" s="4" t="str">
        <f>_xlfn.XLOOKUP(A2573,[1]!DadosGHD[CD_GEOCMU],[1]!DadosGHD[uf])</f>
        <v>AP</v>
      </c>
      <c r="E2573" s="5" t="str">
        <f>_xlfn.XLOOKUP(A2573,[1]!DadosGHD[CD_GEOCMU],[1]!DadosGHD[MUNICIPIO])</f>
        <v>OIAPOQUE</v>
      </c>
      <c r="F2573" s="6">
        <v>38.667793273925803</v>
      </c>
      <c r="G2573" s="6">
        <v>33.8356323242188</v>
      </c>
      <c r="H2573" s="6">
        <v>33.860073089599602</v>
      </c>
      <c r="I2573" s="6">
        <v>33.832328796386697</v>
      </c>
      <c r="J2573" s="6">
        <v>33.840633392333999</v>
      </c>
      <c r="K2573" s="6">
        <v>33.865280151367202</v>
      </c>
      <c r="L2573" s="6">
        <v>26.2860317230225</v>
      </c>
    </row>
    <row r="2574" spans="1:12" x14ac:dyDescent="0.25">
      <c r="A2574">
        <v>3136801</v>
      </c>
      <c r="B2574" t="str">
        <f t="shared" si="40"/>
        <v>JURAMENTO, MG, Brasil</v>
      </c>
      <c r="C2574" s="4" t="str">
        <f>_xlfn.XLOOKUP(A2574,[1]!DadosGHD[CD_GEOCMU],[1]!DadosGHD[Região])</f>
        <v>SD</v>
      </c>
      <c r="D2574" s="4" t="str">
        <f>_xlfn.XLOOKUP(A2574,[1]!DadosGHD[CD_GEOCMU],[1]!DadosGHD[uf])</f>
        <v>MG</v>
      </c>
      <c r="E2574" s="5" t="str">
        <f>_xlfn.XLOOKUP(A2574,[1]!DadosGHD[CD_GEOCMU],[1]!DadosGHD[MUNICIPIO])</f>
        <v>JURAMENTO</v>
      </c>
      <c r="F2574" s="6">
        <v>38.667816162109403</v>
      </c>
      <c r="G2574" s="6">
        <v>38.698921203613303</v>
      </c>
      <c r="H2574" s="6">
        <v>38.744354248046903</v>
      </c>
      <c r="I2574" s="6">
        <v>38.717960357666001</v>
      </c>
      <c r="J2574" s="6">
        <v>33.894004821777301</v>
      </c>
      <c r="K2574" s="6">
        <v>33.924415588378899</v>
      </c>
      <c r="L2574" s="6">
        <v>26.283826828002901</v>
      </c>
    </row>
    <row r="2575" spans="1:12" x14ac:dyDescent="0.25">
      <c r="A2575">
        <v>4119202</v>
      </c>
      <c r="B2575" t="str">
        <f t="shared" si="40"/>
        <v>PINHALAO, PR, Brasil</v>
      </c>
      <c r="C2575" s="4" t="str">
        <f>_xlfn.XLOOKUP(A2575,[1]!DadosGHD[CD_GEOCMU],[1]!DadosGHD[Região])</f>
        <v>SL</v>
      </c>
      <c r="D2575" s="4" t="str">
        <f>_xlfn.XLOOKUP(A2575,[1]!DadosGHD[CD_GEOCMU],[1]!DadosGHD[uf])</f>
        <v>PR</v>
      </c>
      <c r="E2575" s="5" t="str">
        <f>_xlfn.XLOOKUP(A2575,[1]!DadosGHD[CD_GEOCMU],[1]!DadosGHD[MUNICIPIO])</f>
        <v>PINHALAO</v>
      </c>
      <c r="F2575" s="6">
        <v>38.667839050292997</v>
      </c>
      <c r="G2575" s="6">
        <v>38.759056091308601</v>
      </c>
      <c r="H2575" s="6">
        <v>38.806648254394503</v>
      </c>
      <c r="I2575" s="6">
        <v>38.7905883789063</v>
      </c>
      <c r="J2575" s="6">
        <v>38.803329467773402</v>
      </c>
      <c r="K2575" s="6">
        <v>38.872585296630902</v>
      </c>
      <c r="L2575" s="6">
        <v>44.017387390136697</v>
      </c>
    </row>
    <row r="2576" spans="1:12" x14ac:dyDescent="0.25">
      <c r="A2576">
        <v>3160306</v>
      </c>
      <c r="B2576" t="str">
        <f t="shared" si="40"/>
        <v>SANTO ANTONIO DO JACINTO, MG, Brasil</v>
      </c>
      <c r="C2576" s="4" t="str">
        <f>_xlfn.XLOOKUP(A2576,[1]!DadosGHD[CD_GEOCMU],[1]!DadosGHD[Região])</f>
        <v>SD</v>
      </c>
      <c r="D2576" s="4" t="str">
        <f>_xlfn.XLOOKUP(A2576,[1]!DadosGHD[CD_GEOCMU],[1]!DadosGHD[uf])</f>
        <v>MG</v>
      </c>
      <c r="E2576" s="5" t="str">
        <f>_xlfn.XLOOKUP(A2576,[1]!DadosGHD[CD_GEOCMU],[1]!DadosGHD[MUNICIPIO])</f>
        <v>SANTO ANTONIO DO JACINTO</v>
      </c>
      <c r="F2576" s="6">
        <v>38.667945861816399</v>
      </c>
      <c r="G2576" s="6">
        <v>38.772258758544901</v>
      </c>
      <c r="H2576" s="6">
        <v>38.817924499511697</v>
      </c>
      <c r="I2576" s="6">
        <v>38.796424865722699</v>
      </c>
      <c r="J2576" s="6">
        <v>38.819900512695298</v>
      </c>
      <c r="K2576" s="6">
        <v>38.869453430175803</v>
      </c>
      <c r="L2576" s="6">
        <v>35.1217651367188</v>
      </c>
    </row>
    <row r="2577" spans="1:12" x14ac:dyDescent="0.25">
      <c r="A2577">
        <v>4305871</v>
      </c>
      <c r="B2577" t="str">
        <f t="shared" si="40"/>
        <v>CORONEL BARROS, RS, Brasil</v>
      </c>
      <c r="C2577" s="4" t="str">
        <f>_xlfn.XLOOKUP(A2577,[1]!DadosGHD[CD_GEOCMU],[1]!DadosGHD[Região])</f>
        <v>SL</v>
      </c>
      <c r="D2577" s="4" t="str">
        <f>_xlfn.XLOOKUP(A2577,[1]!DadosGHD[CD_GEOCMU],[1]!DadosGHD[uf])</f>
        <v>RS</v>
      </c>
      <c r="E2577" s="5" t="str">
        <f>_xlfn.XLOOKUP(A2577,[1]!DadosGHD[CD_GEOCMU],[1]!DadosGHD[MUNICIPIO])</f>
        <v>CORONEL BARROS</v>
      </c>
      <c r="F2577" s="6">
        <v>38.667972564697301</v>
      </c>
      <c r="G2577" s="6">
        <v>48.720199584960902</v>
      </c>
      <c r="H2577" s="6">
        <v>48.779705047607401</v>
      </c>
      <c r="I2577" s="6">
        <v>58.926773071289098</v>
      </c>
      <c r="J2577" s="6">
        <v>63.939586639404297</v>
      </c>
      <c r="K2577" s="6">
        <v>59.086124420166001</v>
      </c>
      <c r="L2577" s="6">
        <v>57.589881896972699</v>
      </c>
    </row>
    <row r="2578" spans="1:12" x14ac:dyDescent="0.25">
      <c r="A2578">
        <v>1200385</v>
      </c>
      <c r="B2578" t="str">
        <f t="shared" si="40"/>
        <v>PLACIDO DE CASTRO, AC, Brasil</v>
      </c>
      <c r="C2578" s="4" t="str">
        <f>_xlfn.XLOOKUP(A2578,[1]!DadosGHD[CD_GEOCMU],[1]!DadosGHD[Região])</f>
        <v>NO</v>
      </c>
      <c r="D2578" s="4" t="str">
        <f>_xlfn.XLOOKUP(A2578,[1]!DadosGHD[CD_GEOCMU],[1]!DadosGHD[uf])</f>
        <v>AC</v>
      </c>
      <c r="E2578" s="5" t="str">
        <f>_xlfn.XLOOKUP(A2578,[1]!DadosGHD[CD_GEOCMU],[1]!DadosGHD[MUNICIPIO])</f>
        <v>PLACIDO DE CASTRO</v>
      </c>
      <c r="F2578" s="6">
        <v>38.667976379394503</v>
      </c>
      <c r="G2578" s="6">
        <v>38.7206840515137</v>
      </c>
      <c r="H2578" s="6">
        <v>38.776031494140597</v>
      </c>
      <c r="I2578" s="6">
        <v>38.751922607421903</v>
      </c>
      <c r="J2578" s="6">
        <v>38.767826080322301</v>
      </c>
      <c r="K2578" s="6">
        <v>38.837509155273402</v>
      </c>
      <c r="L2578" s="6">
        <v>30.7216396331787</v>
      </c>
    </row>
    <row r="2579" spans="1:12" x14ac:dyDescent="0.25">
      <c r="A2579">
        <v>2903003</v>
      </c>
      <c r="B2579" t="str">
        <f t="shared" si="40"/>
        <v>BARRA DO MENDES, BA, Brasil</v>
      </c>
      <c r="C2579" s="4" t="str">
        <f>_xlfn.XLOOKUP(A2579,[1]!DadosGHD[CD_GEOCMU],[1]!DadosGHD[Região])</f>
        <v>NE</v>
      </c>
      <c r="D2579" s="4" t="str">
        <f>_xlfn.XLOOKUP(A2579,[1]!DadosGHD[CD_GEOCMU],[1]!DadosGHD[uf])</f>
        <v>BA</v>
      </c>
      <c r="E2579" s="5" t="str">
        <f>_xlfn.XLOOKUP(A2579,[1]!DadosGHD[CD_GEOCMU],[1]!DadosGHD[MUNICIPIO])</f>
        <v>BARRA DO MENDES</v>
      </c>
      <c r="F2579" s="6">
        <v>38.668144226074197</v>
      </c>
      <c r="G2579" s="6">
        <v>38.7437133789063</v>
      </c>
      <c r="H2579" s="6">
        <v>38.808712005615199</v>
      </c>
      <c r="I2579" s="6">
        <v>38.781383514404297</v>
      </c>
      <c r="J2579" s="6">
        <v>38.835334777832003</v>
      </c>
      <c r="K2579" s="6">
        <v>43.759498596191399</v>
      </c>
      <c r="L2579" s="6">
        <v>44.028553009033203</v>
      </c>
    </row>
    <row r="2580" spans="1:12" x14ac:dyDescent="0.25">
      <c r="A2580">
        <v>2928950</v>
      </c>
      <c r="B2580" t="str">
        <f t="shared" si="40"/>
        <v>SAO DOMINGOS, BA, Brasil</v>
      </c>
      <c r="C2580" s="4" t="str">
        <f>_xlfn.XLOOKUP(A2580,[1]!DadosGHD[CD_GEOCMU],[1]!DadosGHD[Região])</f>
        <v>NE</v>
      </c>
      <c r="D2580" s="4" t="str">
        <f>_xlfn.XLOOKUP(A2580,[1]!DadosGHD[CD_GEOCMU],[1]!DadosGHD[uf])</f>
        <v>BA</v>
      </c>
      <c r="E2580" s="5" t="str">
        <f>_xlfn.XLOOKUP(A2580,[1]!DadosGHD[CD_GEOCMU],[1]!DadosGHD[MUNICIPIO])</f>
        <v>SAO DOMINGOS</v>
      </c>
      <c r="F2580" s="6">
        <v>38.668251037597699</v>
      </c>
      <c r="G2580" s="6">
        <v>38.760002136230497</v>
      </c>
      <c r="H2580" s="6">
        <v>38.812225341796903</v>
      </c>
      <c r="I2580" s="6">
        <v>38.7853813171387</v>
      </c>
      <c r="J2580" s="6">
        <v>38.7955322265625</v>
      </c>
      <c r="K2580" s="6">
        <v>38.8378715515137</v>
      </c>
      <c r="L2580" s="6">
        <v>30.714115142822301</v>
      </c>
    </row>
    <row r="2581" spans="1:12" x14ac:dyDescent="0.25">
      <c r="A2581">
        <v>3115474</v>
      </c>
      <c r="B2581" t="str">
        <f t="shared" si="40"/>
        <v>CATUTI, MG, Brasil</v>
      </c>
      <c r="C2581" s="4" t="str">
        <f>_xlfn.XLOOKUP(A2581,[1]!DadosGHD[CD_GEOCMU],[1]!DadosGHD[Região])</f>
        <v>SD</v>
      </c>
      <c r="D2581" s="4" t="str">
        <f>_xlfn.XLOOKUP(A2581,[1]!DadosGHD[CD_GEOCMU],[1]!DadosGHD[uf])</f>
        <v>MG</v>
      </c>
      <c r="E2581" s="5" t="str">
        <f>_xlfn.XLOOKUP(A2581,[1]!DadosGHD[CD_GEOCMU],[1]!DadosGHD[MUNICIPIO])</f>
        <v>CATUTI</v>
      </c>
      <c r="F2581" s="6">
        <v>38.668308258056598</v>
      </c>
      <c r="G2581" s="6">
        <v>38.703369140625</v>
      </c>
      <c r="H2581" s="6">
        <v>38.780887603759801</v>
      </c>
      <c r="I2581" s="6">
        <v>38.748764038085902</v>
      </c>
      <c r="J2581" s="6">
        <v>38.777435302734403</v>
      </c>
      <c r="K2581" s="6">
        <v>38.791683197021499</v>
      </c>
      <c r="L2581" s="6">
        <v>35.147350311279297</v>
      </c>
    </row>
    <row r="2582" spans="1:12" x14ac:dyDescent="0.25">
      <c r="A2582">
        <v>5208806</v>
      </c>
      <c r="B2582" t="str">
        <f t="shared" si="40"/>
        <v>GOIANIRA, GO, Brasil</v>
      </c>
      <c r="C2582" s="4" t="str">
        <f>_xlfn.XLOOKUP(A2582,[1]!DadosGHD[CD_GEOCMU],[1]!DadosGHD[Região])</f>
        <v>CO</v>
      </c>
      <c r="D2582" s="4" t="str">
        <f>_xlfn.XLOOKUP(A2582,[1]!DadosGHD[CD_GEOCMU],[1]!DadosGHD[uf])</f>
        <v>GO</v>
      </c>
      <c r="E2582" s="5" t="str">
        <f>_xlfn.XLOOKUP(A2582,[1]!DadosGHD[CD_GEOCMU],[1]!DadosGHD[MUNICIPIO])</f>
        <v>GOIANIRA</v>
      </c>
      <c r="F2582" s="6">
        <v>38.668418884277301</v>
      </c>
      <c r="G2582" s="6">
        <v>43.678096771240199</v>
      </c>
      <c r="H2582" s="6">
        <v>43.722137451171903</v>
      </c>
      <c r="I2582" s="6">
        <v>38.804458618164098</v>
      </c>
      <c r="J2582" s="6">
        <v>38.798103332519503</v>
      </c>
      <c r="K2582" s="6">
        <v>33.921463012695298</v>
      </c>
      <c r="L2582" s="6">
        <v>30.715131759643601</v>
      </c>
    </row>
    <row r="2583" spans="1:12" x14ac:dyDescent="0.25">
      <c r="A2583">
        <v>1700400</v>
      </c>
      <c r="B2583" t="str">
        <f t="shared" si="40"/>
        <v>ALMAS, TO, Brasil</v>
      </c>
      <c r="C2583" s="4" t="str">
        <f>_xlfn.XLOOKUP(A2583,[1]!DadosGHD[CD_GEOCMU],[1]!DadosGHD[Região])</f>
        <v>NO</v>
      </c>
      <c r="D2583" s="4" t="str">
        <f>_xlfn.XLOOKUP(A2583,[1]!DadosGHD[CD_GEOCMU],[1]!DadosGHD[uf])</f>
        <v>TO</v>
      </c>
      <c r="E2583" s="5" t="str">
        <f>_xlfn.XLOOKUP(A2583,[1]!DadosGHD[CD_GEOCMU],[1]!DadosGHD[MUNICIPIO])</f>
        <v>ALMAS</v>
      </c>
      <c r="F2583" s="6">
        <v>38.668735504150398</v>
      </c>
      <c r="G2583" s="6">
        <v>38.725093841552699</v>
      </c>
      <c r="H2583" s="6">
        <v>38.767219543457003</v>
      </c>
      <c r="I2583" s="6">
        <v>33.824253082275398</v>
      </c>
      <c r="J2583" s="6">
        <v>33.841575622558601</v>
      </c>
      <c r="K2583" s="6">
        <v>33.890594482421903</v>
      </c>
      <c r="L2583" s="6">
        <v>26.294975280761701</v>
      </c>
    </row>
    <row r="2584" spans="1:12" x14ac:dyDescent="0.25">
      <c r="A2584">
        <v>3517604</v>
      </c>
      <c r="B2584" t="str">
        <f t="shared" si="40"/>
        <v>GUAPIARA, SP, Brasil</v>
      </c>
      <c r="C2584" s="4" t="str">
        <f>_xlfn.XLOOKUP(A2584,[1]!DadosGHD[CD_GEOCMU],[1]!DadosGHD[Região])</f>
        <v>SD</v>
      </c>
      <c r="D2584" s="4" t="str">
        <f>_xlfn.XLOOKUP(A2584,[1]!DadosGHD[CD_GEOCMU],[1]!DadosGHD[uf])</f>
        <v>SP</v>
      </c>
      <c r="E2584" s="5" t="str">
        <f>_xlfn.XLOOKUP(A2584,[1]!DadosGHD[CD_GEOCMU],[1]!DadosGHD[MUNICIPIO])</f>
        <v>GUAPIARA</v>
      </c>
      <c r="F2584" s="6">
        <v>38.668800354003899</v>
      </c>
      <c r="G2584" s="6">
        <v>38.751399993896499</v>
      </c>
      <c r="H2584" s="6">
        <v>38.794723510742202</v>
      </c>
      <c r="I2584" s="6">
        <v>38.736476898193402</v>
      </c>
      <c r="J2584" s="6">
        <v>38.750743865966797</v>
      </c>
      <c r="K2584" s="6">
        <v>38.807579040527301</v>
      </c>
      <c r="L2584" s="6">
        <v>30.68922996521</v>
      </c>
    </row>
    <row r="2585" spans="1:12" x14ac:dyDescent="0.25">
      <c r="A2585">
        <v>3117207</v>
      </c>
      <c r="B2585" t="str">
        <f t="shared" si="40"/>
        <v>CONCEICAO DAS PEDRAS, MG, Brasil</v>
      </c>
      <c r="C2585" s="4" t="str">
        <f>_xlfn.XLOOKUP(A2585,[1]!DadosGHD[CD_GEOCMU],[1]!DadosGHD[Região])</f>
        <v>SD</v>
      </c>
      <c r="D2585" s="4" t="str">
        <f>_xlfn.XLOOKUP(A2585,[1]!DadosGHD[CD_GEOCMU],[1]!DadosGHD[uf])</f>
        <v>MG</v>
      </c>
      <c r="E2585" s="5" t="str">
        <f>_xlfn.XLOOKUP(A2585,[1]!DadosGHD[CD_GEOCMU],[1]!DadosGHD[MUNICIPIO])</f>
        <v>CONCEICAO DAS PEDRAS</v>
      </c>
      <c r="F2585" s="6">
        <v>38.6688041687012</v>
      </c>
      <c r="G2585" s="6">
        <v>43.723865509033203</v>
      </c>
      <c r="H2585" s="6">
        <v>43.795425415039098</v>
      </c>
      <c r="I2585" s="6">
        <v>43.7767524719238</v>
      </c>
      <c r="J2585" s="6">
        <v>43.811149597167997</v>
      </c>
      <c r="K2585" s="6">
        <v>43.877399444580099</v>
      </c>
      <c r="L2585" s="6">
        <v>44.068729400634801</v>
      </c>
    </row>
    <row r="2586" spans="1:12" x14ac:dyDescent="0.25">
      <c r="A2586">
        <v>2412609</v>
      </c>
      <c r="B2586" t="str">
        <f t="shared" si="40"/>
        <v>SAO PAULO DO POTENGI, RN, Brasil</v>
      </c>
      <c r="C2586" s="4" t="str">
        <f>_xlfn.XLOOKUP(A2586,[1]!DadosGHD[CD_GEOCMU],[1]!DadosGHD[Região])</f>
        <v>NE</v>
      </c>
      <c r="D2586" s="4" t="str">
        <f>_xlfn.XLOOKUP(A2586,[1]!DadosGHD[CD_GEOCMU],[1]!DadosGHD[uf])</f>
        <v>RN</v>
      </c>
      <c r="E2586" s="5" t="str">
        <f>_xlfn.XLOOKUP(A2586,[1]!DadosGHD[CD_GEOCMU],[1]!DadosGHD[MUNICIPIO])</f>
        <v>SAO PAULO DO POTENGI</v>
      </c>
      <c r="F2586" s="6">
        <v>38.668830871582003</v>
      </c>
      <c r="G2586" s="6">
        <v>38.7486763000488</v>
      </c>
      <c r="H2586" s="6">
        <v>38.812778472900398</v>
      </c>
      <c r="I2586" s="6">
        <v>38.767036437988303</v>
      </c>
      <c r="J2586" s="6">
        <v>38.768852233886697</v>
      </c>
      <c r="K2586" s="6">
        <v>38.802501678466797</v>
      </c>
      <c r="L2586" s="6">
        <v>39.600170135498097</v>
      </c>
    </row>
    <row r="2587" spans="1:12" x14ac:dyDescent="0.25">
      <c r="A2587">
        <v>1502400</v>
      </c>
      <c r="B2587" t="str">
        <f t="shared" si="40"/>
        <v>CASTANHAL, PA, Brasil</v>
      </c>
      <c r="C2587" s="4" t="str">
        <f>_xlfn.XLOOKUP(A2587,[1]!DadosGHD[CD_GEOCMU],[1]!DadosGHD[Região])</f>
        <v>NO</v>
      </c>
      <c r="D2587" s="4" t="str">
        <f>_xlfn.XLOOKUP(A2587,[1]!DadosGHD[CD_GEOCMU],[1]!DadosGHD[uf])</f>
        <v>PA</v>
      </c>
      <c r="E2587" s="5" t="str">
        <f>_xlfn.XLOOKUP(A2587,[1]!DadosGHD[CD_GEOCMU],[1]!DadosGHD[MUNICIPIO])</f>
        <v>CASTANHAL</v>
      </c>
      <c r="F2587" s="6">
        <v>38.668968200683601</v>
      </c>
      <c r="G2587" s="6">
        <v>38.7262153625488</v>
      </c>
      <c r="H2587" s="6">
        <v>38.806373596191399</v>
      </c>
      <c r="I2587" s="6">
        <v>38.807247161865199</v>
      </c>
      <c r="J2587" s="6">
        <v>43.739948272705099</v>
      </c>
      <c r="K2587" s="6">
        <v>43.778167724609403</v>
      </c>
      <c r="L2587" s="6">
        <v>39.601318359375</v>
      </c>
    </row>
    <row r="2588" spans="1:12" x14ac:dyDescent="0.25">
      <c r="A2588">
        <v>3517901</v>
      </c>
      <c r="B2588" t="str">
        <f t="shared" si="40"/>
        <v>GUARACI, SP, Brasil</v>
      </c>
      <c r="C2588" s="4" t="str">
        <f>_xlfn.XLOOKUP(A2588,[1]!DadosGHD[CD_GEOCMU],[1]!DadosGHD[Região])</f>
        <v>SD</v>
      </c>
      <c r="D2588" s="4" t="str">
        <f>_xlfn.XLOOKUP(A2588,[1]!DadosGHD[CD_GEOCMU],[1]!DadosGHD[uf])</f>
        <v>SP</v>
      </c>
      <c r="E2588" s="5" t="str">
        <f>_xlfn.XLOOKUP(A2588,[1]!DadosGHD[CD_GEOCMU],[1]!DadosGHD[MUNICIPIO])</f>
        <v>GUARACI</v>
      </c>
      <c r="F2588" s="6">
        <v>38.669109344482401</v>
      </c>
      <c r="G2588" s="6">
        <v>38.733699798583999</v>
      </c>
      <c r="H2588" s="6">
        <v>38.757461547851598</v>
      </c>
      <c r="I2588" s="6">
        <v>38.724315643310597</v>
      </c>
      <c r="J2588" s="6">
        <v>38.749343872070298</v>
      </c>
      <c r="K2588" s="6">
        <v>33.900093078613303</v>
      </c>
      <c r="L2588" s="6">
        <v>39.556690216064503</v>
      </c>
    </row>
    <row r="2589" spans="1:12" x14ac:dyDescent="0.25">
      <c r="A2589">
        <v>2500700</v>
      </c>
      <c r="B2589" t="str">
        <f t="shared" si="40"/>
        <v>SAO JOAO DO RIO DO PEIXE, PB, Brasil</v>
      </c>
      <c r="C2589" s="4" t="str">
        <f>_xlfn.XLOOKUP(A2589,[1]!DadosGHD[CD_GEOCMU],[1]!DadosGHD[Região])</f>
        <v>NE</v>
      </c>
      <c r="D2589" s="4" t="str">
        <f>_xlfn.XLOOKUP(A2589,[1]!DadosGHD[CD_GEOCMU],[1]!DadosGHD[uf])</f>
        <v>PB</v>
      </c>
      <c r="E2589" s="5" t="str">
        <f>_xlfn.XLOOKUP(A2589,[1]!DadosGHD[CD_GEOCMU],[1]!DadosGHD[MUNICIPIO])</f>
        <v>SAO JOAO DO RIO DO PEIXE</v>
      </c>
      <c r="F2589" s="6">
        <v>38.669364929199197</v>
      </c>
      <c r="G2589" s="6">
        <v>38.706150054931598</v>
      </c>
      <c r="H2589" s="6">
        <v>38.7958374023438</v>
      </c>
      <c r="I2589" s="6">
        <v>38.783432006835902</v>
      </c>
      <c r="J2589" s="6">
        <v>38.798377990722699</v>
      </c>
      <c r="K2589" s="6">
        <v>43.795566558837898</v>
      </c>
      <c r="L2589" s="6">
        <v>44.067935943603501</v>
      </c>
    </row>
    <row r="2590" spans="1:12" x14ac:dyDescent="0.25">
      <c r="A2590">
        <v>2503100</v>
      </c>
      <c r="B2590" t="str">
        <f t="shared" si="40"/>
        <v>CABACEIRAS, PB, Brasil</v>
      </c>
      <c r="C2590" s="4" t="str">
        <f>_xlfn.XLOOKUP(A2590,[1]!DadosGHD[CD_GEOCMU],[1]!DadosGHD[Região])</f>
        <v>NE</v>
      </c>
      <c r="D2590" s="4" t="str">
        <f>_xlfn.XLOOKUP(A2590,[1]!DadosGHD[CD_GEOCMU],[1]!DadosGHD[uf])</f>
        <v>PB</v>
      </c>
      <c r="E2590" s="5" t="str">
        <f>_xlfn.XLOOKUP(A2590,[1]!DadosGHD[CD_GEOCMU],[1]!DadosGHD[MUNICIPIO])</f>
        <v>CABACEIRAS</v>
      </c>
      <c r="F2590" s="6">
        <v>38.669685363769503</v>
      </c>
      <c r="G2590" s="6">
        <v>38.722694396972699</v>
      </c>
      <c r="H2590" s="6">
        <v>38.772209167480497</v>
      </c>
      <c r="I2590" s="6">
        <v>33.872119903564503</v>
      </c>
      <c r="J2590" s="6">
        <v>33.885238647460902</v>
      </c>
      <c r="K2590" s="6">
        <v>28.990425109863299</v>
      </c>
      <c r="L2590" s="6">
        <v>30.701826095581101</v>
      </c>
    </row>
    <row r="2591" spans="1:12" x14ac:dyDescent="0.25">
      <c r="A2591">
        <v>1720978</v>
      </c>
      <c r="B2591" t="str">
        <f t="shared" si="40"/>
        <v>TALISMA, TO, Brasil</v>
      </c>
      <c r="C2591" s="4" t="str">
        <f>_xlfn.XLOOKUP(A2591,[1]!DadosGHD[CD_GEOCMU],[1]!DadosGHD[Região])</f>
        <v>NO</v>
      </c>
      <c r="D2591" s="4" t="str">
        <f>_xlfn.XLOOKUP(A2591,[1]!DadosGHD[CD_GEOCMU],[1]!DadosGHD[uf])</f>
        <v>TO</v>
      </c>
      <c r="E2591" s="5" t="str">
        <f>_xlfn.XLOOKUP(A2591,[1]!DadosGHD[CD_GEOCMU],[1]!DadosGHD[MUNICIPIO])</f>
        <v>TALISMA</v>
      </c>
      <c r="F2591" s="6">
        <v>38.6699028015137</v>
      </c>
      <c r="G2591" s="6">
        <v>28.914464950561499</v>
      </c>
      <c r="H2591" s="6">
        <v>28.944583892822301</v>
      </c>
      <c r="I2591" s="6">
        <v>28.925045013427699</v>
      </c>
      <c r="J2591" s="6">
        <v>28.9409065246582</v>
      </c>
      <c r="K2591" s="6">
        <v>28.9686679840088</v>
      </c>
      <c r="L2591" s="6">
        <v>26.291877746581999</v>
      </c>
    </row>
    <row r="2592" spans="1:12" x14ac:dyDescent="0.25">
      <c r="A2592">
        <v>3526605</v>
      </c>
      <c r="B2592" t="str">
        <f t="shared" si="40"/>
        <v>LAVRINHAS, SP, Brasil</v>
      </c>
      <c r="C2592" s="4" t="str">
        <f>_xlfn.XLOOKUP(A2592,[1]!DadosGHD[CD_GEOCMU],[1]!DadosGHD[Região])</f>
        <v>SD</v>
      </c>
      <c r="D2592" s="4" t="str">
        <f>_xlfn.XLOOKUP(A2592,[1]!DadosGHD[CD_GEOCMU],[1]!DadosGHD[uf])</f>
        <v>SP</v>
      </c>
      <c r="E2592" s="5" t="str">
        <f>_xlfn.XLOOKUP(A2592,[1]!DadosGHD[CD_GEOCMU],[1]!DadosGHD[MUNICIPIO])</f>
        <v>LAVRINHAS</v>
      </c>
      <c r="F2592" s="6">
        <v>38.669956207275398</v>
      </c>
      <c r="G2592" s="6">
        <v>38.739616394042997</v>
      </c>
      <c r="H2592" s="6">
        <v>38.779621124267599</v>
      </c>
      <c r="I2592" s="6">
        <v>38.764839172363303</v>
      </c>
      <c r="J2592" s="6">
        <v>38.7962646484375</v>
      </c>
      <c r="K2592" s="6">
        <v>38.827434539794901</v>
      </c>
      <c r="L2592" s="6">
        <v>44.027717590332003</v>
      </c>
    </row>
    <row r="2593" spans="1:12" x14ac:dyDescent="0.25">
      <c r="A2593">
        <v>3104700</v>
      </c>
      <c r="B2593" t="str">
        <f t="shared" si="40"/>
        <v>ATALEIA, MG, Brasil</v>
      </c>
      <c r="C2593" s="4" t="str">
        <f>_xlfn.XLOOKUP(A2593,[1]!DadosGHD[CD_GEOCMU],[1]!DadosGHD[Região])</f>
        <v>SD</v>
      </c>
      <c r="D2593" s="4" t="str">
        <f>_xlfn.XLOOKUP(A2593,[1]!DadosGHD[CD_GEOCMU],[1]!DadosGHD[uf])</f>
        <v>MG</v>
      </c>
      <c r="E2593" s="5" t="str">
        <f>_xlfn.XLOOKUP(A2593,[1]!DadosGHD[CD_GEOCMU],[1]!DadosGHD[MUNICIPIO])</f>
        <v>ATALEIA</v>
      </c>
      <c r="F2593" s="6">
        <v>38.670051574707003</v>
      </c>
      <c r="G2593" s="6">
        <v>38.765617370605497</v>
      </c>
      <c r="H2593" s="6">
        <v>38.816867828369098</v>
      </c>
      <c r="I2593" s="6">
        <v>38.779922485351598</v>
      </c>
      <c r="J2593" s="6">
        <v>38.811943054199197</v>
      </c>
      <c r="K2593" s="6">
        <v>38.8757133483887</v>
      </c>
      <c r="L2593" s="6">
        <v>30.717370986938501</v>
      </c>
    </row>
    <row r="2594" spans="1:12" x14ac:dyDescent="0.25">
      <c r="A2594">
        <v>2203602</v>
      </c>
      <c r="B2594" t="str">
        <f t="shared" si="40"/>
        <v>ELISEU MARTINS, PI, Brasil</v>
      </c>
      <c r="C2594" s="4" t="str">
        <f>_xlfn.XLOOKUP(A2594,[1]!DadosGHD[CD_GEOCMU],[1]!DadosGHD[Região])</f>
        <v>NE</v>
      </c>
      <c r="D2594" s="4" t="str">
        <f>_xlfn.XLOOKUP(A2594,[1]!DadosGHD[CD_GEOCMU],[1]!DadosGHD[uf])</f>
        <v>PI</v>
      </c>
      <c r="E2594" s="5" t="str">
        <f>_xlfn.XLOOKUP(A2594,[1]!DadosGHD[CD_GEOCMU],[1]!DadosGHD[MUNICIPIO])</f>
        <v>ELISEU MARTINS</v>
      </c>
      <c r="F2594" s="6">
        <v>38.670528411865199</v>
      </c>
      <c r="G2594" s="6">
        <v>38.699954986572301</v>
      </c>
      <c r="H2594" s="6">
        <v>38.783489227294901</v>
      </c>
      <c r="I2594" s="6">
        <v>38.772293090820298</v>
      </c>
      <c r="J2594" s="6">
        <v>38.785568237304702</v>
      </c>
      <c r="K2594" s="6">
        <v>33.913246154785199</v>
      </c>
      <c r="L2594" s="6">
        <v>30.692430496215799</v>
      </c>
    </row>
    <row r="2595" spans="1:12" x14ac:dyDescent="0.25">
      <c r="A2595">
        <v>3166006</v>
      </c>
      <c r="B2595" t="str">
        <f t="shared" si="40"/>
        <v>SENHORA DE OLIVEIRA, MG, Brasil</v>
      </c>
      <c r="C2595" s="4" t="str">
        <f>_xlfn.XLOOKUP(A2595,[1]!DadosGHD[CD_GEOCMU],[1]!DadosGHD[Região])</f>
        <v>SD</v>
      </c>
      <c r="D2595" s="4" t="str">
        <f>_xlfn.XLOOKUP(A2595,[1]!DadosGHD[CD_GEOCMU],[1]!DadosGHD[uf])</f>
        <v>MG</v>
      </c>
      <c r="E2595" s="5" t="str">
        <f>_xlfn.XLOOKUP(A2595,[1]!DadosGHD[CD_GEOCMU],[1]!DadosGHD[MUNICIPIO])</f>
        <v>SENHORA DE OLIVEIRA</v>
      </c>
      <c r="F2595" s="6">
        <v>38.670692443847699</v>
      </c>
      <c r="G2595" s="6">
        <v>38.785072326660199</v>
      </c>
      <c r="H2595" s="6">
        <v>43.707721710205099</v>
      </c>
      <c r="I2595" s="6">
        <v>43.688385009765597</v>
      </c>
      <c r="J2595" s="6">
        <v>43.726818084716797</v>
      </c>
      <c r="K2595" s="6">
        <v>43.805458068847699</v>
      </c>
      <c r="L2595" s="6">
        <v>48.525390625</v>
      </c>
    </row>
    <row r="2596" spans="1:12" x14ac:dyDescent="0.25">
      <c r="A2596">
        <v>2203800</v>
      </c>
      <c r="B2596" t="str">
        <f t="shared" si="40"/>
        <v>FLORES DO PIAUI, PI, Brasil</v>
      </c>
      <c r="C2596" s="4" t="str">
        <f>_xlfn.XLOOKUP(A2596,[1]!DadosGHD[CD_GEOCMU],[1]!DadosGHD[Região])</f>
        <v>NE</v>
      </c>
      <c r="D2596" s="4" t="str">
        <f>_xlfn.XLOOKUP(A2596,[1]!DadosGHD[CD_GEOCMU],[1]!DadosGHD[uf])</f>
        <v>PI</v>
      </c>
      <c r="E2596" s="5" t="str">
        <f>_xlfn.XLOOKUP(A2596,[1]!DadosGHD[CD_GEOCMU],[1]!DadosGHD[MUNICIPIO])</f>
        <v>FLORES DO PIAUI</v>
      </c>
      <c r="F2596" s="6">
        <v>38.670730590820298</v>
      </c>
      <c r="G2596" s="6">
        <v>38.700878143310597</v>
      </c>
      <c r="H2596" s="6">
        <v>33.894950866699197</v>
      </c>
      <c r="I2596" s="6">
        <v>33.872554779052699</v>
      </c>
      <c r="J2596" s="6">
        <v>33.889030456542997</v>
      </c>
      <c r="K2596" s="6">
        <v>33.920093536377003</v>
      </c>
      <c r="L2596" s="6">
        <v>30.684461593627901</v>
      </c>
    </row>
    <row r="2597" spans="1:12" x14ac:dyDescent="0.25">
      <c r="A2597">
        <v>1508100</v>
      </c>
      <c r="B2597" t="str">
        <f t="shared" si="40"/>
        <v>TUCURUI, PA, Brasil</v>
      </c>
      <c r="C2597" s="4" t="str">
        <f>_xlfn.XLOOKUP(A2597,[1]!DadosGHD[CD_GEOCMU],[1]!DadosGHD[Região])</f>
        <v>NO</v>
      </c>
      <c r="D2597" s="4" t="str">
        <f>_xlfn.XLOOKUP(A2597,[1]!DadosGHD[CD_GEOCMU],[1]!DadosGHD[uf])</f>
        <v>PA</v>
      </c>
      <c r="E2597" s="5" t="str">
        <f>_xlfn.XLOOKUP(A2597,[1]!DadosGHD[CD_GEOCMU],[1]!DadosGHD[MUNICIPIO])</f>
        <v>TUCURUI</v>
      </c>
      <c r="F2597" s="6">
        <v>38.670803070068402</v>
      </c>
      <c r="G2597" s="6">
        <v>38.715034484863303</v>
      </c>
      <c r="H2597" s="6">
        <v>33.885936737060597</v>
      </c>
      <c r="I2597" s="6">
        <v>33.8541450500488</v>
      </c>
      <c r="J2597" s="6">
        <v>33.856021881103501</v>
      </c>
      <c r="K2597" s="6">
        <v>33.8826904296875</v>
      </c>
      <c r="L2597" s="6">
        <v>26.296749114990199</v>
      </c>
    </row>
    <row r="2598" spans="1:12" x14ac:dyDescent="0.25">
      <c r="A2598">
        <v>2606002</v>
      </c>
      <c r="B2598" t="str">
        <f t="shared" si="40"/>
        <v>GARANHUNS, PE, Brasil</v>
      </c>
      <c r="C2598" s="4" t="str">
        <f>_xlfn.XLOOKUP(A2598,[1]!DadosGHD[CD_GEOCMU],[1]!DadosGHD[Região])</f>
        <v>NE</v>
      </c>
      <c r="D2598" s="4" t="str">
        <f>_xlfn.XLOOKUP(A2598,[1]!DadosGHD[CD_GEOCMU],[1]!DadosGHD[uf])</f>
        <v>PE</v>
      </c>
      <c r="E2598" s="5" t="str">
        <f>_xlfn.XLOOKUP(A2598,[1]!DadosGHD[CD_GEOCMU],[1]!DadosGHD[MUNICIPIO])</f>
        <v>GARANHUNS</v>
      </c>
      <c r="F2598" s="6">
        <v>38.670856475830099</v>
      </c>
      <c r="G2598" s="6">
        <v>38.755809783935597</v>
      </c>
      <c r="H2598" s="6">
        <v>38.808158874511697</v>
      </c>
      <c r="I2598" s="6">
        <v>38.785678863525398</v>
      </c>
      <c r="J2598" s="6">
        <v>43.749374389648402</v>
      </c>
      <c r="K2598" s="6">
        <v>38.873222351074197</v>
      </c>
      <c r="L2598" s="6">
        <v>35.149589538574197</v>
      </c>
    </row>
    <row r="2599" spans="1:12" x14ac:dyDescent="0.25">
      <c r="A2599">
        <v>2408805</v>
      </c>
      <c r="B2599" t="str">
        <f t="shared" si="40"/>
        <v>PARAZINHO, RN, Brasil</v>
      </c>
      <c r="C2599" s="4" t="str">
        <f>_xlfn.XLOOKUP(A2599,[1]!DadosGHD[CD_GEOCMU],[1]!DadosGHD[Região])</f>
        <v>NE</v>
      </c>
      <c r="D2599" s="4" t="str">
        <f>_xlfn.XLOOKUP(A2599,[1]!DadosGHD[CD_GEOCMU],[1]!DadosGHD[uf])</f>
        <v>RN</v>
      </c>
      <c r="E2599" s="5" t="str">
        <f>_xlfn.XLOOKUP(A2599,[1]!DadosGHD[CD_GEOCMU],[1]!DadosGHD[MUNICIPIO])</f>
        <v>PARAZINHO</v>
      </c>
      <c r="F2599" s="6">
        <v>38.670883178710902</v>
      </c>
      <c r="G2599" s="6">
        <v>38.7208442687988</v>
      </c>
      <c r="H2599" s="6">
        <v>38.785102844238303</v>
      </c>
      <c r="I2599" s="6">
        <v>33.873752593994098</v>
      </c>
      <c r="J2599" s="6">
        <v>33.864650726318402</v>
      </c>
      <c r="K2599" s="6">
        <v>33.890274047851598</v>
      </c>
      <c r="L2599" s="6">
        <v>26.297075271606399</v>
      </c>
    </row>
    <row r="2600" spans="1:12" x14ac:dyDescent="0.25">
      <c r="A2600">
        <v>4111555</v>
      </c>
      <c r="B2600" t="str">
        <f t="shared" si="40"/>
        <v>IVATE, PR, Brasil</v>
      </c>
      <c r="C2600" s="4" t="str">
        <f>_xlfn.XLOOKUP(A2600,[1]!DadosGHD[CD_GEOCMU],[1]!DadosGHD[Região])</f>
        <v>SL</v>
      </c>
      <c r="D2600" s="4" t="str">
        <f>_xlfn.XLOOKUP(A2600,[1]!DadosGHD[CD_GEOCMU],[1]!DadosGHD[uf])</f>
        <v>PR</v>
      </c>
      <c r="E2600" s="5" t="str">
        <f>_xlfn.XLOOKUP(A2600,[1]!DadosGHD[CD_GEOCMU],[1]!DadosGHD[MUNICIPIO])</f>
        <v>IVATE</v>
      </c>
      <c r="F2600" s="6">
        <v>38.670982360839801</v>
      </c>
      <c r="G2600" s="6">
        <v>38.733146667480497</v>
      </c>
      <c r="H2600" s="6">
        <v>38.785530090332003</v>
      </c>
      <c r="I2600" s="6">
        <v>38.753768920898402</v>
      </c>
      <c r="J2600" s="6">
        <v>38.780353546142599</v>
      </c>
      <c r="K2600" s="6">
        <v>38.806114196777301</v>
      </c>
      <c r="L2600" s="6">
        <v>44.015007019042997</v>
      </c>
    </row>
    <row r="2601" spans="1:12" x14ac:dyDescent="0.25">
      <c r="A2601">
        <v>1717008</v>
      </c>
      <c r="B2601" t="str">
        <f t="shared" si="40"/>
        <v>PINDORAMA DO TOCANTINS, TO, Brasil</v>
      </c>
      <c r="C2601" s="4" t="str">
        <f>_xlfn.XLOOKUP(A2601,[1]!DadosGHD[CD_GEOCMU],[1]!DadosGHD[Região])</f>
        <v>NO</v>
      </c>
      <c r="D2601" s="4" t="str">
        <f>_xlfn.XLOOKUP(A2601,[1]!DadosGHD[CD_GEOCMU],[1]!DadosGHD[uf])</f>
        <v>TO</v>
      </c>
      <c r="E2601" s="5" t="str">
        <f>_xlfn.XLOOKUP(A2601,[1]!DadosGHD[CD_GEOCMU],[1]!DadosGHD[MUNICIPIO])</f>
        <v>PINDORAMA DO TOCANTINS</v>
      </c>
      <c r="F2601" s="6">
        <v>38.671310424804702</v>
      </c>
      <c r="G2601" s="6">
        <v>38.703071594238303</v>
      </c>
      <c r="H2601" s="6">
        <v>38.743282318115199</v>
      </c>
      <c r="I2601" s="6">
        <v>38.734592437744098</v>
      </c>
      <c r="J2601" s="6">
        <v>38.751873016357401</v>
      </c>
      <c r="K2601" s="6">
        <v>38.7858276367188</v>
      </c>
      <c r="L2601" s="6">
        <v>30.701932907104499</v>
      </c>
    </row>
    <row r="2602" spans="1:12" x14ac:dyDescent="0.25">
      <c r="A2602">
        <v>2507002</v>
      </c>
      <c r="B2602" t="str">
        <f t="shared" si="40"/>
        <v>ITAPORANGA, PB, Brasil</v>
      </c>
      <c r="C2602" s="4" t="str">
        <f>_xlfn.XLOOKUP(A2602,[1]!DadosGHD[CD_GEOCMU],[1]!DadosGHD[Região])</f>
        <v>NE</v>
      </c>
      <c r="D2602" s="4" t="str">
        <f>_xlfn.XLOOKUP(A2602,[1]!DadosGHD[CD_GEOCMU],[1]!DadosGHD[uf])</f>
        <v>PB</v>
      </c>
      <c r="E2602" s="5" t="str">
        <f>_xlfn.XLOOKUP(A2602,[1]!DadosGHD[CD_GEOCMU],[1]!DadosGHD[MUNICIPIO])</f>
        <v>ITAPORANGA</v>
      </c>
      <c r="F2602" s="6">
        <v>38.67138671875</v>
      </c>
      <c r="G2602" s="6">
        <v>38.750686645507798</v>
      </c>
      <c r="H2602" s="6">
        <v>43.730964660644503</v>
      </c>
      <c r="I2602" s="6">
        <v>43.718051910400398</v>
      </c>
      <c r="J2602" s="6">
        <v>38.826107025146499</v>
      </c>
      <c r="K2602" s="6">
        <v>38.866283416748097</v>
      </c>
      <c r="L2602" s="6">
        <v>35.120845794677699</v>
      </c>
    </row>
    <row r="2603" spans="1:12" x14ac:dyDescent="0.25">
      <c r="A2603">
        <v>1100148</v>
      </c>
      <c r="B2603" t="str">
        <f t="shared" si="40"/>
        <v>NOVA BRASILANDIA D'OESTE, RO, Brasil</v>
      </c>
      <c r="C2603" s="4" t="str">
        <f>_xlfn.XLOOKUP(A2603,[1]!DadosGHD[CD_GEOCMU],[1]!DadosGHD[Região])</f>
        <v>NO</v>
      </c>
      <c r="D2603" s="4" t="str">
        <f>_xlfn.XLOOKUP(A2603,[1]!DadosGHD[CD_GEOCMU],[1]!DadosGHD[uf])</f>
        <v>RO</v>
      </c>
      <c r="E2603" s="5" t="str">
        <f>_xlfn.XLOOKUP(A2603,[1]!DadosGHD[CD_GEOCMU],[1]!DadosGHD[MUNICIPIO])</f>
        <v>NOVA BRASILANDIA D'OESTE</v>
      </c>
      <c r="F2603" s="6">
        <v>38.671531677246101</v>
      </c>
      <c r="G2603" s="6">
        <v>38.7687797546387</v>
      </c>
      <c r="H2603" s="6">
        <v>43.720699310302699</v>
      </c>
      <c r="I2603" s="6">
        <v>43.7513427734375</v>
      </c>
      <c r="J2603" s="6">
        <v>43.801780700683601</v>
      </c>
      <c r="K2603" s="6">
        <v>43.870899200439503</v>
      </c>
      <c r="L2603" s="6">
        <v>44.070846557617202</v>
      </c>
    </row>
    <row r="2604" spans="1:12" x14ac:dyDescent="0.25">
      <c r="A2604">
        <v>2502151</v>
      </c>
      <c r="B2604" t="str">
        <f t="shared" si="40"/>
        <v>BOA VISTA, PB, Brasil</v>
      </c>
      <c r="C2604" s="4" t="str">
        <f>_xlfn.XLOOKUP(A2604,[1]!DadosGHD[CD_GEOCMU],[1]!DadosGHD[Região])</f>
        <v>NE</v>
      </c>
      <c r="D2604" s="4" t="str">
        <f>_xlfn.XLOOKUP(A2604,[1]!DadosGHD[CD_GEOCMU],[1]!DadosGHD[uf])</f>
        <v>PB</v>
      </c>
      <c r="E2604" s="5" t="str">
        <f>_xlfn.XLOOKUP(A2604,[1]!DadosGHD[CD_GEOCMU],[1]!DadosGHD[MUNICIPIO])</f>
        <v>BOA VISTA</v>
      </c>
      <c r="F2604" s="6">
        <v>38.671596527099602</v>
      </c>
      <c r="G2604" s="6">
        <v>38.764888763427699</v>
      </c>
      <c r="H2604" s="6">
        <v>38.800212860107401</v>
      </c>
      <c r="I2604" s="6">
        <v>38.725635528564503</v>
      </c>
      <c r="J2604" s="6">
        <v>38.763095855712898</v>
      </c>
      <c r="K2604" s="6">
        <v>38.853355407714801</v>
      </c>
      <c r="L2604" s="6">
        <v>44.031696319580099</v>
      </c>
    </row>
    <row r="2605" spans="1:12" x14ac:dyDescent="0.25">
      <c r="A2605">
        <v>1702208</v>
      </c>
      <c r="B2605" t="str">
        <f t="shared" si="40"/>
        <v>ARAGUATINS, TO, Brasil</v>
      </c>
      <c r="C2605" s="4" t="str">
        <f>_xlfn.XLOOKUP(A2605,[1]!DadosGHD[CD_GEOCMU],[1]!DadosGHD[Região])</f>
        <v>NO</v>
      </c>
      <c r="D2605" s="4" t="str">
        <f>_xlfn.XLOOKUP(A2605,[1]!DadosGHD[CD_GEOCMU],[1]!DadosGHD[uf])</f>
        <v>TO</v>
      </c>
      <c r="E2605" s="5" t="str">
        <f>_xlfn.XLOOKUP(A2605,[1]!DadosGHD[CD_GEOCMU],[1]!DadosGHD[MUNICIPIO])</f>
        <v>ARAGUATINS</v>
      </c>
      <c r="F2605" s="6">
        <v>38.671867370605497</v>
      </c>
      <c r="G2605" s="6">
        <v>38.742973327636697</v>
      </c>
      <c r="H2605" s="6">
        <v>38.789283752441399</v>
      </c>
      <c r="I2605" s="6">
        <v>38.745552062988303</v>
      </c>
      <c r="J2605" s="6">
        <v>38.751014709472699</v>
      </c>
      <c r="K2605" s="6">
        <v>38.798423767089801</v>
      </c>
      <c r="L2605" s="6">
        <v>30.7090358734131</v>
      </c>
    </row>
    <row r="2606" spans="1:12" x14ac:dyDescent="0.25">
      <c r="A2606">
        <v>3134707</v>
      </c>
      <c r="B2606" t="str">
        <f t="shared" si="40"/>
        <v>JACINTO, MG, Brasil</v>
      </c>
      <c r="C2606" s="4" t="str">
        <f>_xlfn.XLOOKUP(A2606,[1]!DadosGHD[CD_GEOCMU],[1]!DadosGHD[Região])</f>
        <v>SD</v>
      </c>
      <c r="D2606" s="4" t="str">
        <f>_xlfn.XLOOKUP(A2606,[1]!DadosGHD[CD_GEOCMU],[1]!DadosGHD[uf])</f>
        <v>MG</v>
      </c>
      <c r="E2606" s="5" t="str">
        <f>_xlfn.XLOOKUP(A2606,[1]!DadosGHD[CD_GEOCMU],[1]!DadosGHD[MUNICIPIO])</f>
        <v>JACINTO</v>
      </c>
      <c r="F2606" s="6">
        <v>38.671905517578097</v>
      </c>
      <c r="G2606" s="6">
        <v>38.722232818603501</v>
      </c>
      <c r="H2606" s="6">
        <v>38.777778625488303</v>
      </c>
      <c r="I2606" s="6">
        <v>38.7467651367188</v>
      </c>
      <c r="J2606" s="6">
        <v>38.756340026855497</v>
      </c>
      <c r="K2606" s="6">
        <v>38.798965454101598</v>
      </c>
      <c r="L2606" s="6">
        <v>35.1198120117188</v>
      </c>
    </row>
    <row r="2607" spans="1:12" x14ac:dyDescent="0.25">
      <c r="A2607">
        <v>2929800</v>
      </c>
      <c r="B2607" t="str">
        <f t="shared" si="40"/>
        <v>SAUDE, BA, Brasil</v>
      </c>
      <c r="C2607" s="4" t="str">
        <f>_xlfn.XLOOKUP(A2607,[1]!DadosGHD[CD_GEOCMU],[1]!DadosGHD[Região])</f>
        <v>NE</v>
      </c>
      <c r="D2607" s="4" t="str">
        <f>_xlfn.XLOOKUP(A2607,[1]!DadosGHD[CD_GEOCMU],[1]!DadosGHD[uf])</f>
        <v>BA</v>
      </c>
      <c r="E2607" s="5" t="str">
        <f>_xlfn.XLOOKUP(A2607,[1]!DadosGHD[CD_GEOCMU],[1]!DadosGHD[MUNICIPIO])</f>
        <v>SAUDE</v>
      </c>
      <c r="F2607" s="6">
        <v>38.671932220458999</v>
      </c>
      <c r="G2607" s="6">
        <v>38.704338073730497</v>
      </c>
      <c r="H2607" s="6">
        <v>38.761650085449197</v>
      </c>
      <c r="I2607" s="6">
        <v>38.750320434570298</v>
      </c>
      <c r="J2607" s="6">
        <v>38.782600402832003</v>
      </c>
      <c r="K2607" s="6">
        <v>38.781852722167997</v>
      </c>
      <c r="L2607" s="6">
        <v>39.571216583252003</v>
      </c>
    </row>
    <row r="2608" spans="1:12" x14ac:dyDescent="0.25">
      <c r="A2608">
        <v>2804607</v>
      </c>
      <c r="B2608" t="str">
        <f t="shared" si="40"/>
        <v>NOSSA SENHORA DAS DORES, SE, Brasil</v>
      </c>
      <c r="C2608" s="4" t="str">
        <f>_xlfn.XLOOKUP(A2608,[1]!DadosGHD[CD_GEOCMU],[1]!DadosGHD[Região])</f>
        <v>NE</v>
      </c>
      <c r="D2608" s="4" t="str">
        <f>_xlfn.XLOOKUP(A2608,[1]!DadosGHD[CD_GEOCMU],[1]!DadosGHD[uf])</f>
        <v>SE</v>
      </c>
      <c r="E2608" s="5" t="str">
        <f>_xlfn.XLOOKUP(A2608,[1]!DadosGHD[CD_GEOCMU],[1]!DadosGHD[MUNICIPIO])</f>
        <v>NOSSA SENHORA DAS DORES</v>
      </c>
      <c r="F2608" s="6">
        <v>38.672050476074197</v>
      </c>
      <c r="G2608" s="6">
        <v>38.717948913574197</v>
      </c>
      <c r="H2608" s="6">
        <v>38.783653259277301</v>
      </c>
      <c r="I2608" s="6">
        <v>38.781272888183601</v>
      </c>
      <c r="J2608" s="6">
        <v>38.816398620605497</v>
      </c>
      <c r="K2608" s="6">
        <v>38.845848083496101</v>
      </c>
      <c r="L2608" s="6">
        <v>35.125297546386697</v>
      </c>
    </row>
    <row r="2609" spans="1:12" x14ac:dyDescent="0.25">
      <c r="A2609">
        <v>2930709</v>
      </c>
      <c r="B2609" t="str">
        <f t="shared" si="40"/>
        <v>SIMOES FILHO, BA, Brasil</v>
      </c>
      <c r="C2609" s="4" t="str">
        <f>_xlfn.XLOOKUP(A2609,[1]!DadosGHD[CD_GEOCMU],[1]!DadosGHD[Região])</f>
        <v>NE</v>
      </c>
      <c r="D2609" s="4" t="str">
        <f>_xlfn.XLOOKUP(A2609,[1]!DadosGHD[CD_GEOCMU],[1]!DadosGHD[uf])</f>
        <v>BA</v>
      </c>
      <c r="E2609" s="5" t="str">
        <f>_xlfn.XLOOKUP(A2609,[1]!DadosGHD[CD_GEOCMU],[1]!DadosGHD[MUNICIPIO])</f>
        <v>SIMOES FILHO</v>
      </c>
      <c r="F2609" s="6">
        <v>38.672088623046903</v>
      </c>
      <c r="G2609" s="6">
        <v>38.716754913330099</v>
      </c>
      <c r="H2609" s="6">
        <v>38.762058258056598</v>
      </c>
      <c r="I2609" s="6">
        <v>38.726356506347699</v>
      </c>
      <c r="J2609" s="6">
        <v>33.889350891113303</v>
      </c>
      <c r="K2609" s="6">
        <v>33.916954040527301</v>
      </c>
      <c r="L2609" s="6">
        <v>30.7211799621582</v>
      </c>
    </row>
    <row r="2610" spans="1:12" x14ac:dyDescent="0.25">
      <c r="A2610">
        <v>2408508</v>
      </c>
      <c r="B2610" t="str">
        <f t="shared" si="40"/>
        <v>OURO BRANCO, RN, Brasil</v>
      </c>
      <c r="C2610" s="4" t="str">
        <f>_xlfn.XLOOKUP(A2610,[1]!DadosGHD[CD_GEOCMU],[1]!DadosGHD[Região])</f>
        <v>NE</v>
      </c>
      <c r="D2610" s="4" t="str">
        <f>_xlfn.XLOOKUP(A2610,[1]!DadosGHD[CD_GEOCMU],[1]!DadosGHD[uf])</f>
        <v>RN</v>
      </c>
      <c r="E2610" s="5" t="str">
        <f>_xlfn.XLOOKUP(A2610,[1]!DadosGHD[CD_GEOCMU],[1]!DadosGHD[MUNICIPIO])</f>
        <v>OURO BRANCO</v>
      </c>
      <c r="F2610" s="6">
        <v>38.672111511230497</v>
      </c>
      <c r="G2610" s="6">
        <v>38.716892242431598</v>
      </c>
      <c r="H2610" s="6">
        <v>38.767814636230497</v>
      </c>
      <c r="I2610" s="6">
        <v>38.759426116943402</v>
      </c>
      <c r="J2610" s="6">
        <v>38.8408393859863</v>
      </c>
      <c r="K2610" s="6">
        <v>43.760597229003899</v>
      </c>
      <c r="L2610" s="6">
        <v>39.592308044433601</v>
      </c>
    </row>
    <row r="2611" spans="1:12" x14ac:dyDescent="0.25">
      <c r="A2611">
        <v>1717503</v>
      </c>
      <c r="B2611" t="str">
        <f t="shared" si="40"/>
        <v>PIUM, TO, Brasil</v>
      </c>
      <c r="C2611" s="4" t="str">
        <f>_xlfn.XLOOKUP(A2611,[1]!DadosGHD[CD_GEOCMU],[1]!DadosGHD[Região])</f>
        <v>NO</v>
      </c>
      <c r="D2611" s="4" t="str">
        <f>_xlfn.XLOOKUP(A2611,[1]!DadosGHD[CD_GEOCMU],[1]!DadosGHD[uf])</f>
        <v>TO</v>
      </c>
      <c r="E2611" s="5" t="str">
        <f>_xlfn.XLOOKUP(A2611,[1]!DadosGHD[CD_GEOCMU],[1]!DadosGHD[MUNICIPIO])</f>
        <v>PIUM</v>
      </c>
      <c r="F2611" s="6">
        <v>38.672275543212898</v>
      </c>
      <c r="G2611" s="6">
        <v>38.767829895019503</v>
      </c>
      <c r="H2611" s="6">
        <v>38.803546905517599</v>
      </c>
      <c r="I2611" s="6">
        <v>38.769405364990199</v>
      </c>
      <c r="J2611" s="6">
        <v>33.895503997802699</v>
      </c>
      <c r="K2611" s="6">
        <v>33.9172172546387</v>
      </c>
      <c r="L2611" s="6">
        <v>30.705501556396499</v>
      </c>
    </row>
    <row r="2612" spans="1:12" x14ac:dyDescent="0.25">
      <c r="A2612">
        <v>2408409</v>
      </c>
      <c r="B2612" t="str">
        <f t="shared" si="40"/>
        <v>OLHO-D'AGUA DO BORGES, RN, Brasil</v>
      </c>
      <c r="C2612" s="4" t="str">
        <f>_xlfn.XLOOKUP(A2612,[1]!DadosGHD[CD_GEOCMU],[1]!DadosGHD[Região])</f>
        <v>NE</v>
      </c>
      <c r="D2612" s="4" t="str">
        <f>_xlfn.XLOOKUP(A2612,[1]!DadosGHD[CD_GEOCMU],[1]!DadosGHD[uf])</f>
        <v>RN</v>
      </c>
      <c r="E2612" s="5" t="str">
        <f>_xlfn.XLOOKUP(A2612,[1]!DadosGHD[CD_GEOCMU],[1]!DadosGHD[MUNICIPIO])</f>
        <v>OLHO-D'AGUA DO BORGES</v>
      </c>
      <c r="F2612" s="6">
        <v>38.672336578369098</v>
      </c>
      <c r="G2612" s="6">
        <v>38.722019195556598</v>
      </c>
      <c r="H2612" s="6">
        <v>38.7608642578125</v>
      </c>
      <c r="I2612" s="6">
        <v>38.762416839599602</v>
      </c>
      <c r="J2612" s="6">
        <v>38.765548706054702</v>
      </c>
      <c r="K2612" s="6">
        <v>38.844245910644503</v>
      </c>
      <c r="L2612" s="6">
        <v>39.577247619628899</v>
      </c>
    </row>
    <row r="2613" spans="1:12" x14ac:dyDescent="0.25">
      <c r="A2613">
        <v>2917706</v>
      </c>
      <c r="B2613" t="str">
        <f t="shared" si="40"/>
        <v>JAGUARARI, BA, Brasil</v>
      </c>
      <c r="C2613" s="4" t="str">
        <f>_xlfn.XLOOKUP(A2613,[1]!DadosGHD[CD_GEOCMU],[1]!DadosGHD[Região])</f>
        <v>NE</v>
      </c>
      <c r="D2613" s="4" t="str">
        <f>_xlfn.XLOOKUP(A2613,[1]!DadosGHD[CD_GEOCMU],[1]!DadosGHD[uf])</f>
        <v>BA</v>
      </c>
      <c r="E2613" s="5" t="str">
        <f>_xlfn.XLOOKUP(A2613,[1]!DadosGHD[CD_GEOCMU],[1]!DadosGHD[MUNICIPIO])</f>
        <v>JAGUARARI</v>
      </c>
      <c r="F2613" s="6">
        <v>38.672405242919901</v>
      </c>
      <c r="G2613" s="6">
        <v>38.702869415283203</v>
      </c>
      <c r="H2613" s="6">
        <v>38.749237060546903</v>
      </c>
      <c r="I2613" s="6">
        <v>38.729522705078097</v>
      </c>
      <c r="J2613" s="6">
        <v>33.874172210693402</v>
      </c>
      <c r="K2613" s="6">
        <v>38.793636322021499</v>
      </c>
      <c r="L2613" s="6">
        <v>30.713607788085898</v>
      </c>
    </row>
    <row r="2614" spans="1:12" x14ac:dyDescent="0.25">
      <c r="A2614">
        <v>4300851</v>
      </c>
      <c r="B2614" t="str">
        <f t="shared" si="40"/>
        <v>ARAMBARE, RS, Brasil</v>
      </c>
      <c r="C2614" s="4" t="str">
        <f>_xlfn.XLOOKUP(A2614,[1]!DadosGHD[CD_GEOCMU],[1]!DadosGHD[Região])</f>
        <v>SL</v>
      </c>
      <c r="D2614" s="4" t="str">
        <f>_xlfn.XLOOKUP(A2614,[1]!DadosGHD[CD_GEOCMU],[1]!DadosGHD[uf])</f>
        <v>RS</v>
      </c>
      <c r="E2614" s="5" t="str">
        <f>_xlfn.XLOOKUP(A2614,[1]!DadosGHD[CD_GEOCMU],[1]!DadosGHD[MUNICIPIO])</f>
        <v>ARAMBARE</v>
      </c>
      <c r="F2614" s="6">
        <v>38.672462463378899</v>
      </c>
      <c r="G2614" s="6">
        <v>38.768299102783203</v>
      </c>
      <c r="H2614" s="6">
        <v>38.847389221191399</v>
      </c>
      <c r="I2614" s="6">
        <v>43.763053894042997</v>
      </c>
      <c r="J2614" s="6">
        <v>38.7966918945313</v>
      </c>
      <c r="K2614" s="6">
        <v>38.805820465087898</v>
      </c>
      <c r="L2614" s="6">
        <v>57.497596740722699</v>
      </c>
    </row>
    <row r="2615" spans="1:12" x14ac:dyDescent="0.25">
      <c r="A2615">
        <v>3507209</v>
      </c>
      <c r="B2615" t="str">
        <f t="shared" si="40"/>
        <v>BORA, SP, Brasil</v>
      </c>
      <c r="C2615" s="4" t="str">
        <f>_xlfn.XLOOKUP(A2615,[1]!DadosGHD[CD_GEOCMU],[1]!DadosGHD[Região])</f>
        <v>SD</v>
      </c>
      <c r="D2615" s="4" t="str">
        <f>_xlfn.XLOOKUP(A2615,[1]!DadosGHD[CD_GEOCMU],[1]!DadosGHD[uf])</f>
        <v>SP</v>
      </c>
      <c r="E2615" s="5" t="str">
        <f>_xlfn.XLOOKUP(A2615,[1]!DadosGHD[CD_GEOCMU],[1]!DadosGHD[MUNICIPIO])</f>
        <v>BORA</v>
      </c>
      <c r="F2615" s="6">
        <v>38.6724662780762</v>
      </c>
      <c r="G2615" s="6">
        <v>38.775985717773402</v>
      </c>
      <c r="H2615" s="6">
        <v>38.820804595947301</v>
      </c>
      <c r="I2615" s="6">
        <v>38.789340972900398</v>
      </c>
      <c r="J2615" s="6">
        <v>38.835182189941399</v>
      </c>
      <c r="K2615" s="6">
        <v>38.853271484375</v>
      </c>
      <c r="L2615" s="6">
        <v>35.154201507568402</v>
      </c>
    </row>
    <row r="2616" spans="1:12" x14ac:dyDescent="0.25">
      <c r="A2616">
        <v>2900108</v>
      </c>
      <c r="B2616" t="str">
        <f t="shared" si="40"/>
        <v>ABAIRA, BA, Brasil</v>
      </c>
      <c r="C2616" s="4" t="str">
        <f>_xlfn.XLOOKUP(A2616,[1]!DadosGHD[CD_GEOCMU],[1]!DadosGHD[Região])</f>
        <v>NE</v>
      </c>
      <c r="D2616" s="4" t="str">
        <f>_xlfn.XLOOKUP(A2616,[1]!DadosGHD[CD_GEOCMU],[1]!DadosGHD[uf])</f>
        <v>BA</v>
      </c>
      <c r="E2616" s="5" t="str">
        <f>_xlfn.XLOOKUP(A2616,[1]!DadosGHD[CD_GEOCMU],[1]!DadosGHD[MUNICIPIO])</f>
        <v>ABAIRA</v>
      </c>
      <c r="F2616" s="6">
        <v>38.672687530517599</v>
      </c>
      <c r="G2616" s="6">
        <v>38.698276519775398</v>
      </c>
      <c r="H2616" s="6">
        <v>38.749244689941399</v>
      </c>
      <c r="I2616" s="6">
        <v>38.734504699707003</v>
      </c>
      <c r="J2616" s="6">
        <v>38.756343841552699</v>
      </c>
      <c r="K2616" s="6">
        <v>38.847480773925803</v>
      </c>
      <c r="L2616" s="6">
        <v>48.554840087890597</v>
      </c>
    </row>
    <row r="2617" spans="1:12" x14ac:dyDescent="0.25">
      <c r="A2617">
        <v>2304806</v>
      </c>
      <c r="B2617" t="str">
        <f t="shared" si="40"/>
        <v>GRANJEIRO, CE, Brasil</v>
      </c>
      <c r="C2617" s="4" t="str">
        <f>_xlfn.XLOOKUP(A2617,[1]!DadosGHD[CD_GEOCMU],[1]!DadosGHD[Região])</f>
        <v>NE</v>
      </c>
      <c r="D2617" s="4" t="str">
        <f>_xlfn.XLOOKUP(A2617,[1]!DadosGHD[CD_GEOCMU],[1]!DadosGHD[uf])</f>
        <v>CE</v>
      </c>
      <c r="E2617" s="5" t="str">
        <f>_xlfn.XLOOKUP(A2617,[1]!DadosGHD[CD_GEOCMU],[1]!DadosGHD[MUNICIPIO])</f>
        <v>GRANJEIRO</v>
      </c>
      <c r="F2617" s="6">
        <v>38.673000335693402</v>
      </c>
      <c r="G2617" s="6">
        <v>38.695613861083999</v>
      </c>
      <c r="H2617" s="6">
        <v>33.894744873046903</v>
      </c>
      <c r="I2617" s="6">
        <v>33.857948303222699</v>
      </c>
      <c r="J2617" s="6">
        <v>33.875511169433601</v>
      </c>
      <c r="K2617" s="6">
        <v>33.907440185546903</v>
      </c>
      <c r="L2617" s="6">
        <v>26.2966403961182</v>
      </c>
    </row>
    <row r="2618" spans="1:12" x14ac:dyDescent="0.25">
      <c r="A2618">
        <v>3138674</v>
      </c>
      <c r="B2618" t="str">
        <f t="shared" si="40"/>
        <v>LUISBURGO, MG, Brasil</v>
      </c>
      <c r="C2618" s="4" t="str">
        <f>_xlfn.XLOOKUP(A2618,[1]!DadosGHD[CD_GEOCMU],[1]!DadosGHD[Região])</f>
        <v>SD</v>
      </c>
      <c r="D2618" s="4" t="str">
        <f>_xlfn.XLOOKUP(A2618,[1]!DadosGHD[CD_GEOCMU],[1]!DadosGHD[uf])</f>
        <v>MG</v>
      </c>
      <c r="E2618" s="5" t="str">
        <f>_xlfn.XLOOKUP(A2618,[1]!DadosGHD[CD_GEOCMU],[1]!DadosGHD[MUNICIPIO])</f>
        <v>LUISBURGO</v>
      </c>
      <c r="F2618" s="6">
        <v>38.673015594482401</v>
      </c>
      <c r="G2618" s="6">
        <v>38.7725639343262</v>
      </c>
      <c r="H2618" s="6">
        <v>43.720420837402301</v>
      </c>
      <c r="I2618" s="6">
        <v>43.689685821533203</v>
      </c>
      <c r="J2618" s="6">
        <v>38.767154693603501</v>
      </c>
      <c r="K2618" s="6">
        <v>38.817417144775398</v>
      </c>
      <c r="L2618" s="6">
        <v>30.7112636566162</v>
      </c>
    </row>
    <row r="2619" spans="1:12" x14ac:dyDescent="0.25">
      <c r="A2619">
        <v>3124401</v>
      </c>
      <c r="B2619" t="str">
        <f t="shared" si="40"/>
        <v>ESPIRITO SANTO DO DOURADO, MG, Brasil</v>
      </c>
      <c r="C2619" s="4" t="str">
        <f>_xlfn.XLOOKUP(A2619,[1]!DadosGHD[CD_GEOCMU],[1]!DadosGHD[Região])</f>
        <v>SD</v>
      </c>
      <c r="D2619" s="4" t="str">
        <f>_xlfn.XLOOKUP(A2619,[1]!DadosGHD[CD_GEOCMU],[1]!DadosGHD[uf])</f>
        <v>MG</v>
      </c>
      <c r="E2619" s="5" t="str">
        <f>_xlfn.XLOOKUP(A2619,[1]!DadosGHD[CD_GEOCMU],[1]!DadosGHD[MUNICIPIO])</f>
        <v>ESPIRITO SANTO DO DOURADO</v>
      </c>
      <c r="F2619" s="6">
        <v>38.6730346679688</v>
      </c>
      <c r="G2619" s="6">
        <v>38.699996948242202</v>
      </c>
      <c r="H2619" s="6">
        <v>38.740486145019503</v>
      </c>
      <c r="I2619" s="6">
        <v>43.692977905273402</v>
      </c>
      <c r="J2619" s="6">
        <v>48.798534393310597</v>
      </c>
      <c r="K2619" s="6">
        <v>43.811630249023402</v>
      </c>
      <c r="L2619" s="6">
        <v>35.133815765380902</v>
      </c>
    </row>
    <row r="2620" spans="1:12" x14ac:dyDescent="0.25">
      <c r="A2620">
        <v>2208908</v>
      </c>
      <c r="B2620" t="str">
        <f t="shared" si="40"/>
        <v>RIBEIRO GONCALVES, PI, Brasil</v>
      </c>
      <c r="C2620" s="4" t="str">
        <f>_xlfn.XLOOKUP(A2620,[1]!DadosGHD[CD_GEOCMU],[1]!DadosGHD[Região])</f>
        <v>NE</v>
      </c>
      <c r="D2620" s="4" t="str">
        <f>_xlfn.XLOOKUP(A2620,[1]!DadosGHD[CD_GEOCMU],[1]!DadosGHD[uf])</f>
        <v>PI</v>
      </c>
      <c r="E2620" s="5" t="str">
        <f>_xlfn.XLOOKUP(A2620,[1]!DadosGHD[CD_GEOCMU],[1]!DadosGHD[MUNICIPIO])</f>
        <v>RIBEIRO GONCALVES</v>
      </c>
      <c r="F2620" s="6">
        <v>38.673191070556598</v>
      </c>
      <c r="G2620" s="6">
        <v>38.7264595031738</v>
      </c>
      <c r="H2620" s="6">
        <v>38.759033203125</v>
      </c>
      <c r="I2620" s="6">
        <v>38.743232727050803</v>
      </c>
      <c r="J2620" s="6">
        <v>38.761974334716797</v>
      </c>
      <c r="K2620" s="6">
        <v>38.794517517089801</v>
      </c>
      <c r="L2620" s="6">
        <v>30.684200286865199</v>
      </c>
    </row>
    <row r="2621" spans="1:12" x14ac:dyDescent="0.25">
      <c r="A2621">
        <v>4213153</v>
      </c>
      <c r="B2621" t="str">
        <f t="shared" si="40"/>
        <v>PLANALTO ALEGRE, SC, Brasil</v>
      </c>
      <c r="C2621" s="4" t="str">
        <f>_xlfn.XLOOKUP(A2621,[1]!DadosGHD[CD_GEOCMU],[1]!DadosGHD[Região])</f>
        <v>SL</v>
      </c>
      <c r="D2621" s="4" t="str">
        <f>_xlfn.XLOOKUP(A2621,[1]!DadosGHD[CD_GEOCMU],[1]!DadosGHD[uf])</f>
        <v>SC</v>
      </c>
      <c r="E2621" s="5" t="str">
        <f>_xlfn.XLOOKUP(A2621,[1]!DadosGHD[CD_GEOCMU],[1]!DadosGHD[MUNICIPIO])</f>
        <v>PLANALTO ALEGRE</v>
      </c>
      <c r="F2621" s="6">
        <v>38.673229217529297</v>
      </c>
      <c r="G2621" s="6">
        <v>48.733779907226598</v>
      </c>
      <c r="H2621" s="6">
        <v>48.792205810546903</v>
      </c>
      <c r="I2621" s="6">
        <v>48.771717071533203</v>
      </c>
      <c r="J2621" s="6">
        <v>48.833713531494098</v>
      </c>
      <c r="K2621" s="6">
        <v>48.888553619384801</v>
      </c>
      <c r="L2621" s="6">
        <v>48.502891540527301</v>
      </c>
    </row>
    <row r="2622" spans="1:12" x14ac:dyDescent="0.25">
      <c r="A2622">
        <v>3514809</v>
      </c>
      <c r="B2622" t="str">
        <f t="shared" si="40"/>
        <v>ELDORADO, SP, Brasil</v>
      </c>
      <c r="C2622" s="4" t="str">
        <f>_xlfn.XLOOKUP(A2622,[1]!DadosGHD[CD_GEOCMU],[1]!DadosGHD[Região])</f>
        <v>SD</v>
      </c>
      <c r="D2622" s="4" t="str">
        <f>_xlfn.XLOOKUP(A2622,[1]!DadosGHD[CD_GEOCMU],[1]!DadosGHD[uf])</f>
        <v>SP</v>
      </c>
      <c r="E2622" s="5" t="str">
        <f>_xlfn.XLOOKUP(A2622,[1]!DadosGHD[CD_GEOCMU],[1]!DadosGHD[MUNICIPIO])</f>
        <v>ELDORADO</v>
      </c>
      <c r="F2622" s="6">
        <v>38.673301696777301</v>
      </c>
      <c r="G2622" s="6">
        <v>38.756057739257798</v>
      </c>
      <c r="H2622" s="6">
        <v>38.813056945800803</v>
      </c>
      <c r="I2622" s="6">
        <v>38.794567108154297</v>
      </c>
      <c r="J2622" s="6">
        <v>38.8191528320313</v>
      </c>
      <c r="K2622" s="6">
        <v>38.849708557128899</v>
      </c>
      <c r="L2622" s="6">
        <v>39.605636596679702</v>
      </c>
    </row>
    <row r="2623" spans="1:12" x14ac:dyDescent="0.25">
      <c r="A2623">
        <v>2912004</v>
      </c>
      <c r="B2623" t="str">
        <f t="shared" si="40"/>
        <v>IBIASSUCE, BA, Brasil</v>
      </c>
      <c r="C2623" s="4" t="str">
        <f>_xlfn.XLOOKUP(A2623,[1]!DadosGHD[CD_GEOCMU],[1]!DadosGHD[Região])</f>
        <v>NE</v>
      </c>
      <c r="D2623" s="4" t="str">
        <f>_xlfn.XLOOKUP(A2623,[1]!DadosGHD[CD_GEOCMU],[1]!DadosGHD[uf])</f>
        <v>BA</v>
      </c>
      <c r="E2623" s="5" t="str">
        <f>_xlfn.XLOOKUP(A2623,[1]!DadosGHD[CD_GEOCMU],[1]!DadosGHD[MUNICIPIO])</f>
        <v>IBIASSUCE</v>
      </c>
      <c r="F2623" s="6">
        <v>38.673313140869098</v>
      </c>
      <c r="G2623" s="6">
        <v>38.714923858642599</v>
      </c>
      <c r="H2623" s="6">
        <v>38.794105529785199</v>
      </c>
      <c r="I2623" s="6">
        <v>38.799625396728501</v>
      </c>
      <c r="J2623" s="6">
        <v>38.804492950439503</v>
      </c>
      <c r="K2623" s="6">
        <v>38.830207824707003</v>
      </c>
      <c r="L2623" s="6">
        <v>53.031547546386697</v>
      </c>
    </row>
    <row r="2624" spans="1:12" x14ac:dyDescent="0.25">
      <c r="A2624">
        <v>2910727</v>
      </c>
      <c r="B2624" t="str">
        <f t="shared" si="40"/>
        <v>EUNAPOLIS, BA, Brasil</v>
      </c>
      <c r="C2624" s="4" t="str">
        <f>_xlfn.XLOOKUP(A2624,[1]!DadosGHD[CD_GEOCMU],[1]!DadosGHD[Região])</f>
        <v>NE</v>
      </c>
      <c r="D2624" s="4" t="str">
        <f>_xlfn.XLOOKUP(A2624,[1]!DadosGHD[CD_GEOCMU],[1]!DadosGHD[uf])</f>
        <v>BA</v>
      </c>
      <c r="E2624" s="5" t="str">
        <f>_xlfn.XLOOKUP(A2624,[1]!DadosGHD[CD_GEOCMU],[1]!DadosGHD[MUNICIPIO])</f>
        <v>EUNAPOLIS</v>
      </c>
      <c r="F2624" s="6">
        <v>38.673324584960902</v>
      </c>
      <c r="G2624" s="6">
        <v>38.757186889648402</v>
      </c>
      <c r="H2624" s="6">
        <v>38.8062553405762</v>
      </c>
      <c r="I2624" s="6">
        <v>38.773723602294901</v>
      </c>
      <c r="J2624" s="6">
        <v>38.779163360595703</v>
      </c>
      <c r="K2624" s="6">
        <v>38.863285064697301</v>
      </c>
      <c r="L2624" s="6">
        <v>39.563625335693402</v>
      </c>
    </row>
    <row r="2625" spans="1:12" x14ac:dyDescent="0.25">
      <c r="A2625">
        <v>1703206</v>
      </c>
      <c r="B2625" t="str">
        <f t="shared" si="40"/>
        <v>BERNARDO SAYAO, TO, Brasil</v>
      </c>
      <c r="C2625" s="4" t="str">
        <f>_xlfn.XLOOKUP(A2625,[1]!DadosGHD[CD_GEOCMU],[1]!DadosGHD[Região])</f>
        <v>NO</v>
      </c>
      <c r="D2625" s="4" t="str">
        <f>_xlfn.XLOOKUP(A2625,[1]!DadosGHD[CD_GEOCMU],[1]!DadosGHD[uf])</f>
        <v>TO</v>
      </c>
      <c r="E2625" s="5" t="str">
        <f>_xlfn.XLOOKUP(A2625,[1]!DadosGHD[CD_GEOCMU],[1]!DadosGHD[MUNICIPIO])</f>
        <v>BERNARDO SAYAO</v>
      </c>
      <c r="F2625" s="6">
        <v>38.67333984375</v>
      </c>
      <c r="G2625" s="6">
        <v>38.704399108886697</v>
      </c>
      <c r="H2625" s="6">
        <v>38.744380950927699</v>
      </c>
      <c r="I2625" s="6">
        <v>38.716293334960902</v>
      </c>
      <c r="J2625" s="6">
        <v>38.742153167724602</v>
      </c>
      <c r="K2625" s="6">
        <v>38.781959533691399</v>
      </c>
      <c r="L2625" s="6">
        <v>30.703699111938501</v>
      </c>
    </row>
    <row r="2626" spans="1:12" x14ac:dyDescent="0.25">
      <c r="A2626">
        <v>4314159</v>
      </c>
      <c r="B2626" t="str">
        <f t="shared" si="40"/>
        <v>PAVERAMA, RS, Brasil</v>
      </c>
      <c r="C2626" s="4" t="str">
        <f>_xlfn.XLOOKUP(A2626,[1]!DadosGHD[CD_GEOCMU],[1]!DadosGHD[Região])</f>
        <v>SL</v>
      </c>
      <c r="D2626" s="4" t="str">
        <f>_xlfn.XLOOKUP(A2626,[1]!DadosGHD[CD_GEOCMU],[1]!DadosGHD[uf])</f>
        <v>RS</v>
      </c>
      <c r="E2626" s="5" t="str">
        <f>_xlfn.XLOOKUP(A2626,[1]!DadosGHD[CD_GEOCMU],[1]!DadosGHD[MUNICIPIO])</f>
        <v>PAVERAMA</v>
      </c>
      <c r="F2626" s="6">
        <v>38.673465728759801</v>
      </c>
      <c r="G2626" s="6">
        <v>38.732383728027301</v>
      </c>
      <c r="H2626" s="6">
        <v>38.801582336425803</v>
      </c>
      <c r="I2626" s="6">
        <v>43.736724853515597</v>
      </c>
      <c r="J2626" s="6">
        <v>48.828166961669901</v>
      </c>
      <c r="K2626" s="6">
        <v>48.858535766601598</v>
      </c>
      <c r="L2626" s="6">
        <v>44.063236236572301</v>
      </c>
    </row>
    <row r="2627" spans="1:12" x14ac:dyDescent="0.25">
      <c r="A2627">
        <v>2207009</v>
      </c>
      <c r="B2627" t="str">
        <f t="shared" si="40"/>
        <v>OEIRAS, PI, Brasil</v>
      </c>
      <c r="C2627" s="4" t="str">
        <f>_xlfn.XLOOKUP(A2627,[1]!DadosGHD[CD_GEOCMU],[1]!DadosGHD[Região])</f>
        <v>NE</v>
      </c>
      <c r="D2627" s="4" t="str">
        <f>_xlfn.XLOOKUP(A2627,[1]!DadosGHD[CD_GEOCMU],[1]!DadosGHD[uf])</f>
        <v>PI</v>
      </c>
      <c r="E2627" s="5" t="str">
        <f>_xlfn.XLOOKUP(A2627,[1]!DadosGHD[CD_GEOCMU],[1]!DadosGHD[MUNICIPIO])</f>
        <v>OEIRAS</v>
      </c>
      <c r="F2627" s="6">
        <v>38.673656463623097</v>
      </c>
      <c r="G2627" s="6">
        <v>38.741302490234403</v>
      </c>
      <c r="H2627" s="6">
        <v>38.760299682617202</v>
      </c>
      <c r="I2627" s="6">
        <v>38.738803863525398</v>
      </c>
      <c r="J2627" s="6">
        <v>43.719955444335902</v>
      </c>
      <c r="K2627" s="6">
        <v>43.831802368164098</v>
      </c>
      <c r="L2627" s="6">
        <v>39.584426879882798</v>
      </c>
    </row>
    <row r="2628" spans="1:12" x14ac:dyDescent="0.25">
      <c r="A2628">
        <v>1506138</v>
      </c>
      <c r="B2628" t="str">
        <f t="shared" ref="B2628:B2691" si="41">_xlfn.CONCAT(E2628, ", ", D2628, ", Brasil")</f>
        <v>REDENCAO, PA, Brasil</v>
      </c>
      <c r="C2628" s="4" t="str">
        <f>_xlfn.XLOOKUP(A2628,[1]!DadosGHD[CD_GEOCMU],[1]!DadosGHD[Região])</f>
        <v>NO</v>
      </c>
      <c r="D2628" s="4" t="str">
        <f>_xlfn.XLOOKUP(A2628,[1]!DadosGHD[CD_GEOCMU],[1]!DadosGHD[uf])</f>
        <v>PA</v>
      </c>
      <c r="E2628" s="5" t="str">
        <f>_xlfn.XLOOKUP(A2628,[1]!DadosGHD[CD_GEOCMU],[1]!DadosGHD[MUNICIPIO])</f>
        <v>REDENCAO</v>
      </c>
      <c r="F2628" s="6">
        <v>38.673820495605497</v>
      </c>
      <c r="G2628" s="6">
        <v>38.782554626464801</v>
      </c>
      <c r="H2628" s="6">
        <v>43.723098754882798</v>
      </c>
      <c r="I2628" s="6">
        <v>43.719306945800803</v>
      </c>
      <c r="J2628" s="6">
        <v>43.7811088562012</v>
      </c>
      <c r="K2628" s="6">
        <v>48.765636444091797</v>
      </c>
      <c r="L2628" s="6">
        <v>44.0233154296875</v>
      </c>
    </row>
    <row r="2629" spans="1:12" x14ac:dyDescent="0.25">
      <c r="A2629">
        <v>3170578</v>
      </c>
      <c r="B2629" t="str">
        <f t="shared" si="41"/>
        <v>VARGEM ALEGRE, MG, Brasil</v>
      </c>
      <c r="C2629" s="4" t="str">
        <f>_xlfn.XLOOKUP(A2629,[1]!DadosGHD[CD_GEOCMU],[1]!DadosGHD[Região])</f>
        <v>SD</v>
      </c>
      <c r="D2629" s="4" t="str">
        <f>_xlfn.XLOOKUP(A2629,[1]!DadosGHD[CD_GEOCMU],[1]!DadosGHD[uf])</f>
        <v>MG</v>
      </c>
      <c r="E2629" s="5" t="str">
        <f>_xlfn.XLOOKUP(A2629,[1]!DadosGHD[CD_GEOCMU],[1]!DadosGHD[MUNICIPIO])</f>
        <v>VARGEM ALEGRE</v>
      </c>
      <c r="F2629" s="6">
        <v>38.6738471984863</v>
      </c>
      <c r="G2629" s="6">
        <v>38.774402618408203</v>
      </c>
      <c r="H2629" s="6">
        <v>38.818122863769503</v>
      </c>
      <c r="I2629" s="6">
        <v>38.785469055175803</v>
      </c>
      <c r="J2629" s="6">
        <v>38.798671722412102</v>
      </c>
      <c r="K2629" s="6">
        <v>38.835086822509801</v>
      </c>
      <c r="L2629" s="6">
        <v>30.699487686157202</v>
      </c>
    </row>
    <row r="2630" spans="1:12" x14ac:dyDescent="0.25">
      <c r="A2630">
        <v>2609600</v>
      </c>
      <c r="B2630" t="str">
        <f t="shared" si="41"/>
        <v>OLINDA, PE, Brasil</v>
      </c>
      <c r="C2630" s="4" t="str">
        <f>_xlfn.XLOOKUP(A2630,[1]!DadosGHD[CD_GEOCMU],[1]!DadosGHD[Região])</f>
        <v>NE</v>
      </c>
      <c r="D2630" s="4" t="str">
        <f>_xlfn.XLOOKUP(A2630,[1]!DadosGHD[CD_GEOCMU],[1]!DadosGHD[uf])</f>
        <v>PE</v>
      </c>
      <c r="E2630" s="5" t="str">
        <f>_xlfn.XLOOKUP(A2630,[1]!DadosGHD[CD_GEOCMU],[1]!DadosGHD[MUNICIPIO])</f>
        <v>OLINDA</v>
      </c>
      <c r="F2630" s="6">
        <v>38.673873901367202</v>
      </c>
      <c r="G2630" s="6">
        <v>38.751968383789098</v>
      </c>
      <c r="H2630" s="6">
        <v>38.777111053466797</v>
      </c>
      <c r="I2630" s="6">
        <v>38.744625091552699</v>
      </c>
      <c r="J2630" s="6">
        <v>38.757106781005902</v>
      </c>
      <c r="K2630" s="6">
        <v>33.928226470947301</v>
      </c>
      <c r="L2630" s="6">
        <v>35.149036407470703</v>
      </c>
    </row>
    <row r="2631" spans="1:12" x14ac:dyDescent="0.25">
      <c r="A2631">
        <v>5006358</v>
      </c>
      <c r="B2631" t="str">
        <f t="shared" si="41"/>
        <v>PARANHOS, MS, Brasil</v>
      </c>
      <c r="C2631" s="4" t="str">
        <f>_xlfn.XLOOKUP(A2631,[1]!DadosGHD[CD_GEOCMU],[1]!DadosGHD[Região])</f>
        <v>CO</v>
      </c>
      <c r="D2631" s="4" t="str">
        <f>_xlfn.XLOOKUP(A2631,[1]!DadosGHD[CD_GEOCMU],[1]!DadosGHD[uf])</f>
        <v>MS</v>
      </c>
      <c r="E2631" s="5" t="str">
        <f>_xlfn.XLOOKUP(A2631,[1]!DadosGHD[CD_GEOCMU],[1]!DadosGHD[MUNICIPIO])</f>
        <v>PARANHOS</v>
      </c>
      <c r="F2631" s="6">
        <v>38.674022674560597</v>
      </c>
      <c r="G2631" s="6">
        <v>38.701622009277301</v>
      </c>
      <c r="H2631" s="6">
        <v>33.890674591064503</v>
      </c>
      <c r="I2631" s="6">
        <v>33.8665580749512</v>
      </c>
      <c r="J2631" s="6">
        <v>33.874996185302699</v>
      </c>
      <c r="K2631" s="6">
        <v>33.917182922363303</v>
      </c>
      <c r="L2631" s="6">
        <v>30.712974548339801</v>
      </c>
    </row>
    <row r="2632" spans="1:12" x14ac:dyDescent="0.25">
      <c r="A2632">
        <v>2905008</v>
      </c>
      <c r="B2632" t="str">
        <f t="shared" si="41"/>
        <v>CACULE, BA, Brasil</v>
      </c>
      <c r="C2632" s="4" t="str">
        <f>_xlfn.XLOOKUP(A2632,[1]!DadosGHD[CD_GEOCMU],[1]!DadosGHD[Região])</f>
        <v>NE</v>
      </c>
      <c r="D2632" s="4" t="str">
        <f>_xlfn.XLOOKUP(A2632,[1]!DadosGHD[CD_GEOCMU],[1]!DadosGHD[uf])</f>
        <v>BA</v>
      </c>
      <c r="E2632" s="5" t="str">
        <f>_xlfn.XLOOKUP(A2632,[1]!DadosGHD[CD_GEOCMU],[1]!DadosGHD[MUNICIPIO])</f>
        <v>CACULE</v>
      </c>
      <c r="F2632" s="6">
        <v>38.6740531921387</v>
      </c>
      <c r="G2632" s="6">
        <v>43.651069641113303</v>
      </c>
      <c r="H2632" s="6">
        <v>43.813346862792997</v>
      </c>
      <c r="I2632" s="6">
        <v>48.688850402832003</v>
      </c>
      <c r="J2632" s="6">
        <v>48.785392761230497</v>
      </c>
      <c r="K2632" s="6">
        <v>43.844795227050803</v>
      </c>
      <c r="L2632" s="6">
        <v>48.528427124023402</v>
      </c>
    </row>
    <row r="2633" spans="1:12" x14ac:dyDescent="0.25">
      <c r="A2633">
        <v>3205101</v>
      </c>
      <c r="B2633" t="str">
        <f t="shared" si="41"/>
        <v>VIANA, ES, Brasil</v>
      </c>
      <c r="C2633" s="4" t="str">
        <f>_xlfn.XLOOKUP(A2633,[1]!DadosGHD[CD_GEOCMU],[1]!DadosGHD[Região])</f>
        <v>SD</v>
      </c>
      <c r="D2633" s="4" t="str">
        <f>_xlfn.XLOOKUP(A2633,[1]!DadosGHD[CD_GEOCMU],[1]!DadosGHD[uf])</f>
        <v>ES</v>
      </c>
      <c r="E2633" s="5" t="str">
        <f>_xlfn.XLOOKUP(A2633,[1]!DadosGHD[CD_GEOCMU],[1]!DadosGHD[MUNICIPIO])</f>
        <v>VIANA</v>
      </c>
      <c r="F2633" s="6">
        <v>38.674148559570298</v>
      </c>
      <c r="G2633" s="6">
        <v>38.726688385009801</v>
      </c>
      <c r="H2633" s="6">
        <v>38.787635803222699</v>
      </c>
      <c r="I2633" s="6">
        <v>38.764198303222699</v>
      </c>
      <c r="J2633" s="6">
        <v>38.749519348144503</v>
      </c>
      <c r="K2633" s="6">
        <v>38.788070678710902</v>
      </c>
      <c r="L2633" s="6">
        <v>35.1468696594238</v>
      </c>
    </row>
    <row r="2634" spans="1:12" x14ac:dyDescent="0.25">
      <c r="A2634">
        <v>2405801</v>
      </c>
      <c r="B2634" t="str">
        <f t="shared" si="41"/>
        <v>JOAO CAMARA, RN, Brasil</v>
      </c>
      <c r="C2634" s="4" t="str">
        <f>_xlfn.XLOOKUP(A2634,[1]!DadosGHD[CD_GEOCMU],[1]!DadosGHD[Região])</f>
        <v>NE</v>
      </c>
      <c r="D2634" s="4" t="str">
        <f>_xlfn.XLOOKUP(A2634,[1]!DadosGHD[CD_GEOCMU],[1]!DadosGHD[uf])</f>
        <v>RN</v>
      </c>
      <c r="E2634" s="5" t="str">
        <f>_xlfn.XLOOKUP(A2634,[1]!DadosGHD[CD_GEOCMU],[1]!DadosGHD[MUNICIPIO])</f>
        <v>JOAO CAMARA</v>
      </c>
      <c r="F2634" s="6">
        <v>38.6741943359375</v>
      </c>
      <c r="G2634" s="6">
        <v>38.750389099121101</v>
      </c>
      <c r="H2634" s="6">
        <v>38.795234680175803</v>
      </c>
      <c r="I2634" s="6">
        <v>38.738185882568402</v>
      </c>
      <c r="J2634" s="6">
        <v>38.746753692627003</v>
      </c>
      <c r="K2634" s="6">
        <v>43.789356231689503</v>
      </c>
      <c r="L2634" s="6">
        <v>39.588241577148402</v>
      </c>
    </row>
    <row r="2635" spans="1:12" x14ac:dyDescent="0.25">
      <c r="A2635">
        <v>3204054</v>
      </c>
      <c r="B2635" t="str">
        <f t="shared" si="41"/>
        <v>PEDRO CANARIO, ES, Brasil</v>
      </c>
      <c r="C2635" s="4" t="str">
        <f>_xlfn.XLOOKUP(A2635,[1]!DadosGHD[CD_GEOCMU],[1]!DadosGHD[Região])</f>
        <v>SD</v>
      </c>
      <c r="D2635" s="4" t="str">
        <f>_xlfn.XLOOKUP(A2635,[1]!DadosGHD[CD_GEOCMU],[1]!DadosGHD[uf])</f>
        <v>ES</v>
      </c>
      <c r="E2635" s="5" t="str">
        <f>_xlfn.XLOOKUP(A2635,[1]!DadosGHD[CD_GEOCMU],[1]!DadosGHD[MUNICIPIO])</f>
        <v>PEDRO CANARIO</v>
      </c>
      <c r="F2635" s="6">
        <v>38.674354553222699</v>
      </c>
      <c r="G2635" s="6">
        <v>38.744651794433601</v>
      </c>
      <c r="H2635" s="6">
        <v>38.792449951171903</v>
      </c>
      <c r="I2635" s="6">
        <v>38.747550964355497</v>
      </c>
      <c r="J2635" s="6">
        <v>33.890697479248097</v>
      </c>
      <c r="K2635" s="6">
        <v>33.906581878662102</v>
      </c>
      <c r="L2635" s="6">
        <v>30.685665130615199</v>
      </c>
    </row>
    <row r="2636" spans="1:12" x14ac:dyDescent="0.25">
      <c r="A2636">
        <v>4102703</v>
      </c>
      <c r="B2636" t="str">
        <f t="shared" si="41"/>
        <v>BARRA DO JACARE, PR, Brasil</v>
      </c>
      <c r="C2636" s="4" t="str">
        <f>_xlfn.XLOOKUP(A2636,[1]!DadosGHD[CD_GEOCMU],[1]!DadosGHD[Região])</f>
        <v>SL</v>
      </c>
      <c r="D2636" s="4" t="str">
        <f>_xlfn.XLOOKUP(A2636,[1]!DadosGHD[CD_GEOCMU],[1]!DadosGHD[uf])</f>
        <v>PR</v>
      </c>
      <c r="E2636" s="5" t="str">
        <f>_xlfn.XLOOKUP(A2636,[1]!DadosGHD[CD_GEOCMU],[1]!DadosGHD[MUNICIPIO])</f>
        <v>BARRA DO JACARE</v>
      </c>
      <c r="F2636" s="6">
        <v>38.674827575683601</v>
      </c>
      <c r="G2636" s="6">
        <v>43.736461639404297</v>
      </c>
      <c r="H2636" s="6">
        <v>38.815944671630902</v>
      </c>
      <c r="I2636" s="6">
        <v>38.784614562988303</v>
      </c>
      <c r="J2636" s="6">
        <v>38.787624359130902</v>
      </c>
      <c r="K2636" s="6">
        <v>38.878475189208999</v>
      </c>
      <c r="L2636" s="6">
        <v>35.146495819091797</v>
      </c>
    </row>
    <row r="2637" spans="1:12" x14ac:dyDescent="0.25">
      <c r="A2637">
        <v>3125952</v>
      </c>
      <c r="B2637" t="str">
        <f t="shared" si="41"/>
        <v>FERVEDOURO, MG, Brasil</v>
      </c>
      <c r="C2637" s="4" t="str">
        <f>_xlfn.XLOOKUP(A2637,[1]!DadosGHD[CD_GEOCMU],[1]!DadosGHD[Região])</f>
        <v>SD</v>
      </c>
      <c r="D2637" s="4" t="str">
        <f>_xlfn.XLOOKUP(A2637,[1]!DadosGHD[CD_GEOCMU],[1]!DadosGHD[uf])</f>
        <v>MG</v>
      </c>
      <c r="E2637" s="5" t="str">
        <f>_xlfn.XLOOKUP(A2637,[1]!DadosGHD[CD_GEOCMU],[1]!DadosGHD[MUNICIPIO])</f>
        <v>FERVEDOURO</v>
      </c>
      <c r="F2637" s="6">
        <v>38.675102233886697</v>
      </c>
      <c r="G2637" s="6">
        <v>38.684829711914098</v>
      </c>
      <c r="H2637" s="6">
        <v>33.862873077392599</v>
      </c>
      <c r="I2637" s="6">
        <v>33.8411674499512</v>
      </c>
      <c r="J2637" s="6">
        <v>38.773433685302699</v>
      </c>
      <c r="K2637" s="6">
        <v>38.8174018859863</v>
      </c>
      <c r="L2637" s="6">
        <v>35.1346244812012</v>
      </c>
    </row>
    <row r="2638" spans="1:12" x14ac:dyDescent="0.25">
      <c r="A2638">
        <v>3112059</v>
      </c>
      <c r="B2638" t="str">
        <f t="shared" si="41"/>
        <v>CANTAGALO, MG, Brasil</v>
      </c>
      <c r="C2638" s="4" t="str">
        <f>_xlfn.XLOOKUP(A2638,[1]!DadosGHD[CD_GEOCMU],[1]!DadosGHD[Região])</f>
        <v>SD</v>
      </c>
      <c r="D2638" s="4" t="str">
        <f>_xlfn.XLOOKUP(A2638,[1]!DadosGHD[CD_GEOCMU],[1]!DadosGHD[uf])</f>
        <v>MG</v>
      </c>
      <c r="E2638" s="5" t="str">
        <f>_xlfn.XLOOKUP(A2638,[1]!DadosGHD[CD_GEOCMU],[1]!DadosGHD[MUNICIPIO])</f>
        <v>CANTAGALO</v>
      </c>
      <c r="F2638" s="6">
        <v>38.675281524658203</v>
      </c>
      <c r="G2638" s="6">
        <v>38.709205627441399</v>
      </c>
      <c r="H2638" s="6">
        <v>38.7484321594238</v>
      </c>
      <c r="I2638" s="6">
        <v>33.870010375976598</v>
      </c>
      <c r="J2638" s="6">
        <v>33.885414123535199</v>
      </c>
      <c r="K2638" s="6">
        <v>28.975770950317401</v>
      </c>
      <c r="L2638" s="6">
        <v>26.280979156494102</v>
      </c>
    </row>
    <row r="2639" spans="1:12" x14ac:dyDescent="0.25">
      <c r="A2639">
        <v>4315321</v>
      </c>
      <c r="B2639" t="str">
        <f t="shared" si="41"/>
        <v>QUEVEDOS, RS, Brasil</v>
      </c>
      <c r="C2639" s="4" t="str">
        <f>_xlfn.XLOOKUP(A2639,[1]!DadosGHD[CD_GEOCMU],[1]!DadosGHD[Região])</f>
        <v>SL</v>
      </c>
      <c r="D2639" s="4" t="str">
        <f>_xlfn.XLOOKUP(A2639,[1]!DadosGHD[CD_GEOCMU],[1]!DadosGHD[uf])</f>
        <v>RS</v>
      </c>
      <c r="E2639" s="5" t="str">
        <f>_xlfn.XLOOKUP(A2639,[1]!DadosGHD[CD_GEOCMU],[1]!DadosGHD[MUNICIPIO])</f>
        <v>QUEVEDOS</v>
      </c>
      <c r="F2639" s="6">
        <v>38.6753120422363</v>
      </c>
      <c r="G2639" s="6">
        <v>48.735813140869098</v>
      </c>
      <c r="H2639" s="6">
        <v>48.799327850341797</v>
      </c>
      <c r="I2639" s="6">
        <v>48.798137664794901</v>
      </c>
      <c r="J2639" s="6">
        <v>53.761882781982401</v>
      </c>
      <c r="K2639" s="6">
        <v>53.850639343261697</v>
      </c>
      <c r="L2639" s="6">
        <v>48.496879577636697</v>
      </c>
    </row>
    <row r="2640" spans="1:12" x14ac:dyDescent="0.25">
      <c r="A2640">
        <v>2900801</v>
      </c>
      <c r="B2640" t="str">
        <f t="shared" si="41"/>
        <v>ALCOBACA, BA, Brasil</v>
      </c>
      <c r="C2640" s="4" t="str">
        <f>_xlfn.XLOOKUP(A2640,[1]!DadosGHD[CD_GEOCMU],[1]!DadosGHD[Região])</f>
        <v>NE</v>
      </c>
      <c r="D2640" s="4" t="str">
        <f>_xlfn.XLOOKUP(A2640,[1]!DadosGHD[CD_GEOCMU],[1]!DadosGHD[uf])</f>
        <v>BA</v>
      </c>
      <c r="E2640" s="5" t="str">
        <f>_xlfn.XLOOKUP(A2640,[1]!DadosGHD[CD_GEOCMU],[1]!DadosGHD[MUNICIPIO])</f>
        <v>ALCOBACA</v>
      </c>
      <c r="F2640" s="6">
        <v>38.675334930419901</v>
      </c>
      <c r="G2640" s="6">
        <v>38.788440704345703</v>
      </c>
      <c r="H2640" s="6">
        <v>43.721061706542997</v>
      </c>
      <c r="I2640" s="6">
        <v>43.697780609130902</v>
      </c>
      <c r="J2640" s="6">
        <v>38.841590881347699</v>
      </c>
      <c r="K2640" s="6">
        <v>38.814659118652301</v>
      </c>
      <c r="L2640" s="6">
        <v>39.5729370117188</v>
      </c>
    </row>
    <row r="2641" spans="1:12" x14ac:dyDescent="0.25">
      <c r="A2641">
        <v>4317954</v>
      </c>
      <c r="B2641" t="str">
        <f t="shared" si="41"/>
        <v>SANTO EXPEDITO DO SUL, RS, Brasil</v>
      </c>
      <c r="C2641" s="4" t="str">
        <f>_xlfn.XLOOKUP(A2641,[1]!DadosGHD[CD_GEOCMU],[1]!DadosGHD[Região])</f>
        <v>SL</v>
      </c>
      <c r="D2641" s="4" t="str">
        <f>_xlfn.XLOOKUP(A2641,[1]!DadosGHD[CD_GEOCMU],[1]!DadosGHD[uf])</f>
        <v>RS</v>
      </c>
      <c r="E2641" s="5" t="str">
        <f>_xlfn.XLOOKUP(A2641,[1]!DadosGHD[CD_GEOCMU],[1]!DadosGHD[MUNICIPIO])</f>
        <v>SANTO EXPEDITO DO SUL</v>
      </c>
      <c r="F2641" s="6">
        <v>38.675609588623097</v>
      </c>
      <c r="G2641" s="6">
        <v>48.7242431640625</v>
      </c>
      <c r="H2641" s="6">
        <v>48.786258697509801</v>
      </c>
      <c r="I2641" s="6">
        <v>53.776557922363303</v>
      </c>
      <c r="J2641" s="6">
        <v>53.844383239746101</v>
      </c>
      <c r="K2641" s="6">
        <v>53.881504058837898</v>
      </c>
      <c r="L2641" s="6">
        <v>48.557048797607401</v>
      </c>
    </row>
    <row r="2642" spans="1:12" x14ac:dyDescent="0.25">
      <c r="A2642">
        <v>2414506</v>
      </c>
      <c r="B2642" t="str">
        <f t="shared" si="41"/>
        <v>UMARIZAL, RN, Brasil</v>
      </c>
      <c r="C2642" s="4" t="str">
        <f>_xlfn.XLOOKUP(A2642,[1]!DadosGHD[CD_GEOCMU],[1]!DadosGHD[Região])</f>
        <v>NE</v>
      </c>
      <c r="D2642" s="4" t="str">
        <f>_xlfn.XLOOKUP(A2642,[1]!DadosGHD[CD_GEOCMU],[1]!DadosGHD[uf])</f>
        <v>RN</v>
      </c>
      <c r="E2642" s="5" t="str">
        <f>_xlfn.XLOOKUP(A2642,[1]!DadosGHD[CD_GEOCMU],[1]!DadosGHD[MUNICIPIO])</f>
        <v>UMARIZAL</v>
      </c>
      <c r="F2642" s="6">
        <v>38.675666809082003</v>
      </c>
      <c r="G2642" s="6">
        <v>43.639228820800803</v>
      </c>
      <c r="H2642" s="6">
        <v>43.711219787597699</v>
      </c>
      <c r="I2642" s="6">
        <v>43.744834899902301</v>
      </c>
      <c r="J2642" s="6">
        <v>43.785301208496101</v>
      </c>
      <c r="K2642" s="6">
        <v>48.801948547363303</v>
      </c>
      <c r="L2642" s="6">
        <v>48.535770416259801</v>
      </c>
    </row>
    <row r="2643" spans="1:12" x14ac:dyDescent="0.25">
      <c r="A2643">
        <v>2208304</v>
      </c>
      <c r="B2643" t="str">
        <f t="shared" si="41"/>
        <v>PIRACURUCA, PI, Brasil</v>
      </c>
      <c r="C2643" s="4" t="str">
        <f>_xlfn.XLOOKUP(A2643,[1]!DadosGHD[CD_GEOCMU],[1]!DadosGHD[Região])</f>
        <v>NE</v>
      </c>
      <c r="D2643" s="4" t="str">
        <f>_xlfn.XLOOKUP(A2643,[1]!DadosGHD[CD_GEOCMU],[1]!DadosGHD[uf])</f>
        <v>PI</v>
      </c>
      <c r="E2643" s="5" t="str">
        <f>_xlfn.XLOOKUP(A2643,[1]!DadosGHD[CD_GEOCMU],[1]!DadosGHD[MUNICIPIO])</f>
        <v>PIRACURUCA</v>
      </c>
      <c r="F2643" s="6">
        <v>38.675827026367202</v>
      </c>
      <c r="G2643" s="6">
        <v>38.761878967285199</v>
      </c>
      <c r="H2643" s="6">
        <v>38.794204711914098</v>
      </c>
      <c r="I2643" s="6">
        <v>38.753654479980497</v>
      </c>
      <c r="J2643" s="6">
        <v>33.888835906982401</v>
      </c>
      <c r="K2643" s="6">
        <v>38.779808044433601</v>
      </c>
      <c r="L2643" s="6">
        <v>30.706037521362301</v>
      </c>
    </row>
    <row r="2644" spans="1:12" x14ac:dyDescent="0.25">
      <c r="A2644">
        <v>1100809</v>
      </c>
      <c r="B2644" t="str">
        <f t="shared" si="41"/>
        <v>CANDEIAS DO JAMARI, RO, Brasil</v>
      </c>
      <c r="C2644" s="4" t="str">
        <f>_xlfn.XLOOKUP(A2644,[1]!DadosGHD[CD_GEOCMU],[1]!DadosGHD[Região])</f>
        <v>NO</v>
      </c>
      <c r="D2644" s="4" t="str">
        <f>_xlfn.XLOOKUP(A2644,[1]!DadosGHD[CD_GEOCMU],[1]!DadosGHD[uf])</f>
        <v>RO</v>
      </c>
      <c r="E2644" s="5" t="str">
        <f>_xlfn.XLOOKUP(A2644,[1]!DadosGHD[CD_GEOCMU],[1]!DadosGHD[MUNICIPIO])</f>
        <v>CANDEIAS DO JAMARI</v>
      </c>
      <c r="F2644" s="6">
        <v>38.675865173339801</v>
      </c>
      <c r="G2644" s="6">
        <v>38.771846771240199</v>
      </c>
      <c r="H2644" s="6">
        <v>38.827053070068402</v>
      </c>
      <c r="I2644" s="6">
        <v>43.689888000488303</v>
      </c>
      <c r="J2644" s="6">
        <v>43.765789031982401</v>
      </c>
      <c r="K2644" s="6">
        <v>43.803493499755902</v>
      </c>
      <c r="L2644" s="6">
        <v>39.582302093505902</v>
      </c>
    </row>
    <row r="2645" spans="1:12" x14ac:dyDescent="0.25">
      <c r="A2645">
        <v>2913903</v>
      </c>
      <c r="B2645" t="str">
        <f t="shared" si="41"/>
        <v>IPIAU, BA, Brasil</v>
      </c>
      <c r="C2645" s="4" t="str">
        <f>_xlfn.XLOOKUP(A2645,[1]!DadosGHD[CD_GEOCMU],[1]!DadosGHD[Região])</f>
        <v>NE</v>
      </c>
      <c r="D2645" s="4" t="str">
        <f>_xlfn.XLOOKUP(A2645,[1]!DadosGHD[CD_GEOCMU],[1]!DadosGHD[uf])</f>
        <v>BA</v>
      </c>
      <c r="E2645" s="5" t="str">
        <f>_xlfn.XLOOKUP(A2645,[1]!DadosGHD[CD_GEOCMU],[1]!DadosGHD[MUNICIPIO])</f>
        <v>IPIAU</v>
      </c>
      <c r="F2645" s="6">
        <v>38.675956726074197</v>
      </c>
      <c r="G2645" s="6">
        <v>38.7320747375488</v>
      </c>
      <c r="H2645" s="6">
        <v>38.764163970947301</v>
      </c>
      <c r="I2645" s="6">
        <v>38.747730255127003</v>
      </c>
      <c r="J2645" s="6">
        <v>38.831047058105497</v>
      </c>
      <c r="K2645" s="6">
        <v>38.805023193359403</v>
      </c>
      <c r="L2645" s="6">
        <v>35.118843078613303</v>
      </c>
    </row>
    <row r="2646" spans="1:12" x14ac:dyDescent="0.25">
      <c r="A2646">
        <v>3112901</v>
      </c>
      <c r="B2646" t="str">
        <f t="shared" si="41"/>
        <v>CAPUTIRA, MG, Brasil</v>
      </c>
      <c r="C2646" s="4" t="str">
        <f>_xlfn.XLOOKUP(A2646,[1]!DadosGHD[CD_GEOCMU],[1]!DadosGHD[Região])</f>
        <v>SD</v>
      </c>
      <c r="D2646" s="4" t="str">
        <f>_xlfn.XLOOKUP(A2646,[1]!DadosGHD[CD_GEOCMU],[1]!DadosGHD[uf])</f>
        <v>MG</v>
      </c>
      <c r="E2646" s="5" t="str">
        <f>_xlfn.XLOOKUP(A2646,[1]!DadosGHD[CD_GEOCMU],[1]!DadosGHD[MUNICIPIO])</f>
        <v>CAPUTIRA</v>
      </c>
      <c r="F2646" s="6">
        <v>38.676109313964801</v>
      </c>
      <c r="G2646" s="6">
        <v>38.747299194335902</v>
      </c>
      <c r="H2646" s="6">
        <v>38.798694610595703</v>
      </c>
      <c r="I2646" s="6">
        <v>38.783046722412102</v>
      </c>
      <c r="J2646" s="6">
        <v>38.800468444824197</v>
      </c>
      <c r="K2646" s="6">
        <v>38.801856994628899</v>
      </c>
      <c r="L2646" s="6">
        <v>30.7042636871338</v>
      </c>
    </row>
    <row r="2647" spans="1:12" x14ac:dyDescent="0.25">
      <c r="A2647">
        <v>3156452</v>
      </c>
      <c r="B2647" t="str">
        <f t="shared" si="41"/>
        <v>ROSARIO DA LIMEIRA, MG, Brasil</v>
      </c>
      <c r="C2647" s="4" t="str">
        <f>_xlfn.XLOOKUP(A2647,[1]!DadosGHD[CD_GEOCMU],[1]!DadosGHD[Região])</f>
        <v>SD</v>
      </c>
      <c r="D2647" s="4" t="str">
        <f>_xlfn.XLOOKUP(A2647,[1]!DadosGHD[CD_GEOCMU],[1]!DadosGHD[uf])</f>
        <v>MG</v>
      </c>
      <c r="E2647" s="5" t="str">
        <f>_xlfn.XLOOKUP(A2647,[1]!DadosGHD[CD_GEOCMU],[1]!DadosGHD[MUNICIPIO])</f>
        <v>ROSARIO DA LIMEIRA</v>
      </c>
      <c r="F2647" s="6">
        <v>38.6763305664063</v>
      </c>
      <c r="G2647" s="6">
        <v>43.686977386474602</v>
      </c>
      <c r="H2647" s="6">
        <v>43.750476837158203</v>
      </c>
      <c r="I2647" s="6">
        <v>43.754302978515597</v>
      </c>
      <c r="J2647" s="6">
        <v>43.792747497558601</v>
      </c>
      <c r="K2647" s="6">
        <v>43.838775634765597</v>
      </c>
      <c r="L2647" s="6">
        <v>35.157218933105497</v>
      </c>
    </row>
    <row r="2648" spans="1:12" x14ac:dyDescent="0.25">
      <c r="A2648">
        <v>3122207</v>
      </c>
      <c r="B2648" t="str">
        <f t="shared" si="41"/>
        <v>DIVINOLANDIA DE MINAS, MG, Brasil</v>
      </c>
      <c r="C2648" s="4" t="str">
        <f>_xlfn.XLOOKUP(A2648,[1]!DadosGHD[CD_GEOCMU],[1]!DadosGHD[Região])</f>
        <v>SD</v>
      </c>
      <c r="D2648" s="4" t="str">
        <f>_xlfn.XLOOKUP(A2648,[1]!DadosGHD[CD_GEOCMU],[1]!DadosGHD[uf])</f>
        <v>MG</v>
      </c>
      <c r="E2648" s="5" t="str">
        <f>_xlfn.XLOOKUP(A2648,[1]!DadosGHD[CD_GEOCMU],[1]!DadosGHD[MUNICIPIO])</f>
        <v>DIVINOLANDIA DE MINAS</v>
      </c>
      <c r="F2648" s="6">
        <v>38.676349639892599</v>
      </c>
      <c r="G2648" s="6">
        <v>38.768745422363303</v>
      </c>
      <c r="H2648" s="6">
        <v>38.805488586425803</v>
      </c>
      <c r="I2648" s="6">
        <v>38.815093994140597</v>
      </c>
      <c r="J2648" s="6">
        <v>38.810710906982401</v>
      </c>
      <c r="K2648" s="6">
        <v>38.839447021484403</v>
      </c>
      <c r="L2648" s="6">
        <v>39.5831108093262</v>
      </c>
    </row>
    <row r="2649" spans="1:12" x14ac:dyDescent="0.25">
      <c r="A2649">
        <v>5102694</v>
      </c>
      <c r="B2649" t="str">
        <f t="shared" si="41"/>
        <v>CANABRAVA DO NORTE, MT, Brasil</v>
      </c>
      <c r="C2649" s="4" t="str">
        <f>_xlfn.XLOOKUP(A2649,[1]!DadosGHD[CD_GEOCMU],[1]!DadosGHD[Região])</f>
        <v>CO</v>
      </c>
      <c r="D2649" s="4" t="str">
        <f>_xlfn.XLOOKUP(A2649,[1]!DadosGHD[CD_GEOCMU],[1]!DadosGHD[uf])</f>
        <v>MT</v>
      </c>
      <c r="E2649" s="5" t="str">
        <f>_xlfn.XLOOKUP(A2649,[1]!DadosGHD[CD_GEOCMU],[1]!DadosGHD[MUNICIPIO])</f>
        <v>CANABRAVA DO NORTE</v>
      </c>
      <c r="F2649" s="6">
        <v>38.676361083984403</v>
      </c>
      <c r="G2649" s="6">
        <v>38.711540222167997</v>
      </c>
      <c r="H2649" s="6">
        <v>38.744503021240199</v>
      </c>
      <c r="I2649" s="6">
        <v>33.872303009033203</v>
      </c>
      <c r="J2649" s="6">
        <v>33.881534576416001</v>
      </c>
      <c r="K2649" s="6">
        <v>33.921646118164098</v>
      </c>
      <c r="L2649" s="6">
        <v>35.130439758300803</v>
      </c>
    </row>
    <row r="2650" spans="1:12" x14ac:dyDescent="0.25">
      <c r="A2650">
        <v>3523305</v>
      </c>
      <c r="B2650" t="str">
        <f t="shared" si="41"/>
        <v>ITARIRI, SP, Brasil</v>
      </c>
      <c r="C2650" s="4" t="str">
        <f>_xlfn.XLOOKUP(A2650,[1]!DadosGHD[CD_GEOCMU],[1]!DadosGHD[Região])</f>
        <v>SD</v>
      </c>
      <c r="D2650" s="4" t="str">
        <f>_xlfn.XLOOKUP(A2650,[1]!DadosGHD[CD_GEOCMU],[1]!DadosGHD[uf])</f>
        <v>SP</v>
      </c>
      <c r="E2650" s="5" t="str">
        <f>_xlfn.XLOOKUP(A2650,[1]!DadosGHD[CD_GEOCMU],[1]!DadosGHD[MUNICIPIO])</f>
        <v>ITARIRI</v>
      </c>
      <c r="F2650" s="6">
        <v>38.676567077636697</v>
      </c>
      <c r="G2650" s="6">
        <v>38.737770080566399</v>
      </c>
      <c r="H2650" s="6">
        <v>38.780014038085902</v>
      </c>
      <c r="I2650" s="6">
        <v>38.759468078613303</v>
      </c>
      <c r="J2650" s="6">
        <v>38.774005889892599</v>
      </c>
      <c r="K2650" s="6">
        <v>38.798271179199197</v>
      </c>
      <c r="L2650" s="6">
        <v>35.130409240722699</v>
      </c>
    </row>
    <row r="2651" spans="1:12" x14ac:dyDescent="0.25">
      <c r="A2651">
        <v>4307203</v>
      </c>
      <c r="B2651" t="str">
        <f t="shared" si="41"/>
        <v>ERVAL GRANDE, RS, Brasil</v>
      </c>
      <c r="C2651" s="4" t="str">
        <f>_xlfn.XLOOKUP(A2651,[1]!DadosGHD[CD_GEOCMU],[1]!DadosGHD[Região])</f>
        <v>SL</v>
      </c>
      <c r="D2651" s="4" t="str">
        <f>_xlfn.XLOOKUP(A2651,[1]!DadosGHD[CD_GEOCMU],[1]!DadosGHD[uf])</f>
        <v>RS</v>
      </c>
      <c r="E2651" s="5" t="str">
        <f>_xlfn.XLOOKUP(A2651,[1]!DadosGHD[CD_GEOCMU],[1]!DadosGHD[MUNICIPIO])</f>
        <v>ERVAL GRANDE</v>
      </c>
      <c r="F2651" s="6">
        <v>38.676715850830099</v>
      </c>
      <c r="G2651" s="6">
        <v>53.658454895019503</v>
      </c>
      <c r="H2651" s="6">
        <v>48.801731109619098</v>
      </c>
      <c r="I2651" s="6">
        <v>43.774253845214801</v>
      </c>
      <c r="J2651" s="6">
        <v>43.814315795898402</v>
      </c>
      <c r="K2651" s="6">
        <v>43.853023529052699</v>
      </c>
      <c r="L2651" s="6">
        <v>35.128108978271499</v>
      </c>
    </row>
    <row r="2652" spans="1:12" x14ac:dyDescent="0.25">
      <c r="A2652">
        <v>5220157</v>
      </c>
      <c r="B2652" t="str">
        <f t="shared" si="41"/>
        <v>SAO LUIZ DO NORTE, GO, Brasil</v>
      </c>
      <c r="C2652" s="4" t="str">
        <f>_xlfn.XLOOKUP(A2652,[1]!DadosGHD[CD_GEOCMU],[1]!DadosGHD[Região])</f>
        <v>CO</v>
      </c>
      <c r="D2652" s="4" t="str">
        <f>_xlfn.XLOOKUP(A2652,[1]!DadosGHD[CD_GEOCMU],[1]!DadosGHD[uf])</f>
        <v>GO</v>
      </c>
      <c r="E2652" s="5" t="str">
        <f>_xlfn.XLOOKUP(A2652,[1]!DadosGHD[CD_GEOCMU],[1]!DadosGHD[MUNICIPIO])</f>
        <v>SAO LUIZ DO NORTE</v>
      </c>
      <c r="F2652" s="6">
        <v>38.676895141601598</v>
      </c>
      <c r="G2652" s="6">
        <v>38.710113525390597</v>
      </c>
      <c r="H2652" s="6">
        <v>38.787746429443402</v>
      </c>
      <c r="I2652" s="6">
        <v>43.743736267089801</v>
      </c>
      <c r="J2652" s="6">
        <v>38.841403961181598</v>
      </c>
      <c r="K2652" s="6">
        <v>38.866943359375</v>
      </c>
      <c r="L2652" s="6">
        <v>30.706520080566399</v>
      </c>
    </row>
    <row r="2653" spans="1:12" x14ac:dyDescent="0.25">
      <c r="A2653">
        <v>2908804</v>
      </c>
      <c r="B2653" t="str">
        <f t="shared" si="41"/>
        <v>CONTENDAS DO SINCORA, BA, Brasil</v>
      </c>
      <c r="C2653" s="4" t="str">
        <f>_xlfn.XLOOKUP(A2653,[1]!DadosGHD[CD_GEOCMU],[1]!DadosGHD[Região])</f>
        <v>NE</v>
      </c>
      <c r="D2653" s="4" t="str">
        <f>_xlfn.XLOOKUP(A2653,[1]!DadosGHD[CD_GEOCMU],[1]!DadosGHD[uf])</f>
        <v>BA</v>
      </c>
      <c r="E2653" s="5" t="str">
        <f>_xlfn.XLOOKUP(A2653,[1]!DadosGHD[CD_GEOCMU],[1]!DadosGHD[MUNICIPIO])</f>
        <v>CONTENDAS DO SINCORA</v>
      </c>
      <c r="F2653" s="6">
        <v>38.676975250244098</v>
      </c>
      <c r="G2653" s="6">
        <v>38.707725524902301</v>
      </c>
      <c r="H2653" s="6">
        <v>38.764717102050803</v>
      </c>
      <c r="I2653" s="6">
        <v>38.734836578369098</v>
      </c>
      <c r="J2653" s="6">
        <v>38.781700134277301</v>
      </c>
      <c r="K2653" s="6">
        <v>43.856063842773402</v>
      </c>
      <c r="L2653" s="6">
        <v>30.693454742431602</v>
      </c>
    </row>
    <row r="2654" spans="1:12" x14ac:dyDescent="0.25">
      <c r="A2654">
        <v>4218301</v>
      </c>
      <c r="B2654" t="str">
        <f t="shared" si="41"/>
        <v>TRES BARRAS, SC, Brasil</v>
      </c>
      <c r="C2654" s="4" t="str">
        <f>_xlfn.XLOOKUP(A2654,[1]!DadosGHD[CD_GEOCMU],[1]!DadosGHD[Região])</f>
        <v>SL</v>
      </c>
      <c r="D2654" s="4" t="str">
        <f>_xlfn.XLOOKUP(A2654,[1]!DadosGHD[CD_GEOCMU],[1]!DadosGHD[uf])</f>
        <v>SC</v>
      </c>
      <c r="E2654" s="5" t="str">
        <f>_xlfn.XLOOKUP(A2654,[1]!DadosGHD[CD_GEOCMU],[1]!DadosGHD[MUNICIPIO])</f>
        <v>TRES BARRAS</v>
      </c>
      <c r="F2654" s="6">
        <v>38.677066802978501</v>
      </c>
      <c r="G2654" s="6">
        <v>38.748252868652301</v>
      </c>
      <c r="H2654" s="6">
        <v>43.746814727783203</v>
      </c>
      <c r="I2654" s="6">
        <v>43.710033416748097</v>
      </c>
      <c r="J2654" s="6">
        <v>43.8075141906738</v>
      </c>
      <c r="K2654" s="6">
        <v>43.861232757568402</v>
      </c>
      <c r="L2654" s="6">
        <v>44.062221527099602</v>
      </c>
    </row>
    <row r="2655" spans="1:12" x14ac:dyDescent="0.25">
      <c r="A2655">
        <v>2202802</v>
      </c>
      <c r="B2655" t="str">
        <f t="shared" si="41"/>
        <v>CONCEICAO DO CANINDE, PI, Brasil</v>
      </c>
      <c r="C2655" s="4" t="str">
        <f>_xlfn.XLOOKUP(A2655,[1]!DadosGHD[CD_GEOCMU],[1]!DadosGHD[Região])</f>
        <v>NE</v>
      </c>
      <c r="D2655" s="4" t="str">
        <f>_xlfn.XLOOKUP(A2655,[1]!DadosGHD[CD_GEOCMU],[1]!DadosGHD[uf])</f>
        <v>PI</v>
      </c>
      <c r="E2655" s="5" t="str">
        <f>_xlfn.XLOOKUP(A2655,[1]!DadosGHD[CD_GEOCMU],[1]!DadosGHD[MUNICIPIO])</f>
        <v>CONCEICAO DO CANINDE</v>
      </c>
      <c r="F2655" s="6">
        <v>38.677219390869098</v>
      </c>
      <c r="G2655" s="6">
        <v>38.698040008544901</v>
      </c>
      <c r="H2655" s="6">
        <v>33.887260437011697</v>
      </c>
      <c r="I2655" s="6">
        <v>33.866168975830099</v>
      </c>
      <c r="J2655" s="6">
        <v>38.7538871765137</v>
      </c>
      <c r="K2655" s="6">
        <v>33.867366790771499</v>
      </c>
      <c r="L2655" s="6">
        <v>30.716978073120099</v>
      </c>
    </row>
    <row r="2656" spans="1:12" x14ac:dyDescent="0.25">
      <c r="A2656">
        <v>3521002</v>
      </c>
      <c r="B2656" t="str">
        <f t="shared" si="41"/>
        <v>IPERO, SP, Brasil</v>
      </c>
      <c r="C2656" s="4" t="str">
        <f>_xlfn.XLOOKUP(A2656,[1]!DadosGHD[CD_GEOCMU],[1]!DadosGHD[Região])</f>
        <v>SD</v>
      </c>
      <c r="D2656" s="4" t="str">
        <f>_xlfn.XLOOKUP(A2656,[1]!DadosGHD[CD_GEOCMU],[1]!DadosGHD[uf])</f>
        <v>SP</v>
      </c>
      <c r="E2656" s="5" t="str">
        <f>_xlfn.XLOOKUP(A2656,[1]!DadosGHD[CD_GEOCMU],[1]!DadosGHD[MUNICIPIO])</f>
        <v>IPERO</v>
      </c>
      <c r="F2656" s="6">
        <v>38.677280426025398</v>
      </c>
      <c r="G2656" s="6">
        <v>38.698234558105497</v>
      </c>
      <c r="H2656" s="6">
        <v>38.745243072509801</v>
      </c>
      <c r="I2656" s="6">
        <v>38.783435821533203</v>
      </c>
      <c r="J2656" s="6">
        <v>38.816268920898402</v>
      </c>
      <c r="K2656" s="6">
        <v>38.882637023925803</v>
      </c>
      <c r="L2656" s="6">
        <v>44.060832977294901</v>
      </c>
    </row>
    <row r="2657" spans="1:12" x14ac:dyDescent="0.25">
      <c r="A2657">
        <v>3518503</v>
      </c>
      <c r="B2657" t="str">
        <f t="shared" si="41"/>
        <v>GUAREI, SP, Brasil</v>
      </c>
      <c r="C2657" s="4" t="str">
        <f>_xlfn.XLOOKUP(A2657,[1]!DadosGHD[CD_GEOCMU],[1]!DadosGHD[Região])</f>
        <v>SD</v>
      </c>
      <c r="D2657" s="4" t="str">
        <f>_xlfn.XLOOKUP(A2657,[1]!DadosGHD[CD_GEOCMU],[1]!DadosGHD[uf])</f>
        <v>SP</v>
      </c>
      <c r="E2657" s="5" t="str">
        <f>_xlfn.XLOOKUP(A2657,[1]!DadosGHD[CD_GEOCMU],[1]!DadosGHD[MUNICIPIO])</f>
        <v>GUAREI</v>
      </c>
      <c r="F2657" s="6">
        <v>38.677513122558601</v>
      </c>
      <c r="G2657" s="6">
        <v>38.721153259277301</v>
      </c>
      <c r="H2657" s="6">
        <v>33.8958930969238</v>
      </c>
      <c r="I2657" s="6">
        <v>33.867408752441399</v>
      </c>
      <c r="J2657" s="6">
        <v>33.888996124267599</v>
      </c>
      <c r="K2657" s="6">
        <v>33.931854248046903</v>
      </c>
      <c r="L2657" s="6">
        <v>44.023056030273402</v>
      </c>
    </row>
    <row r="2658" spans="1:12" x14ac:dyDescent="0.25">
      <c r="A2658">
        <v>2511509</v>
      </c>
      <c r="B2658" t="str">
        <f t="shared" si="41"/>
        <v>PILAR, PB, Brasil</v>
      </c>
      <c r="C2658" s="4" t="str">
        <f>_xlfn.XLOOKUP(A2658,[1]!DadosGHD[CD_GEOCMU],[1]!DadosGHD[Região])</f>
        <v>NE</v>
      </c>
      <c r="D2658" s="4" t="str">
        <f>_xlfn.XLOOKUP(A2658,[1]!DadosGHD[CD_GEOCMU],[1]!DadosGHD[uf])</f>
        <v>PB</v>
      </c>
      <c r="E2658" s="5" t="str">
        <f>_xlfn.XLOOKUP(A2658,[1]!DadosGHD[CD_GEOCMU],[1]!DadosGHD[MUNICIPIO])</f>
        <v>PILAR</v>
      </c>
      <c r="F2658" s="6">
        <v>38.677696228027301</v>
      </c>
      <c r="G2658" s="6">
        <v>43.6509819030762</v>
      </c>
      <c r="H2658" s="6">
        <v>38.787513732910199</v>
      </c>
      <c r="I2658" s="6">
        <v>38.768379211425803</v>
      </c>
      <c r="J2658" s="6">
        <v>38.779499053955099</v>
      </c>
      <c r="K2658" s="6">
        <v>33.924751281738303</v>
      </c>
      <c r="L2658" s="6">
        <v>30.697383880615199</v>
      </c>
    </row>
    <row r="2659" spans="1:12" x14ac:dyDescent="0.25">
      <c r="A2659">
        <v>5000708</v>
      </c>
      <c r="B2659" t="str">
        <f t="shared" si="41"/>
        <v>ANASTACIO, MS, Brasil</v>
      </c>
      <c r="C2659" s="4" t="str">
        <f>_xlfn.XLOOKUP(A2659,[1]!DadosGHD[CD_GEOCMU],[1]!DadosGHD[Região])</f>
        <v>CO</v>
      </c>
      <c r="D2659" s="4" t="str">
        <f>_xlfn.XLOOKUP(A2659,[1]!DadosGHD[CD_GEOCMU],[1]!DadosGHD[uf])</f>
        <v>MS</v>
      </c>
      <c r="E2659" s="5" t="str">
        <f>_xlfn.XLOOKUP(A2659,[1]!DadosGHD[CD_GEOCMU],[1]!DadosGHD[MUNICIPIO])</f>
        <v>ANASTACIO</v>
      </c>
      <c r="F2659" s="6">
        <v>38.677787780761697</v>
      </c>
      <c r="G2659" s="6">
        <v>38.709396362304702</v>
      </c>
      <c r="H2659" s="6">
        <v>38.7595024108887</v>
      </c>
      <c r="I2659" s="6">
        <v>38.722282409667997</v>
      </c>
      <c r="J2659" s="6">
        <v>33.873691558837898</v>
      </c>
      <c r="K2659" s="6">
        <v>33.868789672851598</v>
      </c>
      <c r="L2659" s="6">
        <v>26.293226242065401</v>
      </c>
    </row>
    <row r="2660" spans="1:12" x14ac:dyDescent="0.25">
      <c r="A2660">
        <v>2916708</v>
      </c>
      <c r="B2660" t="str">
        <f t="shared" si="41"/>
        <v>ITAQUARA, BA, Brasil</v>
      </c>
      <c r="C2660" s="4" t="str">
        <f>_xlfn.XLOOKUP(A2660,[1]!DadosGHD[CD_GEOCMU],[1]!DadosGHD[Região])</f>
        <v>NE</v>
      </c>
      <c r="D2660" s="4" t="str">
        <f>_xlfn.XLOOKUP(A2660,[1]!DadosGHD[CD_GEOCMU],[1]!DadosGHD[uf])</f>
        <v>BA</v>
      </c>
      <c r="E2660" s="5" t="str">
        <f>_xlfn.XLOOKUP(A2660,[1]!DadosGHD[CD_GEOCMU],[1]!DadosGHD[MUNICIPIO])</f>
        <v>ITAQUARA</v>
      </c>
      <c r="F2660" s="6">
        <v>38.677982330322301</v>
      </c>
      <c r="G2660" s="6">
        <v>38.704330444335902</v>
      </c>
      <c r="H2660" s="6">
        <v>38.757255554199197</v>
      </c>
      <c r="I2660" s="6">
        <v>38.731021881103501</v>
      </c>
      <c r="J2660" s="6">
        <v>38.802371978759801</v>
      </c>
      <c r="K2660" s="6">
        <v>33.873500823974602</v>
      </c>
      <c r="L2660" s="6">
        <v>30.7084255218506</v>
      </c>
    </row>
    <row r="2661" spans="1:12" x14ac:dyDescent="0.25">
      <c r="A2661">
        <v>2516102</v>
      </c>
      <c r="B2661" t="str">
        <f t="shared" si="41"/>
        <v>SOLEDADE, PB, Brasil</v>
      </c>
      <c r="C2661" s="4" t="str">
        <f>_xlfn.XLOOKUP(A2661,[1]!DadosGHD[CD_GEOCMU],[1]!DadosGHD[Região])</f>
        <v>NE</v>
      </c>
      <c r="D2661" s="4" t="str">
        <f>_xlfn.XLOOKUP(A2661,[1]!DadosGHD[CD_GEOCMU],[1]!DadosGHD[uf])</f>
        <v>PB</v>
      </c>
      <c r="E2661" s="5" t="str">
        <f>_xlfn.XLOOKUP(A2661,[1]!DadosGHD[CD_GEOCMU],[1]!DadosGHD[MUNICIPIO])</f>
        <v>SOLEDADE</v>
      </c>
      <c r="F2661" s="6">
        <v>38.678108215332003</v>
      </c>
      <c r="G2661" s="6">
        <v>38.683204650878899</v>
      </c>
      <c r="H2661" s="6">
        <v>33.889785766601598</v>
      </c>
      <c r="I2661" s="6">
        <v>38.730655670166001</v>
      </c>
      <c r="J2661" s="6">
        <v>38.819786071777301</v>
      </c>
      <c r="K2661" s="6">
        <v>43.839572906494098</v>
      </c>
      <c r="L2661" s="6">
        <v>48.4972953796387</v>
      </c>
    </row>
    <row r="2662" spans="1:12" x14ac:dyDescent="0.25">
      <c r="A2662">
        <v>2309904</v>
      </c>
      <c r="B2662" t="str">
        <f t="shared" si="41"/>
        <v>PACUJA, CE, Brasil</v>
      </c>
      <c r="C2662" s="4" t="str">
        <f>_xlfn.XLOOKUP(A2662,[1]!DadosGHD[CD_GEOCMU],[1]!DadosGHD[Região])</f>
        <v>NE</v>
      </c>
      <c r="D2662" s="4" t="str">
        <f>_xlfn.XLOOKUP(A2662,[1]!DadosGHD[CD_GEOCMU],[1]!DadosGHD[uf])</f>
        <v>CE</v>
      </c>
      <c r="E2662" s="5" t="str">
        <f>_xlfn.XLOOKUP(A2662,[1]!DadosGHD[CD_GEOCMU],[1]!DadosGHD[MUNICIPIO])</f>
        <v>PACUJA</v>
      </c>
      <c r="F2662" s="6">
        <v>38.678138732910199</v>
      </c>
      <c r="G2662" s="6">
        <v>38.746757507324197</v>
      </c>
      <c r="H2662" s="6">
        <v>38.781490325927699</v>
      </c>
      <c r="I2662" s="6">
        <v>38.750732421875</v>
      </c>
      <c r="J2662" s="6">
        <v>38.769386291503899</v>
      </c>
      <c r="K2662" s="6">
        <v>38.782417297363303</v>
      </c>
      <c r="L2662" s="6">
        <v>35.128654479980497</v>
      </c>
    </row>
    <row r="2663" spans="1:12" x14ac:dyDescent="0.25">
      <c r="A2663">
        <v>2504306</v>
      </c>
      <c r="B2663" t="str">
        <f t="shared" si="41"/>
        <v>CATOLE DO ROCHA, PB, Brasil</v>
      </c>
      <c r="C2663" s="4" t="str">
        <f>_xlfn.XLOOKUP(A2663,[1]!DadosGHD[CD_GEOCMU],[1]!DadosGHD[Região])</f>
        <v>NE</v>
      </c>
      <c r="D2663" s="4" t="str">
        <f>_xlfn.XLOOKUP(A2663,[1]!DadosGHD[CD_GEOCMU],[1]!DadosGHD[uf])</f>
        <v>PB</v>
      </c>
      <c r="E2663" s="5" t="str">
        <f>_xlfn.XLOOKUP(A2663,[1]!DadosGHD[CD_GEOCMU],[1]!DadosGHD[MUNICIPIO])</f>
        <v>CATOLE DO ROCHA</v>
      </c>
      <c r="F2663" s="6">
        <v>38.678150177002003</v>
      </c>
      <c r="G2663" s="6">
        <v>38.786056518554702</v>
      </c>
      <c r="H2663" s="6">
        <v>43.7530326843262</v>
      </c>
      <c r="I2663" s="6">
        <v>43.770156860351598</v>
      </c>
      <c r="J2663" s="6">
        <v>43.808925628662102</v>
      </c>
      <c r="K2663" s="6">
        <v>43.869316101074197</v>
      </c>
      <c r="L2663" s="6">
        <v>39.574851989746101</v>
      </c>
    </row>
    <row r="2664" spans="1:12" x14ac:dyDescent="0.25">
      <c r="A2664">
        <v>3171907</v>
      </c>
      <c r="B2664" t="str">
        <f t="shared" si="41"/>
        <v>VIRGOLANDIA, MG, Brasil</v>
      </c>
      <c r="C2664" s="4" t="str">
        <f>_xlfn.XLOOKUP(A2664,[1]!DadosGHD[CD_GEOCMU],[1]!DadosGHD[Região])</f>
        <v>SD</v>
      </c>
      <c r="D2664" s="4" t="str">
        <f>_xlfn.XLOOKUP(A2664,[1]!DadosGHD[CD_GEOCMU],[1]!DadosGHD[uf])</f>
        <v>MG</v>
      </c>
      <c r="E2664" s="5" t="str">
        <f>_xlfn.XLOOKUP(A2664,[1]!DadosGHD[CD_GEOCMU],[1]!DadosGHD[MUNICIPIO])</f>
        <v>VIRGOLANDIA</v>
      </c>
      <c r="F2664" s="6">
        <v>38.678184509277301</v>
      </c>
      <c r="G2664" s="6">
        <v>38.726066589355497</v>
      </c>
      <c r="H2664" s="6">
        <v>33.876953125</v>
      </c>
      <c r="I2664" s="6">
        <v>33.850845336914098</v>
      </c>
      <c r="J2664" s="6">
        <v>33.8642768859863</v>
      </c>
      <c r="K2664" s="6">
        <v>33.903621673583999</v>
      </c>
      <c r="L2664" s="6">
        <v>30.713588714599599</v>
      </c>
    </row>
    <row r="2665" spans="1:12" x14ac:dyDescent="0.25">
      <c r="A2665">
        <v>4201307</v>
      </c>
      <c r="B2665" t="str">
        <f t="shared" si="41"/>
        <v>ARAQUARI, SC, Brasil</v>
      </c>
      <c r="C2665" s="4" t="str">
        <f>_xlfn.XLOOKUP(A2665,[1]!DadosGHD[CD_GEOCMU],[1]!DadosGHD[Região])</f>
        <v>SL</v>
      </c>
      <c r="D2665" s="4" t="str">
        <f>_xlfn.XLOOKUP(A2665,[1]!DadosGHD[CD_GEOCMU],[1]!DadosGHD[uf])</f>
        <v>SC</v>
      </c>
      <c r="E2665" s="5" t="str">
        <f>_xlfn.XLOOKUP(A2665,[1]!DadosGHD[CD_GEOCMU],[1]!DadosGHD[MUNICIPIO])</f>
        <v>ARAQUARI</v>
      </c>
      <c r="F2665" s="6">
        <v>38.678245544433601</v>
      </c>
      <c r="G2665" s="6">
        <v>38.764122009277301</v>
      </c>
      <c r="H2665" s="6">
        <v>43.794242858886697</v>
      </c>
      <c r="I2665" s="6">
        <v>43.7002143859863</v>
      </c>
      <c r="J2665" s="6">
        <v>48.697967529296903</v>
      </c>
      <c r="K2665" s="6">
        <v>48.871852874755902</v>
      </c>
      <c r="L2665" s="6">
        <v>53.0511474609375</v>
      </c>
    </row>
    <row r="2666" spans="1:12" x14ac:dyDescent="0.25">
      <c r="A2666">
        <v>2205300</v>
      </c>
      <c r="B2666" t="str">
        <f t="shared" si="41"/>
        <v>JERUMENHA, PI, Brasil</v>
      </c>
      <c r="C2666" s="4" t="str">
        <f>_xlfn.XLOOKUP(A2666,[1]!DadosGHD[CD_GEOCMU],[1]!DadosGHD[Região])</f>
        <v>NE</v>
      </c>
      <c r="D2666" s="4" t="str">
        <f>_xlfn.XLOOKUP(A2666,[1]!DadosGHD[CD_GEOCMU],[1]!DadosGHD[uf])</f>
        <v>PI</v>
      </c>
      <c r="E2666" s="5" t="str">
        <f>_xlfn.XLOOKUP(A2666,[1]!DadosGHD[CD_GEOCMU],[1]!DadosGHD[MUNICIPIO])</f>
        <v>JERUMENHA</v>
      </c>
      <c r="F2666" s="6">
        <v>38.678554534912102</v>
      </c>
      <c r="G2666" s="6">
        <v>38.709392547607401</v>
      </c>
      <c r="H2666" s="6">
        <v>38.745758056640597</v>
      </c>
      <c r="I2666" s="6">
        <v>38.739749908447301</v>
      </c>
      <c r="J2666" s="6">
        <v>33.889652252197301</v>
      </c>
      <c r="K2666" s="6">
        <v>38.784793853759801</v>
      </c>
      <c r="L2666" s="6">
        <v>30.684206008911101</v>
      </c>
    </row>
    <row r="2667" spans="1:12" x14ac:dyDescent="0.25">
      <c r="A2667">
        <v>3107802</v>
      </c>
      <c r="B2667" t="str">
        <f t="shared" si="41"/>
        <v>BOM JESUS DO GALHO, MG, Brasil</v>
      </c>
      <c r="C2667" s="4" t="str">
        <f>_xlfn.XLOOKUP(A2667,[1]!DadosGHD[CD_GEOCMU],[1]!DadosGHD[Região])</f>
        <v>SD</v>
      </c>
      <c r="D2667" s="4" t="str">
        <f>_xlfn.XLOOKUP(A2667,[1]!DadosGHD[CD_GEOCMU],[1]!DadosGHD[uf])</f>
        <v>MG</v>
      </c>
      <c r="E2667" s="5" t="str">
        <f>_xlfn.XLOOKUP(A2667,[1]!DadosGHD[CD_GEOCMU],[1]!DadosGHD[MUNICIPIO])</f>
        <v>BOM JESUS DO GALHO</v>
      </c>
      <c r="F2667" s="6">
        <v>38.678855895996101</v>
      </c>
      <c r="G2667" s="6">
        <v>38.721107482910199</v>
      </c>
      <c r="H2667" s="6">
        <v>38.791774749755902</v>
      </c>
      <c r="I2667" s="6">
        <v>38.775352478027301</v>
      </c>
      <c r="J2667" s="6">
        <v>38.785568237304702</v>
      </c>
      <c r="K2667" s="6">
        <v>38.827110290527301</v>
      </c>
      <c r="L2667" s="6">
        <v>35.112384796142599</v>
      </c>
    </row>
    <row r="2668" spans="1:12" x14ac:dyDescent="0.25">
      <c r="A2668">
        <v>4208955</v>
      </c>
      <c r="B2668" t="str">
        <f t="shared" si="41"/>
        <v>JARDINOPOLIS, SC, Brasil</v>
      </c>
      <c r="C2668" s="4" t="str">
        <f>_xlfn.XLOOKUP(A2668,[1]!DadosGHD[CD_GEOCMU],[1]!DadosGHD[Região])</f>
        <v>SL</v>
      </c>
      <c r="D2668" s="4" t="str">
        <f>_xlfn.XLOOKUP(A2668,[1]!DadosGHD[CD_GEOCMU],[1]!DadosGHD[uf])</f>
        <v>SC</v>
      </c>
      <c r="E2668" s="5" t="str">
        <f>_xlfn.XLOOKUP(A2668,[1]!DadosGHD[CD_GEOCMU],[1]!DadosGHD[MUNICIPIO])</f>
        <v>JARDINOPOLIS</v>
      </c>
      <c r="F2668" s="6">
        <v>38.678909301757798</v>
      </c>
      <c r="G2668" s="6">
        <v>53.663600921630902</v>
      </c>
      <c r="H2668" s="6">
        <v>48.827659606933601</v>
      </c>
      <c r="I2668" s="6">
        <v>53.774452209472699</v>
      </c>
      <c r="J2668" s="6">
        <v>48.793552398681598</v>
      </c>
      <c r="K2668" s="6">
        <v>48.866455078125</v>
      </c>
      <c r="L2668" s="6">
        <v>39.596672058105497</v>
      </c>
    </row>
    <row r="2669" spans="1:12" x14ac:dyDescent="0.25">
      <c r="A2669">
        <v>5217609</v>
      </c>
      <c r="B2669" t="str">
        <f t="shared" si="41"/>
        <v>PLANALTINA, GO, Brasil</v>
      </c>
      <c r="C2669" s="4" t="str">
        <f>_xlfn.XLOOKUP(A2669,[1]!DadosGHD[CD_GEOCMU],[1]!DadosGHD[Região])</f>
        <v>CO</v>
      </c>
      <c r="D2669" s="4" t="str">
        <f>_xlfn.XLOOKUP(A2669,[1]!DadosGHD[CD_GEOCMU],[1]!DadosGHD[uf])</f>
        <v>GO</v>
      </c>
      <c r="E2669" s="5" t="str">
        <f>_xlfn.XLOOKUP(A2669,[1]!DadosGHD[CD_GEOCMU],[1]!DadosGHD[MUNICIPIO])</f>
        <v>PLANALTINA</v>
      </c>
      <c r="F2669" s="6">
        <v>38.679023742675803</v>
      </c>
      <c r="G2669" s="6">
        <v>38.754783630371101</v>
      </c>
      <c r="H2669" s="6">
        <v>38.799808502197301</v>
      </c>
      <c r="I2669" s="6">
        <v>38.736099243164098</v>
      </c>
      <c r="J2669" s="6">
        <v>33.890529632568402</v>
      </c>
      <c r="K2669" s="6">
        <v>38.861476898193402</v>
      </c>
      <c r="L2669" s="6">
        <v>57.589881896972699</v>
      </c>
    </row>
    <row r="2670" spans="1:12" x14ac:dyDescent="0.25">
      <c r="A2670">
        <v>3125606</v>
      </c>
      <c r="B2670" t="str">
        <f t="shared" si="41"/>
        <v>FELISBURGO, MG, Brasil</v>
      </c>
      <c r="C2670" s="4" t="str">
        <f>_xlfn.XLOOKUP(A2670,[1]!DadosGHD[CD_GEOCMU],[1]!DadosGHD[Região])</f>
        <v>SD</v>
      </c>
      <c r="D2670" s="4" t="str">
        <f>_xlfn.XLOOKUP(A2670,[1]!DadosGHD[CD_GEOCMU],[1]!DadosGHD[uf])</f>
        <v>MG</v>
      </c>
      <c r="E2670" s="5" t="str">
        <f>_xlfn.XLOOKUP(A2670,[1]!DadosGHD[CD_GEOCMU],[1]!DadosGHD[MUNICIPIO])</f>
        <v>FELISBURGO</v>
      </c>
      <c r="F2670" s="6">
        <v>38.679344177246101</v>
      </c>
      <c r="G2670" s="6">
        <v>43.6708984375</v>
      </c>
      <c r="H2670" s="6">
        <v>38.847087860107401</v>
      </c>
      <c r="I2670" s="6">
        <v>38.816417694091797</v>
      </c>
      <c r="J2670" s="6">
        <v>38.844165802002003</v>
      </c>
      <c r="K2670" s="6">
        <v>38.882972717285199</v>
      </c>
      <c r="L2670" s="6">
        <v>35.116779327392599</v>
      </c>
    </row>
    <row r="2671" spans="1:12" x14ac:dyDescent="0.25">
      <c r="A2671">
        <v>5215603</v>
      </c>
      <c r="B2671" t="str">
        <f t="shared" si="41"/>
        <v>PADRE BERNARDO, GO, Brasil</v>
      </c>
      <c r="C2671" s="4" t="str">
        <f>_xlfn.XLOOKUP(A2671,[1]!DadosGHD[CD_GEOCMU],[1]!DadosGHD[Região])</f>
        <v>CO</v>
      </c>
      <c r="D2671" s="4" t="str">
        <f>_xlfn.XLOOKUP(A2671,[1]!DadosGHD[CD_GEOCMU],[1]!DadosGHD[uf])</f>
        <v>GO</v>
      </c>
      <c r="E2671" s="5" t="str">
        <f>_xlfn.XLOOKUP(A2671,[1]!DadosGHD[CD_GEOCMU],[1]!DadosGHD[MUNICIPIO])</f>
        <v>PADRE BERNARDO</v>
      </c>
      <c r="F2671" s="6">
        <v>38.679420471191399</v>
      </c>
      <c r="G2671" s="6">
        <v>38.724674224853501</v>
      </c>
      <c r="H2671" s="6">
        <v>33.877262115478501</v>
      </c>
      <c r="I2671" s="6">
        <v>33.853107452392599</v>
      </c>
      <c r="J2671" s="6">
        <v>33.87255859375</v>
      </c>
      <c r="K2671" s="6">
        <v>33.932117462158203</v>
      </c>
      <c r="L2671" s="6">
        <v>26.299898147583001</v>
      </c>
    </row>
    <row r="2672" spans="1:12" x14ac:dyDescent="0.25">
      <c r="A2672">
        <v>2908002</v>
      </c>
      <c r="B2672" t="str">
        <f t="shared" si="41"/>
        <v>COARACI, BA, Brasil</v>
      </c>
      <c r="C2672" s="4" t="str">
        <f>_xlfn.XLOOKUP(A2672,[1]!DadosGHD[CD_GEOCMU],[1]!DadosGHD[Região])</f>
        <v>NE</v>
      </c>
      <c r="D2672" s="4" t="str">
        <f>_xlfn.XLOOKUP(A2672,[1]!DadosGHD[CD_GEOCMU],[1]!DadosGHD[uf])</f>
        <v>BA</v>
      </c>
      <c r="E2672" s="5" t="str">
        <f>_xlfn.XLOOKUP(A2672,[1]!DadosGHD[CD_GEOCMU],[1]!DadosGHD[MUNICIPIO])</f>
        <v>COARACI</v>
      </c>
      <c r="F2672" s="6">
        <v>38.679435729980497</v>
      </c>
      <c r="G2672" s="6">
        <v>38.745609283447301</v>
      </c>
      <c r="H2672" s="6">
        <v>38.808925628662102</v>
      </c>
      <c r="I2672" s="6">
        <v>38.809761047363303</v>
      </c>
      <c r="J2672" s="6">
        <v>38.798789978027301</v>
      </c>
      <c r="K2672" s="6">
        <v>38.863121032714801</v>
      </c>
      <c r="L2672" s="6">
        <v>30.704820632934599</v>
      </c>
    </row>
    <row r="2673" spans="1:12" x14ac:dyDescent="0.25">
      <c r="A2673">
        <v>3204351</v>
      </c>
      <c r="B2673" t="str">
        <f t="shared" si="41"/>
        <v>RIO BANANAL, ES, Brasil</v>
      </c>
      <c r="C2673" s="4" t="str">
        <f>_xlfn.XLOOKUP(A2673,[1]!DadosGHD[CD_GEOCMU],[1]!DadosGHD[Região])</f>
        <v>SD</v>
      </c>
      <c r="D2673" s="4" t="str">
        <f>_xlfn.XLOOKUP(A2673,[1]!DadosGHD[CD_GEOCMU],[1]!DadosGHD[uf])</f>
        <v>ES</v>
      </c>
      <c r="E2673" s="5" t="str">
        <f>_xlfn.XLOOKUP(A2673,[1]!DadosGHD[CD_GEOCMU],[1]!DadosGHD[MUNICIPIO])</f>
        <v>RIO BANANAL</v>
      </c>
      <c r="F2673" s="6">
        <v>38.679481506347699</v>
      </c>
      <c r="G2673" s="6">
        <v>43.651775360107401</v>
      </c>
      <c r="H2673" s="6">
        <v>43.7641410827637</v>
      </c>
      <c r="I2673" s="6">
        <v>43.7507514953613</v>
      </c>
      <c r="J2673" s="6">
        <v>43.739128112792997</v>
      </c>
      <c r="K2673" s="6">
        <v>43.766471862792997</v>
      </c>
      <c r="L2673" s="6">
        <v>39.587448120117202</v>
      </c>
    </row>
    <row r="2674" spans="1:12" x14ac:dyDescent="0.25">
      <c r="A2674">
        <v>2910206</v>
      </c>
      <c r="B2674" t="str">
        <f t="shared" si="41"/>
        <v>DOM MACEDO COSTA, BA, Brasil</v>
      </c>
      <c r="C2674" s="4" t="str">
        <f>_xlfn.XLOOKUP(A2674,[1]!DadosGHD[CD_GEOCMU],[1]!DadosGHD[Região])</f>
        <v>NE</v>
      </c>
      <c r="D2674" s="4" t="str">
        <f>_xlfn.XLOOKUP(A2674,[1]!DadosGHD[CD_GEOCMU],[1]!DadosGHD[uf])</f>
        <v>BA</v>
      </c>
      <c r="E2674" s="5" t="str">
        <f>_xlfn.XLOOKUP(A2674,[1]!DadosGHD[CD_GEOCMU],[1]!DadosGHD[MUNICIPIO])</f>
        <v>DOM MACEDO COSTA</v>
      </c>
      <c r="F2674" s="6">
        <v>38.679740905761697</v>
      </c>
      <c r="G2674" s="6">
        <v>38.706489562988303</v>
      </c>
      <c r="H2674" s="6">
        <v>38.758743286132798</v>
      </c>
      <c r="I2674" s="6">
        <v>38.732666015625</v>
      </c>
      <c r="J2674" s="6">
        <v>38.750942230224602</v>
      </c>
      <c r="K2674" s="6">
        <v>28.983432769775401</v>
      </c>
      <c r="L2674" s="6">
        <v>26.2798957824707</v>
      </c>
    </row>
    <row r="2675" spans="1:12" x14ac:dyDescent="0.25">
      <c r="A2675">
        <v>3117801</v>
      </c>
      <c r="B2675" t="str">
        <f t="shared" si="41"/>
        <v>CONCEICAO DOS OUROS, MG, Brasil</v>
      </c>
      <c r="C2675" s="4" t="str">
        <f>_xlfn.XLOOKUP(A2675,[1]!DadosGHD[CD_GEOCMU],[1]!DadosGHD[Região])</f>
        <v>SD</v>
      </c>
      <c r="D2675" s="4" t="str">
        <f>_xlfn.XLOOKUP(A2675,[1]!DadosGHD[CD_GEOCMU],[1]!DadosGHD[uf])</f>
        <v>MG</v>
      </c>
      <c r="E2675" s="5" t="str">
        <f>_xlfn.XLOOKUP(A2675,[1]!DadosGHD[CD_GEOCMU],[1]!DadosGHD[MUNICIPIO])</f>
        <v>CONCEICAO DOS OUROS</v>
      </c>
      <c r="F2675" s="6">
        <v>38.679779052734403</v>
      </c>
      <c r="G2675" s="6">
        <v>38.769283294677699</v>
      </c>
      <c r="H2675" s="6">
        <v>38.779960632324197</v>
      </c>
      <c r="I2675" s="6">
        <v>38.751140594482401</v>
      </c>
      <c r="J2675" s="6">
        <v>38.828601837158203</v>
      </c>
      <c r="K2675" s="6">
        <v>43.800872802734403</v>
      </c>
      <c r="L2675" s="6">
        <v>48.530467987060597</v>
      </c>
    </row>
    <row r="2676" spans="1:12" x14ac:dyDescent="0.25">
      <c r="A2676">
        <v>2302107</v>
      </c>
      <c r="B2676" t="str">
        <f t="shared" si="41"/>
        <v>BATURITE, CE, Brasil</v>
      </c>
      <c r="C2676" s="4" t="str">
        <f>_xlfn.XLOOKUP(A2676,[1]!DadosGHD[CD_GEOCMU],[1]!DadosGHD[Região])</f>
        <v>NE</v>
      </c>
      <c r="D2676" s="4" t="str">
        <f>_xlfn.XLOOKUP(A2676,[1]!DadosGHD[CD_GEOCMU],[1]!DadosGHD[uf])</f>
        <v>CE</v>
      </c>
      <c r="E2676" s="5" t="str">
        <f>_xlfn.XLOOKUP(A2676,[1]!DadosGHD[CD_GEOCMU],[1]!DadosGHD[MUNICIPIO])</f>
        <v>BATURITE</v>
      </c>
      <c r="F2676" s="6">
        <v>38.6797904968262</v>
      </c>
      <c r="G2676" s="6">
        <v>38.7542114257813</v>
      </c>
      <c r="H2676" s="6">
        <v>38.818862915039098</v>
      </c>
      <c r="I2676" s="6">
        <v>38.803024291992202</v>
      </c>
      <c r="J2676" s="6">
        <v>38.841197967529297</v>
      </c>
      <c r="K2676" s="6">
        <v>43.8406791687012</v>
      </c>
      <c r="L2676" s="6">
        <v>48.547794342041001</v>
      </c>
    </row>
    <row r="2677" spans="1:12" x14ac:dyDescent="0.25">
      <c r="A2677">
        <v>3202207</v>
      </c>
      <c r="B2677" t="str">
        <f t="shared" si="41"/>
        <v>FUNDAO, ES, Brasil</v>
      </c>
      <c r="C2677" s="4" t="str">
        <f>_xlfn.XLOOKUP(A2677,[1]!DadosGHD[CD_GEOCMU],[1]!DadosGHD[Região])</f>
        <v>SD</v>
      </c>
      <c r="D2677" s="4" t="str">
        <f>_xlfn.XLOOKUP(A2677,[1]!DadosGHD[CD_GEOCMU],[1]!DadosGHD[uf])</f>
        <v>ES</v>
      </c>
      <c r="E2677" s="5" t="str">
        <f>_xlfn.XLOOKUP(A2677,[1]!DadosGHD[CD_GEOCMU],[1]!DadosGHD[MUNICIPIO])</f>
        <v>FUNDAO</v>
      </c>
      <c r="F2677" s="6">
        <v>38.679931640625</v>
      </c>
      <c r="G2677" s="6">
        <v>38.773887634277301</v>
      </c>
      <c r="H2677" s="6">
        <v>43.711826324462898</v>
      </c>
      <c r="I2677" s="6">
        <v>48.701469421386697</v>
      </c>
      <c r="J2677" s="6">
        <v>38.815799713134801</v>
      </c>
      <c r="K2677" s="6">
        <v>38.855781555175803</v>
      </c>
      <c r="L2677" s="6">
        <v>44.020008087158203</v>
      </c>
    </row>
    <row r="2678" spans="1:12" x14ac:dyDescent="0.25">
      <c r="A2678">
        <v>3130408</v>
      </c>
      <c r="B2678" t="str">
        <f t="shared" si="41"/>
        <v>IJACI, MG, Brasil</v>
      </c>
      <c r="C2678" s="4" t="str">
        <f>_xlfn.XLOOKUP(A2678,[1]!DadosGHD[CD_GEOCMU],[1]!DadosGHD[Região])</f>
        <v>SD</v>
      </c>
      <c r="D2678" s="4" t="str">
        <f>_xlfn.XLOOKUP(A2678,[1]!DadosGHD[CD_GEOCMU],[1]!DadosGHD[uf])</f>
        <v>MG</v>
      </c>
      <c r="E2678" s="5" t="str">
        <f>_xlfn.XLOOKUP(A2678,[1]!DadosGHD[CD_GEOCMU],[1]!DadosGHD[MUNICIPIO])</f>
        <v>IJACI</v>
      </c>
      <c r="F2678" s="6">
        <v>38.679954528808601</v>
      </c>
      <c r="G2678" s="6">
        <v>38.737377166748097</v>
      </c>
      <c r="H2678" s="6">
        <v>38.745563507080099</v>
      </c>
      <c r="I2678" s="6">
        <v>38.791450500488303</v>
      </c>
      <c r="J2678" s="6">
        <v>43.736244201660199</v>
      </c>
      <c r="K2678" s="6">
        <v>48.8258247375488</v>
      </c>
      <c r="L2678" s="6">
        <v>57.576282501220703</v>
      </c>
    </row>
    <row r="2679" spans="1:12" x14ac:dyDescent="0.25">
      <c r="A2679">
        <v>4307104</v>
      </c>
      <c r="B2679" t="str">
        <f t="shared" si="41"/>
        <v>HERVAL, RS, Brasil</v>
      </c>
      <c r="C2679" s="4" t="str">
        <f>_xlfn.XLOOKUP(A2679,[1]!DadosGHD[CD_GEOCMU],[1]!DadosGHD[Região])</f>
        <v>SL</v>
      </c>
      <c r="D2679" s="4" t="str">
        <f>_xlfn.XLOOKUP(A2679,[1]!DadosGHD[CD_GEOCMU],[1]!DadosGHD[uf])</f>
        <v>RS</v>
      </c>
      <c r="E2679" s="5" t="str">
        <f>_xlfn.XLOOKUP(A2679,[1]!DadosGHD[CD_GEOCMU],[1]!DadosGHD[MUNICIPIO])</f>
        <v>HERVAL</v>
      </c>
      <c r="F2679" s="6">
        <v>38.680095672607401</v>
      </c>
      <c r="G2679" s="6">
        <v>43.729648590087898</v>
      </c>
      <c r="H2679" s="6">
        <v>43.743465423583999</v>
      </c>
      <c r="I2679" s="6">
        <v>38.805351257324197</v>
      </c>
      <c r="J2679" s="6">
        <v>38.817848205566399</v>
      </c>
      <c r="K2679" s="6">
        <v>38.856460571289098</v>
      </c>
      <c r="L2679" s="6">
        <v>35.155704498291001</v>
      </c>
    </row>
    <row r="2680" spans="1:12" x14ac:dyDescent="0.25">
      <c r="A2680">
        <v>4122651</v>
      </c>
      <c r="B2680" t="str">
        <f t="shared" si="41"/>
        <v>ROSARIO DO IVAI, PR, Brasil</v>
      </c>
      <c r="C2680" s="4" t="str">
        <f>_xlfn.XLOOKUP(A2680,[1]!DadosGHD[CD_GEOCMU],[1]!DadosGHD[Região])</f>
        <v>SL</v>
      </c>
      <c r="D2680" s="4" t="str">
        <f>_xlfn.XLOOKUP(A2680,[1]!DadosGHD[CD_GEOCMU],[1]!DadosGHD[uf])</f>
        <v>PR</v>
      </c>
      <c r="E2680" s="5" t="str">
        <f>_xlfn.XLOOKUP(A2680,[1]!DadosGHD[CD_GEOCMU],[1]!DadosGHD[MUNICIPIO])</f>
        <v>ROSARIO DO IVAI</v>
      </c>
      <c r="F2680" s="6">
        <v>38.680332183837898</v>
      </c>
      <c r="G2680" s="6">
        <v>43.682785034179702</v>
      </c>
      <c r="H2680" s="6">
        <v>43.762706756591797</v>
      </c>
      <c r="I2680" s="6">
        <v>43.7361030578613</v>
      </c>
      <c r="J2680" s="6">
        <v>43.7707710266113</v>
      </c>
      <c r="K2680" s="6">
        <v>43.8265380859375</v>
      </c>
      <c r="L2680" s="6">
        <v>35.116233825683601</v>
      </c>
    </row>
    <row r="2681" spans="1:12" x14ac:dyDescent="0.25">
      <c r="A2681">
        <v>1502707</v>
      </c>
      <c r="B2681" t="str">
        <f t="shared" si="41"/>
        <v>CONCEICAO DO ARAGUAIA, PA, Brasil</v>
      </c>
      <c r="C2681" s="4" t="str">
        <f>_xlfn.XLOOKUP(A2681,[1]!DadosGHD[CD_GEOCMU],[1]!DadosGHD[Região])</f>
        <v>NO</v>
      </c>
      <c r="D2681" s="4" t="str">
        <f>_xlfn.XLOOKUP(A2681,[1]!DadosGHD[CD_GEOCMU],[1]!DadosGHD[uf])</f>
        <v>PA</v>
      </c>
      <c r="E2681" s="5" t="str">
        <f>_xlfn.XLOOKUP(A2681,[1]!DadosGHD[CD_GEOCMU],[1]!DadosGHD[MUNICIPIO])</f>
        <v>CONCEICAO DO ARAGUAIA</v>
      </c>
      <c r="F2681" s="6">
        <v>38.680343627929702</v>
      </c>
      <c r="G2681" s="6">
        <v>38.772148132324197</v>
      </c>
      <c r="H2681" s="6">
        <v>38.834037780761697</v>
      </c>
      <c r="I2681" s="6">
        <v>38.819671630859403</v>
      </c>
      <c r="J2681" s="6">
        <v>43.706993103027301</v>
      </c>
      <c r="K2681" s="6">
        <v>38.8858833312988</v>
      </c>
      <c r="L2681" s="6">
        <v>39.596599578857401</v>
      </c>
    </row>
    <row r="2682" spans="1:12" x14ac:dyDescent="0.25">
      <c r="A2682">
        <v>1400472</v>
      </c>
      <c r="B2682" t="str">
        <f t="shared" si="41"/>
        <v>RORAINOPOLIS, RR, Brasil</v>
      </c>
      <c r="C2682" s="4" t="str">
        <f>_xlfn.XLOOKUP(A2682,[1]!DadosGHD[CD_GEOCMU],[1]!DadosGHD[Região])</f>
        <v>NO</v>
      </c>
      <c r="D2682" s="4" t="str">
        <f>_xlfn.XLOOKUP(A2682,[1]!DadosGHD[CD_GEOCMU],[1]!DadosGHD[uf])</f>
        <v>RR</v>
      </c>
      <c r="E2682" s="5" t="str">
        <f>_xlfn.XLOOKUP(A2682,[1]!DadosGHD[CD_GEOCMU],[1]!DadosGHD[MUNICIPIO])</f>
        <v>RORAINOPOLIS</v>
      </c>
      <c r="F2682" s="6">
        <v>38.680381774902301</v>
      </c>
      <c r="G2682" s="6">
        <v>38.709651947021499</v>
      </c>
      <c r="H2682" s="6">
        <v>38.741462707519503</v>
      </c>
      <c r="I2682" s="6">
        <v>33.868244171142599</v>
      </c>
      <c r="J2682" s="6">
        <v>33.887191772460902</v>
      </c>
      <c r="K2682" s="6">
        <v>33.924995422363303</v>
      </c>
      <c r="L2682" s="6">
        <v>30.700290679931602</v>
      </c>
    </row>
    <row r="2683" spans="1:12" x14ac:dyDescent="0.25">
      <c r="A2683">
        <v>5004304</v>
      </c>
      <c r="B2683" t="str">
        <f t="shared" si="41"/>
        <v>IGUATEMI, MS, Brasil</v>
      </c>
      <c r="C2683" s="4" t="str">
        <f>_xlfn.XLOOKUP(A2683,[1]!DadosGHD[CD_GEOCMU],[1]!DadosGHD[Região])</f>
        <v>CO</v>
      </c>
      <c r="D2683" s="4" t="str">
        <f>_xlfn.XLOOKUP(A2683,[1]!DadosGHD[CD_GEOCMU],[1]!DadosGHD[uf])</f>
        <v>MS</v>
      </c>
      <c r="E2683" s="5" t="str">
        <f>_xlfn.XLOOKUP(A2683,[1]!DadosGHD[CD_GEOCMU],[1]!DadosGHD[MUNICIPIO])</f>
        <v>IGUATEMI</v>
      </c>
      <c r="F2683" s="6">
        <v>38.680488586425803</v>
      </c>
      <c r="G2683" s="6">
        <v>38.7476997375488</v>
      </c>
      <c r="H2683" s="6">
        <v>38.792282104492202</v>
      </c>
      <c r="I2683" s="6">
        <v>38.746410369873097</v>
      </c>
      <c r="J2683" s="6">
        <v>38.7496147155762</v>
      </c>
      <c r="K2683" s="6">
        <v>38.8100776672363</v>
      </c>
      <c r="L2683" s="6">
        <v>39.611263275146499</v>
      </c>
    </row>
    <row r="2684" spans="1:12" x14ac:dyDescent="0.25">
      <c r="A2684">
        <v>3130002</v>
      </c>
      <c r="B2684" t="str">
        <f t="shared" si="41"/>
        <v>IBITURUNA, MG, Brasil</v>
      </c>
      <c r="C2684" s="4" t="str">
        <f>_xlfn.XLOOKUP(A2684,[1]!DadosGHD[CD_GEOCMU],[1]!DadosGHD[Região])</f>
        <v>SD</v>
      </c>
      <c r="D2684" s="4" t="str">
        <f>_xlfn.XLOOKUP(A2684,[1]!DadosGHD[CD_GEOCMU],[1]!DadosGHD[uf])</f>
        <v>MG</v>
      </c>
      <c r="E2684" s="5" t="str">
        <f>_xlfn.XLOOKUP(A2684,[1]!DadosGHD[CD_GEOCMU],[1]!DadosGHD[MUNICIPIO])</f>
        <v>IBITURUNA</v>
      </c>
      <c r="F2684" s="6">
        <v>38.680568695068402</v>
      </c>
      <c r="G2684" s="6">
        <v>43.724475860595703</v>
      </c>
      <c r="H2684" s="6">
        <v>43.775993347167997</v>
      </c>
      <c r="I2684" s="6">
        <v>43.714271545410199</v>
      </c>
      <c r="J2684" s="6">
        <v>43.797885894775398</v>
      </c>
      <c r="K2684" s="6">
        <v>48.804477691650398</v>
      </c>
      <c r="L2684" s="6">
        <v>53.058952331542997</v>
      </c>
    </row>
    <row r="2685" spans="1:12" x14ac:dyDescent="0.25">
      <c r="A2685">
        <v>5214606</v>
      </c>
      <c r="B2685" t="str">
        <f t="shared" si="41"/>
        <v>NIQUELANDIA, GO, Brasil</v>
      </c>
      <c r="C2685" s="4" t="str">
        <f>_xlfn.XLOOKUP(A2685,[1]!DadosGHD[CD_GEOCMU],[1]!DadosGHD[Região])</f>
        <v>CO</v>
      </c>
      <c r="D2685" s="4" t="str">
        <f>_xlfn.XLOOKUP(A2685,[1]!DadosGHD[CD_GEOCMU],[1]!DadosGHD[uf])</f>
        <v>GO</v>
      </c>
      <c r="E2685" s="5" t="str">
        <f>_xlfn.XLOOKUP(A2685,[1]!DadosGHD[CD_GEOCMU],[1]!DadosGHD[MUNICIPIO])</f>
        <v>NIQUELANDIA</v>
      </c>
      <c r="F2685" s="6">
        <v>38.680641174316399</v>
      </c>
      <c r="G2685" s="6">
        <v>38.762916564941399</v>
      </c>
      <c r="H2685" s="6">
        <v>38.796226501464801</v>
      </c>
      <c r="I2685" s="6">
        <v>38.782051086425803</v>
      </c>
      <c r="J2685" s="6">
        <v>43.726261138916001</v>
      </c>
      <c r="K2685" s="6">
        <v>38.8651733398438</v>
      </c>
      <c r="L2685" s="6">
        <v>35.151901245117202</v>
      </c>
    </row>
    <row r="2686" spans="1:12" x14ac:dyDescent="0.25">
      <c r="A2686">
        <v>3158904</v>
      </c>
      <c r="B2686" t="str">
        <f t="shared" si="41"/>
        <v>SANTANA DO MANHUACU, MG, Brasil</v>
      </c>
      <c r="C2686" s="4" t="str">
        <f>_xlfn.XLOOKUP(A2686,[1]!DadosGHD[CD_GEOCMU],[1]!DadosGHD[Região])</f>
        <v>SD</v>
      </c>
      <c r="D2686" s="4" t="str">
        <f>_xlfn.XLOOKUP(A2686,[1]!DadosGHD[CD_GEOCMU],[1]!DadosGHD[uf])</f>
        <v>MG</v>
      </c>
      <c r="E2686" s="5" t="str">
        <f>_xlfn.XLOOKUP(A2686,[1]!DadosGHD[CD_GEOCMU],[1]!DadosGHD[MUNICIPIO])</f>
        <v>SANTANA DO MANHUACU</v>
      </c>
      <c r="F2686" s="6">
        <v>38.680740356445298</v>
      </c>
      <c r="G2686" s="6">
        <v>38.782173156738303</v>
      </c>
      <c r="H2686" s="6">
        <v>43.7610473632813</v>
      </c>
      <c r="I2686" s="6">
        <v>43.731334686279297</v>
      </c>
      <c r="J2686" s="6">
        <v>43.759635925292997</v>
      </c>
      <c r="K2686" s="6">
        <v>43.861324310302699</v>
      </c>
      <c r="L2686" s="6">
        <v>39.585460662841797</v>
      </c>
    </row>
    <row r="2687" spans="1:12" x14ac:dyDescent="0.25">
      <c r="A2687">
        <v>1502772</v>
      </c>
      <c r="B2687" t="str">
        <f t="shared" si="41"/>
        <v>CURIONOPOLIS, PA, Brasil</v>
      </c>
      <c r="C2687" s="4" t="str">
        <f>_xlfn.XLOOKUP(A2687,[1]!DadosGHD[CD_GEOCMU],[1]!DadosGHD[Região])</f>
        <v>NO</v>
      </c>
      <c r="D2687" s="4" t="str">
        <f>_xlfn.XLOOKUP(A2687,[1]!DadosGHD[CD_GEOCMU],[1]!DadosGHD[uf])</f>
        <v>PA</v>
      </c>
      <c r="E2687" s="5" t="str">
        <f>_xlfn.XLOOKUP(A2687,[1]!DadosGHD[CD_GEOCMU],[1]!DadosGHD[MUNICIPIO])</f>
        <v>CURIONOPOLIS</v>
      </c>
      <c r="F2687" s="6">
        <v>38.680782318115199</v>
      </c>
      <c r="G2687" s="6">
        <v>38.705711364746101</v>
      </c>
      <c r="H2687" s="6">
        <v>33.882469177246101</v>
      </c>
      <c r="I2687" s="6">
        <v>33.851009368896499</v>
      </c>
      <c r="J2687" s="6">
        <v>33.86328125</v>
      </c>
      <c r="K2687" s="6">
        <v>33.884815216064503</v>
      </c>
      <c r="L2687" s="6">
        <v>26.298322677612301</v>
      </c>
    </row>
    <row r="2688" spans="1:12" x14ac:dyDescent="0.25">
      <c r="A2688">
        <v>3125903</v>
      </c>
      <c r="B2688" t="str">
        <f t="shared" si="41"/>
        <v>FERROS, MG, Brasil</v>
      </c>
      <c r="C2688" s="4" t="str">
        <f>_xlfn.XLOOKUP(A2688,[1]!DadosGHD[CD_GEOCMU],[1]!DadosGHD[Região])</f>
        <v>SD</v>
      </c>
      <c r="D2688" s="4" t="str">
        <f>_xlfn.XLOOKUP(A2688,[1]!DadosGHD[CD_GEOCMU],[1]!DadosGHD[uf])</f>
        <v>MG</v>
      </c>
      <c r="E2688" s="5" t="str">
        <f>_xlfn.XLOOKUP(A2688,[1]!DadosGHD[CD_GEOCMU],[1]!DadosGHD[MUNICIPIO])</f>
        <v>FERROS</v>
      </c>
      <c r="F2688" s="6">
        <v>38.680961608886697</v>
      </c>
      <c r="G2688" s="6">
        <v>43.650516510009801</v>
      </c>
      <c r="H2688" s="6">
        <v>43.755943298339801</v>
      </c>
      <c r="I2688" s="6">
        <v>43.733566284179702</v>
      </c>
      <c r="J2688" s="6">
        <v>38.844825744628899</v>
      </c>
      <c r="K2688" s="6">
        <v>43.764137268066399</v>
      </c>
      <c r="L2688" s="6">
        <v>35.153602600097699</v>
      </c>
    </row>
    <row r="2689" spans="1:12" x14ac:dyDescent="0.25">
      <c r="A2689">
        <v>2407203</v>
      </c>
      <c r="B2689" t="str">
        <f t="shared" si="41"/>
        <v>MACAU, RN, Brasil</v>
      </c>
      <c r="C2689" s="4" t="str">
        <f>_xlfn.XLOOKUP(A2689,[1]!DadosGHD[CD_GEOCMU],[1]!DadosGHD[Região])</f>
        <v>NE</v>
      </c>
      <c r="D2689" s="4" t="str">
        <f>_xlfn.XLOOKUP(A2689,[1]!DadosGHD[CD_GEOCMU],[1]!DadosGHD[uf])</f>
        <v>RN</v>
      </c>
      <c r="E2689" s="5" t="str">
        <f>_xlfn.XLOOKUP(A2689,[1]!DadosGHD[CD_GEOCMU],[1]!DadosGHD[MUNICIPIO])</f>
        <v>MACAU</v>
      </c>
      <c r="F2689" s="6">
        <v>38.681144714355497</v>
      </c>
      <c r="G2689" s="6">
        <v>38.761512756347699</v>
      </c>
      <c r="H2689" s="6">
        <v>38.790760040283203</v>
      </c>
      <c r="I2689" s="6">
        <v>38.761039733886697</v>
      </c>
      <c r="J2689" s="6">
        <v>38.805858612060597</v>
      </c>
      <c r="K2689" s="6">
        <v>43.876659393310597</v>
      </c>
      <c r="L2689" s="6">
        <v>48.537601470947301</v>
      </c>
    </row>
    <row r="2690" spans="1:12" x14ac:dyDescent="0.25">
      <c r="A2690">
        <v>5101902</v>
      </c>
      <c r="B2690" t="str">
        <f t="shared" si="41"/>
        <v>BRASNORTE, MT, Brasil</v>
      </c>
      <c r="C2690" s="4" t="str">
        <f>_xlfn.XLOOKUP(A2690,[1]!DadosGHD[CD_GEOCMU],[1]!DadosGHD[Região])</f>
        <v>CO</v>
      </c>
      <c r="D2690" s="4" t="str">
        <f>_xlfn.XLOOKUP(A2690,[1]!DadosGHD[CD_GEOCMU],[1]!DadosGHD[uf])</f>
        <v>MT</v>
      </c>
      <c r="E2690" s="5" t="str">
        <f>_xlfn.XLOOKUP(A2690,[1]!DadosGHD[CD_GEOCMU],[1]!DadosGHD[MUNICIPIO])</f>
        <v>BRASNORTE</v>
      </c>
      <c r="F2690" s="6">
        <v>38.681411743164098</v>
      </c>
      <c r="G2690" s="6">
        <v>38.788421630859403</v>
      </c>
      <c r="H2690" s="6">
        <v>38.837314605712898</v>
      </c>
      <c r="I2690" s="6">
        <v>43.693157196044901</v>
      </c>
      <c r="J2690" s="6">
        <v>43.705310821533203</v>
      </c>
      <c r="K2690" s="6">
        <v>43.802032470703097</v>
      </c>
      <c r="L2690" s="6">
        <v>39.556869506835902</v>
      </c>
    </row>
    <row r="2691" spans="1:12" x14ac:dyDescent="0.25">
      <c r="A2691">
        <v>1100106</v>
      </c>
      <c r="B2691" t="str">
        <f t="shared" si="41"/>
        <v>GUAJARA-MIRIM, RO, Brasil</v>
      </c>
      <c r="C2691" s="4" t="str">
        <f>_xlfn.XLOOKUP(A2691,[1]!DadosGHD[CD_GEOCMU],[1]!DadosGHD[Região])</f>
        <v>NO</v>
      </c>
      <c r="D2691" s="4" t="str">
        <f>_xlfn.XLOOKUP(A2691,[1]!DadosGHD[CD_GEOCMU],[1]!DadosGHD[uf])</f>
        <v>RO</v>
      </c>
      <c r="E2691" s="5" t="str">
        <f>_xlfn.XLOOKUP(A2691,[1]!DadosGHD[CD_GEOCMU],[1]!DadosGHD[MUNICIPIO])</f>
        <v>GUAJARA-MIRIM</v>
      </c>
      <c r="F2691" s="6">
        <v>38.682029724121101</v>
      </c>
      <c r="G2691" s="6">
        <v>38.741344451904297</v>
      </c>
      <c r="H2691" s="6">
        <v>38.786705017089801</v>
      </c>
      <c r="I2691" s="6">
        <v>38.761741638183601</v>
      </c>
      <c r="J2691" s="6">
        <v>38.764083862304702</v>
      </c>
      <c r="K2691" s="6">
        <v>38.798793792724602</v>
      </c>
      <c r="L2691" s="6">
        <v>35.145011901855497</v>
      </c>
    </row>
    <row r="2692" spans="1:12" x14ac:dyDescent="0.25">
      <c r="A2692">
        <v>1701002</v>
      </c>
      <c r="B2692" t="str">
        <f t="shared" ref="B2692:B2755" si="42">_xlfn.CONCAT(E2692, ", ", D2692, ", Brasil")</f>
        <v>ANANAS, TO, Brasil</v>
      </c>
      <c r="C2692" s="4" t="str">
        <f>_xlfn.XLOOKUP(A2692,[1]!DadosGHD[CD_GEOCMU],[1]!DadosGHD[Região])</f>
        <v>NO</v>
      </c>
      <c r="D2692" s="4" t="str">
        <f>_xlfn.XLOOKUP(A2692,[1]!DadosGHD[CD_GEOCMU],[1]!DadosGHD[uf])</f>
        <v>TO</v>
      </c>
      <c r="E2692" s="5" t="str">
        <f>_xlfn.XLOOKUP(A2692,[1]!DadosGHD[CD_GEOCMU],[1]!DadosGHD[MUNICIPIO])</f>
        <v>ANANAS</v>
      </c>
      <c r="F2692" s="6">
        <v>38.682167053222699</v>
      </c>
      <c r="G2692" s="6">
        <v>33.7998046875</v>
      </c>
      <c r="H2692" s="6">
        <v>33.841560363769503</v>
      </c>
      <c r="I2692" s="6">
        <v>38.721710205078097</v>
      </c>
      <c r="J2692" s="6">
        <v>33.891006469726598</v>
      </c>
      <c r="K2692" s="6">
        <v>33.912731170654297</v>
      </c>
      <c r="L2692" s="6">
        <v>26.289665222168001</v>
      </c>
    </row>
    <row r="2693" spans="1:12" x14ac:dyDescent="0.25">
      <c r="A2693">
        <v>2902807</v>
      </c>
      <c r="B2693" t="str">
        <f t="shared" si="42"/>
        <v>BARRA DA ESTIVA, BA, Brasil</v>
      </c>
      <c r="C2693" s="4" t="str">
        <f>_xlfn.XLOOKUP(A2693,[1]!DadosGHD[CD_GEOCMU],[1]!DadosGHD[Região])</f>
        <v>NE</v>
      </c>
      <c r="D2693" s="4" t="str">
        <f>_xlfn.XLOOKUP(A2693,[1]!DadosGHD[CD_GEOCMU],[1]!DadosGHD[uf])</f>
        <v>BA</v>
      </c>
      <c r="E2693" s="5" t="str">
        <f>_xlfn.XLOOKUP(A2693,[1]!DadosGHD[CD_GEOCMU],[1]!DadosGHD[MUNICIPIO])</f>
        <v>BARRA DA ESTIVA</v>
      </c>
      <c r="F2693" s="6">
        <v>38.682468414306598</v>
      </c>
      <c r="G2693" s="6">
        <v>38.741645812988303</v>
      </c>
      <c r="H2693" s="6">
        <v>38.805606842041001</v>
      </c>
      <c r="I2693" s="6">
        <v>38.782829284667997</v>
      </c>
      <c r="J2693" s="6">
        <v>38.794624328613303</v>
      </c>
      <c r="K2693" s="6">
        <v>38.847740173339801</v>
      </c>
      <c r="L2693" s="6">
        <v>30.721170425415</v>
      </c>
    </row>
    <row r="2694" spans="1:12" x14ac:dyDescent="0.25">
      <c r="A2694">
        <v>3157302</v>
      </c>
      <c r="B2694" t="str">
        <f t="shared" si="42"/>
        <v>SANTA BARBARA DO TUGURIO, MG, Brasil</v>
      </c>
      <c r="C2694" s="4" t="str">
        <f>_xlfn.XLOOKUP(A2694,[1]!DadosGHD[CD_GEOCMU],[1]!DadosGHD[Região])</f>
        <v>SD</v>
      </c>
      <c r="D2694" s="4" t="str">
        <f>_xlfn.XLOOKUP(A2694,[1]!DadosGHD[CD_GEOCMU],[1]!DadosGHD[uf])</f>
        <v>MG</v>
      </c>
      <c r="E2694" s="5" t="str">
        <f>_xlfn.XLOOKUP(A2694,[1]!DadosGHD[CD_GEOCMU],[1]!DadosGHD[MUNICIPIO])</f>
        <v>SANTA BARBARA DO TUGURIO</v>
      </c>
      <c r="F2694" s="6">
        <v>38.682563781738303</v>
      </c>
      <c r="G2694" s="6">
        <v>38.714439392089801</v>
      </c>
      <c r="H2694" s="6">
        <v>38.762855529785199</v>
      </c>
      <c r="I2694" s="6">
        <v>38.790077209472699</v>
      </c>
      <c r="J2694" s="6">
        <v>38.815593719482401</v>
      </c>
      <c r="K2694" s="6">
        <v>38.857208251953097</v>
      </c>
      <c r="L2694" s="6">
        <v>35.114650726318402</v>
      </c>
    </row>
    <row r="2695" spans="1:12" x14ac:dyDescent="0.25">
      <c r="A2695">
        <v>2301802</v>
      </c>
      <c r="B2695" t="str">
        <f t="shared" si="42"/>
        <v>BAIXIO, CE, Brasil</v>
      </c>
      <c r="C2695" s="4" t="str">
        <f>_xlfn.XLOOKUP(A2695,[1]!DadosGHD[CD_GEOCMU],[1]!DadosGHD[Região])</f>
        <v>NE</v>
      </c>
      <c r="D2695" s="4" t="str">
        <f>_xlfn.XLOOKUP(A2695,[1]!DadosGHD[CD_GEOCMU],[1]!DadosGHD[uf])</f>
        <v>CE</v>
      </c>
      <c r="E2695" s="5" t="str">
        <f>_xlfn.XLOOKUP(A2695,[1]!DadosGHD[CD_GEOCMU],[1]!DadosGHD[MUNICIPIO])</f>
        <v>BAIXIO</v>
      </c>
      <c r="F2695" s="6">
        <v>38.682693481445298</v>
      </c>
      <c r="G2695" s="6">
        <v>38.701297760009801</v>
      </c>
      <c r="H2695" s="6">
        <v>38.747261047363303</v>
      </c>
      <c r="I2695" s="6">
        <v>38.744239807128899</v>
      </c>
      <c r="J2695" s="6">
        <v>38.776809692382798</v>
      </c>
      <c r="K2695" s="6">
        <v>38.853889465332003</v>
      </c>
      <c r="L2695" s="6">
        <v>39.574527740478501</v>
      </c>
    </row>
    <row r="2696" spans="1:12" x14ac:dyDescent="0.25">
      <c r="A2696">
        <v>2700607</v>
      </c>
      <c r="B2696" t="str">
        <f t="shared" si="42"/>
        <v>BARRA DE SAO MIGUEL, AL, Brasil</v>
      </c>
      <c r="C2696" s="4" t="str">
        <f>_xlfn.XLOOKUP(A2696,[1]!DadosGHD[CD_GEOCMU],[1]!DadosGHD[Região])</f>
        <v>NE</v>
      </c>
      <c r="D2696" s="4" t="str">
        <f>_xlfn.XLOOKUP(A2696,[1]!DadosGHD[CD_GEOCMU],[1]!DadosGHD[uf])</f>
        <v>AL</v>
      </c>
      <c r="E2696" s="5" t="str">
        <f>_xlfn.XLOOKUP(A2696,[1]!DadosGHD[CD_GEOCMU],[1]!DadosGHD[MUNICIPIO])</f>
        <v>BARRA DE SAO MIGUEL</v>
      </c>
      <c r="F2696" s="6">
        <v>38.682701110839801</v>
      </c>
      <c r="G2696" s="6">
        <v>38.682750701904297</v>
      </c>
      <c r="H2696" s="6">
        <v>38.755714416503899</v>
      </c>
      <c r="I2696" s="6">
        <v>38.798885345458999</v>
      </c>
      <c r="J2696" s="6">
        <v>38.817390441894503</v>
      </c>
      <c r="K2696" s="6">
        <v>33.8605346679688</v>
      </c>
      <c r="L2696" s="6">
        <v>44.015922546386697</v>
      </c>
    </row>
    <row r="2697" spans="1:12" x14ac:dyDescent="0.25">
      <c r="A2697">
        <v>3157401</v>
      </c>
      <c r="B2697" t="str">
        <f t="shared" si="42"/>
        <v>SANTA CRUZ DO ESCALVADO, MG, Brasil</v>
      </c>
      <c r="C2697" s="4" t="str">
        <f>_xlfn.XLOOKUP(A2697,[1]!DadosGHD[CD_GEOCMU],[1]!DadosGHD[Região])</f>
        <v>SD</v>
      </c>
      <c r="D2697" s="4" t="str">
        <f>_xlfn.XLOOKUP(A2697,[1]!DadosGHD[CD_GEOCMU],[1]!DadosGHD[uf])</f>
        <v>MG</v>
      </c>
      <c r="E2697" s="5" t="str">
        <f>_xlfn.XLOOKUP(A2697,[1]!DadosGHD[CD_GEOCMU],[1]!DadosGHD[MUNICIPIO])</f>
        <v>SANTA CRUZ DO ESCALVADO</v>
      </c>
      <c r="F2697" s="6">
        <v>38.682723999023402</v>
      </c>
      <c r="G2697" s="6">
        <v>38.733970642089801</v>
      </c>
      <c r="H2697" s="6">
        <v>38.782875061035199</v>
      </c>
      <c r="I2697" s="6">
        <v>38.768787384033203</v>
      </c>
      <c r="J2697" s="6">
        <v>38.761001586914098</v>
      </c>
      <c r="K2697" s="6">
        <v>43.755779266357401</v>
      </c>
      <c r="L2697" s="6">
        <v>48.514900207519503</v>
      </c>
    </row>
    <row r="2698" spans="1:12" x14ac:dyDescent="0.25">
      <c r="A2698">
        <v>3158003</v>
      </c>
      <c r="B2698" t="str">
        <f t="shared" si="42"/>
        <v>SANTA MARIA DE ITABIRA, MG, Brasil</v>
      </c>
      <c r="C2698" s="4" t="str">
        <f>_xlfn.XLOOKUP(A2698,[1]!DadosGHD[CD_GEOCMU],[1]!DadosGHD[Região])</f>
        <v>SD</v>
      </c>
      <c r="D2698" s="4" t="str">
        <f>_xlfn.XLOOKUP(A2698,[1]!DadosGHD[CD_GEOCMU],[1]!DadosGHD[uf])</f>
        <v>MG</v>
      </c>
      <c r="E2698" s="5" t="str">
        <f>_xlfn.XLOOKUP(A2698,[1]!DadosGHD[CD_GEOCMU],[1]!DadosGHD[MUNICIPIO])</f>
        <v>SANTA MARIA DE ITABIRA</v>
      </c>
      <c r="F2698" s="6">
        <v>38.682769775390597</v>
      </c>
      <c r="G2698" s="6">
        <v>38.741203308105497</v>
      </c>
      <c r="H2698" s="6">
        <v>38.786994934082003</v>
      </c>
      <c r="I2698" s="6">
        <v>38.759822845458999</v>
      </c>
      <c r="J2698" s="6">
        <v>38.831855773925803</v>
      </c>
      <c r="K2698" s="6">
        <v>38.831424713134801</v>
      </c>
      <c r="L2698" s="6">
        <v>35.138111114502003</v>
      </c>
    </row>
    <row r="2699" spans="1:12" x14ac:dyDescent="0.25">
      <c r="A2699">
        <v>3150901</v>
      </c>
      <c r="B2699" t="str">
        <f t="shared" si="42"/>
        <v>PIRANGUCU, MG, Brasil</v>
      </c>
      <c r="C2699" s="4" t="str">
        <f>_xlfn.XLOOKUP(A2699,[1]!DadosGHD[CD_GEOCMU],[1]!DadosGHD[Região])</f>
        <v>SD</v>
      </c>
      <c r="D2699" s="4" t="str">
        <f>_xlfn.XLOOKUP(A2699,[1]!DadosGHD[CD_GEOCMU],[1]!DadosGHD[uf])</f>
        <v>MG</v>
      </c>
      <c r="E2699" s="5" t="str">
        <f>_xlfn.XLOOKUP(A2699,[1]!DadosGHD[CD_GEOCMU],[1]!DadosGHD[MUNICIPIO])</f>
        <v>PIRANGUCU</v>
      </c>
      <c r="F2699" s="6">
        <v>38.682979583740199</v>
      </c>
      <c r="G2699" s="6">
        <v>38.719398498535199</v>
      </c>
      <c r="H2699" s="6">
        <v>38.804363250732401</v>
      </c>
      <c r="I2699" s="6">
        <v>38.783073425292997</v>
      </c>
      <c r="J2699" s="6">
        <v>43.760612487792997</v>
      </c>
      <c r="K2699" s="6">
        <v>48.821376800537102</v>
      </c>
      <c r="L2699" s="6">
        <v>53.033748626708999</v>
      </c>
    </row>
    <row r="2700" spans="1:12" x14ac:dyDescent="0.25">
      <c r="A2700">
        <v>4120101</v>
      </c>
      <c r="B2700" t="str">
        <f t="shared" si="42"/>
        <v>PORTO AMAZONAS, PR, Brasil</v>
      </c>
      <c r="C2700" s="4" t="str">
        <f>_xlfn.XLOOKUP(A2700,[1]!DadosGHD[CD_GEOCMU],[1]!DadosGHD[Região])</f>
        <v>SL</v>
      </c>
      <c r="D2700" s="4" t="str">
        <f>_xlfn.XLOOKUP(A2700,[1]!DadosGHD[CD_GEOCMU],[1]!DadosGHD[uf])</f>
        <v>PR</v>
      </c>
      <c r="E2700" s="5" t="str">
        <f>_xlfn.XLOOKUP(A2700,[1]!DadosGHD[CD_GEOCMU],[1]!DadosGHD[MUNICIPIO])</f>
        <v>PORTO AMAZONAS</v>
      </c>
      <c r="F2700" s="6">
        <v>38.683097839355497</v>
      </c>
      <c r="G2700" s="6">
        <v>38.780143737792997</v>
      </c>
      <c r="H2700" s="6">
        <v>38.830711364746101</v>
      </c>
      <c r="I2700" s="6">
        <v>38.802253723144503</v>
      </c>
      <c r="J2700" s="6">
        <v>43.734127044677699</v>
      </c>
      <c r="K2700" s="6">
        <v>43.776664733886697</v>
      </c>
      <c r="L2700" s="6">
        <v>44.035190582275398</v>
      </c>
    </row>
    <row r="2701" spans="1:12" x14ac:dyDescent="0.25">
      <c r="A2701">
        <v>2312700</v>
      </c>
      <c r="B2701" t="str">
        <f t="shared" si="42"/>
        <v>SENADOR POMPEU, CE, Brasil</v>
      </c>
      <c r="C2701" s="4" t="str">
        <f>_xlfn.XLOOKUP(A2701,[1]!DadosGHD[CD_GEOCMU],[1]!DadosGHD[Região])</f>
        <v>NE</v>
      </c>
      <c r="D2701" s="4" t="str">
        <f>_xlfn.XLOOKUP(A2701,[1]!DadosGHD[CD_GEOCMU],[1]!DadosGHD[uf])</f>
        <v>CE</v>
      </c>
      <c r="E2701" s="5" t="str">
        <f>_xlfn.XLOOKUP(A2701,[1]!DadosGHD[CD_GEOCMU],[1]!DadosGHD[MUNICIPIO])</f>
        <v>SENADOR POMPEU</v>
      </c>
      <c r="F2701" s="6">
        <v>38.683132171630902</v>
      </c>
      <c r="G2701" s="6">
        <v>43.647838592529297</v>
      </c>
      <c r="H2701" s="6">
        <v>43.718475341796903</v>
      </c>
      <c r="I2701" s="6">
        <v>43.733020782470703</v>
      </c>
      <c r="J2701" s="6">
        <v>48.7040824890137</v>
      </c>
      <c r="K2701" s="6">
        <v>43.769035339355497</v>
      </c>
      <c r="L2701" s="6">
        <v>39.579494476318402</v>
      </c>
    </row>
    <row r="2702" spans="1:12" x14ac:dyDescent="0.25">
      <c r="A2702">
        <v>3164472</v>
      </c>
      <c r="B2702" t="str">
        <f t="shared" si="42"/>
        <v>SAO SEBASTIAO DO ANTA, MG, Brasil</v>
      </c>
      <c r="C2702" s="4" t="str">
        <f>_xlfn.XLOOKUP(A2702,[1]!DadosGHD[CD_GEOCMU],[1]!DadosGHD[Região])</f>
        <v>SD</v>
      </c>
      <c r="D2702" s="4" t="str">
        <f>_xlfn.XLOOKUP(A2702,[1]!DadosGHD[CD_GEOCMU],[1]!DadosGHD[uf])</f>
        <v>MG</v>
      </c>
      <c r="E2702" s="5" t="str">
        <f>_xlfn.XLOOKUP(A2702,[1]!DadosGHD[CD_GEOCMU],[1]!DadosGHD[MUNICIPIO])</f>
        <v>SAO SEBASTIAO DO ANTA</v>
      </c>
      <c r="F2702" s="6">
        <v>38.683261871337898</v>
      </c>
      <c r="G2702" s="6">
        <v>38.772697448730497</v>
      </c>
      <c r="H2702" s="6">
        <v>38.808338165283203</v>
      </c>
      <c r="I2702" s="6">
        <v>38.778430938720703</v>
      </c>
      <c r="J2702" s="6">
        <v>33.870609283447301</v>
      </c>
      <c r="K2702" s="6">
        <v>33.912864685058601</v>
      </c>
      <c r="L2702" s="6">
        <v>30.6955757141113</v>
      </c>
    </row>
    <row r="2703" spans="1:12" x14ac:dyDescent="0.25">
      <c r="A2703">
        <v>5219712</v>
      </c>
      <c r="B2703" t="str">
        <f t="shared" si="42"/>
        <v>SANTO ANTONIO DA BARRA, GO, Brasil</v>
      </c>
      <c r="C2703" s="4" t="str">
        <f>_xlfn.XLOOKUP(A2703,[1]!DadosGHD[CD_GEOCMU],[1]!DadosGHD[Região])</f>
        <v>CO</v>
      </c>
      <c r="D2703" s="4" t="str">
        <f>_xlfn.XLOOKUP(A2703,[1]!DadosGHD[CD_GEOCMU],[1]!DadosGHD[uf])</f>
        <v>GO</v>
      </c>
      <c r="E2703" s="5" t="str">
        <f>_xlfn.XLOOKUP(A2703,[1]!DadosGHD[CD_GEOCMU],[1]!DadosGHD[MUNICIPIO])</f>
        <v>SANTO ANTONIO DA BARRA</v>
      </c>
      <c r="F2703" s="6">
        <v>38.6833686828613</v>
      </c>
      <c r="G2703" s="6">
        <v>48.690284729003899</v>
      </c>
      <c r="H2703" s="6">
        <v>43.727684020996101</v>
      </c>
      <c r="I2703" s="6">
        <v>43.722579956054702</v>
      </c>
      <c r="J2703" s="6">
        <v>43.720363616943402</v>
      </c>
      <c r="K2703" s="6">
        <v>43.785224914550803</v>
      </c>
      <c r="L2703" s="6">
        <v>30.709302902221701</v>
      </c>
    </row>
    <row r="2704" spans="1:12" x14ac:dyDescent="0.25">
      <c r="A2704">
        <v>1200013</v>
      </c>
      <c r="B2704" t="str">
        <f t="shared" si="42"/>
        <v>ACRELANDIA, AC, Brasil</v>
      </c>
      <c r="C2704" s="4" t="str">
        <f>_xlfn.XLOOKUP(A2704,[1]!DadosGHD[CD_GEOCMU],[1]!DadosGHD[Região])</f>
        <v>NO</v>
      </c>
      <c r="D2704" s="4" t="str">
        <f>_xlfn.XLOOKUP(A2704,[1]!DadosGHD[CD_GEOCMU],[1]!DadosGHD[uf])</f>
        <v>AC</v>
      </c>
      <c r="E2704" s="5" t="str">
        <f>_xlfn.XLOOKUP(A2704,[1]!DadosGHD[CD_GEOCMU],[1]!DadosGHD[MUNICIPIO])</f>
        <v>ACRELANDIA</v>
      </c>
      <c r="F2704" s="6">
        <v>38.683723449707003</v>
      </c>
      <c r="G2704" s="6">
        <v>43.657917022705099</v>
      </c>
      <c r="H2704" s="6">
        <v>43.7352104187012</v>
      </c>
      <c r="I2704" s="6">
        <v>43.6925048828125</v>
      </c>
      <c r="J2704" s="6">
        <v>43.709957122802699</v>
      </c>
      <c r="K2704" s="6">
        <v>43.833747863769503</v>
      </c>
      <c r="L2704" s="6">
        <v>35.158790588378899</v>
      </c>
    </row>
    <row r="2705" spans="1:12" x14ac:dyDescent="0.25">
      <c r="A2705">
        <v>3111705</v>
      </c>
      <c r="B2705" t="str">
        <f t="shared" si="42"/>
        <v>CANAA, MG, Brasil</v>
      </c>
      <c r="C2705" s="4" t="str">
        <f>_xlfn.XLOOKUP(A2705,[1]!DadosGHD[CD_GEOCMU],[1]!DadosGHD[Região])</f>
        <v>SD</v>
      </c>
      <c r="D2705" s="4" t="str">
        <f>_xlfn.XLOOKUP(A2705,[1]!DadosGHD[CD_GEOCMU],[1]!DadosGHD[uf])</f>
        <v>MG</v>
      </c>
      <c r="E2705" s="5" t="str">
        <f>_xlfn.XLOOKUP(A2705,[1]!DadosGHD[CD_GEOCMU],[1]!DadosGHD[MUNICIPIO])</f>
        <v>CANAA</v>
      </c>
      <c r="F2705" s="6">
        <v>38.683853149414098</v>
      </c>
      <c r="G2705" s="6">
        <v>38.709041595458999</v>
      </c>
      <c r="H2705" s="6">
        <v>38.749477386474602</v>
      </c>
      <c r="I2705" s="6">
        <v>38.717494964599602</v>
      </c>
      <c r="J2705" s="6">
        <v>33.890357971191399</v>
      </c>
      <c r="K2705" s="6">
        <v>38.789802551269503</v>
      </c>
      <c r="L2705" s="6">
        <v>35.1251411437988</v>
      </c>
    </row>
    <row r="2706" spans="1:12" x14ac:dyDescent="0.25">
      <c r="A2706">
        <v>1707306</v>
      </c>
      <c r="B2706" t="str">
        <f t="shared" si="42"/>
        <v>DUERE, TO, Brasil</v>
      </c>
      <c r="C2706" s="4" t="str">
        <f>_xlfn.XLOOKUP(A2706,[1]!DadosGHD[CD_GEOCMU],[1]!DadosGHD[Região])</f>
        <v>NO</v>
      </c>
      <c r="D2706" s="4" t="str">
        <f>_xlfn.XLOOKUP(A2706,[1]!DadosGHD[CD_GEOCMU],[1]!DadosGHD[uf])</f>
        <v>TO</v>
      </c>
      <c r="E2706" s="5" t="str">
        <f>_xlfn.XLOOKUP(A2706,[1]!DadosGHD[CD_GEOCMU],[1]!DadosGHD[MUNICIPIO])</f>
        <v>DUERE</v>
      </c>
      <c r="F2706" s="6">
        <v>38.684078216552699</v>
      </c>
      <c r="G2706" s="6">
        <v>38.731788635253899</v>
      </c>
      <c r="H2706" s="6">
        <v>38.804588317871101</v>
      </c>
      <c r="I2706" s="6">
        <v>38.766910552978501</v>
      </c>
      <c r="J2706" s="6">
        <v>38.766437530517599</v>
      </c>
      <c r="K2706" s="6">
        <v>33.928623199462898</v>
      </c>
      <c r="L2706" s="6">
        <v>30.696403503418001</v>
      </c>
    </row>
    <row r="2707" spans="1:12" x14ac:dyDescent="0.25">
      <c r="A2707">
        <v>3546900</v>
      </c>
      <c r="B2707" t="str">
        <f t="shared" si="42"/>
        <v>SANTA LUCIA, SP, Brasil</v>
      </c>
      <c r="C2707" s="4" t="str">
        <f>_xlfn.XLOOKUP(A2707,[1]!DadosGHD[CD_GEOCMU],[1]!DadosGHD[Região])</f>
        <v>SD</v>
      </c>
      <c r="D2707" s="4" t="str">
        <f>_xlfn.XLOOKUP(A2707,[1]!DadosGHD[CD_GEOCMU],[1]!DadosGHD[uf])</f>
        <v>SP</v>
      </c>
      <c r="E2707" s="5" t="str">
        <f>_xlfn.XLOOKUP(A2707,[1]!DadosGHD[CD_GEOCMU],[1]!DadosGHD[MUNICIPIO])</f>
        <v>SANTA LUCIA</v>
      </c>
      <c r="F2707" s="6">
        <v>38.684154510498097</v>
      </c>
      <c r="G2707" s="6">
        <v>38.746574401855497</v>
      </c>
      <c r="H2707" s="6">
        <v>38.839183807373097</v>
      </c>
      <c r="I2707" s="6">
        <v>48.6929321289063</v>
      </c>
      <c r="J2707" s="6">
        <v>43.787593841552699</v>
      </c>
      <c r="K2707" s="6">
        <v>43.834236145019503</v>
      </c>
      <c r="L2707" s="6">
        <v>48.545955657958999</v>
      </c>
    </row>
    <row r="2708" spans="1:12" x14ac:dyDescent="0.25">
      <c r="A2708">
        <v>3112703</v>
      </c>
      <c r="B2708" t="str">
        <f t="shared" si="42"/>
        <v>CAPITAO ENEAS, MG, Brasil</v>
      </c>
      <c r="C2708" s="4" t="str">
        <f>_xlfn.XLOOKUP(A2708,[1]!DadosGHD[CD_GEOCMU],[1]!DadosGHD[Região])</f>
        <v>SD</v>
      </c>
      <c r="D2708" s="4" t="str">
        <f>_xlfn.XLOOKUP(A2708,[1]!DadosGHD[CD_GEOCMU],[1]!DadosGHD[uf])</f>
        <v>MG</v>
      </c>
      <c r="E2708" s="5" t="str">
        <f>_xlfn.XLOOKUP(A2708,[1]!DadosGHD[CD_GEOCMU],[1]!DadosGHD[MUNICIPIO])</f>
        <v>CAPITAO ENEAS</v>
      </c>
      <c r="F2708" s="6">
        <v>38.684368133544901</v>
      </c>
      <c r="G2708" s="6">
        <v>38.751964569091797</v>
      </c>
      <c r="H2708" s="6">
        <v>38.789710998535199</v>
      </c>
      <c r="I2708" s="6">
        <v>38.751121520996101</v>
      </c>
      <c r="J2708" s="6">
        <v>38.789306640625</v>
      </c>
      <c r="K2708" s="6">
        <v>38.840358734130902</v>
      </c>
      <c r="L2708" s="6">
        <v>35.159263610839801</v>
      </c>
    </row>
    <row r="2709" spans="1:12" x14ac:dyDescent="0.25">
      <c r="A2709">
        <v>2207702</v>
      </c>
      <c r="B2709" t="str">
        <f t="shared" si="42"/>
        <v>PARNAIBA, PI, Brasil</v>
      </c>
      <c r="C2709" s="4" t="str">
        <f>_xlfn.XLOOKUP(A2709,[1]!DadosGHD[CD_GEOCMU],[1]!DadosGHD[Região])</f>
        <v>NE</v>
      </c>
      <c r="D2709" s="4" t="str">
        <f>_xlfn.XLOOKUP(A2709,[1]!DadosGHD[CD_GEOCMU],[1]!DadosGHD[uf])</f>
        <v>PI</v>
      </c>
      <c r="E2709" s="5" t="str">
        <f>_xlfn.XLOOKUP(A2709,[1]!DadosGHD[CD_GEOCMU],[1]!DadosGHD[MUNICIPIO])</f>
        <v>PARNAIBA</v>
      </c>
      <c r="F2709" s="6">
        <v>38.684436798095703</v>
      </c>
      <c r="G2709" s="6">
        <v>38.755687713623097</v>
      </c>
      <c r="H2709" s="6">
        <v>38.7890434265137</v>
      </c>
      <c r="I2709" s="6">
        <v>38.750991821289098</v>
      </c>
      <c r="J2709" s="6">
        <v>38.787330627441399</v>
      </c>
      <c r="K2709" s="6">
        <v>43.791698455810597</v>
      </c>
      <c r="L2709" s="6">
        <v>44.0271606445313</v>
      </c>
    </row>
    <row r="2710" spans="1:12" x14ac:dyDescent="0.25">
      <c r="A2710">
        <v>2929206</v>
      </c>
      <c r="B2710" t="str">
        <f t="shared" si="42"/>
        <v>SAO FRANCISCO DO CONDE, BA, Brasil</v>
      </c>
      <c r="C2710" s="4" t="str">
        <f>_xlfn.XLOOKUP(A2710,[1]!DadosGHD[CD_GEOCMU],[1]!DadosGHD[Região])</f>
        <v>NE</v>
      </c>
      <c r="D2710" s="4" t="str">
        <f>_xlfn.XLOOKUP(A2710,[1]!DadosGHD[CD_GEOCMU],[1]!DadosGHD[uf])</f>
        <v>BA</v>
      </c>
      <c r="E2710" s="5" t="str">
        <f>_xlfn.XLOOKUP(A2710,[1]!DadosGHD[CD_GEOCMU],[1]!DadosGHD[MUNICIPIO])</f>
        <v>SAO FRANCISCO DO CONDE</v>
      </c>
      <c r="F2710" s="6">
        <v>38.684455871582003</v>
      </c>
      <c r="G2710" s="6">
        <v>38.713722229003899</v>
      </c>
      <c r="H2710" s="6">
        <v>38.740760803222699</v>
      </c>
      <c r="I2710" s="6">
        <v>38.731544494628899</v>
      </c>
      <c r="J2710" s="6">
        <v>38.742218017578097</v>
      </c>
      <c r="K2710" s="6">
        <v>33.905693054199197</v>
      </c>
      <c r="L2710" s="6">
        <v>30.694730758666999</v>
      </c>
    </row>
    <row r="2711" spans="1:12" x14ac:dyDescent="0.25">
      <c r="A2711">
        <v>5106653</v>
      </c>
      <c r="B2711" t="str">
        <f t="shared" si="42"/>
        <v>PONTAL DO ARAGUAIA, MT, Brasil</v>
      </c>
      <c r="C2711" s="4" t="str">
        <f>_xlfn.XLOOKUP(A2711,[1]!DadosGHD[CD_GEOCMU],[1]!DadosGHD[Região])</f>
        <v>CO</v>
      </c>
      <c r="D2711" s="4" t="str">
        <f>_xlfn.XLOOKUP(A2711,[1]!DadosGHD[CD_GEOCMU],[1]!DadosGHD[uf])</f>
        <v>MT</v>
      </c>
      <c r="E2711" s="5" t="str">
        <f>_xlfn.XLOOKUP(A2711,[1]!DadosGHD[CD_GEOCMU],[1]!DadosGHD[MUNICIPIO])</f>
        <v>PONTAL DO ARAGUAIA</v>
      </c>
      <c r="F2711" s="6">
        <v>38.684608459472699</v>
      </c>
      <c r="G2711" s="6">
        <v>38.721435546875</v>
      </c>
      <c r="H2711" s="6">
        <v>38.756736755371101</v>
      </c>
      <c r="I2711" s="6">
        <v>38.737403869628899</v>
      </c>
      <c r="J2711" s="6">
        <v>33.874542236328097</v>
      </c>
      <c r="K2711" s="6">
        <v>33.912956237792997</v>
      </c>
      <c r="L2711" s="6">
        <v>30.705255508422901</v>
      </c>
    </row>
    <row r="2712" spans="1:12" x14ac:dyDescent="0.25">
      <c r="A2712">
        <v>3136504</v>
      </c>
      <c r="B2712" t="str">
        <f t="shared" si="42"/>
        <v>JORDANIA, MG, Brasil</v>
      </c>
      <c r="C2712" s="4" t="str">
        <f>_xlfn.XLOOKUP(A2712,[1]!DadosGHD[CD_GEOCMU],[1]!DadosGHD[Região])</f>
        <v>SD</v>
      </c>
      <c r="D2712" s="4" t="str">
        <f>_xlfn.XLOOKUP(A2712,[1]!DadosGHD[CD_GEOCMU],[1]!DadosGHD[uf])</f>
        <v>MG</v>
      </c>
      <c r="E2712" s="5" t="str">
        <f>_xlfn.XLOOKUP(A2712,[1]!DadosGHD[CD_GEOCMU],[1]!DadosGHD[MUNICIPIO])</f>
        <v>JORDANIA</v>
      </c>
      <c r="F2712" s="6">
        <v>38.684814453125</v>
      </c>
      <c r="G2712" s="6">
        <v>38.769027709960902</v>
      </c>
      <c r="H2712" s="6">
        <v>43.723358154296903</v>
      </c>
      <c r="I2712" s="6">
        <v>43.703559875488303</v>
      </c>
      <c r="J2712" s="6">
        <v>43.745559692382798</v>
      </c>
      <c r="K2712" s="6">
        <v>33.910614013671903</v>
      </c>
      <c r="L2712" s="6">
        <v>35.118804931640597</v>
      </c>
    </row>
    <row r="2713" spans="1:12" x14ac:dyDescent="0.25">
      <c r="A2713">
        <v>3112208</v>
      </c>
      <c r="B2713" t="str">
        <f t="shared" si="42"/>
        <v>CAPELA NOVA, MG, Brasil</v>
      </c>
      <c r="C2713" s="4" t="str">
        <f>_xlfn.XLOOKUP(A2713,[1]!DadosGHD[CD_GEOCMU],[1]!DadosGHD[Região])</f>
        <v>SD</v>
      </c>
      <c r="D2713" s="4" t="str">
        <f>_xlfn.XLOOKUP(A2713,[1]!DadosGHD[CD_GEOCMU],[1]!DadosGHD[uf])</f>
        <v>MG</v>
      </c>
      <c r="E2713" s="5" t="str">
        <f>_xlfn.XLOOKUP(A2713,[1]!DadosGHD[CD_GEOCMU],[1]!DadosGHD[MUNICIPIO])</f>
        <v>CAPELA NOVA</v>
      </c>
      <c r="F2713" s="6">
        <v>38.685028076171903</v>
      </c>
      <c r="G2713" s="6">
        <v>38.719619750976598</v>
      </c>
      <c r="H2713" s="6">
        <v>38.767585754394503</v>
      </c>
      <c r="I2713" s="6">
        <v>43.717636108398402</v>
      </c>
      <c r="J2713" s="6">
        <v>43.768688201904297</v>
      </c>
      <c r="K2713" s="6">
        <v>43.833087921142599</v>
      </c>
      <c r="L2713" s="6">
        <v>48.555023193359403</v>
      </c>
    </row>
    <row r="2714" spans="1:12" x14ac:dyDescent="0.25">
      <c r="A2714">
        <v>5202502</v>
      </c>
      <c r="B2714" t="str">
        <f t="shared" si="42"/>
        <v>ARUANA, GO, Brasil</v>
      </c>
      <c r="C2714" s="4" t="str">
        <f>_xlfn.XLOOKUP(A2714,[1]!DadosGHD[CD_GEOCMU],[1]!DadosGHD[Região])</f>
        <v>CO</v>
      </c>
      <c r="D2714" s="4" t="str">
        <f>_xlfn.XLOOKUP(A2714,[1]!DadosGHD[CD_GEOCMU],[1]!DadosGHD[uf])</f>
        <v>GO</v>
      </c>
      <c r="E2714" s="5" t="str">
        <f>_xlfn.XLOOKUP(A2714,[1]!DadosGHD[CD_GEOCMU],[1]!DadosGHD[MUNICIPIO])</f>
        <v>ARUANA</v>
      </c>
      <c r="F2714" s="6">
        <v>38.685176849365199</v>
      </c>
      <c r="G2714" s="6">
        <v>38.742473602294901</v>
      </c>
      <c r="H2714" s="6">
        <v>38.796028137207003</v>
      </c>
      <c r="I2714" s="6">
        <v>38.762126922607401</v>
      </c>
      <c r="J2714" s="6">
        <v>38.769401550292997</v>
      </c>
      <c r="K2714" s="6">
        <v>38.780216217041001</v>
      </c>
      <c r="L2714" s="6">
        <v>30.710054397583001</v>
      </c>
    </row>
    <row r="2715" spans="1:12" x14ac:dyDescent="0.25">
      <c r="A2715">
        <v>3116803</v>
      </c>
      <c r="B2715" t="str">
        <f t="shared" si="42"/>
        <v>COLUNA, MG, Brasil</v>
      </c>
      <c r="C2715" s="4" t="str">
        <f>_xlfn.XLOOKUP(A2715,[1]!DadosGHD[CD_GEOCMU],[1]!DadosGHD[Região])</f>
        <v>SD</v>
      </c>
      <c r="D2715" s="4" t="str">
        <f>_xlfn.XLOOKUP(A2715,[1]!DadosGHD[CD_GEOCMU],[1]!DadosGHD[uf])</f>
        <v>MG</v>
      </c>
      <c r="E2715" s="5" t="str">
        <f>_xlfn.XLOOKUP(A2715,[1]!DadosGHD[CD_GEOCMU],[1]!DadosGHD[MUNICIPIO])</f>
        <v>COLUNA</v>
      </c>
      <c r="F2715" s="6">
        <v>38.685447692871101</v>
      </c>
      <c r="G2715" s="6">
        <v>38.742080688476598</v>
      </c>
      <c r="H2715" s="6">
        <v>38.8009033203125</v>
      </c>
      <c r="I2715" s="6">
        <v>38.775215148925803</v>
      </c>
      <c r="J2715" s="6">
        <v>38.789535522460902</v>
      </c>
      <c r="K2715" s="6">
        <v>38.840450286865199</v>
      </c>
      <c r="L2715" s="6">
        <v>35.125709533691399</v>
      </c>
    </row>
    <row r="2716" spans="1:12" x14ac:dyDescent="0.25">
      <c r="A2716">
        <v>3163003</v>
      </c>
      <c r="B2716" t="str">
        <f t="shared" si="42"/>
        <v>SAO JOSE DA SAFIRA, MG, Brasil</v>
      </c>
      <c r="C2716" s="4" t="str">
        <f>_xlfn.XLOOKUP(A2716,[1]!DadosGHD[CD_GEOCMU],[1]!DadosGHD[Região])</f>
        <v>SD</v>
      </c>
      <c r="D2716" s="4" t="str">
        <f>_xlfn.XLOOKUP(A2716,[1]!DadosGHD[CD_GEOCMU],[1]!DadosGHD[uf])</f>
        <v>MG</v>
      </c>
      <c r="E2716" s="5" t="str">
        <f>_xlfn.XLOOKUP(A2716,[1]!DadosGHD[CD_GEOCMU],[1]!DadosGHD[MUNICIPIO])</f>
        <v>SAO JOSE DA SAFIRA</v>
      </c>
      <c r="F2716" s="6">
        <v>38.685611724853501</v>
      </c>
      <c r="G2716" s="6">
        <v>38.709434509277301</v>
      </c>
      <c r="H2716" s="6">
        <v>38.748844146728501</v>
      </c>
      <c r="I2716" s="6">
        <v>38.721183776855497</v>
      </c>
      <c r="J2716" s="6">
        <v>38.7451362609863</v>
      </c>
      <c r="K2716" s="6">
        <v>38.793281555175803</v>
      </c>
      <c r="L2716" s="6">
        <v>30.7088413238525</v>
      </c>
    </row>
    <row r="2717" spans="1:12" x14ac:dyDescent="0.25">
      <c r="A2717">
        <v>4311155</v>
      </c>
      <c r="B2717" t="str">
        <f t="shared" si="42"/>
        <v>JOIA, RS, Brasil</v>
      </c>
      <c r="C2717" s="4" t="str">
        <f>_xlfn.XLOOKUP(A2717,[1]!DadosGHD[CD_GEOCMU],[1]!DadosGHD[Região])</f>
        <v>SL</v>
      </c>
      <c r="D2717" s="4" t="str">
        <f>_xlfn.XLOOKUP(A2717,[1]!DadosGHD[CD_GEOCMU],[1]!DadosGHD[uf])</f>
        <v>RS</v>
      </c>
      <c r="E2717" s="5" t="str">
        <f>_xlfn.XLOOKUP(A2717,[1]!DadosGHD[CD_GEOCMU],[1]!DadosGHD[MUNICIPIO])</f>
        <v>JOIA</v>
      </c>
      <c r="F2717" s="6">
        <v>38.685726165771499</v>
      </c>
      <c r="G2717" s="6">
        <v>43.7460327148438</v>
      </c>
      <c r="H2717" s="6">
        <v>43.794025421142599</v>
      </c>
      <c r="I2717" s="6">
        <v>48.765758514404297</v>
      </c>
      <c r="J2717" s="6">
        <v>38.815620422363303</v>
      </c>
      <c r="K2717" s="6">
        <v>48.828102111816399</v>
      </c>
      <c r="L2717" s="6">
        <v>57.589881896972699</v>
      </c>
    </row>
    <row r="2718" spans="1:12" x14ac:dyDescent="0.25">
      <c r="A2718">
        <v>3157807</v>
      </c>
      <c r="B2718" t="str">
        <f t="shared" si="42"/>
        <v>SANTA LUZIA, MG, Brasil</v>
      </c>
      <c r="C2718" s="4" t="str">
        <f>_xlfn.XLOOKUP(A2718,[1]!DadosGHD[CD_GEOCMU],[1]!DadosGHD[Região])</f>
        <v>SD</v>
      </c>
      <c r="D2718" s="4" t="str">
        <f>_xlfn.XLOOKUP(A2718,[1]!DadosGHD[CD_GEOCMU],[1]!DadosGHD[uf])</f>
        <v>MG</v>
      </c>
      <c r="E2718" s="5" t="str">
        <f>_xlfn.XLOOKUP(A2718,[1]!DadosGHD[CD_GEOCMU],[1]!DadosGHD[MUNICIPIO])</f>
        <v>SANTA LUZIA</v>
      </c>
      <c r="F2718" s="6">
        <v>38.685737609863303</v>
      </c>
      <c r="G2718" s="6">
        <v>38.774242401123097</v>
      </c>
      <c r="H2718" s="6">
        <v>38.830112457275398</v>
      </c>
      <c r="I2718" s="6">
        <v>43.689224243164098</v>
      </c>
      <c r="J2718" s="6">
        <v>43.740123748779297</v>
      </c>
      <c r="K2718" s="6">
        <v>43.815628051757798</v>
      </c>
      <c r="L2718" s="6">
        <v>48.5510864257813</v>
      </c>
    </row>
    <row r="2719" spans="1:12" x14ac:dyDescent="0.25">
      <c r="A2719">
        <v>3149606</v>
      </c>
      <c r="B2719" t="str">
        <f t="shared" si="42"/>
        <v>PEQUI, MG, Brasil</v>
      </c>
      <c r="C2719" s="4" t="str">
        <f>_xlfn.XLOOKUP(A2719,[1]!DadosGHD[CD_GEOCMU],[1]!DadosGHD[Região])</f>
        <v>SD</v>
      </c>
      <c r="D2719" s="4" t="str">
        <f>_xlfn.XLOOKUP(A2719,[1]!DadosGHD[CD_GEOCMU],[1]!DadosGHD[uf])</f>
        <v>MG</v>
      </c>
      <c r="E2719" s="5" t="str">
        <f>_xlfn.XLOOKUP(A2719,[1]!DadosGHD[CD_GEOCMU],[1]!DadosGHD[MUNICIPIO])</f>
        <v>PEQUI</v>
      </c>
      <c r="F2719" s="6">
        <v>38.685840606689503</v>
      </c>
      <c r="G2719" s="6">
        <v>38.775421142578097</v>
      </c>
      <c r="H2719" s="6">
        <v>38.838554382324197</v>
      </c>
      <c r="I2719" s="6">
        <v>38.811679840087898</v>
      </c>
      <c r="J2719" s="6">
        <v>38.799545288085902</v>
      </c>
      <c r="K2719" s="6">
        <v>38.857746124267599</v>
      </c>
      <c r="L2719" s="6">
        <v>44.077262878417997</v>
      </c>
    </row>
    <row r="2720" spans="1:12" x14ac:dyDescent="0.25">
      <c r="A2720">
        <v>3135506</v>
      </c>
      <c r="B2720" t="str">
        <f t="shared" si="42"/>
        <v>JEQUERI, MG, Brasil</v>
      </c>
      <c r="C2720" s="4" t="str">
        <f>_xlfn.XLOOKUP(A2720,[1]!DadosGHD[CD_GEOCMU],[1]!DadosGHD[Região])</f>
        <v>SD</v>
      </c>
      <c r="D2720" s="4" t="str">
        <f>_xlfn.XLOOKUP(A2720,[1]!DadosGHD[CD_GEOCMU],[1]!DadosGHD[uf])</f>
        <v>MG</v>
      </c>
      <c r="E2720" s="5" t="str">
        <f>_xlfn.XLOOKUP(A2720,[1]!DadosGHD[CD_GEOCMU],[1]!DadosGHD[MUNICIPIO])</f>
        <v>JEQUERI</v>
      </c>
      <c r="F2720" s="6">
        <v>38.685867309570298</v>
      </c>
      <c r="G2720" s="6">
        <v>38.721866607666001</v>
      </c>
      <c r="H2720" s="6">
        <v>38.772117614746101</v>
      </c>
      <c r="I2720" s="6">
        <v>38.793914794921903</v>
      </c>
      <c r="J2720" s="6">
        <v>38.799556732177699</v>
      </c>
      <c r="K2720" s="6">
        <v>38.811756134033203</v>
      </c>
      <c r="L2720" s="6">
        <v>30.7051486968994</v>
      </c>
    </row>
    <row r="2721" spans="1:12" x14ac:dyDescent="0.25">
      <c r="A2721">
        <v>2200608</v>
      </c>
      <c r="B2721" t="str">
        <f t="shared" si="42"/>
        <v>ANGICAL DO PIAUI, PI, Brasil</v>
      </c>
      <c r="C2721" s="4" t="str">
        <f>_xlfn.XLOOKUP(A2721,[1]!DadosGHD[CD_GEOCMU],[1]!DadosGHD[Região])</f>
        <v>NE</v>
      </c>
      <c r="D2721" s="4" t="str">
        <f>_xlfn.XLOOKUP(A2721,[1]!DadosGHD[CD_GEOCMU],[1]!DadosGHD[uf])</f>
        <v>PI</v>
      </c>
      <c r="E2721" s="5" t="str">
        <f>_xlfn.XLOOKUP(A2721,[1]!DadosGHD[CD_GEOCMU],[1]!DadosGHD[MUNICIPIO])</f>
        <v>ANGICAL DO PIAUI</v>
      </c>
      <c r="F2721" s="6">
        <v>38.6859130859375</v>
      </c>
      <c r="G2721" s="6">
        <v>38.773017883300803</v>
      </c>
      <c r="H2721" s="6">
        <v>38.801311492919901</v>
      </c>
      <c r="I2721" s="6">
        <v>38.753089904785199</v>
      </c>
      <c r="J2721" s="6">
        <v>38.795173645019503</v>
      </c>
      <c r="K2721" s="6">
        <v>33.866928100585902</v>
      </c>
      <c r="L2721" s="6">
        <v>26.2985229492188</v>
      </c>
    </row>
    <row r="2722" spans="1:12" x14ac:dyDescent="0.25">
      <c r="A2722">
        <v>4119301</v>
      </c>
      <c r="B2722" t="str">
        <f t="shared" si="42"/>
        <v>PINHAO, PR, Brasil</v>
      </c>
      <c r="C2722" s="4" t="str">
        <f>_xlfn.XLOOKUP(A2722,[1]!DadosGHD[CD_GEOCMU],[1]!DadosGHD[Região])</f>
        <v>SL</v>
      </c>
      <c r="D2722" s="4" t="str">
        <f>_xlfn.XLOOKUP(A2722,[1]!DadosGHD[CD_GEOCMU],[1]!DadosGHD[uf])</f>
        <v>PR</v>
      </c>
      <c r="E2722" s="5" t="str">
        <f>_xlfn.XLOOKUP(A2722,[1]!DadosGHD[CD_GEOCMU],[1]!DadosGHD[MUNICIPIO])</f>
        <v>PINHAO</v>
      </c>
      <c r="F2722" s="6">
        <v>38.686241149902301</v>
      </c>
      <c r="G2722" s="6">
        <v>43.680892944335902</v>
      </c>
      <c r="H2722" s="6">
        <v>43.745929718017599</v>
      </c>
      <c r="I2722" s="6">
        <v>43.692790985107401</v>
      </c>
      <c r="J2722" s="6">
        <v>38.833808898925803</v>
      </c>
      <c r="K2722" s="6">
        <v>43.780998229980497</v>
      </c>
      <c r="L2722" s="6">
        <v>39.557765960693402</v>
      </c>
    </row>
    <row r="2723" spans="1:12" x14ac:dyDescent="0.25">
      <c r="A2723">
        <v>3107307</v>
      </c>
      <c r="B2723" t="str">
        <f t="shared" si="42"/>
        <v>BOCAIUVA, MG, Brasil</v>
      </c>
      <c r="C2723" s="4" t="str">
        <f>_xlfn.XLOOKUP(A2723,[1]!DadosGHD[CD_GEOCMU],[1]!DadosGHD[Região])</f>
        <v>SD</v>
      </c>
      <c r="D2723" s="4" t="str">
        <f>_xlfn.XLOOKUP(A2723,[1]!DadosGHD[CD_GEOCMU],[1]!DadosGHD[uf])</f>
        <v>MG</v>
      </c>
      <c r="E2723" s="5" t="str">
        <f>_xlfn.XLOOKUP(A2723,[1]!DadosGHD[CD_GEOCMU],[1]!DadosGHD[MUNICIPIO])</f>
        <v>BOCAIUVA</v>
      </c>
      <c r="F2723" s="6">
        <v>38.686317443847699</v>
      </c>
      <c r="G2723" s="6">
        <v>38.755809783935597</v>
      </c>
      <c r="H2723" s="6">
        <v>38.781204223632798</v>
      </c>
      <c r="I2723" s="6">
        <v>38.741020202636697</v>
      </c>
      <c r="J2723" s="6">
        <v>38.785694122314503</v>
      </c>
      <c r="K2723" s="6">
        <v>38.858806610107401</v>
      </c>
      <c r="L2723" s="6">
        <v>35.131645202636697</v>
      </c>
    </row>
    <row r="2724" spans="1:12" x14ac:dyDescent="0.25">
      <c r="A2724">
        <v>2111607</v>
      </c>
      <c r="B2724" t="str">
        <f t="shared" si="42"/>
        <v>SAO RAIMUNDO DAS MANGABEIRAS, MA, Brasil</v>
      </c>
      <c r="C2724" s="4" t="str">
        <f>_xlfn.XLOOKUP(A2724,[1]!DadosGHD[CD_GEOCMU],[1]!DadosGHD[Região])</f>
        <v>NE</v>
      </c>
      <c r="D2724" s="4" t="str">
        <f>_xlfn.XLOOKUP(A2724,[1]!DadosGHD[CD_GEOCMU],[1]!DadosGHD[uf])</f>
        <v>MA</v>
      </c>
      <c r="E2724" s="5" t="str">
        <f>_xlfn.XLOOKUP(A2724,[1]!DadosGHD[CD_GEOCMU],[1]!DadosGHD[MUNICIPIO])</f>
        <v>SAO RAIMUNDO DAS MANGABEIRAS</v>
      </c>
      <c r="F2724" s="6">
        <v>38.686485290527301</v>
      </c>
      <c r="G2724" s="6">
        <v>38.7381401062012</v>
      </c>
      <c r="H2724" s="6">
        <v>38.791709899902301</v>
      </c>
      <c r="I2724" s="6">
        <v>38.7603569030762</v>
      </c>
      <c r="J2724" s="6">
        <v>38.768394470214801</v>
      </c>
      <c r="K2724" s="6">
        <v>38.791912078857401</v>
      </c>
      <c r="L2724" s="6">
        <v>30.6840934753418</v>
      </c>
    </row>
    <row r="2725" spans="1:12" x14ac:dyDescent="0.25">
      <c r="A2725">
        <v>2703908</v>
      </c>
      <c r="B2725" t="str">
        <f t="shared" si="42"/>
        <v>JUNDIA, AL, Brasil</v>
      </c>
      <c r="C2725" s="4" t="str">
        <f>_xlfn.XLOOKUP(A2725,[1]!DadosGHD[CD_GEOCMU],[1]!DadosGHD[Região])</f>
        <v>NE</v>
      </c>
      <c r="D2725" s="4" t="str">
        <f>_xlfn.XLOOKUP(A2725,[1]!DadosGHD[CD_GEOCMU],[1]!DadosGHD[uf])</f>
        <v>AL</v>
      </c>
      <c r="E2725" s="5" t="str">
        <f>_xlfn.XLOOKUP(A2725,[1]!DadosGHD[CD_GEOCMU],[1]!DadosGHD[MUNICIPIO])</f>
        <v>JUNDIA</v>
      </c>
      <c r="F2725" s="6">
        <v>38.686653137207003</v>
      </c>
      <c r="G2725" s="6">
        <v>38.710807800292997</v>
      </c>
      <c r="H2725" s="6">
        <v>38.769248962402301</v>
      </c>
      <c r="I2725" s="6">
        <v>43.682853698730497</v>
      </c>
      <c r="J2725" s="6">
        <v>33.8643989562988</v>
      </c>
      <c r="K2725" s="6">
        <v>33.884780883789098</v>
      </c>
      <c r="L2725" s="6">
        <v>35.126392364502003</v>
      </c>
    </row>
    <row r="2726" spans="1:12" x14ac:dyDescent="0.25">
      <c r="A2726">
        <v>4212254</v>
      </c>
      <c r="B2726" t="str">
        <f t="shared" si="42"/>
        <v>PASSO DE TORRES, SC, Brasil</v>
      </c>
      <c r="C2726" s="4" t="str">
        <f>_xlfn.XLOOKUP(A2726,[1]!DadosGHD[CD_GEOCMU],[1]!DadosGHD[Região])</f>
        <v>SL</v>
      </c>
      <c r="D2726" s="4" t="str">
        <f>_xlfn.XLOOKUP(A2726,[1]!DadosGHD[CD_GEOCMU],[1]!DadosGHD[uf])</f>
        <v>SC</v>
      </c>
      <c r="E2726" s="5" t="str">
        <f>_xlfn.XLOOKUP(A2726,[1]!DadosGHD[CD_GEOCMU],[1]!DadosGHD[MUNICIPIO])</f>
        <v>PASSO DE TORRES</v>
      </c>
      <c r="F2726" s="6">
        <v>38.686695098877003</v>
      </c>
      <c r="G2726" s="6">
        <v>38.773773193359403</v>
      </c>
      <c r="H2726" s="6">
        <v>38.783977508544901</v>
      </c>
      <c r="I2726" s="6">
        <v>33.842254638671903</v>
      </c>
      <c r="J2726" s="6">
        <v>33.838462829589801</v>
      </c>
      <c r="K2726" s="6">
        <v>33.869785308837898</v>
      </c>
      <c r="L2726" s="6">
        <v>30.685396194458001</v>
      </c>
    </row>
    <row r="2727" spans="1:12" x14ac:dyDescent="0.25">
      <c r="A2727">
        <v>4115754</v>
      </c>
      <c r="B2727" t="str">
        <f t="shared" si="42"/>
        <v>MAUA DA SERRA, PR, Brasil</v>
      </c>
      <c r="C2727" s="4" t="str">
        <f>_xlfn.XLOOKUP(A2727,[1]!DadosGHD[CD_GEOCMU],[1]!DadosGHD[Região])</f>
        <v>SL</v>
      </c>
      <c r="D2727" s="4" t="str">
        <f>_xlfn.XLOOKUP(A2727,[1]!DadosGHD[CD_GEOCMU],[1]!DadosGHD[uf])</f>
        <v>PR</v>
      </c>
      <c r="E2727" s="5" t="str">
        <f>_xlfn.XLOOKUP(A2727,[1]!DadosGHD[CD_GEOCMU],[1]!DadosGHD[MUNICIPIO])</f>
        <v>MAUA DA SERRA</v>
      </c>
      <c r="F2727" s="6">
        <v>38.686725616455099</v>
      </c>
      <c r="G2727" s="6">
        <v>43.668666839599602</v>
      </c>
      <c r="H2727" s="6">
        <v>43.711536407470703</v>
      </c>
      <c r="I2727" s="6">
        <v>43.688888549804702</v>
      </c>
      <c r="J2727" s="6">
        <v>38.829872131347699</v>
      </c>
      <c r="K2727" s="6">
        <v>38.829925537109403</v>
      </c>
      <c r="L2727" s="6">
        <v>39.579738616943402</v>
      </c>
    </row>
    <row r="2728" spans="1:12" x14ac:dyDescent="0.25">
      <c r="A2728">
        <v>2802908</v>
      </c>
      <c r="B2728" t="str">
        <f t="shared" si="42"/>
        <v>ITABAIANA, SE, Brasil</v>
      </c>
      <c r="C2728" s="4" t="str">
        <f>_xlfn.XLOOKUP(A2728,[1]!DadosGHD[CD_GEOCMU],[1]!DadosGHD[Região])</f>
        <v>NE</v>
      </c>
      <c r="D2728" s="4" t="str">
        <f>_xlfn.XLOOKUP(A2728,[1]!DadosGHD[CD_GEOCMU],[1]!DadosGHD[uf])</f>
        <v>SE</v>
      </c>
      <c r="E2728" s="5" t="str">
        <f>_xlfn.XLOOKUP(A2728,[1]!DadosGHD[CD_GEOCMU],[1]!DadosGHD[MUNICIPIO])</f>
        <v>ITABAIANA</v>
      </c>
      <c r="F2728" s="6">
        <v>38.686840057373097</v>
      </c>
      <c r="G2728" s="6">
        <v>38.770626068115199</v>
      </c>
      <c r="H2728" s="6">
        <v>43.731479644775398</v>
      </c>
      <c r="I2728" s="6">
        <v>43.760463714599602</v>
      </c>
      <c r="J2728" s="6">
        <v>43.786472320556598</v>
      </c>
      <c r="K2728" s="6">
        <v>43.775306701660199</v>
      </c>
      <c r="L2728" s="6">
        <v>39.5912475585938</v>
      </c>
    </row>
    <row r="2729" spans="1:12" x14ac:dyDescent="0.25">
      <c r="A2729">
        <v>1600600</v>
      </c>
      <c r="B2729" t="str">
        <f t="shared" si="42"/>
        <v>SANTANA, AP, Brasil</v>
      </c>
      <c r="C2729" s="4" t="str">
        <f>_xlfn.XLOOKUP(A2729,[1]!DadosGHD[CD_GEOCMU],[1]!DadosGHD[Região])</f>
        <v>NO</v>
      </c>
      <c r="D2729" s="4" t="str">
        <f>_xlfn.XLOOKUP(A2729,[1]!DadosGHD[CD_GEOCMU],[1]!DadosGHD[uf])</f>
        <v>AP</v>
      </c>
      <c r="E2729" s="5" t="str">
        <f>_xlfn.XLOOKUP(A2729,[1]!DadosGHD[CD_GEOCMU],[1]!DadosGHD[MUNICIPIO])</f>
        <v>SANTANA</v>
      </c>
      <c r="F2729" s="6">
        <v>38.686988830566399</v>
      </c>
      <c r="G2729" s="6">
        <v>38.743289947509801</v>
      </c>
      <c r="H2729" s="6">
        <v>38.767967224121101</v>
      </c>
      <c r="I2729" s="6">
        <v>38.735252380371101</v>
      </c>
      <c r="J2729" s="6">
        <v>38.769863128662102</v>
      </c>
      <c r="K2729" s="6">
        <v>38.813453674316399</v>
      </c>
      <c r="L2729" s="6">
        <v>39.607166290283203</v>
      </c>
    </row>
    <row r="2730" spans="1:12" x14ac:dyDescent="0.25">
      <c r="A2730">
        <v>3135803</v>
      </c>
      <c r="B2730" t="str">
        <f t="shared" si="42"/>
        <v>JEQUITINHONHA, MG, Brasil</v>
      </c>
      <c r="C2730" s="4" t="str">
        <f>_xlfn.XLOOKUP(A2730,[1]!DadosGHD[CD_GEOCMU],[1]!DadosGHD[Região])</f>
        <v>SD</v>
      </c>
      <c r="D2730" s="4" t="str">
        <f>_xlfn.XLOOKUP(A2730,[1]!DadosGHD[CD_GEOCMU],[1]!DadosGHD[uf])</f>
        <v>MG</v>
      </c>
      <c r="E2730" s="5" t="str">
        <f>_xlfn.XLOOKUP(A2730,[1]!DadosGHD[CD_GEOCMU],[1]!DadosGHD[MUNICIPIO])</f>
        <v>JEQUITINHONHA</v>
      </c>
      <c r="F2730" s="6">
        <v>38.6871528625488</v>
      </c>
      <c r="G2730" s="6">
        <v>43.650447845458999</v>
      </c>
      <c r="H2730" s="6">
        <v>38.835544586181598</v>
      </c>
      <c r="I2730" s="6">
        <v>38.789985656738303</v>
      </c>
      <c r="J2730" s="6">
        <v>38.789016723632798</v>
      </c>
      <c r="K2730" s="6">
        <v>38.824623107910199</v>
      </c>
      <c r="L2730" s="6">
        <v>30.709657669067401</v>
      </c>
    </row>
    <row r="2731" spans="1:12" x14ac:dyDescent="0.25">
      <c r="A2731">
        <v>2611200</v>
      </c>
      <c r="B2731" t="str">
        <f t="shared" si="42"/>
        <v>POCAO, PE, Brasil</v>
      </c>
      <c r="C2731" s="4" t="str">
        <f>_xlfn.XLOOKUP(A2731,[1]!DadosGHD[CD_GEOCMU],[1]!DadosGHD[Região])</f>
        <v>NE</v>
      </c>
      <c r="D2731" s="4" t="str">
        <f>_xlfn.XLOOKUP(A2731,[1]!DadosGHD[CD_GEOCMU],[1]!DadosGHD[uf])</f>
        <v>PE</v>
      </c>
      <c r="E2731" s="5" t="str">
        <f>_xlfn.XLOOKUP(A2731,[1]!DadosGHD[CD_GEOCMU],[1]!DadosGHD[MUNICIPIO])</f>
        <v>POCAO</v>
      </c>
      <c r="F2731" s="6">
        <v>38.687492370605497</v>
      </c>
      <c r="G2731" s="6">
        <v>38.764884948730497</v>
      </c>
      <c r="H2731" s="6">
        <v>38.781425476074197</v>
      </c>
      <c r="I2731" s="6">
        <v>38.766639709472699</v>
      </c>
      <c r="J2731" s="6">
        <v>33.886215209960902</v>
      </c>
      <c r="K2731" s="6">
        <v>33.913906097412102</v>
      </c>
      <c r="L2731" s="6">
        <v>39.573799133300803</v>
      </c>
    </row>
    <row r="2732" spans="1:12" x14ac:dyDescent="0.25">
      <c r="A2732">
        <v>3109253</v>
      </c>
      <c r="B2732" t="str">
        <f t="shared" si="42"/>
        <v>BUGRE, MG, Brasil</v>
      </c>
      <c r="C2732" s="4" t="str">
        <f>_xlfn.XLOOKUP(A2732,[1]!DadosGHD[CD_GEOCMU],[1]!DadosGHD[Região])</f>
        <v>SD</v>
      </c>
      <c r="D2732" s="4" t="str">
        <f>_xlfn.XLOOKUP(A2732,[1]!DadosGHD[CD_GEOCMU],[1]!DadosGHD[uf])</f>
        <v>MG</v>
      </c>
      <c r="E2732" s="5" t="str">
        <f>_xlfn.XLOOKUP(A2732,[1]!DadosGHD[CD_GEOCMU],[1]!DadosGHD[MUNICIPIO])</f>
        <v>BUGRE</v>
      </c>
      <c r="F2732" s="6">
        <v>38.687675476074197</v>
      </c>
      <c r="G2732" s="6">
        <v>38.727024078369098</v>
      </c>
      <c r="H2732" s="6">
        <v>38.775947570800803</v>
      </c>
      <c r="I2732" s="6">
        <v>38.775428771972699</v>
      </c>
      <c r="J2732" s="6">
        <v>38.787071228027301</v>
      </c>
      <c r="K2732" s="6">
        <v>38.818305969238303</v>
      </c>
      <c r="L2732" s="6">
        <v>30.691432952880898</v>
      </c>
    </row>
    <row r="2733" spans="1:12" x14ac:dyDescent="0.25">
      <c r="A2733">
        <v>3141009</v>
      </c>
      <c r="B2733" t="str">
        <f t="shared" si="42"/>
        <v>MATO VERDE, MG, Brasil</v>
      </c>
      <c r="C2733" s="4" t="str">
        <f>_xlfn.XLOOKUP(A2733,[1]!DadosGHD[CD_GEOCMU],[1]!DadosGHD[Região])</f>
        <v>SD</v>
      </c>
      <c r="D2733" s="4" t="str">
        <f>_xlfn.XLOOKUP(A2733,[1]!DadosGHD[CD_GEOCMU],[1]!DadosGHD[uf])</f>
        <v>MG</v>
      </c>
      <c r="E2733" s="5" t="str">
        <f>_xlfn.XLOOKUP(A2733,[1]!DadosGHD[CD_GEOCMU],[1]!DadosGHD[MUNICIPIO])</f>
        <v>MATO VERDE</v>
      </c>
      <c r="F2733" s="6">
        <v>38.687744140625</v>
      </c>
      <c r="G2733" s="6">
        <v>38.739536285400398</v>
      </c>
      <c r="H2733" s="6">
        <v>38.812507629394503</v>
      </c>
      <c r="I2733" s="6">
        <v>38.800506591796903</v>
      </c>
      <c r="J2733" s="6">
        <v>38.807926177978501</v>
      </c>
      <c r="K2733" s="6">
        <v>38.820571899414098</v>
      </c>
      <c r="L2733" s="6">
        <v>30.717788696289102</v>
      </c>
    </row>
    <row r="2734" spans="1:12" x14ac:dyDescent="0.25">
      <c r="A2734">
        <v>3530409</v>
      </c>
      <c r="B2734" t="str">
        <f t="shared" si="42"/>
        <v>MIRASSOLANDIA, SP, Brasil</v>
      </c>
      <c r="C2734" s="4" t="str">
        <f>_xlfn.XLOOKUP(A2734,[1]!DadosGHD[CD_GEOCMU],[1]!DadosGHD[Região])</f>
        <v>SD</v>
      </c>
      <c r="D2734" s="4" t="str">
        <f>_xlfn.XLOOKUP(A2734,[1]!DadosGHD[CD_GEOCMU],[1]!DadosGHD[uf])</f>
        <v>SP</v>
      </c>
      <c r="E2734" s="5" t="str">
        <f>_xlfn.XLOOKUP(A2734,[1]!DadosGHD[CD_GEOCMU],[1]!DadosGHD[MUNICIPIO])</f>
        <v>MIRASSOLANDIA</v>
      </c>
      <c r="F2734" s="6">
        <v>38.687980651855497</v>
      </c>
      <c r="G2734" s="6">
        <v>38.734455108642599</v>
      </c>
      <c r="H2734" s="6">
        <v>38.767768859863303</v>
      </c>
      <c r="I2734" s="6">
        <v>38.735923767089801</v>
      </c>
      <c r="J2734" s="6">
        <v>38.756298065185597</v>
      </c>
      <c r="K2734" s="6">
        <v>38.816799163818402</v>
      </c>
      <c r="L2734" s="6">
        <v>35.139293670654297</v>
      </c>
    </row>
    <row r="2735" spans="1:12" x14ac:dyDescent="0.25">
      <c r="A2735">
        <v>2914109</v>
      </c>
      <c r="B2735" t="str">
        <f t="shared" si="42"/>
        <v>IPUPIARA, BA, Brasil</v>
      </c>
      <c r="C2735" s="4" t="str">
        <f>_xlfn.XLOOKUP(A2735,[1]!DadosGHD[CD_GEOCMU],[1]!DadosGHD[Região])</f>
        <v>NE</v>
      </c>
      <c r="D2735" s="4" t="str">
        <f>_xlfn.XLOOKUP(A2735,[1]!DadosGHD[CD_GEOCMU],[1]!DadosGHD[uf])</f>
        <v>BA</v>
      </c>
      <c r="E2735" s="5" t="str">
        <f>_xlfn.XLOOKUP(A2735,[1]!DadosGHD[CD_GEOCMU],[1]!DadosGHD[MUNICIPIO])</f>
        <v>IPUPIARA</v>
      </c>
      <c r="F2735" s="6">
        <v>38.6880493164063</v>
      </c>
      <c r="G2735" s="6">
        <v>38.714748382568402</v>
      </c>
      <c r="H2735" s="6">
        <v>38.766109466552699</v>
      </c>
      <c r="I2735" s="6">
        <v>38.743400573730497</v>
      </c>
      <c r="J2735" s="6">
        <v>38.758419036865199</v>
      </c>
      <c r="K2735" s="6">
        <v>38.814205169677699</v>
      </c>
      <c r="L2735" s="6">
        <v>30.708259582519499</v>
      </c>
    </row>
    <row r="2736" spans="1:12" x14ac:dyDescent="0.25">
      <c r="A2736">
        <v>5103437</v>
      </c>
      <c r="B2736" t="str">
        <f t="shared" si="42"/>
        <v>CURVELANDIA, MT, Brasil</v>
      </c>
      <c r="C2736" s="4" t="str">
        <f>_xlfn.XLOOKUP(A2736,[1]!DadosGHD[CD_GEOCMU],[1]!DadosGHD[Região])</f>
        <v>CO</v>
      </c>
      <c r="D2736" s="4" t="str">
        <f>_xlfn.XLOOKUP(A2736,[1]!DadosGHD[CD_GEOCMU],[1]!DadosGHD[uf])</f>
        <v>MT</v>
      </c>
      <c r="E2736" s="5" t="str">
        <f>_xlfn.XLOOKUP(A2736,[1]!DadosGHD[CD_GEOCMU],[1]!DadosGHD[MUNICIPIO])</f>
        <v>CURVELANDIA</v>
      </c>
      <c r="F2736" s="6">
        <v>38.688053131103501</v>
      </c>
      <c r="G2736" s="6">
        <v>43.690101623535199</v>
      </c>
      <c r="H2736" s="6">
        <v>43.719699859619098</v>
      </c>
      <c r="I2736" s="6">
        <v>43.692184448242202</v>
      </c>
      <c r="J2736" s="6">
        <v>43.7028617858887</v>
      </c>
      <c r="K2736" s="6">
        <v>38.865917205810597</v>
      </c>
      <c r="L2736" s="6">
        <v>30.7151489257813</v>
      </c>
    </row>
    <row r="2737" spans="1:12" x14ac:dyDescent="0.25">
      <c r="A2737">
        <v>2802106</v>
      </c>
      <c r="B2737" t="str">
        <f t="shared" si="42"/>
        <v>ESTANCIA, SE, Brasil</v>
      </c>
      <c r="C2737" s="4" t="str">
        <f>_xlfn.XLOOKUP(A2737,[1]!DadosGHD[CD_GEOCMU],[1]!DadosGHD[Região])</f>
        <v>NE</v>
      </c>
      <c r="D2737" s="4" t="str">
        <f>_xlfn.XLOOKUP(A2737,[1]!DadosGHD[CD_GEOCMU],[1]!DadosGHD[uf])</f>
        <v>SE</v>
      </c>
      <c r="E2737" s="5" t="str">
        <f>_xlfn.XLOOKUP(A2737,[1]!DadosGHD[CD_GEOCMU],[1]!DadosGHD[MUNICIPIO])</f>
        <v>ESTANCIA</v>
      </c>
      <c r="F2737" s="6">
        <v>38.688407897949197</v>
      </c>
      <c r="G2737" s="6">
        <v>38.750907897949197</v>
      </c>
      <c r="H2737" s="6">
        <v>38.7820434570313</v>
      </c>
      <c r="I2737" s="6">
        <v>38.759010314941399</v>
      </c>
      <c r="J2737" s="6">
        <v>38.784385681152301</v>
      </c>
      <c r="K2737" s="6">
        <v>38.828193664550803</v>
      </c>
      <c r="L2737" s="6">
        <v>35.136226654052699</v>
      </c>
    </row>
    <row r="2738" spans="1:12" x14ac:dyDescent="0.25">
      <c r="A2738">
        <v>2203206</v>
      </c>
      <c r="B2738" t="str">
        <f t="shared" si="42"/>
        <v>CURIMATA, PI, Brasil</v>
      </c>
      <c r="C2738" s="4" t="str">
        <f>_xlfn.XLOOKUP(A2738,[1]!DadosGHD[CD_GEOCMU],[1]!DadosGHD[Região])</f>
        <v>NE</v>
      </c>
      <c r="D2738" s="4" t="str">
        <f>_xlfn.XLOOKUP(A2738,[1]!DadosGHD[CD_GEOCMU],[1]!DadosGHD[uf])</f>
        <v>PI</v>
      </c>
      <c r="E2738" s="5" t="str">
        <f>_xlfn.XLOOKUP(A2738,[1]!DadosGHD[CD_GEOCMU],[1]!DadosGHD[MUNICIPIO])</f>
        <v>CURIMATA</v>
      </c>
      <c r="F2738" s="6">
        <v>38.688587188720703</v>
      </c>
      <c r="G2738" s="6">
        <v>38.7322998046875</v>
      </c>
      <c r="H2738" s="6">
        <v>38.767799377441399</v>
      </c>
      <c r="I2738" s="6">
        <v>38.759799957275398</v>
      </c>
      <c r="J2738" s="6">
        <v>38.758308410644503</v>
      </c>
      <c r="K2738" s="6">
        <v>38.792415618896499</v>
      </c>
      <c r="L2738" s="6">
        <v>26.298589706420898</v>
      </c>
    </row>
    <row r="2739" spans="1:12" x14ac:dyDescent="0.25">
      <c r="A2739">
        <v>3133303</v>
      </c>
      <c r="B2739" t="str">
        <f t="shared" si="42"/>
        <v>ITAOBIM, MG, Brasil</v>
      </c>
      <c r="C2739" s="4" t="str">
        <f>_xlfn.XLOOKUP(A2739,[1]!DadosGHD[CD_GEOCMU],[1]!DadosGHD[Região])</f>
        <v>SD</v>
      </c>
      <c r="D2739" s="4" t="str">
        <f>_xlfn.XLOOKUP(A2739,[1]!DadosGHD[CD_GEOCMU],[1]!DadosGHD[uf])</f>
        <v>MG</v>
      </c>
      <c r="E2739" s="5" t="str">
        <f>_xlfn.XLOOKUP(A2739,[1]!DadosGHD[CD_GEOCMU],[1]!DadosGHD[MUNICIPIO])</f>
        <v>ITAOBIM</v>
      </c>
      <c r="F2739" s="6">
        <v>38.688591003417997</v>
      </c>
      <c r="G2739" s="6">
        <v>43.674560546875</v>
      </c>
      <c r="H2739" s="6">
        <v>43.7119331359863</v>
      </c>
      <c r="I2739" s="6">
        <v>38.805858612060597</v>
      </c>
      <c r="J2739" s="6">
        <v>38.778736114502003</v>
      </c>
      <c r="K2739" s="6">
        <v>38.806697845458999</v>
      </c>
      <c r="L2739" s="6">
        <v>35.156772613525398</v>
      </c>
    </row>
    <row r="2740" spans="1:12" x14ac:dyDescent="0.25">
      <c r="A2740">
        <v>3303856</v>
      </c>
      <c r="B2740" t="str">
        <f t="shared" si="42"/>
        <v>PATY DO ALFERES, RJ, Brasil</v>
      </c>
      <c r="C2740" s="4" t="str">
        <f>_xlfn.XLOOKUP(A2740,[1]!DadosGHD[CD_GEOCMU],[1]!DadosGHD[Região])</f>
        <v>SD</v>
      </c>
      <c r="D2740" s="4" t="str">
        <f>_xlfn.XLOOKUP(A2740,[1]!DadosGHD[CD_GEOCMU],[1]!DadosGHD[uf])</f>
        <v>RJ</v>
      </c>
      <c r="E2740" s="5" t="str">
        <f>_xlfn.XLOOKUP(A2740,[1]!DadosGHD[CD_GEOCMU],[1]!DadosGHD[MUNICIPIO])</f>
        <v>PATY DO ALFERES</v>
      </c>
      <c r="F2740" s="6">
        <v>38.688621520996101</v>
      </c>
      <c r="G2740" s="6">
        <v>38.772239685058601</v>
      </c>
      <c r="H2740" s="6">
        <v>43.734012603759801</v>
      </c>
      <c r="I2740" s="6">
        <v>43.746570587158203</v>
      </c>
      <c r="J2740" s="6">
        <v>43.8079833984375</v>
      </c>
      <c r="K2740" s="6">
        <v>43.856300354003899</v>
      </c>
      <c r="L2740" s="6">
        <v>48.515132904052699</v>
      </c>
    </row>
    <row r="2741" spans="1:12" x14ac:dyDescent="0.25">
      <c r="A2741">
        <v>3144359</v>
      </c>
      <c r="B2741" t="str">
        <f t="shared" si="42"/>
        <v>NAQUE, MG, Brasil</v>
      </c>
      <c r="C2741" s="4" t="str">
        <f>_xlfn.XLOOKUP(A2741,[1]!DadosGHD[CD_GEOCMU],[1]!DadosGHD[Região])</f>
        <v>SD</v>
      </c>
      <c r="D2741" s="4" t="str">
        <f>_xlfn.XLOOKUP(A2741,[1]!DadosGHD[CD_GEOCMU],[1]!DadosGHD[uf])</f>
        <v>MG</v>
      </c>
      <c r="E2741" s="5" t="str">
        <f>_xlfn.XLOOKUP(A2741,[1]!DadosGHD[CD_GEOCMU],[1]!DadosGHD[MUNICIPIO])</f>
        <v>NAQUE</v>
      </c>
      <c r="F2741" s="6">
        <v>38.688686370849602</v>
      </c>
      <c r="G2741" s="6">
        <v>38.761451721191399</v>
      </c>
      <c r="H2741" s="6">
        <v>43.721664428710902</v>
      </c>
      <c r="I2741" s="6">
        <v>43.709888458252003</v>
      </c>
      <c r="J2741" s="6">
        <v>38.754276275634801</v>
      </c>
      <c r="K2741" s="6">
        <v>43.777774810791001</v>
      </c>
      <c r="L2741" s="6">
        <v>48.491493225097699</v>
      </c>
    </row>
    <row r="2742" spans="1:12" x14ac:dyDescent="0.25">
      <c r="A2742">
        <v>2504074</v>
      </c>
      <c r="B2742" t="str">
        <f t="shared" si="42"/>
        <v>CARAUBAS, PB, Brasil</v>
      </c>
      <c r="C2742" s="4" t="str">
        <f>_xlfn.XLOOKUP(A2742,[1]!DadosGHD[CD_GEOCMU],[1]!DadosGHD[Região])</f>
        <v>NE</v>
      </c>
      <c r="D2742" s="4" t="str">
        <f>_xlfn.XLOOKUP(A2742,[1]!DadosGHD[CD_GEOCMU],[1]!DadosGHD[uf])</f>
        <v>PB</v>
      </c>
      <c r="E2742" s="5" t="str">
        <f>_xlfn.XLOOKUP(A2742,[1]!DadosGHD[CD_GEOCMU],[1]!DadosGHD[MUNICIPIO])</f>
        <v>CARAUBAS</v>
      </c>
      <c r="F2742" s="6">
        <v>38.688724517822301</v>
      </c>
      <c r="G2742" s="6">
        <v>38.7117729187012</v>
      </c>
      <c r="H2742" s="6">
        <v>38.753669738769503</v>
      </c>
      <c r="I2742" s="6">
        <v>38.726837158203097</v>
      </c>
      <c r="J2742" s="6">
        <v>38.744300842285199</v>
      </c>
      <c r="K2742" s="6">
        <v>33.931362152099602</v>
      </c>
      <c r="L2742" s="6">
        <v>30.6985473632813</v>
      </c>
    </row>
    <row r="2743" spans="1:12" x14ac:dyDescent="0.25">
      <c r="A2743">
        <v>3123304</v>
      </c>
      <c r="B2743" t="str">
        <f t="shared" si="42"/>
        <v>DORES DO TURVO, MG, Brasil</v>
      </c>
      <c r="C2743" s="4" t="str">
        <f>_xlfn.XLOOKUP(A2743,[1]!DadosGHD[CD_GEOCMU],[1]!DadosGHD[Região])</f>
        <v>SD</v>
      </c>
      <c r="D2743" s="4" t="str">
        <f>_xlfn.XLOOKUP(A2743,[1]!DadosGHD[CD_GEOCMU],[1]!DadosGHD[uf])</f>
        <v>MG</v>
      </c>
      <c r="E2743" s="5" t="str">
        <f>_xlfn.XLOOKUP(A2743,[1]!DadosGHD[CD_GEOCMU],[1]!DadosGHD[MUNICIPIO])</f>
        <v>DORES DO TURVO</v>
      </c>
      <c r="F2743" s="6">
        <v>38.688850402832003</v>
      </c>
      <c r="G2743" s="6">
        <v>38.710758209228501</v>
      </c>
      <c r="H2743" s="6">
        <v>38.758792877197301</v>
      </c>
      <c r="I2743" s="6">
        <v>38.732475280761697</v>
      </c>
      <c r="J2743" s="6">
        <v>38.755435943603501</v>
      </c>
      <c r="K2743" s="6">
        <v>38.7933540344238</v>
      </c>
      <c r="L2743" s="6">
        <v>30.687477111816399</v>
      </c>
    </row>
    <row r="2744" spans="1:12" x14ac:dyDescent="0.25">
      <c r="A2744">
        <v>5205307</v>
      </c>
      <c r="B2744" t="str">
        <f t="shared" si="42"/>
        <v>CAVALCANTE, GO, Brasil</v>
      </c>
      <c r="C2744" s="4" t="str">
        <f>_xlfn.XLOOKUP(A2744,[1]!DadosGHD[CD_GEOCMU],[1]!DadosGHD[Região])</f>
        <v>CO</v>
      </c>
      <c r="D2744" s="4" t="str">
        <f>_xlfn.XLOOKUP(A2744,[1]!DadosGHD[CD_GEOCMU],[1]!DadosGHD[uf])</f>
        <v>GO</v>
      </c>
      <c r="E2744" s="5" t="str">
        <f>_xlfn.XLOOKUP(A2744,[1]!DadosGHD[CD_GEOCMU],[1]!DadosGHD[MUNICIPIO])</f>
        <v>CAVALCANTE</v>
      </c>
      <c r="F2744" s="6">
        <v>38.689098358154297</v>
      </c>
      <c r="G2744" s="6">
        <v>38.772552490234403</v>
      </c>
      <c r="H2744" s="6">
        <v>38.825714111328097</v>
      </c>
      <c r="I2744" s="6">
        <v>38.804718017578097</v>
      </c>
      <c r="J2744" s="6">
        <v>38.819854736328097</v>
      </c>
      <c r="K2744" s="6">
        <v>38.843509674072301</v>
      </c>
      <c r="L2744" s="6">
        <v>30.705217361450199</v>
      </c>
    </row>
    <row r="2745" spans="1:12" x14ac:dyDescent="0.25">
      <c r="A2745">
        <v>3136553</v>
      </c>
      <c r="B2745" t="str">
        <f t="shared" si="42"/>
        <v>JOSE RAYDAN, MG, Brasil</v>
      </c>
      <c r="C2745" s="4" t="str">
        <f>_xlfn.XLOOKUP(A2745,[1]!DadosGHD[CD_GEOCMU],[1]!DadosGHD[Região])</f>
        <v>SD</v>
      </c>
      <c r="D2745" s="4" t="str">
        <f>_xlfn.XLOOKUP(A2745,[1]!DadosGHD[CD_GEOCMU],[1]!DadosGHD[uf])</f>
        <v>MG</v>
      </c>
      <c r="E2745" s="5" t="str">
        <f>_xlfn.XLOOKUP(A2745,[1]!DadosGHD[CD_GEOCMU],[1]!DadosGHD[MUNICIPIO])</f>
        <v>JOSE RAYDAN</v>
      </c>
      <c r="F2745" s="6">
        <v>38.6891479492188</v>
      </c>
      <c r="G2745" s="6">
        <v>38.725784301757798</v>
      </c>
      <c r="H2745" s="6">
        <v>38.771041870117202</v>
      </c>
      <c r="I2745" s="6">
        <v>38.746849060058601</v>
      </c>
      <c r="J2745" s="6">
        <v>38.756065368652301</v>
      </c>
      <c r="K2745" s="6">
        <v>33.900588989257798</v>
      </c>
      <c r="L2745" s="6">
        <v>30.686445236206101</v>
      </c>
    </row>
    <row r="2746" spans="1:12" x14ac:dyDescent="0.25">
      <c r="A2746">
        <v>2912608</v>
      </c>
      <c r="B2746" t="str">
        <f t="shared" si="42"/>
        <v>IBIQUERA, BA, Brasil</v>
      </c>
      <c r="C2746" s="4" t="str">
        <f>_xlfn.XLOOKUP(A2746,[1]!DadosGHD[CD_GEOCMU],[1]!DadosGHD[Região])</f>
        <v>NE</v>
      </c>
      <c r="D2746" s="4" t="str">
        <f>_xlfn.XLOOKUP(A2746,[1]!DadosGHD[CD_GEOCMU],[1]!DadosGHD[uf])</f>
        <v>BA</v>
      </c>
      <c r="E2746" s="5" t="str">
        <f>_xlfn.XLOOKUP(A2746,[1]!DadosGHD[CD_GEOCMU],[1]!DadosGHD[MUNICIPIO])</f>
        <v>IBIQUERA</v>
      </c>
      <c r="F2746" s="6">
        <v>38.689186096191399</v>
      </c>
      <c r="G2746" s="6">
        <v>38.715160369873097</v>
      </c>
      <c r="H2746" s="6">
        <v>38.763603210449197</v>
      </c>
      <c r="I2746" s="6">
        <v>38.735324859619098</v>
      </c>
      <c r="J2746" s="6">
        <v>38.762718200683601</v>
      </c>
      <c r="K2746" s="6">
        <v>38.790092468261697</v>
      </c>
      <c r="L2746" s="6">
        <v>30.6951007843018</v>
      </c>
    </row>
    <row r="2747" spans="1:12" x14ac:dyDescent="0.25">
      <c r="A2747">
        <v>2311207</v>
      </c>
      <c r="B2747" t="str">
        <f t="shared" si="42"/>
        <v>POTENGI, CE, Brasil</v>
      </c>
      <c r="C2747" s="4" t="str">
        <f>_xlfn.XLOOKUP(A2747,[1]!DadosGHD[CD_GEOCMU],[1]!DadosGHD[Região])</f>
        <v>NE</v>
      </c>
      <c r="D2747" s="4" t="str">
        <f>_xlfn.XLOOKUP(A2747,[1]!DadosGHD[CD_GEOCMU],[1]!DadosGHD[uf])</f>
        <v>CE</v>
      </c>
      <c r="E2747" s="5" t="str">
        <f>_xlfn.XLOOKUP(A2747,[1]!DadosGHD[CD_GEOCMU],[1]!DadosGHD[MUNICIPIO])</f>
        <v>POTENGI</v>
      </c>
      <c r="F2747" s="6">
        <v>38.689342498779297</v>
      </c>
      <c r="G2747" s="6">
        <v>38.736854553222699</v>
      </c>
      <c r="H2747" s="6">
        <v>38.8475952148438</v>
      </c>
      <c r="I2747" s="6">
        <v>43.778388977050803</v>
      </c>
      <c r="J2747" s="6">
        <v>43.7729301452637</v>
      </c>
      <c r="K2747" s="6">
        <v>43.768760681152301</v>
      </c>
      <c r="L2747" s="6">
        <v>39.560451507568402</v>
      </c>
    </row>
    <row r="2748" spans="1:12" x14ac:dyDescent="0.25">
      <c r="A2748">
        <v>3531001</v>
      </c>
      <c r="B2748" t="str">
        <f t="shared" si="42"/>
        <v>MONCOES, SP, Brasil</v>
      </c>
      <c r="C2748" s="4" t="str">
        <f>_xlfn.XLOOKUP(A2748,[1]!DadosGHD[CD_GEOCMU],[1]!DadosGHD[Região])</f>
        <v>SD</v>
      </c>
      <c r="D2748" s="4" t="str">
        <f>_xlfn.XLOOKUP(A2748,[1]!DadosGHD[CD_GEOCMU],[1]!DadosGHD[uf])</f>
        <v>SP</v>
      </c>
      <c r="E2748" s="5" t="str">
        <f>_xlfn.XLOOKUP(A2748,[1]!DadosGHD[CD_GEOCMU],[1]!DadosGHD[MUNICIPIO])</f>
        <v>MONCOES</v>
      </c>
      <c r="F2748" s="6">
        <v>38.6895141601563</v>
      </c>
      <c r="G2748" s="6">
        <v>43.649837493896499</v>
      </c>
      <c r="H2748" s="6">
        <v>38.836257934570298</v>
      </c>
      <c r="I2748" s="6">
        <v>38.792766571044901</v>
      </c>
      <c r="J2748" s="6">
        <v>38.792030334472699</v>
      </c>
      <c r="K2748" s="6">
        <v>38.824939727783203</v>
      </c>
      <c r="L2748" s="6">
        <v>35.121635437011697</v>
      </c>
    </row>
    <row r="2749" spans="1:12" x14ac:dyDescent="0.25">
      <c r="A2749">
        <v>2209856</v>
      </c>
      <c r="B2749" t="str">
        <f t="shared" si="42"/>
        <v>SAO JOAO DA CANABRAVA, PI, Brasil</v>
      </c>
      <c r="C2749" s="4" t="str">
        <f>_xlfn.XLOOKUP(A2749,[1]!DadosGHD[CD_GEOCMU],[1]!DadosGHD[Região])</f>
        <v>NE</v>
      </c>
      <c r="D2749" s="4" t="str">
        <f>_xlfn.XLOOKUP(A2749,[1]!DadosGHD[CD_GEOCMU],[1]!DadosGHD[uf])</f>
        <v>PI</v>
      </c>
      <c r="E2749" s="5" t="str">
        <f>_xlfn.XLOOKUP(A2749,[1]!DadosGHD[CD_GEOCMU],[1]!DadosGHD[MUNICIPIO])</f>
        <v>SAO JOAO DA CANABRAVA</v>
      </c>
      <c r="F2749" s="6">
        <v>38.689567565917997</v>
      </c>
      <c r="G2749" s="6">
        <v>38.7252807617188</v>
      </c>
      <c r="H2749" s="6">
        <v>38.7470512390137</v>
      </c>
      <c r="I2749" s="6">
        <v>38.722339630127003</v>
      </c>
      <c r="J2749" s="6">
        <v>33.8846244812012</v>
      </c>
      <c r="K2749" s="6">
        <v>33.913661956787102</v>
      </c>
      <c r="L2749" s="6">
        <v>26.2798957824707</v>
      </c>
    </row>
    <row r="2750" spans="1:12" x14ac:dyDescent="0.25">
      <c r="A2750">
        <v>2807105</v>
      </c>
      <c r="B2750" t="str">
        <f t="shared" si="42"/>
        <v>SIMAO DIAS, SE, Brasil</v>
      </c>
      <c r="C2750" s="4" t="str">
        <f>_xlfn.XLOOKUP(A2750,[1]!DadosGHD[CD_GEOCMU],[1]!DadosGHD[Região])</f>
        <v>NE</v>
      </c>
      <c r="D2750" s="4" t="str">
        <f>_xlfn.XLOOKUP(A2750,[1]!DadosGHD[CD_GEOCMU],[1]!DadosGHD[uf])</f>
        <v>SE</v>
      </c>
      <c r="E2750" s="5" t="str">
        <f>_xlfn.XLOOKUP(A2750,[1]!DadosGHD[CD_GEOCMU],[1]!DadosGHD[MUNICIPIO])</f>
        <v>SIMAO DIAS</v>
      </c>
      <c r="F2750" s="6">
        <v>38.689666748046903</v>
      </c>
      <c r="G2750" s="6">
        <v>38.787376403808601</v>
      </c>
      <c r="H2750" s="6">
        <v>43.723506927490199</v>
      </c>
      <c r="I2750" s="6">
        <v>43.702903747558601</v>
      </c>
      <c r="J2750" s="6">
        <v>43.737899780273402</v>
      </c>
      <c r="K2750" s="6">
        <v>43.783473968505902</v>
      </c>
      <c r="L2750" s="6">
        <v>35.147315979003899</v>
      </c>
    </row>
    <row r="2751" spans="1:12" x14ac:dyDescent="0.25">
      <c r="A2751">
        <v>5209408</v>
      </c>
      <c r="B2751" t="str">
        <f t="shared" si="42"/>
        <v>GUARANI DE GOIAS, GO, Brasil</v>
      </c>
      <c r="C2751" s="4" t="str">
        <f>_xlfn.XLOOKUP(A2751,[1]!DadosGHD[CD_GEOCMU],[1]!DadosGHD[Região])</f>
        <v>CO</v>
      </c>
      <c r="D2751" s="4" t="str">
        <f>_xlfn.XLOOKUP(A2751,[1]!DadosGHD[CD_GEOCMU],[1]!DadosGHD[uf])</f>
        <v>GO</v>
      </c>
      <c r="E2751" s="5" t="str">
        <f>_xlfn.XLOOKUP(A2751,[1]!DadosGHD[CD_GEOCMU],[1]!DadosGHD[MUNICIPIO])</f>
        <v>GUARANI DE GOIAS</v>
      </c>
      <c r="F2751" s="6">
        <v>38.689914703369098</v>
      </c>
      <c r="G2751" s="6">
        <v>38.718086242675803</v>
      </c>
      <c r="H2751" s="6">
        <v>38.769020080566399</v>
      </c>
      <c r="I2751" s="6">
        <v>38.745872497558601</v>
      </c>
      <c r="J2751" s="6">
        <v>38.772655487060597</v>
      </c>
      <c r="K2751" s="6">
        <v>38.802791595458999</v>
      </c>
      <c r="L2751" s="6">
        <v>30.690015792846701</v>
      </c>
    </row>
    <row r="2752" spans="1:12" x14ac:dyDescent="0.25">
      <c r="A2752">
        <v>3119203</v>
      </c>
      <c r="B2752" t="str">
        <f t="shared" si="42"/>
        <v>COROACI, MG, Brasil</v>
      </c>
      <c r="C2752" s="4" t="str">
        <f>_xlfn.XLOOKUP(A2752,[1]!DadosGHD[CD_GEOCMU],[1]!DadosGHD[Região])</f>
        <v>SD</v>
      </c>
      <c r="D2752" s="4" t="str">
        <f>_xlfn.XLOOKUP(A2752,[1]!DadosGHD[CD_GEOCMU],[1]!DadosGHD[uf])</f>
        <v>MG</v>
      </c>
      <c r="E2752" s="5" t="str">
        <f>_xlfn.XLOOKUP(A2752,[1]!DadosGHD[CD_GEOCMU],[1]!DadosGHD[MUNICIPIO])</f>
        <v>COROACI</v>
      </c>
      <c r="F2752" s="6">
        <v>38.690151214599602</v>
      </c>
      <c r="G2752" s="6">
        <v>43.647392272949197</v>
      </c>
      <c r="H2752" s="6">
        <v>43.758411407470703</v>
      </c>
      <c r="I2752" s="6">
        <v>43.711769104003899</v>
      </c>
      <c r="J2752" s="6">
        <v>43.740650177002003</v>
      </c>
      <c r="K2752" s="6">
        <v>38.872993469238303</v>
      </c>
      <c r="L2752" s="6">
        <v>35.122615814208999</v>
      </c>
    </row>
    <row r="2753" spans="1:12" x14ac:dyDescent="0.25">
      <c r="A2753">
        <v>3301306</v>
      </c>
      <c r="B2753" t="str">
        <f t="shared" si="42"/>
        <v>CASIMIRO DE ABREU, RJ, Brasil</v>
      </c>
      <c r="C2753" s="4" t="str">
        <f>_xlfn.XLOOKUP(A2753,[1]!DadosGHD[CD_GEOCMU],[1]!DadosGHD[Região])</f>
        <v>SD</v>
      </c>
      <c r="D2753" s="4" t="str">
        <f>_xlfn.XLOOKUP(A2753,[1]!DadosGHD[CD_GEOCMU],[1]!DadosGHD[uf])</f>
        <v>RJ</v>
      </c>
      <c r="E2753" s="5" t="str">
        <f>_xlfn.XLOOKUP(A2753,[1]!DadosGHD[CD_GEOCMU],[1]!DadosGHD[MUNICIPIO])</f>
        <v>CASIMIRO DE ABREU</v>
      </c>
      <c r="F2753" s="6">
        <v>38.690162658691399</v>
      </c>
      <c r="G2753" s="6">
        <v>38.756923675537102</v>
      </c>
      <c r="H2753" s="6">
        <v>38.8234252929688</v>
      </c>
      <c r="I2753" s="6">
        <v>38.785324096679702</v>
      </c>
      <c r="J2753" s="6">
        <v>38.827320098877003</v>
      </c>
      <c r="K2753" s="6">
        <v>38.878002166748097</v>
      </c>
      <c r="L2753" s="6">
        <v>48.493614196777301</v>
      </c>
    </row>
    <row r="2754" spans="1:12" x14ac:dyDescent="0.25">
      <c r="A2754">
        <v>5106828</v>
      </c>
      <c r="B2754" t="str">
        <f t="shared" si="42"/>
        <v>PORTO ESPERIDIAO, MT, Brasil</v>
      </c>
      <c r="C2754" s="4" t="str">
        <f>_xlfn.XLOOKUP(A2754,[1]!DadosGHD[CD_GEOCMU],[1]!DadosGHD[Região])</f>
        <v>CO</v>
      </c>
      <c r="D2754" s="4" t="str">
        <f>_xlfn.XLOOKUP(A2754,[1]!DadosGHD[CD_GEOCMU],[1]!DadosGHD[uf])</f>
        <v>MT</v>
      </c>
      <c r="E2754" s="5" t="str">
        <f>_xlfn.XLOOKUP(A2754,[1]!DadosGHD[CD_GEOCMU],[1]!DadosGHD[MUNICIPIO])</f>
        <v>PORTO ESPERIDIAO</v>
      </c>
      <c r="F2754" s="6">
        <v>38.6903266906738</v>
      </c>
      <c r="G2754" s="6">
        <v>38.763832092285199</v>
      </c>
      <c r="H2754" s="6">
        <v>38.792793273925803</v>
      </c>
      <c r="I2754" s="6">
        <v>38.770252227783203</v>
      </c>
      <c r="J2754" s="6">
        <v>38.796211242675803</v>
      </c>
      <c r="K2754" s="6">
        <v>38.8737182617188</v>
      </c>
      <c r="L2754" s="6">
        <v>44.047077178955099</v>
      </c>
    </row>
    <row r="2755" spans="1:12" x14ac:dyDescent="0.25">
      <c r="A2755">
        <v>2201804</v>
      </c>
      <c r="B2755" t="str">
        <f t="shared" si="42"/>
        <v>BOCAINA, PI, Brasil</v>
      </c>
      <c r="C2755" s="4" t="str">
        <f>_xlfn.XLOOKUP(A2755,[1]!DadosGHD[CD_GEOCMU],[1]!DadosGHD[Região])</f>
        <v>NE</v>
      </c>
      <c r="D2755" s="4" t="str">
        <f>_xlfn.XLOOKUP(A2755,[1]!DadosGHD[CD_GEOCMU],[1]!DadosGHD[uf])</f>
        <v>PI</v>
      </c>
      <c r="E2755" s="5" t="str">
        <f>_xlfn.XLOOKUP(A2755,[1]!DadosGHD[CD_GEOCMU],[1]!DadosGHD[MUNICIPIO])</f>
        <v>BOCAINA</v>
      </c>
      <c r="F2755" s="6">
        <v>38.690437316894503</v>
      </c>
      <c r="G2755" s="6">
        <v>38.739517211914098</v>
      </c>
      <c r="H2755" s="6">
        <v>38.818973541259801</v>
      </c>
      <c r="I2755" s="6">
        <v>48.770984649658203</v>
      </c>
      <c r="J2755" s="6">
        <v>48.7053833007813</v>
      </c>
      <c r="K2755" s="6">
        <v>53.838008880615199</v>
      </c>
      <c r="L2755" s="6">
        <v>39.568008422851598</v>
      </c>
    </row>
    <row r="2756" spans="1:12" x14ac:dyDescent="0.25">
      <c r="A2756">
        <v>1716604</v>
      </c>
      <c r="B2756" t="str">
        <f t="shared" ref="B2756:B2819" si="43">_xlfn.CONCAT(E2756, ", ", D2756, ", Brasil")</f>
        <v>PEIXE, TO, Brasil</v>
      </c>
      <c r="C2756" s="4" t="str">
        <f>_xlfn.XLOOKUP(A2756,[1]!DadosGHD[CD_GEOCMU],[1]!DadosGHD[Região])</f>
        <v>NO</v>
      </c>
      <c r="D2756" s="4" t="str">
        <f>_xlfn.XLOOKUP(A2756,[1]!DadosGHD[CD_GEOCMU],[1]!DadosGHD[uf])</f>
        <v>TO</v>
      </c>
      <c r="E2756" s="5" t="str">
        <f>_xlfn.XLOOKUP(A2756,[1]!DadosGHD[CD_GEOCMU],[1]!DadosGHD[MUNICIPIO])</f>
        <v>PEIXE</v>
      </c>
      <c r="F2756" s="6">
        <v>38.690498352050803</v>
      </c>
      <c r="G2756" s="6">
        <v>38.747322082519503</v>
      </c>
      <c r="H2756" s="6">
        <v>38.798591613769503</v>
      </c>
      <c r="I2756" s="6">
        <v>38.757225036621101</v>
      </c>
      <c r="J2756" s="6">
        <v>33.870574951171903</v>
      </c>
      <c r="K2756" s="6">
        <v>33.8802680969238</v>
      </c>
      <c r="L2756" s="6">
        <v>30.7010688781738</v>
      </c>
    </row>
    <row r="2757" spans="1:12" x14ac:dyDescent="0.25">
      <c r="A2757">
        <v>4100103</v>
      </c>
      <c r="B2757" t="str">
        <f t="shared" si="43"/>
        <v>ABATIA, PR, Brasil</v>
      </c>
      <c r="C2757" s="4" t="str">
        <f>_xlfn.XLOOKUP(A2757,[1]!DadosGHD[CD_GEOCMU],[1]!DadosGHD[Região])</f>
        <v>SL</v>
      </c>
      <c r="D2757" s="4" t="str">
        <f>_xlfn.XLOOKUP(A2757,[1]!DadosGHD[CD_GEOCMU],[1]!DadosGHD[uf])</f>
        <v>PR</v>
      </c>
      <c r="E2757" s="5" t="str">
        <f>_xlfn.XLOOKUP(A2757,[1]!DadosGHD[CD_GEOCMU],[1]!DadosGHD[MUNICIPIO])</f>
        <v>ABATIA</v>
      </c>
      <c r="F2757" s="6">
        <v>38.690528869628899</v>
      </c>
      <c r="G2757" s="6">
        <v>43.6770629882813</v>
      </c>
      <c r="H2757" s="6">
        <v>43.729007720947301</v>
      </c>
      <c r="I2757" s="6">
        <v>43.693187713623097</v>
      </c>
      <c r="J2757" s="6">
        <v>43.712173461914098</v>
      </c>
      <c r="K2757" s="6">
        <v>43.868328094482401</v>
      </c>
      <c r="L2757" s="6">
        <v>44.051700592041001</v>
      </c>
    </row>
    <row r="2758" spans="1:12" x14ac:dyDescent="0.25">
      <c r="A2758">
        <v>4307831</v>
      </c>
      <c r="B2758" t="str">
        <f t="shared" si="43"/>
        <v>EUGENIO DE CASTRO, RS, Brasil</v>
      </c>
      <c r="C2758" s="4" t="str">
        <f>_xlfn.XLOOKUP(A2758,[1]!DadosGHD[CD_GEOCMU],[1]!DadosGHD[Região])</f>
        <v>SL</v>
      </c>
      <c r="D2758" s="4" t="str">
        <f>_xlfn.XLOOKUP(A2758,[1]!DadosGHD[CD_GEOCMU],[1]!DadosGHD[uf])</f>
        <v>RS</v>
      </c>
      <c r="E2758" s="5" t="str">
        <f>_xlfn.XLOOKUP(A2758,[1]!DadosGHD[CD_GEOCMU],[1]!DadosGHD[MUNICIPIO])</f>
        <v>EUGENIO DE CASTRO</v>
      </c>
      <c r="F2758" s="6">
        <v>38.690959930419901</v>
      </c>
      <c r="G2758" s="6">
        <v>53.659885406494098</v>
      </c>
      <c r="H2758" s="6">
        <v>53.817764282226598</v>
      </c>
      <c r="I2758" s="6">
        <v>58.917388916015597</v>
      </c>
      <c r="J2758" s="6">
        <v>53.735866546630902</v>
      </c>
      <c r="K2758" s="6">
        <v>59.047966003417997</v>
      </c>
      <c r="L2758" s="6">
        <v>57.589881896972699</v>
      </c>
    </row>
    <row r="2759" spans="1:12" x14ac:dyDescent="0.25">
      <c r="A2759">
        <v>3502903</v>
      </c>
      <c r="B2759" t="str">
        <f t="shared" si="43"/>
        <v>ARACOIABA DA SERRA, SP, Brasil</v>
      </c>
      <c r="C2759" s="4" t="str">
        <f>_xlfn.XLOOKUP(A2759,[1]!DadosGHD[CD_GEOCMU],[1]!DadosGHD[Região])</f>
        <v>SD</v>
      </c>
      <c r="D2759" s="4" t="str">
        <f>_xlfn.XLOOKUP(A2759,[1]!DadosGHD[CD_GEOCMU],[1]!DadosGHD[uf])</f>
        <v>SP</v>
      </c>
      <c r="E2759" s="5" t="str">
        <f>_xlfn.XLOOKUP(A2759,[1]!DadosGHD[CD_GEOCMU],[1]!DadosGHD[MUNICIPIO])</f>
        <v>ARACOIABA DA SERRA</v>
      </c>
      <c r="F2759" s="6">
        <v>38.691001892089801</v>
      </c>
      <c r="G2759" s="6">
        <v>38.763584136962898</v>
      </c>
      <c r="H2759" s="6">
        <v>38.801433563232401</v>
      </c>
      <c r="I2759" s="6">
        <v>38.786697387695298</v>
      </c>
      <c r="J2759" s="6">
        <v>38.7823486328125</v>
      </c>
      <c r="K2759" s="6">
        <v>38.820850372314503</v>
      </c>
      <c r="L2759" s="6">
        <v>44.075138092041001</v>
      </c>
    </row>
    <row r="2760" spans="1:12" x14ac:dyDescent="0.25">
      <c r="A2760">
        <v>2501500</v>
      </c>
      <c r="B2760" t="str">
        <f t="shared" si="43"/>
        <v>BANANEIRAS, PB, Brasil</v>
      </c>
      <c r="C2760" s="4" t="str">
        <f>_xlfn.XLOOKUP(A2760,[1]!DadosGHD[CD_GEOCMU],[1]!DadosGHD[Região])</f>
        <v>NE</v>
      </c>
      <c r="D2760" s="4" t="str">
        <f>_xlfn.XLOOKUP(A2760,[1]!DadosGHD[CD_GEOCMU],[1]!DadosGHD[uf])</f>
        <v>PB</v>
      </c>
      <c r="E2760" s="5" t="str">
        <f>_xlfn.XLOOKUP(A2760,[1]!DadosGHD[CD_GEOCMU],[1]!DadosGHD[MUNICIPIO])</f>
        <v>BANANEIRAS</v>
      </c>
      <c r="F2760" s="6">
        <v>38.691009521484403</v>
      </c>
      <c r="G2760" s="6">
        <v>38.761268615722699</v>
      </c>
      <c r="H2760" s="6">
        <v>38.826122283935597</v>
      </c>
      <c r="I2760" s="6">
        <v>38.812255859375</v>
      </c>
      <c r="J2760" s="6">
        <v>38.822792053222699</v>
      </c>
      <c r="K2760" s="6">
        <v>38.842529296875</v>
      </c>
      <c r="L2760" s="6">
        <v>26.2986030578613</v>
      </c>
    </row>
    <row r="2761" spans="1:12" x14ac:dyDescent="0.25">
      <c r="A2761">
        <v>3166501</v>
      </c>
      <c r="B2761" t="str">
        <f t="shared" si="43"/>
        <v>SERRA AZUL DE MINAS, MG, Brasil</v>
      </c>
      <c r="C2761" s="4" t="str">
        <f>_xlfn.XLOOKUP(A2761,[1]!DadosGHD[CD_GEOCMU],[1]!DadosGHD[Região])</f>
        <v>SD</v>
      </c>
      <c r="D2761" s="4" t="str">
        <f>_xlfn.XLOOKUP(A2761,[1]!DadosGHD[CD_GEOCMU],[1]!DadosGHD[uf])</f>
        <v>MG</v>
      </c>
      <c r="E2761" s="5" t="str">
        <f>_xlfn.XLOOKUP(A2761,[1]!DadosGHD[CD_GEOCMU],[1]!DadosGHD[MUNICIPIO])</f>
        <v>SERRA AZUL DE MINAS</v>
      </c>
      <c r="F2761" s="6">
        <v>38.691074371337898</v>
      </c>
      <c r="G2761" s="6">
        <v>38.715694427490199</v>
      </c>
      <c r="H2761" s="6">
        <v>38.761077880859403</v>
      </c>
      <c r="I2761" s="6">
        <v>38.731529235839801</v>
      </c>
      <c r="J2761" s="6">
        <v>38.755561828613303</v>
      </c>
      <c r="K2761" s="6">
        <v>38.796318054199197</v>
      </c>
      <c r="L2761" s="6">
        <v>30.715642929077202</v>
      </c>
    </row>
    <row r="2762" spans="1:12" x14ac:dyDescent="0.25">
      <c r="A2762">
        <v>4219853</v>
      </c>
      <c r="B2762" t="str">
        <f t="shared" si="43"/>
        <v>ZORTEA, SC, Brasil</v>
      </c>
      <c r="C2762" s="4" t="str">
        <f>_xlfn.XLOOKUP(A2762,[1]!DadosGHD[CD_GEOCMU],[1]!DadosGHD[Região])</f>
        <v>SL</v>
      </c>
      <c r="D2762" s="4" t="str">
        <f>_xlfn.XLOOKUP(A2762,[1]!DadosGHD[CD_GEOCMU],[1]!DadosGHD[uf])</f>
        <v>SC</v>
      </c>
      <c r="E2762" s="5" t="str">
        <f>_xlfn.XLOOKUP(A2762,[1]!DadosGHD[CD_GEOCMU],[1]!DadosGHD[MUNICIPIO])</f>
        <v>ZORTEA</v>
      </c>
      <c r="F2762" s="6">
        <v>38.691131591796903</v>
      </c>
      <c r="G2762" s="6">
        <v>53.816390991210902</v>
      </c>
      <c r="H2762" s="6">
        <v>53.854606628417997</v>
      </c>
      <c r="I2762" s="6">
        <v>53.813274383544901</v>
      </c>
      <c r="J2762" s="6">
        <v>58.800697326660199</v>
      </c>
      <c r="K2762" s="6">
        <v>64.093063354492202</v>
      </c>
      <c r="L2762" s="6">
        <v>57.532958984375</v>
      </c>
    </row>
    <row r="2763" spans="1:12" x14ac:dyDescent="0.25">
      <c r="A2763">
        <v>4124301</v>
      </c>
      <c r="B2763" t="str">
        <f t="shared" si="43"/>
        <v>SANTO ANTONIO DO PARAISO, PR, Brasil</v>
      </c>
      <c r="C2763" s="4" t="str">
        <f>_xlfn.XLOOKUP(A2763,[1]!DadosGHD[CD_GEOCMU],[1]!DadosGHD[Região])</f>
        <v>SL</v>
      </c>
      <c r="D2763" s="4" t="str">
        <f>_xlfn.XLOOKUP(A2763,[1]!DadosGHD[CD_GEOCMU],[1]!DadosGHD[uf])</f>
        <v>PR</v>
      </c>
      <c r="E2763" s="5" t="str">
        <f>_xlfn.XLOOKUP(A2763,[1]!DadosGHD[CD_GEOCMU],[1]!DadosGHD[MUNICIPIO])</f>
        <v>SANTO ANTONIO DO PARAISO</v>
      </c>
      <c r="F2763" s="6">
        <v>38.691291809082003</v>
      </c>
      <c r="G2763" s="6">
        <v>28.908634185791001</v>
      </c>
      <c r="H2763" s="6">
        <v>28.942651748657202</v>
      </c>
      <c r="I2763" s="6">
        <v>28.925045013427699</v>
      </c>
      <c r="J2763" s="6">
        <v>28.960142135620099</v>
      </c>
      <c r="K2763" s="6">
        <v>43.846263885498097</v>
      </c>
      <c r="L2763" s="6">
        <v>39.611095428466797</v>
      </c>
    </row>
    <row r="2764" spans="1:12" x14ac:dyDescent="0.25">
      <c r="A2764">
        <v>4309704</v>
      </c>
      <c r="B2764" t="str">
        <f t="shared" si="43"/>
        <v>HUMAITA, RS, Brasil</v>
      </c>
      <c r="C2764" s="4" t="str">
        <f>_xlfn.XLOOKUP(A2764,[1]!DadosGHD[CD_GEOCMU],[1]!DadosGHD[Região])</f>
        <v>SL</v>
      </c>
      <c r="D2764" s="4" t="str">
        <f>_xlfn.XLOOKUP(A2764,[1]!DadosGHD[CD_GEOCMU],[1]!DadosGHD[uf])</f>
        <v>RS</v>
      </c>
      <c r="E2764" s="5" t="str">
        <f>_xlfn.XLOOKUP(A2764,[1]!DadosGHD[CD_GEOCMU],[1]!DadosGHD[MUNICIPIO])</f>
        <v>HUMAITA</v>
      </c>
      <c r="F2764" s="6">
        <v>38.691566467285199</v>
      </c>
      <c r="G2764" s="6">
        <v>43.640087127685597</v>
      </c>
      <c r="H2764" s="6">
        <v>43.723518371582003</v>
      </c>
      <c r="I2764" s="6">
        <v>43.747718811035199</v>
      </c>
      <c r="J2764" s="6">
        <v>43.777008056640597</v>
      </c>
      <c r="K2764" s="6">
        <v>48.803993225097699</v>
      </c>
      <c r="L2764" s="6">
        <v>44.078323364257798</v>
      </c>
    </row>
    <row r="2765" spans="1:12" x14ac:dyDescent="0.25">
      <c r="A2765">
        <v>5004908</v>
      </c>
      <c r="B2765" t="str">
        <f t="shared" si="43"/>
        <v>JARAGUARI, MS, Brasil</v>
      </c>
      <c r="C2765" s="4" t="str">
        <f>_xlfn.XLOOKUP(A2765,[1]!DadosGHD[CD_GEOCMU],[1]!DadosGHD[Região])</f>
        <v>CO</v>
      </c>
      <c r="D2765" s="4" t="str">
        <f>_xlfn.XLOOKUP(A2765,[1]!DadosGHD[CD_GEOCMU],[1]!DadosGHD[uf])</f>
        <v>MS</v>
      </c>
      <c r="E2765" s="5" t="str">
        <f>_xlfn.XLOOKUP(A2765,[1]!DadosGHD[CD_GEOCMU],[1]!DadosGHD[MUNICIPIO])</f>
        <v>JARAGUARI</v>
      </c>
      <c r="F2765" s="6">
        <v>38.691596984863303</v>
      </c>
      <c r="G2765" s="6">
        <v>38.704174041748097</v>
      </c>
      <c r="H2765" s="6">
        <v>38.755477905273402</v>
      </c>
      <c r="I2765" s="6">
        <v>38.726016998291001</v>
      </c>
      <c r="J2765" s="6">
        <v>33.8955268859863</v>
      </c>
      <c r="K2765" s="6">
        <v>33.909942626953097</v>
      </c>
      <c r="L2765" s="6">
        <v>30.683761596679702</v>
      </c>
    </row>
    <row r="2766" spans="1:12" x14ac:dyDescent="0.25">
      <c r="A2766">
        <v>4321626</v>
      </c>
      <c r="B2766" t="str">
        <f t="shared" si="43"/>
        <v>TRAVESSEIRO, RS, Brasil</v>
      </c>
      <c r="C2766" s="4" t="str">
        <f>_xlfn.XLOOKUP(A2766,[1]!DadosGHD[CD_GEOCMU],[1]!DadosGHD[Região])</f>
        <v>SL</v>
      </c>
      <c r="D2766" s="4" t="str">
        <f>_xlfn.XLOOKUP(A2766,[1]!DadosGHD[CD_GEOCMU],[1]!DadosGHD[uf])</f>
        <v>RS</v>
      </c>
      <c r="E2766" s="5" t="str">
        <f>_xlfn.XLOOKUP(A2766,[1]!DadosGHD[CD_GEOCMU],[1]!DadosGHD[MUNICIPIO])</f>
        <v>TRAVESSEIRO</v>
      </c>
      <c r="F2766" s="6">
        <v>38.691707611083999</v>
      </c>
      <c r="G2766" s="6">
        <v>48.716705322265597</v>
      </c>
      <c r="H2766" s="6">
        <v>48.770839691162102</v>
      </c>
      <c r="I2766" s="6">
        <v>48.801544189453097</v>
      </c>
      <c r="J2766" s="6">
        <v>48.800621032714801</v>
      </c>
      <c r="K2766" s="6">
        <v>48.855316162109403</v>
      </c>
      <c r="L2766" s="6">
        <v>48.490291595458999</v>
      </c>
    </row>
    <row r="2767" spans="1:12" x14ac:dyDescent="0.25">
      <c r="A2767">
        <v>3541109</v>
      </c>
      <c r="B2767" t="str">
        <f t="shared" si="43"/>
        <v>PRESIDENTE ALVES, SP, Brasil</v>
      </c>
      <c r="C2767" s="4" t="str">
        <f>_xlfn.XLOOKUP(A2767,[1]!DadosGHD[CD_GEOCMU],[1]!DadosGHD[Região])</f>
        <v>SD</v>
      </c>
      <c r="D2767" s="4" t="str">
        <f>_xlfn.XLOOKUP(A2767,[1]!DadosGHD[CD_GEOCMU],[1]!DadosGHD[uf])</f>
        <v>SP</v>
      </c>
      <c r="E2767" s="5" t="str">
        <f>_xlfn.XLOOKUP(A2767,[1]!DadosGHD[CD_GEOCMU],[1]!DadosGHD[MUNICIPIO])</f>
        <v>PRESIDENTE ALVES</v>
      </c>
      <c r="F2767" s="6">
        <v>38.691829681396499</v>
      </c>
      <c r="G2767" s="6">
        <v>43.6446342468262</v>
      </c>
      <c r="H2767" s="6">
        <v>43.763542175292997</v>
      </c>
      <c r="I2767" s="6">
        <v>43.734981536865199</v>
      </c>
      <c r="J2767" s="6">
        <v>48.822128295898402</v>
      </c>
      <c r="K2767" s="6">
        <v>48.810958862304702</v>
      </c>
      <c r="L2767" s="6">
        <v>53.014682769775398</v>
      </c>
    </row>
    <row r="2768" spans="1:12" x14ac:dyDescent="0.25">
      <c r="A2768">
        <v>3532405</v>
      </c>
      <c r="B2768" t="str">
        <f t="shared" si="43"/>
        <v>NAZARE PAULISTA, SP, Brasil</v>
      </c>
      <c r="C2768" s="4" t="str">
        <f>_xlfn.XLOOKUP(A2768,[1]!DadosGHD[CD_GEOCMU],[1]!DadosGHD[Região])</f>
        <v>SD</v>
      </c>
      <c r="D2768" s="4" t="str">
        <f>_xlfn.XLOOKUP(A2768,[1]!DadosGHD[CD_GEOCMU],[1]!DadosGHD[uf])</f>
        <v>SP</v>
      </c>
      <c r="E2768" s="5" t="str">
        <f>_xlfn.XLOOKUP(A2768,[1]!DadosGHD[CD_GEOCMU],[1]!DadosGHD[MUNICIPIO])</f>
        <v>NAZARE PAULISTA</v>
      </c>
      <c r="F2768" s="6">
        <v>38.691902160644503</v>
      </c>
      <c r="G2768" s="6">
        <v>38.766716003417997</v>
      </c>
      <c r="H2768" s="6">
        <v>38.785453796386697</v>
      </c>
      <c r="I2768" s="6">
        <v>38.766204833984403</v>
      </c>
      <c r="J2768" s="6">
        <v>43.706615447998097</v>
      </c>
      <c r="K2768" s="6">
        <v>43.772560119628899</v>
      </c>
      <c r="L2768" s="6">
        <v>39.605026245117202</v>
      </c>
    </row>
    <row r="2769" spans="1:12" x14ac:dyDescent="0.25">
      <c r="A2769">
        <v>3156700</v>
      </c>
      <c r="B2769" t="str">
        <f t="shared" si="43"/>
        <v>SABARA, MG, Brasil</v>
      </c>
      <c r="C2769" s="4" t="str">
        <f>_xlfn.XLOOKUP(A2769,[1]!DadosGHD[CD_GEOCMU],[1]!DadosGHD[Região])</f>
        <v>SD</v>
      </c>
      <c r="D2769" s="4" t="str">
        <f>_xlfn.XLOOKUP(A2769,[1]!DadosGHD[CD_GEOCMU],[1]!DadosGHD[uf])</f>
        <v>MG</v>
      </c>
      <c r="E2769" s="5" t="str">
        <f>_xlfn.XLOOKUP(A2769,[1]!DadosGHD[CD_GEOCMU],[1]!DadosGHD[MUNICIPIO])</f>
        <v>SABARA</v>
      </c>
      <c r="F2769" s="6">
        <v>38.691963195800803</v>
      </c>
      <c r="G2769" s="6">
        <v>38.784103393554702</v>
      </c>
      <c r="H2769" s="6">
        <v>43.718086242675803</v>
      </c>
      <c r="I2769" s="6">
        <v>43.696964263916001</v>
      </c>
      <c r="J2769" s="6">
        <v>43.734493255615199</v>
      </c>
      <c r="K2769" s="6">
        <v>43.796665191650398</v>
      </c>
      <c r="L2769" s="6">
        <v>48.518272399902301</v>
      </c>
    </row>
    <row r="2770" spans="1:12" x14ac:dyDescent="0.25">
      <c r="A2770">
        <v>4309555</v>
      </c>
      <c r="B2770" t="str">
        <f t="shared" si="43"/>
        <v>HARMONIA, RS, Brasil</v>
      </c>
      <c r="C2770" s="4" t="str">
        <f>_xlfn.XLOOKUP(A2770,[1]!DadosGHD[CD_GEOCMU],[1]!DadosGHD[Região])</f>
        <v>SL</v>
      </c>
      <c r="D2770" s="4" t="str">
        <f>_xlfn.XLOOKUP(A2770,[1]!DadosGHD[CD_GEOCMU],[1]!DadosGHD[uf])</f>
        <v>RS</v>
      </c>
      <c r="E2770" s="5" t="str">
        <f>_xlfn.XLOOKUP(A2770,[1]!DadosGHD[CD_GEOCMU],[1]!DadosGHD[MUNICIPIO])</f>
        <v>HARMONIA</v>
      </c>
      <c r="F2770" s="6">
        <v>38.692008972167997</v>
      </c>
      <c r="G2770" s="6">
        <v>43.705860137939503</v>
      </c>
      <c r="H2770" s="6">
        <v>43.816215515136697</v>
      </c>
      <c r="I2770" s="6">
        <v>53.720878601074197</v>
      </c>
      <c r="J2770" s="6">
        <v>53.819938659667997</v>
      </c>
      <c r="K2770" s="6">
        <v>53.934482574462898</v>
      </c>
      <c r="L2770" s="6">
        <v>48.5387992858887</v>
      </c>
    </row>
    <row r="2771" spans="1:12" x14ac:dyDescent="0.25">
      <c r="A2771">
        <v>1600238</v>
      </c>
      <c r="B2771" t="str">
        <f t="shared" si="43"/>
        <v>FERREIRA GOMES, AP, Brasil</v>
      </c>
      <c r="C2771" s="4" t="str">
        <f>_xlfn.XLOOKUP(A2771,[1]!DadosGHD[CD_GEOCMU],[1]!DadosGHD[Região])</f>
        <v>NO</v>
      </c>
      <c r="D2771" s="4" t="str">
        <f>_xlfn.XLOOKUP(A2771,[1]!DadosGHD[CD_GEOCMU],[1]!DadosGHD[uf])</f>
        <v>AP</v>
      </c>
      <c r="E2771" s="5" t="str">
        <f>_xlfn.XLOOKUP(A2771,[1]!DadosGHD[CD_GEOCMU],[1]!DadosGHD[MUNICIPIO])</f>
        <v>FERREIRA GOMES</v>
      </c>
      <c r="F2771" s="6">
        <v>38.692138671875</v>
      </c>
      <c r="G2771" s="6">
        <v>38.785621643066399</v>
      </c>
      <c r="H2771" s="6">
        <v>38.821762084960902</v>
      </c>
      <c r="I2771" s="6">
        <v>38.746055603027301</v>
      </c>
      <c r="J2771" s="6">
        <v>33.838302612304702</v>
      </c>
      <c r="K2771" s="6">
        <v>33.883487701416001</v>
      </c>
      <c r="L2771" s="6">
        <v>39.574691772460902</v>
      </c>
    </row>
    <row r="2772" spans="1:12" x14ac:dyDescent="0.25">
      <c r="A2772">
        <v>3202454</v>
      </c>
      <c r="B2772" t="str">
        <f t="shared" si="43"/>
        <v>IBATIBA, ES, Brasil</v>
      </c>
      <c r="C2772" s="4" t="str">
        <f>_xlfn.XLOOKUP(A2772,[1]!DadosGHD[CD_GEOCMU],[1]!DadosGHD[Região])</f>
        <v>SD</v>
      </c>
      <c r="D2772" s="4" t="str">
        <f>_xlfn.XLOOKUP(A2772,[1]!DadosGHD[CD_GEOCMU],[1]!DadosGHD[uf])</f>
        <v>ES</v>
      </c>
      <c r="E2772" s="5" t="str">
        <f>_xlfn.XLOOKUP(A2772,[1]!DadosGHD[CD_GEOCMU],[1]!DadosGHD[MUNICIPIO])</f>
        <v>IBATIBA</v>
      </c>
      <c r="F2772" s="6">
        <v>38.692211151123097</v>
      </c>
      <c r="G2772" s="6">
        <v>38.757545471191399</v>
      </c>
      <c r="H2772" s="6">
        <v>38.847236633300803</v>
      </c>
      <c r="I2772" s="6">
        <v>43.7437133789063</v>
      </c>
      <c r="J2772" s="6">
        <v>43.758945465087898</v>
      </c>
      <c r="K2772" s="6">
        <v>43.851642608642599</v>
      </c>
      <c r="L2772" s="6">
        <v>48.512016296386697</v>
      </c>
    </row>
    <row r="2773" spans="1:12" x14ac:dyDescent="0.25">
      <c r="A2773">
        <v>4301636</v>
      </c>
      <c r="B2773" t="str">
        <f t="shared" si="43"/>
        <v>BALNEARIO PINHAL, RS, Brasil</v>
      </c>
      <c r="C2773" s="4" t="str">
        <f>_xlfn.XLOOKUP(A2773,[1]!DadosGHD[CD_GEOCMU],[1]!DadosGHD[Região])</f>
        <v>SL</v>
      </c>
      <c r="D2773" s="4" t="str">
        <f>_xlfn.XLOOKUP(A2773,[1]!DadosGHD[CD_GEOCMU],[1]!DadosGHD[uf])</f>
        <v>RS</v>
      </c>
      <c r="E2773" s="5" t="str">
        <f>_xlfn.XLOOKUP(A2773,[1]!DadosGHD[CD_GEOCMU],[1]!DadosGHD[MUNICIPIO])</f>
        <v>BALNEARIO PINHAL</v>
      </c>
      <c r="F2773" s="6">
        <v>38.692661285400398</v>
      </c>
      <c r="G2773" s="6">
        <v>38.781547546386697</v>
      </c>
      <c r="H2773" s="6">
        <v>38.770107269287102</v>
      </c>
      <c r="I2773" s="6">
        <v>38.745456695556598</v>
      </c>
      <c r="J2773" s="6">
        <v>43.709808349609403</v>
      </c>
      <c r="K2773" s="6">
        <v>43.8670845031738</v>
      </c>
      <c r="L2773" s="6">
        <v>53.012077331542997</v>
      </c>
    </row>
    <row r="2774" spans="1:12" x14ac:dyDescent="0.25">
      <c r="A2774">
        <v>3305554</v>
      </c>
      <c r="B2774" t="str">
        <f t="shared" si="43"/>
        <v>SEROPEDICA, RJ, Brasil</v>
      </c>
      <c r="C2774" s="4" t="str">
        <f>_xlfn.XLOOKUP(A2774,[1]!DadosGHD[CD_GEOCMU],[1]!DadosGHD[Região])</f>
        <v>SD</v>
      </c>
      <c r="D2774" s="4" t="str">
        <f>_xlfn.XLOOKUP(A2774,[1]!DadosGHD[CD_GEOCMU],[1]!DadosGHD[uf])</f>
        <v>RJ</v>
      </c>
      <c r="E2774" s="5" t="str">
        <f>_xlfn.XLOOKUP(A2774,[1]!DadosGHD[CD_GEOCMU],[1]!DadosGHD[MUNICIPIO])</f>
        <v>SEROPEDICA</v>
      </c>
      <c r="F2774" s="6">
        <v>38.692672729492202</v>
      </c>
      <c r="G2774" s="6">
        <v>38.765895843505902</v>
      </c>
      <c r="H2774" s="6">
        <v>38.810096740722699</v>
      </c>
      <c r="I2774" s="6">
        <v>38.794784545898402</v>
      </c>
      <c r="J2774" s="6">
        <v>38.812404632568402</v>
      </c>
      <c r="K2774" s="6">
        <v>38.871444702148402</v>
      </c>
      <c r="L2774" s="6">
        <v>44.0389595031738</v>
      </c>
    </row>
    <row r="2775" spans="1:12" x14ac:dyDescent="0.25">
      <c r="A2775">
        <v>4104428</v>
      </c>
      <c r="B2775" t="str">
        <f t="shared" si="43"/>
        <v>CANDOI, PR, Brasil</v>
      </c>
      <c r="C2775" s="4" t="str">
        <f>_xlfn.XLOOKUP(A2775,[1]!DadosGHD[CD_GEOCMU],[1]!DadosGHD[Região])</f>
        <v>SL</v>
      </c>
      <c r="D2775" s="4" t="str">
        <f>_xlfn.XLOOKUP(A2775,[1]!DadosGHD[CD_GEOCMU],[1]!DadosGHD[uf])</f>
        <v>PR</v>
      </c>
      <c r="E2775" s="5" t="str">
        <f>_xlfn.XLOOKUP(A2775,[1]!DadosGHD[CD_GEOCMU],[1]!DadosGHD[MUNICIPIO])</f>
        <v>CANDOI</v>
      </c>
      <c r="F2775" s="6">
        <v>38.693065643310597</v>
      </c>
      <c r="G2775" s="6">
        <v>43.678791046142599</v>
      </c>
      <c r="H2775" s="6">
        <v>43.740306854248097</v>
      </c>
      <c r="I2775" s="6">
        <v>43.762344360351598</v>
      </c>
      <c r="J2775" s="6">
        <v>43.7996635437012</v>
      </c>
      <c r="K2775" s="6">
        <v>48.902679443359403</v>
      </c>
      <c r="L2775" s="6">
        <v>52.998260498046903</v>
      </c>
    </row>
    <row r="2776" spans="1:12" x14ac:dyDescent="0.25">
      <c r="A2776">
        <v>3200169</v>
      </c>
      <c r="B2776" t="str">
        <f t="shared" si="43"/>
        <v>AGUA DOCE DO NORTE, ES, Brasil</v>
      </c>
      <c r="C2776" s="4" t="str">
        <f>_xlfn.XLOOKUP(A2776,[1]!DadosGHD[CD_GEOCMU],[1]!DadosGHD[Região])</f>
        <v>SD</v>
      </c>
      <c r="D2776" s="4" t="str">
        <f>_xlfn.XLOOKUP(A2776,[1]!DadosGHD[CD_GEOCMU],[1]!DadosGHD[uf])</f>
        <v>ES</v>
      </c>
      <c r="E2776" s="5" t="str">
        <f>_xlfn.XLOOKUP(A2776,[1]!DadosGHD[CD_GEOCMU],[1]!DadosGHD[MUNICIPIO])</f>
        <v>AGUA DOCE DO NORTE</v>
      </c>
      <c r="F2776" s="6">
        <v>38.693336486816399</v>
      </c>
      <c r="G2776" s="6">
        <v>38.748172760009801</v>
      </c>
      <c r="H2776" s="6">
        <v>38.8105659484863</v>
      </c>
      <c r="I2776" s="6">
        <v>38.791996002197301</v>
      </c>
      <c r="J2776" s="6">
        <v>38.792427062988303</v>
      </c>
      <c r="K2776" s="6">
        <v>38.828407287597699</v>
      </c>
      <c r="L2776" s="6">
        <v>35.146369934082003</v>
      </c>
    </row>
    <row r="2777" spans="1:12" x14ac:dyDescent="0.25">
      <c r="A2777">
        <v>3129301</v>
      </c>
      <c r="B2777" t="str">
        <f t="shared" si="43"/>
        <v>IAPU, MG, Brasil</v>
      </c>
      <c r="C2777" s="4" t="str">
        <f>_xlfn.XLOOKUP(A2777,[1]!DadosGHD[CD_GEOCMU],[1]!DadosGHD[Região])</f>
        <v>SD</v>
      </c>
      <c r="D2777" s="4" t="str">
        <f>_xlfn.XLOOKUP(A2777,[1]!DadosGHD[CD_GEOCMU],[1]!DadosGHD[uf])</f>
        <v>MG</v>
      </c>
      <c r="E2777" s="5" t="str">
        <f>_xlfn.XLOOKUP(A2777,[1]!DadosGHD[CD_GEOCMU],[1]!DadosGHD[MUNICIPIO])</f>
        <v>IAPU</v>
      </c>
      <c r="F2777" s="6">
        <v>38.693367004394503</v>
      </c>
      <c r="G2777" s="6">
        <v>43.638412475585902</v>
      </c>
      <c r="H2777" s="6">
        <v>38.829059600830099</v>
      </c>
      <c r="I2777" s="6">
        <v>38.799842834472699</v>
      </c>
      <c r="J2777" s="6">
        <v>38.820407867431598</v>
      </c>
      <c r="K2777" s="6">
        <v>38.851898193359403</v>
      </c>
      <c r="L2777" s="6">
        <v>30.689315795898398</v>
      </c>
    </row>
    <row r="2778" spans="1:12" x14ac:dyDescent="0.25">
      <c r="A2778">
        <v>3170750</v>
      </c>
      <c r="B2778" t="str">
        <f t="shared" si="43"/>
        <v>VARJAO DE MINAS, MG, Brasil</v>
      </c>
      <c r="C2778" s="4" t="str">
        <f>_xlfn.XLOOKUP(A2778,[1]!DadosGHD[CD_GEOCMU],[1]!DadosGHD[Região])</f>
        <v>SD</v>
      </c>
      <c r="D2778" s="4" t="str">
        <f>_xlfn.XLOOKUP(A2778,[1]!DadosGHD[CD_GEOCMU],[1]!DadosGHD[uf])</f>
        <v>MG</v>
      </c>
      <c r="E2778" s="5" t="str">
        <f>_xlfn.XLOOKUP(A2778,[1]!DadosGHD[CD_GEOCMU],[1]!DadosGHD[MUNICIPIO])</f>
        <v>VARJAO DE MINAS</v>
      </c>
      <c r="F2778" s="6">
        <v>38.693424224853501</v>
      </c>
      <c r="G2778" s="6">
        <v>43.688652038574197</v>
      </c>
      <c r="H2778" s="6">
        <v>43.721462249755902</v>
      </c>
      <c r="I2778" s="6">
        <v>38.812080383300803</v>
      </c>
      <c r="J2778" s="6">
        <v>43.749557495117202</v>
      </c>
      <c r="K2778" s="6">
        <v>43.826606750488303</v>
      </c>
      <c r="L2778" s="6">
        <v>44.029979705810597</v>
      </c>
    </row>
    <row r="2779" spans="1:12" x14ac:dyDescent="0.25">
      <c r="A2779">
        <v>2800670</v>
      </c>
      <c r="B2779" t="str">
        <f t="shared" si="43"/>
        <v>BOQUIM, SE, Brasil</v>
      </c>
      <c r="C2779" s="4" t="str">
        <f>_xlfn.XLOOKUP(A2779,[1]!DadosGHD[CD_GEOCMU],[1]!DadosGHD[Região])</f>
        <v>NE</v>
      </c>
      <c r="D2779" s="4" t="str">
        <f>_xlfn.XLOOKUP(A2779,[1]!DadosGHD[CD_GEOCMU],[1]!DadosGHD[uf])</f>
        <v>SE</v>
      </c>
      <c r="E2779" s="5" t="str">
        <f>_xlfn.XLOOKUP(A2779,[1]!DadosGHD[CD_GEOCMU],[1]!DadosGHD[MUNICIPIO])</f>
        <v>BOQUIM</v>
      </c>
      <c r="F2779" s="6">
        <v>38.693428039550803</v>
      </c>
      <c r="G2779" s="6">
        <v>38.774528503417997</v>
      </c>
      <c r="H2779" s="6">
        <v>38.847164154052699</v>
      </c>
      <c r="I2779" s="6">
        <v>43.710483551025398</v>
      </c>
      <c r="J2779" s="6">
        <v>43.744239807128899</v>
      </c>
      <c r="K2779" s="6">
        <v>38.880653381347699</v>
      </c>
      <c r="L2779" s="6">
        <v>39.5692329406738</v>
      </c>
    </row>
    <row r="2780" spans="1:12" x14ac:dyDescent="0.25">
      <c r="A2780">
        <v>3512605</v>
      </c>
      <c r="B2780" t="str">
        <f t="shared" si="43"/>
        <v>CORONEL MACEDO, SP, Brasil</v>
      </c>
      <c r="C2780" s="4" t="str">
        <f>_xlfn.XLOOKUP(A2780,[1]!DadosGHD[CD_GEOCMU],[1]!DadosGHD[Região])</f>
        <v>SD</v>
      </c>
      <c r="D2780" s="4" t="str">
        <f>_xlfn.XLOOKUP(A2780,[1]!DadosGHD[CD_GEOCMU],[1]!DadosGHD[uf])</f>
        <v>SP</v>
      </c>
      <c r="E2780" s="5" t="str">
        <f>_xlfn.XLOOKUP(A2780,[1]!DadosGHD[CD_GEOCMU],[1]!DadosGHD[MUNICIPIO])</f>
        <v>CORONEL MACEDO</v>
      </c>
      <c r="F2780" s="6">
        <v>38.693519592285199</v>
      </c>
      <c r="G2780" s="6">
        <v>38.740291595458999</v>
      </c>
      <c r="H2780" s="6">
        <v>43.788345336914098</v>
      </c>
      <c r="I2780" s="6">
        <v>43.753734588623097</v>
      </c>
      <c r="J2780" s="6">
        <v>43.757755279541001</v>
      </c>
      <c r="K2780" s="6">
        <v>38.831241607666001</v>
      </c>
      <c r="L2780" s="6">
        <v>57.494651794433601</v>
      </c>
    </row>
    <row r="2781" spans="1:12" x14ac:dyDescent="0.25">
      <c r="A2781">
        <v>3200136</v>
      </c>
      <c r="B2781" t="str">
        <f t="shared" si="43"/>
        <v>AGUIA BRANCA, ES, Brasil</v>
      </c>
      <c r="C2781" s="4" t="str">
        <f>_xlfn.XLOOKUP(A2781,[1]!DadosGHD[CD_GEOCMU],[1]!DadosGHD[Região])</f>
        <v>SD</v>
      </c>
      <c r="D2781" s="4" t="str">
        <f>_xlfn.XLOOKUP(A2781,[1]!DadosGHD[CD_GEOCMU],[1]!DadosGHD[uf])</f>
        <v>ES</v>
      </c>
      <c r="E2781" s="5" t="str">
        <f>_xlfn.XLOOKUP(A2781,[1]!DadosGHD[CD_GEOCMU],[1]!DadosGHD[MUNICIPIO])</f>
        <v>AGUIA BRANCA</v>
      </c>
      <c r="F2781" s="6">
        <v>38.693862915039098</v>
      </c>
      <c r="G2781" s="6">
        <v>43.642242431640597</v>
      </c>
      <c r="H2781" s="6">
        <v>38.848289489746101</v>
      </c>
      <c r="I2781" s="6">
        <v>43.6913032531738</v>
      </c>
      <c r="J2781" s="6">
        <v>38.841526031494098</v>
      </c>
      <c r="K2781" s="6">
        <v>38.857162475585902</v>
      </c>
      <c r="L2781" s="6">
        <v>30.707036972045898</v>
      </c>
    </row>
    <row r="2782" spans="1:12" x14ac:dyDescent="0.25">
      <c r="A2782">
        <v>4209706</v>
      </c>
      <c r="B2782" t="str">
        <f t="shared" si="43"/>
        <v>LEBON REGIS, SC, Brasil</v>
      </c>
      <c r="C2782" s="4" t="str">
        <f>_xlfn.XLOOKUP(A2782,[1]!DadosGHD[CD_GEOCMU],[1]!DadosGHD[Região])</f>
        <v>SL</v>
      </c>
      <c r="D2782" s="4" t="str">
        <f>_xlfn.XLOOKUP(A2782,[1]!DadosGHD[CD_GEOCMU],[1]!DadosGHD[uf])</f>
        <v>SC</v>
      </c>
      <c r="E2782" s="5" t="str">
        <f>_xlfn.XLOOKUP(A2782,[1]!DadosGHD[CD_GEOCMU],[1]!DadosGHD[MUNICIPIO])</f>
        <v>LEBON REGIS</v>
      </c>
      <c r="F2782" s="6">
        <v>38.693885803222699</v>
      </c>
      <c r="G2782" s="6">
        <v>43.640613555908203</v>
      </c>
      <c r="H2782" s="6">
        <v>38.840492248535199</v>
      </c>
      <c r="I2782" s="6">
        <v>38.810276031494098</v>
      </c>
      <c r="J2782" s="6">
        <v>38.824943542480497</v>
      </c>
      <c r="K2782" s="6">
        <v>38.855548858642599</v>
      </c>
      <c r="L2782" s="6">
        <v>30.694581985473601</v>
      </c>
    </row>
    <row r="2783" spans="1:12" x14ac:dyDescent="0.25">
      <c r="A2783">
        <v>2604106</v>
      </c>
      <c r="B2783" t="str">
        <f t="shared" si="43"/>
        <v>CARUARU, PE, Brasil</v>
      </c>
      <c r="C2783" s="4" t="str">
        <f>_xlfn.XLOOKUP(A2783,[1]!DadosGHD[CD_GEOCMU],[1]!DadosGHD[Região])</f>
        <v>NE</v>
      </c>
      <c r="D2783" s="4" t="str">
        <f>_xlfn.XLOOKUP(A2783,[1]!DadosGHD[CD_GEOCMU],[1]!DadosGHD[uf])</f>
        <v>PE</v>
      </c>
      <c r="E2783" s="5" t="str">
        <f>_xlfn.XLOOKUP(A2783,[1]!DadosGHD[CD_GEOCMU],[1]!DadosGHD[MUNICIPIO])</f>
        <v>CARUARU</v>
      </c>
      <c r="F2783" s="6">
        <v>38.693962097167997</v>
      </c>
      <c r="G2783" s="6">
        <v>38.7506103515625</v>
      </c>
      <c r="H2783" s="6">
        <v>38.782684326171903</v>
      </c>
      <c r="I2783" s="6">
        <v>38.766151428222699</v>
      </c>
      <c r="J2783" s="6">
        <v>38.813804626464801</v>
      </c>
      <c r="K2783" s="6">
        <v>38.877376556396499</v>
      </c>
      <c r="L2783" s="6">
        <v>39.572940826416001</v>
      </c>
    </row>
    <row r="2784" spans="1:12" x14ac:dyDescent="0.25">
      <c r="A2784">
        <v>4109757</v>
      </c>
      <c r="B2784" t="str">
        <f t="shared" si="43"/>
        <v>IBEMA, PR, Brasil</v>
      </c>
      <c r="C2784" s="4" t="str">
        <f>_xlfn.XLOOKUP(A2784,[1]!DadosGHD[CD_GEOCMU],[1]!DadosGHD[Região])</f>
        <v>SL</v>
      </c>
      <c r="D2784" s="4" t="str">
        <f>_xlfn.XLOOKUP(A2784,[1]!DadosGHD[CD_GEOCMU],[1]!DadosGHD[uf])</f>
        <v>PR</v>
      </c>
      <c r="E2784" s="5" t="str">
        <f>_xlfn.XLOOKUP(A2784,[1]!DadosGHD[CD_GEOCMU],[1]!DadosGHD[MUNICIPIO])</f>
        <v>IBEMA</v>
      </c>
      <c r="F2784" s="6">
        <v>38.694236755371101</v>
      </c>
      <c r="G2784" s="6">
        <v>43.645469665527301</v>
      </c>
      <c r="H2784" s="6">
        <v>43.811569213867202</v>
      </c>
      <c r="I2784" s="6">
        <v>43.727138519287102</v>
      </c>
      <c r="J2784" s="6">
        <v>43.7825927734375</v>
      </c>
      <c r="K2784" s="6">
        <v>43.7919731140137</v>
      </c>
      <c r="L2784" s="6">
        <v>39.581043243408203</v>
      </c>
    </row>
    <row r="2785" spans="1:12" x14ac:dyDescent="0.25">
      <c r="A2785">
        <v>1508407</v>
      </c>
      <c r="B2785" t="str">
        <f t="shared" si="43"/>
        <v>XINGUARA, PA, Brasil</v>
      </c>
      <c r="C2785" s="4" t="str">
        <f>_xlfn.XLOOKUP(A2785,[1]!DadosGHD[CD_GEOCMU],[1]!DadosGHD[Região])</f>
        <v>NO</v>
      </c>
      <c r="D2785" s="4" t="str">
        <f>_xlfn.XLOOKUP(A2785,[1]!DadosGHD[CD_GEOCMU],[1]!DadosGHD[uf])</f>
        <v>PA</v>
      </c>
      <c r="E2785" s="5" t="str">
        <f>_xlfn.XLOOKUP(A2785,[1]!DadosGHD[CD_GEOCMU],[1]!DadosGHD[MUNICIPIO])</f>
        <v>XINGUARA</v>
      </c>
      <c r="F2785" s="6">
        <v>38.694324493408203</v>
      </c>
      <c r="G2785" s="6">
        <v>43.659187316894503</v>
      </c>
      <c r="H2785" s="6">
        <v>43.744174957275398</v>
      </c>
      <c r="I2785" s="6">
        <v>43.7342338562012</v>
      </c>
      <c r="J2785" s="6">
        <v>43.777336120605497</v>
      </c>
      <c r="K2785" s="6">
        <v>43.806861877441399</v>
      </c>
      <c r="L2785" s="6">
        <v>44.042633056640597</v>
      </c>
    </row>
    <row r="2786" spans="1:12" x14ac:dyDescent="0.25">
      <c r="A2786">
        <v>2916104</v>
      </c>
      <c r="B2786" t="str">
        <f t="shared" si="43"/>
        <v>ITAPARICA, BA, Brasil</v>
      </c>
      <c r="C2786" s="4" t="str">
        <f>_xlfn.XLOOKUP(A2786,[1]!DadosGHD[CD_GEOCMU],[1]!DadosGHD[Região])</f>
        <v>NE</v>
      </c>
      <c r="D2786" s="4" t="str">
        <f>_xlfn.XLOOKUP(A2786,[1]!DadosGHD[CD_GEOCMU],[1]!DadosGHD[uf])</f>
        <v>BA</v>
      </c>
      <c r="E2786" s="5" t="str">
        <f>_xlfn.XLOOKUP(A2786,[1]!DadosGHD[CD_GEOCMU],[1]!DadosGHD[MUNICIPIO])</f>
        <v>ITAPARICA</v>
      </c>
      <c r="F2786" s="6">
        <v>38.694427490234403</v>
      </c>
      <c r="G2786" s="6">
        <v>38.754615783691399</v>
      </c>
      <c r="H2786" s="6">
        <v>43.719520568847699</v>
      </c>
      <c r="I2786" s="6">
        <v>48.699295043945298</v>
      </c>
      <c r="J2786" s="6">
        <v>43.8150024414063</v>
      </c>
      <c r="K2786" s="6">
        <v>38.814903259277301</v>
      </c>
      <c r="L2786" s="6">
        <v>30.703407287597699</v>
      </c>
    </row>
    <row r="2787" spans="1:12" x14ac:dyDescent="0.25">
      <c r="A2787">
        <v>3518909</v>
      </c>
      <c r="B2787" t="str">
        <f t="shared" si="43"/>
        <v>GUZOLANDIA, SP, Brasil</v>
      </c>
      <c r="C2787" s="4" t="str">
        <f>_xlfn.XLOOKUP(A2787,[1]!DadosGHD[CD_GEOCMU],[1]!DadosGHD[Região])</f>
        <v>SD</v>
      </c>
      <c r="D2787" s="4" t="str">
        <f>_xlfn.XLOOKUP(A2787,[1]!DadosGHD[CD_GEOCMU],[1]!DadosGHD[uf])</f>
        <v>SP</v>
      </c>
      <c r="E2787" s="5" t="str">
        <f>_xlfn.XLOOKUP(A2787,[1]!DadosGHD[CD_GEOCMU],[1]!DadosGHD[MUNICIPIO])</f>
        <v>GUZOLANDIA</v>
      </c>
      <c r="F2787" s="6">
        <v>38.694473266601598</v>
      </c>
      <c r="G2787" s="6">
        <v>38.737766265869098</v>
      </c>
      <c r="H2787" s="6">
        <v>38.772815704345703</v>
      </c>
      <c r="I2787" s="6">
        <v>38.725151062011697</v>
      </c>
      <c r="J2787" s="6">
        <v>33.890087127685597</v>
      </c>
      <c r="K2787" s="6">
        <v>33.906791687011697</v>
      </c>
      <c r="L2787" s="6">
        <v>30.720483779907202</v>
      </c>
    </row>
    <row r="2788" spans="1:12" x14ac:dyDescent="0.25">
      <c r="A2788">
        <v>2905602</v>
      </c>
      <c r="B2788" t="str">
        <f t="shared" si="43"/>
        <v>CAMACAN, BA, Brasil</v>
      </c>
      <c r="C2788" s="4" t="str">
        <f>_xlfn.XLOOKUP(A2788,[1]!DadosGHD[CD_GEOCMU],[1]!DadosGHD[Região])</f>
        <v>NE</v>
      </c>
      <c r="D2788" s="4" t="str">
        <f>_xlfn.XLOOKUP(A2788,[1]!DadosGHD[CD_GEOCMU],[1]!DadosGHD[uf])</f>
        <v>BA</v>
      </c>
      <c r="E2788" s="5" t="str">
        <f>_xlfn.XLOOKUP(A2788,[1]!DadosGHD[CD_GEOCMU],[1]!DadosGHD[MUNICIPIO])</f>
        <v>CAMACAN</v>
      </c>
      <c r="F2788" s="6">
        <v>38.694591522216797</v>
      </c>
      <c r="G2788" s="6">
        <v>38.757919311523402</v>
      </c>
      <c r="H2788" s="6">
        <v>38.798007965087898</v>
      </c>
      <c r="I2788" s="6">
        <v>38.766792297363303</v>
      </c>
      <c r="J2788" s="6">
        <v>38.778072357177699</v>
      </c>
      <c r="K2788" s="6">
        <v>38.847789764404297</v>
      </c>
      <c r="L2788" s="6">
        <v>44.0745658874512</v>
      </c>
    </row>
    <row r="2789" spans="1:12" x14ac:dyDescent="0.25">
      <c r="A2789">
        <v>4312351</v>
      </c>
      <c r="B2789" t="str">
        <f t="shared" si="43"/>
        <v>MONTAURI, RS, Brasil</v>
      </c>
      <c r="C2789" s="4" t="str">
        <f>_xlfn.XLOOKUP(A2789,[1]!DadosGHD[CD_GEOCMU],[1]!DadosGHD[Região])</f>
        <v>SL</v>
      </c>
      <c r="D2789" s="4" t="str">
        <f>_xlfn.XLOOKUP(A2789,[1]!DadosGHD[CD_GEOCMU],[1]!DadosGHD[uf])</f>
        <v>RS</v>
      </c>
      <c r="E2789" s="5" t="str">
        <f>_xlfn.XLOOKUP(A2789,[1]!DadosGHD[CD_GEOCMU],[1]!DadosGHD[MUNICIPIO])</f>
        <v>MONTAURI</v>
      </c>
      <c r="F2789" s="6">
        <v>38.695518493652301</v>
      </c>
      <c r="G2789" s="6">
        <v>53.751144409179702</v>
      </c>
      <c r="H2789" s="6">
        <v>53.838741302490199</v>
      </c>
      <c r="I2789" s="6">
        <v>38.767311096191399</v>
      </c>
      <c r="J2789" s="6">
        <v>38.776081085205099</v>
      </c>
      <c r="K2789" s="6">
        <v>38.798622131347699</v>
      </c>
      <c r="L2789" s="6">
        <v>30.7020263671875</v>
      </c>
    </row>
    <row r="2790" spans="1:12" x14ac:dyDescent="0.25">
      <c r="A2790">
        <v>3117900</v>
      </c>
      <c r="B2790" t="str">
        <f t="shared" si="43"/>
        <v>CONGONHAL, MG, Brasil</v>
      </c>
      <c r="C2790" s="4" t="str">
        <f>_xlfn.XLOOKUP(A2790,[1]!DadosGHD[CD_GEOCMU],[1]!DadosGHD[Região])</f>
        <v>SD</v>
      </c>
      <c r="D2790" s="4" t="str">
        <f>_xlfn.XLOOKUP(A2790,[1]!DadosGHD[CD_GEOCMU],[1]!DadosGHD[uf])</f>
        <v>MG</v>
      </c>
      <c r="E2790" s="5" t="str">
        <f>_xlfn.XLOOKUP(A2790,[1]!DadosGHD[CD_GEOCMU],[1]!DadosGHD[MUNICIPIO])</f>
        <v>CONGONHAL</v>
      </c>
      <c r="F2790" s="6">
        <v>38.695552825927699</v>
      </c>
      <c r="G2790" s="6">
        <v>38.746513366699197</v>
      </c>
      <c r="H2790" s="6">
        <v>38.837471008300803</v>
      </c>
      <c r="I2790" s="6">
        <v>43.691261291503899</v>
      </c>
      <c r="J2790" s="6">
        <v>38.831958770752003</v>
      </c>
      <c r="K2790" s="6">
        <v>43.787631988525398</v>
      </c>
      <c r="L2790" s="6">
        <v>39.593288421630902</v>
      </c>
    </row>
    <row r="2791" spans="1:12" x14ac:dyDescent="0.25">
      <c r="A2791">
        <v>3301850</v>
      </c>
      <c r="B2791" t="str">
        <f t="shared" si="43"/>
        <v>GUAPIMIRIM, RJ, Brasil</v>
      </c>
      <c r="C2791" s="4" t="str">
        <f>_xlfn.XLOOKUP(A2791,[1]!DadosGHD[CD_GEOCMU],[1]!DadosGHD[Região])</f>
        <v>SD</v>
      </c>
      <c r="D2791" s="4" t="str">
        <f>_xlfn.XLOOKUP(A2791,[1]!DadosGHD[CD_GEOCMU],[1]!DadosGHD[uf])</f>
        <v>RJ</v>
      </c>
      <c r="E2791" s="5" t="str">
        <f>_xlfn.XLOOKUP(A2791,[1]!DadosGHD[CD_GEOCMU],[1]!DadosGHD[MUNICIPIO])</f>
        <v>GUAPIMIRIM</v>
      </c>
      <c r="F2791" s="6">
        <v>38.695796966552699</v>
      </c>
      <c r="G2791" s="6">
        <v>38.766880035400398</v>
      </c>
      <c r="H2791" s="6">
        <v>38.838382720947301</v>
      </c>
      <c r="I2791" s="6">
        <v>43.691818237304702</v>
      </c>
      <c r="J2791" s="6">
        <v>38.803443908691399</v>
      </c>
      <c r="K2791" s="6">
        <v>38.819889068603501</v>
      </c>
      <c r="L2791" s="6">
        <v>44.070011138916001</v>
      </c>
    </row>
    <row r="2792" spans="1:12" x14ac:dyDescent="0.25">
      <c r="A2792">
        <v>2913200</v>
      </c>
      <c r="B2792" t="str">
        <f t="shared" si="43"/>
        <v>IBOTIRAMA, BA, Brasil</v>
      </c>
      <c r="C2792" s="4" t="str">
        <f>_xlfn.XLOOKUP(A2792,[1]!DadosGHD[CD_GEOCMU],[1]!DadosGHD[Região])</f>
        <v>NE</v>
      </c>
      <c r="D2792" s="4" t="str">
        <f>_xlfn.XLOOKUP(A2792,[1]!DadosGHD[CD_GEOCMU],[1]!DadosGHD[uf])</f>
        <v>BA</v>
      </c>
      <c r="E2792" s="5" t="str">
        <f>_xlfn.XLOOKUP(A2792,[1]!DadosGHD[CD_GEOCMU],[1]!DadosGHD[MUNICIPIO])</f>
        <v>IBOTIRAMA</v>
      </c>
      <c r="F2792" s="6">
        <v>38.696395874023402</v>
      </c>
      <c r="G2792" s="6">
        <v>38.743232727050803</v>
      </c>
      <c r="H2792" s="6">
        <v>38.779953002929702</v>
      </c>
      <c r="I2792" s="6">
        <v>38.743576049804702</v>
      </c>
      <c r="J2792" s="6">
        <v>33.894699096679702</v>
      </c>
      <c r="K2792" s="6">
        <v>38.802528381347699</v>
      </c>
      <c r="L2792" s="6">
        <v>30.705545425415</v>
      </c>
    </row>
    <row r="2793" spans="1:12" x14ac:dyDescent="0.25">
      <c r="A2793">
        <v>2804508</v>
      </c>
      <c r="B2793" t="str">
        <f t="shared" si="43"/>
        <v>NOSSA SENHORA DA GLORIA, SE, Brasil</v>
      </c>
      <c r="C2793" s="4" t="str">
        <f>_xlfn.XLOOKUP(A2793,[1]!DadosGHD[CD_GEOCMU],[1]!DadosGHD[Região])</f>
        <v>NE</v>
      </c>
      <c r="D2793" s="4" t="str">
        <f>_xlfn.XLOOKUP(A2793,[1]!DadosGHD[CD_GEOCMU],[1]!DadosGHD[uf])</f>
        <v>SE</v>
      </c>
      <c r="E2793" s="5" t="str">
        <f>_xlfn.XLOOKUP(A2793,[1]!DadosGHD[CD_GEOCMU],[1]!DadosGHD[MUNICIPIO])</f>
        <v>NOSSA SENHORA DA GLORIA</v>
      </c>
      <c r="F2793" s="6">
        <v>38.696826934814503</v>
      </c>
      <c r="G2793" s="6">
        <v>38.755020141601598</v>
      </c>
      <c r="H2793" s="6">
        <v>43.708793640136697</v>
      </c>
      <c r="I2793" s="6">
        <v>43.705066680908203</v>
      </c>
      <c r="J2793" s="6">
        <v>43.715785980224602</v>
      </c>
      <c r="K2793" s="6">
        <v>43.756645202636697</v>
      </c>
      <c r="L2793" s="6">
        <v>30.7209568023682</v>
      </c>
    </row>
    <row r="2794" spans="1:12" x14ac:dyDescent="0.25">
      <c r="A2794">
        <v>3153608</v>
      </c>
      <c r="B2794" t="str">
        <f t="shared" si="43"/>
        <v>PRUDENTE DE MORAIS, MG, Brasil</v>
      </c>
      <c r="C2794" s="4" t="str">
        <f>_xlfn.XLOOKUP(A2794,[1]!DadosGHD[CD_GEOCMU],[1]!DadosGHD[Região])</f>
        <v>SD</v>
      </c>
      <c r="D2794" s="4" t="str">
        <f>_xlfn.XLOOKUP(A2794,[1]!DadosGHD[CD_GEOCMU],[1]!DadosGHD[uf])</f>
        <v>MG</v>
      </c>
      <c r="E2794" s="5" t="str">
        <f>_xlfn.XLOOKUP(A2794,[1]!DadosGHD[CD_GEOCMU],[1]!DadosGHD[MUNICIPIO])</f>
        <v>PRUDENTE DE MORAIS</v>
      </c>
      <c r="F2794" s="6">
        <v>38.696933746337898</v>
      </c>
      <c r="G2794" s="6">
        <v>38.716747283935597</v>
      </c>
      <c r="H2794" s="6">
        <v>38.788963317871101</v>
      </c>
      <c r="I2794" s="6">
        <v>43.719142913818402</v>
      </c>
      <c r="J2794" s="6">
        <v>43.710975646972699</v>
      </c>
      <c r="K2794" s="6">
        <v>38.844455718994098</v>
      </c>
      <c r="L2794" s="6">
        <v>35.133514404296903</v>
      </c>
    </row>
    <row r="2795" spans="1:12" x14ac:dyDescent="0.25">
      <c r="A2795">
        <v>1711951</v>
      </c>
      <c r="B2795" t="str">
        <f t="shared" si="43"/>
        <v>LAGOA DO TOCANTINS, TO, Brasil</v>
      </c>
      <c r="C2795" s="4" t="str">
        <f>_xlfn.XLOOKUP(A2795,[1]!DadosGHD[CD_GEOCMU],[1]!DadosGHD[Região])</f>
        <v>NO</v>
      </c>
      <c r="D2795" s="4" t="str">
        <f>_xlfn.XLOOKUP(A2795,[1]!DadosGHD[CD_GEOCMU],[1]!DadosGHD[uf])</f>
        <v>TO</v>
      </c>
      <c r="E2795" s="5" t="str">
        <f>_xlfn.XLOOKUP(A2795,[1]!DadosGHD[CD_GEOCMU],[1]!DadosGHD[MUNICIPIO])</f>
        <v>LAGOA DO TOCANTINS</v>
      </c>
      <c r="F2795" s="6">
        <v>38.6970024108887</v>
      </c>
      <c r="G2795" s="6">
        <v>38.717811584472699</v>
      </c>
      <c r="H2795" s="6">
        <v>38.770156860351598</v>
      </c>
      <c r="I2795" s="6">
        <v>38.739383697509801</v>
      </c>
      <c r="J2795" s="6">
        <v>38.755828857421903</v>
      </c>
      <c r="K2795" s="6">
        <v>33.919673919677699</v>
      </c>
      <c r="L2795" s="6">
        <v>30.699377059936499</v>
      </c>
    </row>
    <row r="2796" spans="1:12" x14ac:dyDescent="0.25">
      <c r="A2796">
        <v>5100805</v>
      </c>
      <c r="B2796" t="str">
        <f t="shared" si="43"/>
        <v>APIACAS, MT, Brasil</v>
      </c>
      <c r="C2796" s="4" t="str">
        <f>_xlfn.XLOOKUP(A2796,[1]!DadosGHD[CD_GEOCMU],[1]!DadosGHD[Região])</f>
        <v>CO</v>
      </c>
      <c r="D2796" s="4" t="str">
        <f>_xlfn.XLOOKUP(A2796,[1]!DadosGHD[CD_GEOCMU],[1]!DadosGHD[uf])</f>
        <v>MT</v>
      </c>
      <c r="E2796" s="5" t="str">
        <f>_xlfn.XLOOKUP(A2796,[1]!DadosGHD[CD_GEOCMU],[1]!DadosGHD[MUNICIPIO])</f>
        <v>APIACAS</v>
      </c>
      <c r="F2796" s="6">
        <v>38.697048187255902</v>
      </c>
      <c r="G2796" s="6">
        <v>38.781593322753899</v>
      </c>
      <c r="H2796" s="6">
        <v>38.805202484130902</v>
      </c>
      <c r="I2796" s="6">
        <v>38.766330718994098</v>
      </c>
      <c r="J2796" s="6">
        <v>38.7813110351563</v>
      </c>
      <c r="K2796" s="6">
        <v>38.867637634277301</v>
      </c>
      <c r="L2796" s="6">
        <v>35.155929565429702</v>
      </c>
    </row>
    <row r="2797" spans="1:12" x14ac:dyDescent="0.25">
      <c r="A2797">
        <v>5105903</v>
      </c>
      <c r="B2797" t="str">
        <f t="shared" si="43"/>
        <v>NOBRES, MT, Brasil</v>
      </c>
      <c r="C2797" s="4" t="str">
        <f>_xlfn.XLOOKUP(A2797,[1]!DadosGHD[CD_GEOCMU],[1]!DadosGHD[Região])</f>
        <v>CO</v>
      </c>
      <c r="D2797" s="4" t="str">
        <f>_xlfn.XLOOKUP(A2797,[1]!DadosGHD[CD_GEOCMU],[1]!DadosGHD[uf])</f>
        <v>MT</v>
      </c>
      <c r="E2797" s="5" t="str">
        <f>_xlfn.XLOOKUP(A2797,[1]!DadosGHD[CD_GEOCMU],[1]!DadosGHD[MUNICIPIO])</f>
        <v>NOBRES</v>
      </c>
      <c r="F2797" s="6">
        <v>38.697071075439503</v>
      </c>
      <c r="G2797" s="6">
        <v>43.6773872375488</v>
      </c>
      <c r="H2797" s="6">
        <v>43.758598327636697</v>
      </c>
      <c r="I2797" s="6">
        <v>43.753677368164098</v>
      </c>
      <c r="J2797" s="6">
        <v>43.786441802978501</v>
      </c>
      <c r="K2797" s="6">
        <v>38.860221862792997</v>
      </c>
      <c r="L2797" s="6">
        <v>48.509971618652301</v>
      </c>
    </row>
    <row r="2798" spans="1:12" x14ac:dyDescent="0.25">
      <c r="A2798">
        <v>4211108</v>
      </c>
      <c r="B2798" t="str">
        <f t="shared" si="43"/>
        <v>MONTE CASTELO, SC, Brasil</v>
      </c>
      <c r="C2798" s="4" t="str">
        <f>_xlfn.XLOOKUP(A2798,[1]!DadosGHD[CD_GEOCMU],[1]!DadosGHD[Região])</f>
        <v>SL</v>
      </c>
      <c r="D2798" s="4" t="str">
        <f>_xlfn.XLOOKUP(A2798,[1]!DadosGHD[CD_GEOCMU],[1]!DadosGHD[uf])</f>
        <v>SC</v>
      </c>
      <c r="E2798" s="5" t="str">
        <f>_xlfn.XLOOKUP(A2798,[1]!DadosGHD[CD_GEOCMU],[1]!DadosGHD[MUNICIPIO])</f>
        <v>MONTE CASTELO</v>
      </c>
      <c r="F2798" s="6">
        <v>38.697101593017599</v>
      </c>
      <c r="G2798" s="6">
        <v>43.655891418457003</v>
      </c>
      <c r="H2798" s="6">
        <v>43.712623596191399</v>
      </c>
      <c r="I2798" s="6">
        <v>38.815200805664098</v>
      </c>
      <c r="J2798" s="6">
        <v>38.804725646972699</v>
      </c>
      <c r="K2798" s="6">
        <v>43.788600921630902</v>
      </c>
      <c r="L2798" s="6">
        <v>48.490909576416001</v>
      </c>
    </row>
    <row r="2799" spans="1:12" x14ac:dyDescent="0.25">
      <c r="A2799">
        <v>4121257</v>
      </c>
      <c r="B2799" t="str">
        <f t="shared" si="43"/>
        <v>RAMILANDIA, PR, Brasil</v>
      </c>
      <c r="C2799" s="4" t="str">
        <f>_xlfn.XLOOKUP(A2799,[1]!DadosGHD[CD_GEOCMU],[1]!DadosGHD[Região])</f>
        <v>SL</v>
      </c>
      <c r="D2799" s="4" t="str">
        <f>_xlfn.XLOOKUP(A2799,[1]!DadosGHD[CD_GEOCMU],[1]!DadosGHD[uf])</f>
        <v>PR</v>
      </c>
      <c r="E2799" s="5" t="str">
        <f>_xlfn.XLOOKUP(A2799,[1]!DadosGHD[CD_GEOCMU],[1]!DadosGHD[MUNICIPIO])</f>
        <v>RAMILANDIA</v>
      </c>
      <c r="F2799" s="6">
        <v>38.697113037109403</v>
      </c>
      <c r="G2799" s="6">
        <v>43.762973785400398</v>
      </c>
      <c r="H2799" s="6">
        <v>43.834041595458999</v>
      </c>
      <c r="I2799" s="6">
        <v>48.691429138183601</v>
      </c>
      <c r="J2799" s="6">
        <v>43.702926635742202</v>
      </c>
      <c r="K2799" s="6">
        <v>43.851390838623097</v>
      </c>
      <c r="L2799" s="6">
        <v>44.065338134765597</v>
      </c>
    </row>
    <row r="2800" spans="1:12" x14ac:dyDescent="0.25">
      <c r="A2800">
        <v>2615300</v>
      </c>
      <c r="B2800" t="str">
        <f t="shared" si="43"/>
        <v>TIMBAUBA, PE, Brasil</v>
      </c>
      <c r="C2800" s="4" t="str">
        <f>_xlfn.XLOOKUP(A2800,[1]!DadosGHD[CD_GEOCMU],[1]!DadosGHD[Região])</f>
        <v>NE</v>
      </c>
      <c r="D2800" s="4" t="str">
        <f>_xlfn.XLOOKUP(A2800,[1]!DadosGHD[CD_GEOCMU],[1]!DadosGHD[uf])</f>
        <v>PE</v>
      </c>
      <c r="E2800" s="5" t="str">
        <f>_xlfn.XLOOKUP(A2800,[1]!DadosGHD[CD_GEOCMU],[1]!DadosGHD[MUNICIPIO])</f>
        <v>TIMBAUBA</v>
      </c>
      <c r="F2800" s="6">
        <v>38.697380065917997</v>
      </c>
      <c r="G2800" s="6">
        <v>38.782600402832003</v>
      </c>
      <c r="H2800" s="6">
        <v>43.712581634521499</v>
      </c>
      <c r="I2800" s="6">
        <v>38.8209419250488</v>
      </c>
      <c r="J2800" s="6">
        <v>38.842247009277301</v>
      </c>
      <c r="K2800" s="6">
        <v>38.877403259277301</v>
      </c>
      <c r="L2800" s="6">
        <v>39.576324462890597</v>
      </c>
    </row>
    <row r="2801" spans="1:12" x14ac:dyDescent="0.25">
      <c r="A2801">
        <v>2801207</v>
      </c>
      <c r="B2801" t="str">
        <f t="shared" si="43"/>
        <v>CANINDE DE SAO FRANCISCO, SE, Brasil</v>
      </c>
      <c r="C2801" s="4" t="str">
        <f>_xlfn.XLOOKUP(A2801,[1]!DadosGHD[CD_GEOCMU],[1]!DadosGHD[Região])</f>
        <v>NE</v>
      </c>
      <c r="D2801" s="4" t="str">
        <f>_xlfn.XLOOKUP(A2801,[1]!DadosGHD[CD_GEOCMU],[1]!DadosGHD[uf])</f>
        <v>SE</v>
      </c>
      <c r="E2801" s="5" t="str">
        <f>_xlfn.XLOOKUP(A2801,[1]!DadosGHD[CD_GEOCMU],[1]!DadosGHD[MUNICIPIO])</f>
        <v>CANINDE DE SAO FRANCISCO</v>
      </c>
      <c r="F2801" s="6">
        <v>38.697410583496101</v>
      </c>
      <c r="G2801" s="6">
        <v>38.738685607910199</v>
      </c>
      <c r="H2801" s="6">
        <v>38.768226623535199</v>
      </c>
      <c r="I2801" s="6">
        <v>38.715328216552699</v>
      </c>
      <c r="J2801" s="6">
        <v>33.868251800537102</v>
      </c>
      <c r="K2801" s="6">
        <v>33.887939453125</v>
      </c>
      <c r="L2801" s="6">
        <v>30.691015243530298</v>
      </c>
    </row>
    <row r="2802" spans="1:12" x14ac:dyDescent="0.25">
      <c r="A2802">
        <v>3157005</v>
      </c>
      <c r="B2802" t="str">
        <f t="shared" si="43"/>
        <v>SALINAS, MG, Brasil</v>
      </c>
      <c r="C2802" s="4" t="str">
        <f>_xlfn.XLOOKUP(A2802,[1]!DadosGHD[CD_GEOCMU],[1]!DadosGHD[Região])</f>
        <v>SD</v>
      </c>
      <c r="D2802" s="4" t="str">
        <f>_xlfn.XLOOKUP(A2802,[1]!DadosGHD[CD_GEOCMU],[1]!DadosGHD[uf])</f>
        <v>MG</v>
      </c>
      <c r="E2802" s="5" t="str">
        <f>_xlfn.XLOOKUP(A2802,[1]!DadosGHD[CD_GEOCMU],[1]!DadosGHD[MUNICIPIO])</f>
        <v>SALINAS</v>
      </c>
      <c r="F2802" s="6">
        <v>38.697463989257798</v>
      </c>
      <c r="G2802" s="6">
        <v>43.638198852539098</v>
      </c>
      <c r="H2802" s="6">
        <v>38.8312797546387</v>
      </c>
      <c r="I2802" s="6">
        <v>38.814205169677699</v>
      </c>
      <c r="J2802" s="6">
        <v>43.725505828857401</v>
      </c>
      <c r="K2802" s="6">
        <v>43.755813598632798</v>
      </c>
      <c r="L2802" s="6">
        <v>39.598533630371101</v>
      </c>
    </row>
    <row r="2803" spans="1:12" x14ac:dyDescent="0.25">
      <c r="A2803">
        <v>4125209</v>
      </c>
      <c r="B2803" t="str">
        <f t="shared" si="43"/>
        <v>SAO JORGE D'OESTE, PR, Brasil</v>
      </c>
      <c r="C2803" s="4" t="str">
        <f>_xlfn.XLOOKUP(A2803,[1]!DadosGHD[CD_GEOCMU],[1]!DadosGHD[Região])</f>
        <v>SL</v>
      </c>
      <c r="D2803" s="4" t="str">
        <f>_xlfn.XLOOKUP(A2803,[1]!DadosGHD[CD_GEOCMU],[1]!DadosGHD[uf])</f>
        <v>PR</v>
      </c>
      <c r="E2803" s="5" t="str">
        <f>_xlfn.XLOOKUP(A2803,[1]!DadosGHD[CD_GEOCMU],[1]!DadosGHD[MUNICIPIO])</f>
        <v>SAO JORGE D'OESTE</v>
      </c>
      <c r="F2803" s="6">
        <v>38.697547912597699</v>
      </c>
      <c r="G2803" s="6">
        <v>38.760078430175803</v>
      </c>
      <c r="H2803" s="6">
        <v>43.804756164550803</v>
      </c>
      <c r="I2803" s="6">
        <v>48.785129547119098</v>
      </c>
      <c r="J2803" s="6">
        <v>48.785511016845703</v>
      </c>
      <c r="K2803" s="6">
        <v>48.856315612792997</v>
      </c>
      <c r="L2803" s="6">
        <v>48.503917694091797</v>
      </c>
    </row>
    <row r="2804" spans="1:12" x14ac:dyDescent="0.25">
      <c r="A2804">
        <v>5212501</v>
      </c>
      <c r="B2804" t="str">
        <f t="shared" si="43"/>
        <v>LUZIANIA, GO, Brasil</v>
      </c>
      <c r="C2804" s="4" t="str">
        <f>_xlfn.XLOOKUP(A2804,[1]!DadosGHD[CD_GEOCMU],[1]!DadosGHD[Região])</f>
        <v>CO</v>
      </c>
      <c r="D2804" s="4" t="str">
        <f>_xlfn.XLOOKUP(A2804,[1]!DadosGHD[CD_GEOCMU],[1]!DadosGHD[uf])</f>
        <v>GO</v>
      </c>
      <c r="E2804" s="5" t="str">
        <f>_xlfn.XLOOKUP(A2804,[1]!DadosGHD[CD_GEOCMU],[1]!DadosGHD[MUNICIPIO])</f>
        <v>LUZIANIA</v>
      </c>
      <c r="F2804" s="6">
        <v>38.697608947753899</v>
      </c>
      <c r="G2804" s="6">
        <v>43.644733428955099</v>
      </c>
      <c r="H2804" s="6">
        <v>38.832626342773402</v>
      </c>
      <c r="I2804" s="6">
        <v>38.7894897460938</v>
      </c>
      <c r="J2804" s="6">
        <v>38.7734565734863</v>
      </c>
      <c r="K2804" s="6">
        <v>38.802452087402301</v>
      </c>
      <c r="L2804" s="6">
        <v>35.130348205566399</v>
      </c>
    </row>
    <row r="2805" spans="1:12" x14ac:dyDescent="0.25">
      <c r="A2805">
        <v>4312450</v>
      </c>
      <c r="B2805" t="str">
        <f t="shared" si="43"/>
        <v>MORRO REDONDO, RS, Brasil</v>
      </c>
      <c r="C2805" s="4" t="str">
        <f>_xlfn.XLOOKUP(A2805,[1]!DadosGHD[CD_GEOCMU],[1]!DadosGHD[Região])</f>
        <v>SL</v>
      </c>
      <c r="D2805" s="4" t="str">
        <f>_xlfn.XLOOKUP(A2805,[1]!DadosGHD[CD_GEOCMU],[1]!DadosGHD[uf])</f>
        <v>RS</v>
      </c>
      <c r="E2805" s="5" t="str">
        <f>_xlfn.XLOOKUP(A2805,[1]!DadosGHD[CD_GEOCMU],[1]!DadosGHD[MUNICIPIO])</f>
        <v>MORRO REDONDO</v>
      </c>
      <c r="F2805" s="6">
        <v>38.697681427002003</v>
      </c>
      <c r="G2805" s="6">
        <v>43.698673248291001</v>
      </c>
      <c r="H2805" s="6">
        <v>43.758953094482401</v>
      </c>
      <c r="I2805" s="6">
        <v>43.680366516113303</v>
      </c>
      <c r="J2805" s="6">
        <v>38.821075439453097</v>
      </c>
      <c r="K2805" s="6">
        <v>38.854621887207003</v>
      </c>
      <c r="L2805" s="6">
        <v>48.554309844970703</v>
      </c>
    </row>
    <row r="2806" spans="1:12" x14ac:dyDescent="0.25">
      <c r="A2806">
        <v>5210562</v>
      </c>
      <c r="B2806" t="str">
        <f t="shared" si="43"/>
        <v>ITAGUARI, GO, Brasil</v>
      </c>
      <c r="C2806" s="4" t="str">
        <f>_xlfn.XLOOKUP(A2806,[1]!DadosGHD[CD_GEOCMU],[1]!DadosGHD[Região])</f>
        <v>CO</v>
      </c>
      <c r="D2806" s="4" t="str">
        <f>_xlfn.XLOOKUP(A2806,[1]!DadosGHD[CD_GEOCMU],[1]!DadosGHD[uf])</f>
        <v>GO</v>
      </c>
      <c r="E2806" s="5" t="str">
        <f>_xlfn.XLOOKUP(A2806,[1]!DadosGHD[CD_GEOCMU],[1]!DadosGHD[MUNICIPIO])</f>
        <v>ITAGUARI</v>
      </c>
      <c r="F2806" s="6">
        <v>38.697807312011697</v>
      </c>
      <c r="G2806" s="6">
        <v>38.728237152099602</v>
      </c>
      <c r="H2806" s="6">
        <v>38.764114379882798</v>
      </c>
      <c r="I2806" s="6">
        <v>38.751682281494098</v>
      </c>
      <c r="J2806" s="6">
        <v>38.767345428466797</v>
      </c>
      <c r="K2806" s="6">
        <v>38.801174163818402</v>
      </c>
      <c r="L2806" s="6">
        <v>30.708625793456999</v>
      </c>
    </row>
    <row r="2807" spans="1:12" x14ac:dyDescent="0.25">
      <c r="A2807">
        <v>4210852</v>
      </c>
      <c r="B2807" t="str">
        <f t="shared" si="43"/>
        <v>MIRIM DOCE, SC, Brasil</v>
      </c>
      <c r="C2807" s="4" t="str">
        <f>_xlfn.XLOOKUP(A2807,[1]!DadosGHD[CD_GEOCMU],[1]!DadosGHD[Região])</f>
        <v>SL</v>
      </c>
      <c r="D2807" s="4" t="str">
        <f>_xlfn.XLOOKUP(A2807,[1]!DadosGHD[CD_GEOCMU],[1]!DadosGHD[uf])</f>
        <v>SC</v>
      </c>
      <c r="E2807" s="5" t="str">
        <f>_xlfn.XLOOKUP(A2807,[1]!DadosGHD[CD_GEOCMU],[1]!DadosGHD[MUNICIPIO])</f>
        <v>MIRIM DOCE</v>
      </c>
      <c r="F2807" s="6">
        <v>38.697933197021499</v>
      </c>
      <c r="G2807" s="6">
        <v>48.7720336914063</v>
      </c>
      <c r="H2807" s="6">
        <v>48.817169189453097</v>
      </c>
      <c r="I2807" s="6">
        <v>48.764522552490199</v>
      </c>
      <c r="J2807" s="6">
        <v>48.819328308105497</v>
      </c>
      <c r="K2807" s="6">
        <v>53.8200073242188</v>
      </c>
      <c r="L2807" s="6">
        <v>44.028453826904297</v>
      </c>
    </row>
    <row r="2808" spans="1:12" x14ac:dyDescent="0.25">
      <c r="A2808">
        <v>2915809</v>
      </c>
      <c r="B2808" t="str">
        <f t="shared" si="43"/>
        <v>ITAMBE, BA, Brasil</v>
      </c>
      <c r="C2808" s="4" t="str">
        <f>_xlfn.XLOOKUP(A2808,[1]!DadosGHD[CD_GEOCMU],[1]!DadosGHD[Região])</f>
        <v>NE</v>
      </c>
      <c r="D2808" s="4" t="str">
        <f>_xlfn.XLOOKUP(A2808,[1]!DadosGHD[CD_GEOCMU],[1]!DadosGHD[uf])</f>
        <v>BA</v>
      </c>
      <c r="E2808" s="5" t="str">
        <f>_xlfn.XLOOKUP(A2808,[1]!DadosGHD[CD_GEOCMU],[1]!DadosGHD[MUNICIPIO])</f>
        <v>ITAMBE</v>
      </c>
      <c r="F2808" s="6">
        <v>38.698200225830099</v>
      </c>
      <c r="G2808" s="6">
        <v>38.728912353515597</v>
      </c>
      <c r="H2808" s="6">
        <v>38.7858695983887</v>
      </c>
      <c r="I2808" s="6">
        <v>38.752647399902301</v>
      </c>
      <c r="J2808" s="6">
        <v>38.755855560302699</v>
      </c>
      <c r="K2808" s="6">
        <v>38.833934783935597</v>
      </c>
      <c r="L2808" s="6">
        <v>30.698347091674801</v>
      </c>
    </row>
    <row r="2809" spans="1:12" x14ac:dyDescent="0.25">
      <c r="A2809">
        <v>2931350</v>
      </c>
      <c r="B2809" t="str">
        <f t="shared" si="43"/>
        <v>TEIXEIRA DE FREITAS, BA, Brasil</v>
      </c>
      <c r="C2809" s="4" t="str">
        <f>_xlfn.XLOOKUP(A2809,[1]!DadosGHD[CD_GEOCMU],[1]!DadosGHD[Região])</f>
        <v>NE</v>
      </c>
      <c r="D2809" s="4" t="str">
        <f>_xlfn.XLOOKUP(A2809,[1]!DadosGHD[CD_GEOCMU],[1]!DadosGHD[uf])</f>
        <v>BA</v>
      </c>
      <c r="E2809" s="5" t="str">
        <f>_xlfn.XLOOKUP(A2809,[1]!DadosGHD[CD_GEOCMU],[1]!DadosGHD[MUNICIPIO])</f>
        <v>TEIXEIRA DE FREITAS</v>
      </c>
      <c r="F2809" s="6">
        <v>38.698200225830099</v>
      </c>
      <c r="G2809" s="6">
        <v>43.666336059570298</v>
      </c>
      <c r="H2809" s="6">
        <v>43.732383728027301</v>
      </c>
      <c r="I2809" s="6">
        <v>43.697059631347699</v>
      </c>
      <c r="J2809" s="6">
        <v>43.7164916992188</v>
      </c>
      <c r="K2809" s="6">
        <v>38.875545501708999</v>
      </c>
      <c r="L2809" s="6">
        <v>44.043083190917997</v>
      </c>
    </row>
    <row r="2810" spans="1:12" x14ac:dyDescent="0.25">
      <c r="A2810">
        <v>2210003</v>
      </c>
      <c r="B2810" t="str">
        <f t="shared" si="43"/>
        <v>SAO JOAO DO PIAUI, PI, Brasil</v>
      </c>
      <c r="C2810" s="4" t="str">
        <f>_xlfn.XLOOKUP(A2810,[1]!DadosGHD[CD_GEOCMU],[1]!DadosGHD[Região])</f>
        <v>NE</v>
      </c>
      <c r="D2810" s="4" t="str">
        <f>_xlfn.XLOOKUP(A2810,[1]!DadosGHD[CD_GEOCMU],[1]!DadosGHD[uf])</f>
        <v>PI</v>
      </c>
      <c r="E2810" s="5" t="str">
        <f>_xlfn.XLOOKUP(A2810,[1]!DadosGHD[CD_GEOCMU],[1]!DadosGHD[MUNICIPIO])</f>
        <v>SAO JOAO DO PIAUI</v>
      </c>
      <c r="F2810" s="6">
        <v>38.698257446289098</v>
      </c>
      <c r="G2810" s="6">
        <v>38.766349792480497</v>
      </c>
      <c r="H2810" s="6">
        <v>38.819705963134801</v>
      </c>
      <c r="I2810" s="6">
        <v>38.810390472412102</v>
      </c>
      <c r="J2810" s="6">
        <v>38.842048645019503</v>
      </c>
      <c r="K2810" s="6">
        <v>38.877490997314503</v>
      </c>
      <c r="L2810" s="6">
        <v>30.709802627563501</v>
      </c>
    </row>
    <row r="2811" spans="1:12" x14ac:dyDescent="0.25">
      <c r="A2811">
        <v>4312625</v>
      </c>
      <c r="B2811" t="str">
        <f t="shared" si="43"/>
        <v>MULITERNO, RS, Brasil</v>
      </c>
      <c r="C2811" s="4" t="str">
        <f>_xlfn.XLOOKUP(A2811,[1]!DadosGHD[CD_GEOCMU],[1]!DadosGHD[Região])</f>
        <v>SL</v>
      </c>
      <c r="D2811" s="4" t="str">
        <f>_xlfn.XLOOKUP(A2811,[1]!DadosGHD[CD_GEOCMU],[1]!DadosGHD[uf])</f>
        <v>RS</v>
      </c>
      <c r="E2811" s="5" t="str">
        <f>_xlfn.XLOOKUP(A2811,[1]!DadosGHD[CD_GEOCMU],[1]!DadosGHD[MUNICIPIO])</f>
        <v>MULITERNO</v>
      </c>
      <c r="F2811" s="6">
        <v>38.698398590087898</v>
      </c>
      <c r="G2811" s="6">
        <v>48.6546630859375</v>
      </c>
      <c r="H2811" s="6">
        <v>48.753181457519503</v>
      </c>
      <c r="I2811" s="6">
        <v>48.740398406982401</v>
      </c>
      <c r="J2811" s="6">
        <v>48.722862243652301</v>
      </c>
      <c r="K2811" s="6">
        <v>48.808536529541001</v>
      </c>
      <c r="L2811" s="6">
        <v>48.498805999755902</v>
      </c>
    </row>
    <row r="2812" spans="1:12" x14ac:dyDescent="0.25">
      <c r="A2812">
        <v>1705607</v>
      </c>
      <c r="B2812" t="str">
        <f t="shared" si="43"/>
        <v>CONCEICAO DO TOCANTINS, TO, Brasil</v>
      </c>
      <c r="C2812" s="4" t="str">
        <f>_xlfn.XLOOKUP(A2812,[1]!DadosGHD[CD_GEOCMU],[1]!DadosGHD[Região])</f>
        <v>NO</v>
      </c>
      <c r="D2812" s="4" t="str">
        <f>_xlfn.XLOOKUP(A2812,[1]!DadosGHD[CD_GEOCMU],[1]!DadosGHD[uf])</f>
        <v>TO</v>
      </c>
      <c r="E2812" s="5" t="str">
        <f>_xlfn.XLOOKUP(A2812,[1]!DadosGHD[CD_GEOCMU],[1]!DadosGHD[MUNICIPIO])</f>
        <v>CONCEICAO DO TOCANTINS</v>
      </c>
      <c r="F2812" s="6">
        <v>38.698451995849602</v>
      </c>
      <c r="G2812" s="6">
        <v>38.752254486083999</v>
      </c>
      <c r="H2812" s="6">
        <v>38.793243408203097</v>
      </c>
      <c r="I2812" s="6">
        <v>38.765892028808601</v>
      </c>
      <c r="J2812" s="6">
        <v>38.788463592529297</v>
      </c>
      <c r="K2812" s="6">
        <v>38.815422058105497</v>
      </c>
      <c r="L2812" s="6">
        <v>39.580249786377003</v>
      </c>
    </row>
    <row r="2813" spans="1:12" x14ac:dyDescent="0.25">
      <c r="A2813">
        <v>3301603</v>
      </c>
      <c r="B2813" t="str">
        <f t="shared" si="43"/>
        <v>DUAS BARRAS, RJ, Brasil</v>
      </c>
      <c r="C2813" s="4" t="str">
        <f>_xlfn.XLOOKUP(A2813,[1]!DadosGHD[CD_GEOCMU],[1]!DadosGHD[Região])</f>
        <v>SD</v>
      </c>
      <c r="D2813" s="4" t="str">
        <f>_xlfn.XLOOKUP(A2813,[1]!DadosGHD[CD_GEOCMU],[1]!DadosGHD[uf])</f>
        <v>RJ</v>
      </c>
      <c r="E2813" s="5" t="str">
        <f>_xlfn.XLOOKUP(A2813,[1]!DadosGHD[CD_GEOCMU],[1]!DadosGHD[MUNICIPIO])</f>
        <v>DUAS BARRAS</v>
      </c>
      <c r="F2813" s="6">
        <v>38.698532104492202</v>
      </c>
      <c r="G2813" s="6">
        <v>38.764076232910199</v>
      </c>
      <c r="H2813" s="6">
        <v>43.748157501220703</v>
      </c>
      <c r="I2813" s="6">
        <v>43.690750122070298</v>
      </c>
      <c r="J2813" s="6">
        <v>38.8089408874512</v>
      </c>
      <c r="K2813" s="6">
        <v>43.817897796630902</v>
      </c>
      <c r="L2813" s="6">
        <v>39.586456298828097</v>
      </c>
    </row>
    <row r="2814" spans="1:12" x14ac:dyDescent="0.25">
      <c r="A2814">
        <v>3118908</v>
      </c>
      <c r="B2814" t="str">
        <f t="shared" si="43"/>
        <v>CORDISBURGO, MG, Brasil</v>
      </c>
      <c r="C2814" s="4" t="str">
        <f>_xlfn.XLOOKUP(A2814,[1]!DadosGHD[CD_GEOCMU],[1]!DadosGHD[Região])</f>
        <v>SD</v>
      </c>
      <c r="D2814" s="4" t="str">
        <f>_xlfn.XLOOKUP(A2814,[1]!DadosGHD[CD_GEOCMU],[1]!DadosGHD[uf])</f>
        <v>MG</v>
      </c>
      <c r="E2814" s="5" t="str">
        <f>_xlfn.XLOOKUP(A2814,[1]!DadosGHD[CD_GEOCMU],[1]!DadosGHD[MUNICIPIO])</f>
        <v>CORDISBURGO</v>
      </c>
      <c r="F2814" s="6">
        <v>38.698539733886697</v>
      </c>
      <c r="G2814" s="6">
        <v>38.7862358093262</v>
      </c>
      <c r="H2814" s="6">
        <v>38.786003112792997</v>
      </c>
      <c r="I2814" s="6">
        <v>38.763698577880902</v>
      </c>
      <c r="J2814" s="6">
        <v>38.774833679199197</v>
      </c>
      <c r="K2814" s="6">
        <v>38.817676544189503</v>
      </c>
      <c r="L2814" s="6">
        <v>44.069869995117202</v>
      </c>
    </row>
    <row r="2815" spans="1:12" x14ac:dyDescent="0.25">
      <c r="A2815">
        <v>2911105</v>
      </c>
      <c r="B2815" t="str">
        <f t="shared" si="43"/>
        <v>FORMOSA DO RIO PRETO, BA, Brasil</v>
      </c>
      <c r="C2815" s="4" t="str">
        <f>_xlfn.XLOOKUP(A2815,[1]!DadosGHD[CD_GEOCMU],[1]!DadosGHD[Região])</f>
        <v>NE</v>
      </c>
      <c r="D2815" s="4" t="str">
        <f>_xlfn.XLOOKUP(A2815,[1]!DadosGHD[CD_GEOCMU],[1]!DadosGHD[uf])</f>
        <v>BA</v>
      </c>
      <c r="E2815" s="5" t="str">
        <f>_xlfn.XLOOKUP(A2815,[1]!DadosGHD[CD_GEOCMU],[1]!DadosGHD[MUNICIPIO])</f>
        <v>FORMOSA DO RIO PRETO</v>
      </c>
      <c r="F2815" s="6">
        <v>38.698936462402301</v>
      </c>
      <c r="G2815" s="6">
        <v>38.766651153564503</v>
      </c>
      <c r="H2815" s="6">
        <v>38.806358337402301</v>
      </c>
      <c r="I2815" s="6">
        <v>38.762229919433601</v>
      </c>
      <c r="J2815" s="6">
        <v>38.796104431152301</v>
      </c>
      <c r="K2815" s="6">
        <v>38.842399597167997</v>
      </c>
      <c r="L2815" s="6">
        <v>35.148960113525398</v>
      </c>
    </row>
    <row r="2816" spans="1:12" x14ac:dyDescent="0.25">
      <c r="A2816">
        <v>3162955</v>
      </c>
      <c r="B2816" t="str">
        <f t="shared" si="43"/>
        <v>SAO JOSE DA LAPA, MG, Brasil</v>
      </c>
      <c r="C2816" s="4" t="str">
        <f>_xlfn.XLOOKUP(A2816,[1]!DadosGHD[CD_GEOCMU],[1]!DadosGHD[Região])</f>
        <v>SD</v>
      </c>
      <c r="D2816" s="4" t="str">
        <f>_xlfn.XLOOKUP(A2816,[1]!DadosGHD[CD_GEOCMU],[1]!DadosGHD[uf])</f>
        <v>MG</v>
      </c>
      <c r="E2816" s="5" t="str">
        <f>_xlfn.XLOOKUP(A2816,[1]!DadosGHD[CD_GEOCMU],[1]!DadosGHD[MUNICIPIO])</f>
        <v>SAO JOSE DA LAPA</v>
      </c>
      <c r="F2816" s="6">
        <v>38.699024200439503</v>
      </c>
      <c r="G2816" s="6">
        <v>38.768699645996101</v>
      </c>
      <c r="H2816" s="6">
        <v>38.835330963134801</v>
      </c>
      <c r="I2816" s="6">
        <v>43.696144104003899</v>
      </c>
      <c r="J2816" s="6">
        <v>38.840358734130902</v>
      </c>
      <c r="K2816" s="6">
        <v>43.867908477783203</v>
      </c>
      <c r="L2816" s="6">
        <v>48.528224945068402</v>
      </c>
    </row>
    <row r="2817" spans="1:12" x14ac:dyDescent="0.25">
      <c r="A2817">
        <v>3515707</v>
      </c>
      <c r="B2817" t="str">
        <f t="shared" si="43"/>
        <v>FERRAZ DE VASCONCELOS, SP, Brasil</v>
      </c>
      <c r="C2817" s="4" t="str">
        <f>_xlfn.XLOOKUP(A2817,[1]!DadosGHD[CD_GEOCMU],[1]!DadosGHD[Região])</f>
        <v>SD</v>
      </c>
      <c r="D2817" s="4" t="str">
        <f>_xlfn.XLOOKUP(A2817,[1]!DadosGHD[CD_GEOCMU],[1]!DadosGHD[uf])</f>
        <v>SP</v>
      </c>
      <c r="E2817" s="5" t="str">
        <f>_xlfn.XLOOKUP(A2817,[1]!DadosGHD[CD_GEOCMU],[1]!DadosGHD[MUNICIPIO])</f>
        <v>FERRAZ DE VASCONCELOS</v>
      </c>
      <c r="F2817" s="6">
        <v>38.699085235595703</v>
      </c>
      <c r="G2817" s="6">
        <v>38.779407501220703</v>
      </c>
      <c r="H2817" s="6">
        <v>38.792442321777301</v>
      </c>
      <c r="I2817" s="6">
        <v>38.745498657226598</v>
      </c>
      <c r="J2817" s="6">
        <v>38.744747161865199</v>
      </c>
      <c r="K2817" s="6">
        <v>38.779861450195298</v>
      </c>
      <c r="L2817" s="6">
        <v>39.563156127929702</v>
      </c>
    </row>
    <row r="2818" spans="1:12" x14ac:dyDescent="0.25">
      <c r="A2818">
        <v>2206001</v>
      </c>
      <c r="B2818" t="str">
        <f t="shared" si="43"/>
        <v>MARCOS PARENTE, PI, Brasil</v>
      </c>
      <c r="C2818" s="4" t="str">
        <f>_xlfn.XLOOKUP(A2818,[1]!DadosGHD[CD_GEOCMU],[1]!DadosGHD[Região])</f>
        <v>NE</v>
      </c>
      <c r="D2818" s="4" t="str">
        <f>_xlfn.XLOOKUP(A2818,[1]!DadosGHD[CD_GEOCMU],[1]!DadosGHD[uf])</f>
        <v>PI</v>
      </c>
      <c r="E2818" s="5" t="str">
        <f>_xlfn.XLOOKUP(A2818,[1]!DadosGHD[CD_GEOCMU],[1]!DadosGHD[MUNICIPIO])</f>
        <v>MARCOS PARENTE</v>
      </c>
      <c r="F2818" s="6">
        <v>38.699195861816399</v>
      </c>
      <c r="G2818" s="6">
        <v>38.729953765869098</v>
      </c>
      <c r="H2818" s="6">
        <v>38.764919281005902</v>
      </c>
      <c r="I2818" s="6">
        <v>38.727729797363303</v>
      </c>
      <c r="J2818" s="6">
        <v>38.763397216796903</v>
      </c>
      <c r="K2818" s="6">
        <v>38.798591613769503</v>
      </c>
      <c r="L2818" s="6">
        <v>26.2945041656494</v>
      </c>
    </row>
    <row r="2819" spans="1:12" x14ac:dyDescent="0.25">
      <c r="A2819">
        <v>4117057</v>
      </c>
      <c r="B2819" t="str">
        <f t="shared" si="43"/>
        <v>NOVA LARANJEIRAS, PR, Brasil</v>
      </c>
      <c r="C2819" s="4" t="str">
        <f>_xlfn.XLOOKUP(A2819,[1]!DadosGHD[CD_GEOCMU],[1]!DadosGHD[Região])</f>
        <v>SL</v>
      </c>
      <c r="D2819" s="4" t="str">
        <f>_xlfn.XLOOKUP(A2819,[1]!DadosGHD[CD_GEOCMU],[1]!DadosGHD[uf])</f>
        <v>PR</v>
      </c>
      <c r="E2819" s="5" t="str">
        <f>_xlfn.XLOOKUP(A2819,[1]!DadosGHD[CD_GEOCMU],[1]!DadosGHD[MUNICIPIO])</f>
        <v>NOVA LARANJEIRAS</v>
      </c>
      <c r="F2819" s="6">
        <v>38.699287414550803</v>
      </c>
      <c r="G2819" s="6">
        <v>43.687774658203097</v>
      </c>
      <c r="H2819" s="6">
        <v>43.751144409179702</v>
      </c>
      <c r="I2819" s="6">
        <v>43.7132377624512</v>
      </c>
      <c r="J2819" s="6">
        <v>48.70361328125</v>
      </c>
      <c r="K2819" s="6">
        <v>43.858280181884801</v>
      </c>
      <c r="L2819" s="6">
        <v>35.139663696289098</v>
      </c>
    </row>
    <row r="2820" spans="1:12" x14ac:dyDescent="0.25">
      <c r="A2820">
        <v>2612000</v>
      </c>
      <c r="B2820" t="str">
        <f t="shared" ref="B2820:B2883" si="44">_xlfn.CONCAT(E2820, ", ", D2820, ", Brasil")</f>
        <v>SAIRE, PE, Brasil</v>
      </c>
      <c r="C2820" s="4" t="str">
        <f>_xlfn.XLOOKUP(A2820,[1]!DadosGHD[CD_GEOCMU],[1]!DadosGHD[Região])</f>
        <v>NE</v>
      </c>
      <c r="D2820" s="4" t="str">
        <f>_xlfn.XLOOKUP(A2820,[1]!DadosGHD[CD_GEOCMU],[1]!DadosGHD[uf])</f>
        <v>PE</v>
      </c>
      <c r="E2820" s="5" t="str">
        <f>_xlfn.XLOOKUP(A2820,[1]!DadosGHD[CD_GEOCMU],[1]!DadosGHD[MUNICIPIO])</f>
        <v>SAIRE</v>
      </c>
      <c r="F2820" s="6">
        <v>38.699375152587898</v>
      </c>
      <c r="G2820" s="6">
        <v>38.700839996337898</v>
      </c>
      <c r="H2820" s="6">
        <v>38.755855560302699</v>
      </c>
      <c r="I2820" s="6">
        <v>38.791793823242202</v>
      </c>
      <c r="J2820" s="6">
        <v>43.768974304199197</v>
      </c>
      <c r="K2820" s="6">
        <v>43.836906433105497</v>
      </c>
      <c r="L2820" s="6">
        <v>44.072685241699197</v>
      </c>
    </row>
    <row r="2821" spans="1:12" x14ac:dyDescent="0.25">
      <c r="A2821">
        <v>3108552</v>
      </c>
      <c r="B2821" t="str">
        <f t="shared" si="44"/>
        <v>BRASILANDIA DE MINAS, MG, Brasil</v>
      </c>
      <c r="C2821" s="4" t="str">
        <f>_xlfn.XLOOKUP(A2821,[1]!DadosGHD[CD_GEOCMU],[1]!DadosGHD[Região])</f>
        <v>SD</v>
      </c>
      <c r="D2821" s="4" t="str">
        <f>_xlfn.XLOOKUP(A2821,[1]!DadosGHD[CD_GEOCMU],[1]!DadosGHD[uf])</f>
        <v>MG</v>
      </c>
      <c r="E2821" s="5" t="str">
        <f>_xlfn.XLOOKUP(A2821,[1]!DadosGHD[CD_GEOCMU],[1]!DadosGHD[MUNICIPIO])</f>
        <v>BRASILANDIA DE MINAS</v>
      </c>
      <c r="F2821" s="6">
        <v>38.6995239257813</v>
      </c>
      <c r="G2821" s="6">
        <v>38.786075592041001</v>
      </c>
      <c r="H2821" s="6">
        <v>38.8367919921875</v>
      </c>
      <c r="I2821" s="6">
        <v>38.812416076660199</v>
      </c>
      <c r="J2821" s="6">
        <v>38.827301025390597</v>
      </c>
      <c r="K2821" s="6">
        <v>38.866863250732401</v>
      </c>
      <c r="L2821" s="6">
        <v>39.5722465515137</v>
      </c>
    </row>
    <row r="2822" spans="1:12" x14ac:dyDescent="0.25">
      <c r="A2822">
        <v>3168002</v>
      </c>
      <c r="B2822" t="str">
        <f t="shared" si="44"/>
        <v>TAIOBEIRAS, MG, Brasil</v>
      </c>
      <c r="C2822" s="4" t="str">
        <f>_xlfn.XLOOKUP(A2822,[1]!DadosGHD[CD_GEOCMU],[1]!DadosGHD[Região])</f>
        <v>SD</v>
      </c>
      <c r="D2822" s="4" t="str">
        <f>_xlfn.XLOOKUP(A2822,[1]!DadosGHD[CD_GEOCMU],[1]!DadosGHD[uf])</f>
        <v>MG</v>
      </c>
      <c r="E2822" s="5" t="str">
        <f>_xlfn.XLOOKUP(A2822,[1]!DadosGHD[CD_GEOCMU],[1]!DadosGHD[MUNICIPIO])</f>
        <v>TAIOBEIRAS</v>
      </c>
      <c r="F2822" s="6">
        <v>38.699684143066399</v>
      </c>
      <c r="G2822" s="6">
        <v>43.650524139404297</v>
      </c>
      <c r="H2822" s="6">
        <v>38.8276557922363</v>
      </c>
      <c r="I2822" s="6">
        <v>38.803642272949197</v>
      </c>
      <c r="J2822" s="6">
        <v>43.7278861999512</v>
      </c>
      <c r="K2822" s="6">
        <v>43.776882171630902</v>
      </c>
      <c r="L2822" s="6">
        <v>44.022628784179702</v>
      </c>
    </row>
    <row r="2823" spans="1:12" x14ac:dyDescent="0.25">
      <c r="A2823">
        <v>3514205</v>
      </c>
      <c r="B2823" t="str">
        <f t="shared" si="44"/>
        <v>DOLCINOPOLIS, SP, Brasil</v>
      </c>
      <c r="C2823" s="4" t="str">
        <f>_xlfn.XLOOKUP(A2823,[1]!DadosGHD[CD_GEOCMU],[1]!DadosGHD[Região])</f>
        <v>SD</v>
      </c>
      <c r="D2823" s="4" t="str">
        <f>_xlfn.XLOOKUP(A2823,[1]!DadosGHD[CD_GEOCMU],[1]!DadosGHD[uf])</f>
        <v>SP</v>
      </c>
      <c r="E2823" s="5" t="str">
        <f>_xlfn.XLOOKUP(A2823,[1]!DadosGHD[CD_GEOCMU],[1]!DadosGHD[MUNICIPIO])</f>
        <v>DOLCINOPOLIS</v>
      </c>
      <c r="F2823" s="6">
        <v>38.699806213378899</v>
      </c>
      <c r="G2823" s="6">
        <v>43.664794921875</v>
      </c>
      <c r="H2823" s="6">
        <v>43.744449615478501</v>
      </c>
      <c r="I2823" s="6">
        <v>43.707267761230497</v>
      </c>
      <c r="J2823" s="6">
        <v>38.828697204589801</v>
      </c>
      <c r="K2823" s="6">
        <v>38.842903137207003</v>
      </c>
      <c r="L2823" s="6">
        <v>35.120914459228501</v>
      </c>
    </row>
    <row r="2824" spans="1:12" x14ac:dyDescent="0.25">
      <c r="A2824">
        <v>2207801</v>
      </c>
      <c r="B2824" t="str">
        <f t="shared" si="44"/>
        <v>PAULISTANA, PI, Brasil</v>
      </c>
      <c r="C2824" s="4" t="str">
        <f>_xlfn.XLOOKUP(A2824,[1]!DadosGHD[CD_GEOCMU],[1]!DadosGHD[Região])</f>
        <v>NE</v>
      </c>
      <c r="D2824" s="4" t="str">
        <f>_xlfn.XLOOKUP(A2824,[1]!DadosGHD[CD_GEOCMU],[1]!DadosGHD[uf])</f>
        <v>PI</v>
      </c>
      <c r="E2824" s="5" t="str">
        <f>_xlfn.XLOOKUP(A2824,[1]!DadosGHD[CD_GEOCMU],[1]!DadosGHD[MUNICIPIO])</f>
        <v>PAULISTANA</v>
      </c>
      <c r="F2824" s="6">
        <v>38.700431823730497</v>
      </c>
      <c r="G2824" s="6">
        <v>38.758857727050803</v>
      </c>
      <c r="H2824" s="6">
        <v>38.797080993652301</v>
      </c>
      <c r="I2824" s="6">
        <v>38.806541442871101</v>
      </c>
      <c r="J2824" s="6">
        <v>43.786140441894503</v>
      </c>
      <c r="K2824" s="6">
        <v>43.857334136962898</v>
      </c>
      <c r="L2824" s="6">
        <v>35.1465454101563</v>
      </c>
    </row>
    <row r="2825" spans="1:12" x14ac:dyDescent="0.25">
      <c r="A2825">
        <v>4300505</v>
      </c>
      <c r="B2825" t="str">
        <f t="shared" si="44"/>
        <v>ALPESTRE, RS, Brasil</v>
      </c>
      <c r="C2825" s="4" t="str">
        <f>_xlfn.XLOOKUP(A2825,[1]!DadosGHD[CD_GEOCMU],[1]!DadosGHD[Região])</f>
        <v>SL</v>
      </c>
      <c r="D2825" s="4" t="str">
        <f>_xlfn.XLOOKUP(A2825,[1]!DadosGHD[CD_GEOCMU],[1]!DadosGHD[uf])</f>
        <v>RS</v>
      </c>
      <c r="E2825" s="5" t="str">
        <f>_xlfn.XLOOKUP(A2825,[1]!DadosGHD[CD_GEOCMU],[1]!DadosGHD[MUNICIPIO])</f>
        <v>ALPESTRE</v>
      </c>
      <c r="F2825" s="6">
        <v>38.700538635253899</v>
      </c>
      <c r="G2825" s="6">
        <v>43.679393768310597</v>
      </c>
      <c r="H2825" s="6">
        <v>43.835090637207003</v>
      </c>
      <c r="I2825" s="6">
        <v>48.700862884521499</v>
      </c>
      <c r="J2825" s="6">
        <v>53.815376281738303</v>
      </c>
      <c r="K2825" s="6">
        <v>53.970989227294901</v>
      </c>
      <c r="L2825" s="6">
        <v>52.978935241699197</v>
      </c>
    </row>
    <row r="2826" spans="1:12" x14ac:dyDescent="0.25">
      <c r="A2826">
        <v>4118303</v>
      </c>
      <c r="B2826" t="str">
        <f t="shared" si="44"/>
        <v>PARANAPOEMA, PR, Brasil</v>
      </c>
      <c r="C2826" s="4" t="str">
        <f>_xlfn.XLOOKUP(A2826,[1]!DadosGHD[CD_GEOCMU],[1]!DadosGHD[Região])</f>
        <v>SL</v>
      </c>
      <c r="D2826" s="4" t="str">
        <f>_xlfn.XLOOKUP(A2826,[1]!DadosGHD[CD_GEOCMU],[1]!DadosGHD[uf])</f>
        <v>PR</v>
      </c>
      <c r="E2826" s="5" t="str">
        <f>_xlfn.XLOOKUP(A2826,[1]!DadosGHD[CD_GEOCMU],[1]!DadosGHD[MUNICIPIO])</f>
        <v>PARANAPOEMA</v>
      </c>
      <c r="F2826" s="6">
        <v>38.7005424499512</v>
      </c>
      <c r="G2826" s="6">
        <v>43.755874633789098</v>
      </c>
      <c r="H2826" s="6">
        <v>33.8936576843262</v>
      </c>
      <c r="I2826" s="6">
        <v>38.723850250244098</v>
      </c>
      <c r="J2826" s="6">
        <v>33.891021728515597</v>
      </c>
      <c r="K2826" s="6">
        <v>33.912208557128899</v>
      </c>
      <c r="L2826" s="6">
        <v>35.145671844482401</v>
      </c>
    </row>
    <row r="2827" spans="1:12" x14ac:dyDescent="0.25">
      <c r="A2827">
        <v>5203575</v>
      </c>
      <c r="B2827" t="str">
        <f t="shared" si="44"/>
        <v>BONOPOLIS, GO, Brasil</v>
      </c>
      <c r="C2827" s="4" t="str">
        <f>_xlfn.XLOOKUP(A2827,[1]!DadosGHD[CD_GEOCMU],[1]!DadosGHD[Região])</f>
        <v>CO</v>
      </c>
      <c r="D2827" s="4" t="str">
        <f>_xlfn.XLOOKUP(A2827,[1]!DadosGHD[CD_GEOCMU],[1]!DadosGHD[uf])</f>
        <v>GO</v>
      </c>
      <c r="E2827" s="5" t="str">
        <f>_xlfn.XLOOKUP(A2827,[1]!DadosGHD[CD_GEOCMU],[1]!DadosGHD[MUNICIPIO])</f>
        <v>BONOPOLIS</v>
      </c>
      <c r="F2827" s="6">
        <v>38.700634002685597</v>
      </c>
      <c r="G2827" s="6">
        <v>38.746097564697301</v>
      </c>
      <c r="H2827" s="6">
        <v>38.781993865966797</v>
      </c>
      <c r="I2827" s="6">
        <v>38.772899627685597</v>
      </c>
      <c r="J2827" s="6">
        <v>38.789962768554702</v>
      </c>
      <c r="K2827" s="6">
        <v>38.805339813232401</v>
      </c>
      <c r="L2827" s="6">
        <v>39.565353393554702</v>
      </c>
    </row>
    <row r="2828" spans="1:12" x14ac:dyDescent="0.25">
      <c r="A2828">
        <v>4304200</v>
      </c>
      <c r="B2828" t="str">
        <f t="shared" si="44"/>
        <v>CANDELARIA, RS, Brasil</v>
      </c>
      <c r="C2828" s="4" t="str">
        <f>_xlfn.XLOOKUP(A2828,[1]!DadosGHD[CD_GEOCMU],[1]!DadosGHD[Região])</f>
        <v>SL</v>
      </c>
      <c r="D2828" s="4" t="str">
        <f>_xlfn.XLOOKUP(A2828,[1]!DadosGHD[CD_GEOCMU],[1]!DadosGHD[uf])</f>
        <v>RS</v>
      </c>
      <c r="E2828" s="5" t="str">
        <f>_xlfn.XLOOKUP(A2828,[1]!DadosGHD[CD_GEOCMU],[1]!DadosGHD[MUNICIPIO])</f>
        <v>CANDELARIA</v>
      </c>
      <c r="F2828" s="6">
        <v>38.700675964355497</v>
      </c>
      <c r="G2828" s="6">
        <v>38.785434722900398</v>
      </c>
      <c r="H2828" s="6">
        <v>38.837856292724602</v>
      </c>
      <c r="I2828" s="6">
        <v>43.777519226074197</v>
      </c>
      <c r="J2828" s="6">
        <v>48.718029022216797</v>
      </c>
      <c r="K2828" s="6">
        <v>53.885398864746101</v>
      </c>
      <c r="L2828" s="6">
        <v>57.526191711425803</v>
      </c>
    </row>
    <row r="2829" spans="1:12" x14ac:dyDescent="0.25">
      <c r="A2829">
        <v>4121505</v>
      </c>
      <c r="B2829" t="str">
        <f t="shared" si="44"/>
        <v>REBOUCAS, PR, Brasil</v>
      </c>
      <c r="C2829" s="4" t="str">
        <f>_xlfn.XLOOKUP(A2829,[1]!DadosGHD[CD_GEOCMU],[1]!DadosGHD[Região])</f>
        <v>SL</v>
      </c>
      <c r="D2829" s="4" t="str">
        <f>_xlfn.XLOOKUP(A2829,[1]!DadosGHD[CD_GEOCMU],[1]!DadosGHD[uf])</f>
        <v>PR</v>
      </c>
      <c r="E2829" s="5" t="str">
        <f>_xlfn.XLOOKUP(A2829,[1]!DadosGHD[CD_GEOCMU],[1]!DadosGHD[MUNICIPIO])</f>
        <v>REBOUCAS</v>
      </c>
      <c r="F2829" s="6">
        <v>38.700859069824197</v>
      </c>
      <c r="G2829" s="6">
        <v>43.6846313476563</v>
      </c>
      <c r="H2829" s="6">
        <v>43.730064392089801</v>
      </c>
      <c r="I2829" s="6">
        <v>43.737396240234403</v>
      </c>
      <c r="J2829" s="6">
        <v>43.766628265380902</v>
      </c>
      <c r="K2829" s="6">
        <v>43.796230316162102</v>
      </c>
      <c r="L2829" s="6">
        <v>39.580062866210902</v>
      </c>
    </row>
    <row r="2830" spans="1:12" x14ac:dyDescent="0.25">
      <c r="A2830">
        <v>3204906</v>
      </c>
      <c r="B2830" t="str">
        <f t="shared" si="44"/>
        <v>SAO MATEUS, ES, Brasil</v>
      </c>
      <c r="C2830" s="4" t="str">
        <f>_xlfn.XLOOKUP(A2830,[1]!DadosGHD[CD_GEOCMU],[1]!DadosGHD[Região])</f>
        <v>SD</v>
      </c>
      <c r="D2830" s="4" t="str">
        <f>_xlfn.XLOOKUP(A2830,[1]!DadosGHD[CD_GEOCMU],[1]!DadosGHD[uf])</f>
        <v>ES</v>
      </c>
      <c r="E2830" s="5" t="str">
        <f>_xlfn.XLOOKUP(A2830,[1]!DadosGHD[CD_GEOCMU],[1]!DadosGHD[MUNICIPIO])</f>
        <v>SAO MATEUS</v>
      </c>
      <c r="F2830" s="6">
        <v>38.700950622558601</v>
      </c>
      <c r="G2830" s="6">
        <v>38.747291564941399</v>
      </c>
      <c r="H2830" s="6">
        <v>38.779140472412102</v>
      </c>
      <c r="I2830" s="6">
        <v>38.746673583984403</v>
      </c>
      <c r="J2830" s="6">
        <v>38.7568168640137</v>
      </c>
      <c r="K2830" s="6">
        <v>38.831256866455099</v>
      </c>
      <c r="L2830" s="6">
        <v>39.596691131591797</v>
      </c>
    </row>
    <row r="2831" spans="1:12" x14ac:dyDescent="0.25">
      <c r="A2831">
        <v>3504701</v>
      </c>
      <c r="B2831" t="str">
        <f t="shared" si="44"/>
        <v>BALBINOS, SP, Brasil</v>
      </c>
      <c r="C2831" s="4" t="str">
        <f>_xlfn.XLOOKUP(A2831,[1]!DadosGHD[CD_GEOCMU],[1]!DadosGHD[Região])</f>
        <v>SD</v>
      </c>
      <c r="D2831" s="4" t="str">
        <f>_xlfn.XLOOKUP(A2831,[1]!DadosGHD[CD_GEOCMU],[1]!DadosGHD[uf])</f>
        <v>SP</v>
      </c>
      <c r="E2831" s="5" t="str">
        <f>_xlfn.XLOOKUP(A2831,[1]!DadosGHD[CD_GEOCMU],[1]!DadosGHD[MUNICIPIO])</f>
        <v>BALBINOS</v>
      </c>
      <c r="F2831" s="6">
        <v>38.701015472412102</v>
      </c>
      <c r="G2831" s="6">
        <v>38.727619171142599</v>
      </c>
      <c r="H2831" s="6">
        <v>38.761058807373097</v>
      </c>
      <c r="I2831" s="6">
        <v>38.722007751464801</v>
      </c>
      <c r="J2831" s="6">
        <v>38.767127990722699</v>
      </c>
      <c r="K2831" s="6">
        <v>38.780551910400398</v>
      </c>
      <c r="L2831" s="6">
        <v>39.590660095214801</v>
      </c>
    </row>
    <row r="2832" spans="1:12" x14ac:dyDescent="0.25">
      <c r="A2832">
        <v>2501104</v>
      </c>
      <c r="B2832" t="str">
        <f t="shared" si="44"/>
        <v>AREIA, PB, Brasil</v>
      </c>
      <c r="C2832" s="4" t="str">
        <f>_xlfn.XLOOKUP(A2832,[1]!DadosGHD[CD_GEOCMU],[1]!DadosGHD[Região])</f>
        <v>NE</v>
      </c>
      <c r="D2832" s="4" t="str">
        <f>_xlfn.XLOOKUP(A2832,[1]!DadosGHD[CD_GEOCMU],[1]!DadosGHD[uf])</f>
        <v>PB</v>
      </c>
      <c r="E2832" s="5" t="str">
        <f>_xlfn.XLOOKUP(A2832,[1]!DadosGHD[CD_GEOCMU],[1]!DadosGHD[MUNICIPIO])</f>
        <v>AREIA</v>
      </c>
      <c r="F2832" s="6">
        <v>38.701095581054702</v>
      </c>
      <c r="G2832" s="6">
        <v>38.7757377624512</v>
      </c>
      <c r="H2832" s="6">
        <v>38.819129943847699</v>
      </c>
      <c r="I2832" s="6">
        <v>38.785831451416001</v>
      </c>
      <c r="J2832" s="6">
        <v>38.800407409667997</v>
      </c>
      <c r="K2832" s="6">
        <v>38.818321228027301</v>
      </c>
      <c r="L2832" s="6">
        <v>39.565845489502003</v>
      </c>
    </row>
    <row r="2833" spans="1:12" x14ac:dyDescent="0.25">
      <c r="A2833">
        <v>2926707</v>
      </c>
      <c r="B2833" t="str">
        <f t="shared" si="44"/>
        <v>RIO DE CONTAS, BA, Brasil</v>
      </c>
      <c r="C2833" s="4" t="str">
        <f>_xlfn.XLOOKUP(A2833,[1]!DadosGHD[CD_GEOCMU],[1]!DadosGHD[Região])</f>
        <v>NE</v>
      </c>
      <c r="D2833" s="4" t="str">
        <f>_xlfn.XLOOKUP(A2833,[1]!DadosGHD[CD_GEOCMU],[1]!DadosGHD[uf])</f>
        <v>BA</v>
      </c>
      <c r="E2833" s="5" t="str">
        <f>_xlfn.XLOOKUP(A2833,[1]!DadosGHD[CD_GEOCMU],[1]!DadosGHD[MUNICIPIO])</f>
        <v>RIO DE CONTAS</v>
      </c>
      <c r="F2833" s="6">
        <v>38.701366424560597</v>
      </c>
      <c r="G2833" s="6">
        <v>38.737190246582003</v>
      </c>
      <c r="H2833" s="6">
        <v>38.781257629394503</v>
      </c>
      <c r="I2833" s="6">
        <v>38.741569519042997</v>
      </c>
      <c r="J2833" s="6">
        <v>38.772815704345703</v>
      </c>
      <c r="K2833" s="6">
        <v>38.814022064208999</v>
      </c>
      <c r="L2833" s="6">
        <v>35.112724304199197</v>
      </c>
    </row>
    <row r="2834" spans="1:12" x14ac:dyDescent="0.25">
      <c r="A2834">
        <v>3121100</v>
      </c>
      <c r="B2834" t="str">
        <f t="shared" si="44"/>
        <v>DELFIM MOREIRA, MG, Brasil</v>
      </c>
      <c r="C2834" s="4" t="str">
        <f>_xlfn.XLOOKUP(A2834,[1]!DadosGHD[CD_GEOCMU],[1]!DadosGHD[Região])</f>
        <v>SD</v>
      </c>
      <c r="D2834" s="4" t="str">
        <f>_xlfn.XLOOKUP(A2834,[1]!DadosGHD[CD_GEOCMU],[1]!DadosGHD[uf])</f>
        <v>MG</v>
      </c>
      <c r="E2834" s="5" t="str">
        <f>_xlfn.XLOOKUP(A2834,[1]!DadosGHD[CD_GEOCMU],[1]!DadosGHD[MUNICIPIO])</f>
        <v>DELFIM MOREIRA</v>
      </c>
      <c r="F2834" s="6">
        <v>38.701694488525398</v>
      </c>
      <c r="G2834" s="6">
        <v>38.755470275878899</v>
      </c>
      <c r="H2834" s="6">
        <v>38.786319732666001</v>
      </c>
      <c r="I2834" s="6">
        <v>38.751945495605497</v>
      </c>
      <c r="J2834" s="6">
        <v>38.821014404296903</v>
      </c>
      <c r="K2834" s="6">
        <v>43.777576446533203</v>
      </c>
      <c r="L2834" s="6">
        <v>44.055286407470703</v>
      </c>
    </row>
    <row r="2835" spans="1:12" x14ac:dyDescent="0.25">
      <c r="A2835">
        <v>2207306</v>
      </c>
      <c r="B2835" t="str">
        <f t="shared" si="44"/>
        <v>PAES LANDIM, PI, Brasil</v>
      </c>
      <c r="C2835" s="4" t="str">
        <f>_xlfn.XLOOKUP(A2835,[1]!DadosGHD[CD_GEOCMU],[1]!DadosGHD[Região])</f>
        <v>NE</v>
      </c>
      <c r="D2835" s="4" t="str">
        <f>_xlfn.XLOOKUP(A2835,[1]!DadosGHD[CD_GEOCMU],[1]!DadosGHD[uf])</f>
        <v>PI</v>
      </c>
      <c r="E2835" s="5" t="str">
        <f>_xlfn.XLOOKUP(A2835,[1]!DadosGHD[CD_GEOCMU],[1]!DadosGHD[MUNICIPIO])</f>
        <v>PAES LANDIM</v>
      </c>
      <c r="F2835" s="6">
        <v>38.701889038085902</v>
      </c>
      <c r="G2835" s="6">
        <v>38.727676391601598</v>
      </c>
      <c r="H2835" s="6">
        <v>38.763206481933601</v>
      </c>
      <c r="I2835" s="6">
        <v>38.731986999511697</v>
      </c>
      <c r="J2835" s="6">
        <v>38.747520446777301</v>
      </c>
      <c r="K2835" s="6">
        <v>38.810287475585902</v>
      </c>
      <c r="L2835" s="6">
        <v>30.6890544891357</v>
      </c>
    </row>
    <row r="2836" spans="1:12" x14ac:dyDescent="0.25">
      <c r="A2836">
        <v>3125804</v>
      </c>
      <c r="B2836" t="str">
        <f t="shared" si="44"/>
        <v>FERNANDES TOURINHO, MG, Brasil</v>
      </c>
      <c r="C2836" s="4" t="str">
        <f>_xlfn.XLOOKUP(A2836,[1]!DadosGHD[CD_GEOCMU],[1]!DadosGHD[Região])</f>
        <v>SD</v>
      </c>
      <c r="D2836" s="4" t="str">
        <f>_xlfn.XLOOKUP(A2836,[1]!DadosGHD[CD_GEOCMU],[1]!DadosGHD[uf])</f>
        <v>MG</v>
      </c>
      <c r="E2836" s="5" t="str">
        <f>_xlfn.XLOOKUP(A2836,[1]!DadosGHD[CD_GEOCMU],[1]!DadosGHD[MUNICIPIO])</f>
        <v>FERNANDES TOURINHO</v>
      </c>
      <c r="F2836" s="6">
        <v>38.701953887939503</v>
      </c>
      <c r="G2836" s="6">
        <v>43.735874176025398</v>
      </c>
      <c r="H2836" s="6">
        <v>43.774528503417997</v>
      </c>
      <c r="I2836" s="6">
        <v>43.756256103515597</v>
      </c>
      <c r="J2836" s="6">
        <v>43.768081665039098</v>
      </c>
      <c r="K2836" s="6">
        <v>43.776069641113303</v>
      </c>
      <c r="L2836" s="6">
        <v>39.600929260253899</v>
      </c>
    </row>
    <row r="2837" spans="1:12" x14ac:dyDescent="0.25">
      <c r="A2837">
        <v>3152709</v>
      </c>
      <c r="B2837" t="str">
        <f t="shared" si="44"/>
        <v>PRADOS, MG, Brasil</v>
      </c>
      <c r="C2837" s="4" t="str">
        <f>_xlfn.XLOOKUP(A2837,[1]!DadosGHD[CD_GEOCMU],[1]!DadosGHD[Região])</f>
        <v>SD</v>
      </c>
      <c r="D2837" s="4" t="str">
        <f>_xlfn.XLOOKUP(A2837,[1]!DadosGHD[CD_GEOCMU],[1]!DadosGHD[uf])</f>
        <v>MG</v>
      </c>
      <c r="E2837" s="5" t="str">
        <f>_xlfn.XLOOKUP(A2837,[1]!DadosGHD[CD_GEOCMU],[1]!DadosGHD[MUNICIPIO])</f>
        <v>PRADOS</v>
      </c>
      <c r="F2837" s="6">
        <v>38.702217102050803</v>
      </c>
      <c r="G2837" s="6">
        <v>38.774501800537102</v>
      </c>
      <c r="H2837" s="6">
        <v>43.793373107910199</v>
      </c>
      <c r="I2837" s="6">
        <v>48.6816215515137</v>
      </c>
      <c r="J2837" s="6">
        <v>48.740386962890597</v>
      </c>
      <c r="K2837" s="6">
        <v>48.803745269775398</v>
      </c>
      <c r="L2837" s="6">
        <v>52.9825439453125</v>
      </c>
    </row>
    <row r="2838" spans="1:12" x14ac:dyDescent="0.25">
      <c r="A2838">
        <v>3156601</v>
      </c>
      <c r="B2838" t="str">
        <f t="shared" si="44"/>
        <v>RUBIM, MG, Brasil</v>
      </c>
      <c r="C2838" s="4" t="str">
        <f>_xlfn.XLOOKUP(A2838,[1]!DadosGHD[CD_GEOCMU],[1]!DadosGHD[Região])</f>
        <v>SD</v>
      </c>
      <c r="D2838" s="4" t="str">
        <f>_xlfn.XLOOKUP(A2838,[1]!DadosGHD[CD_GEOCMU],[1]!DadosGHD[uf])</f>
        <v>MG</v>
      </c>
      <c r="E2838" s="5" t="str">
        <f>_xlfn.XLOOKUP(A2838,[1]!DadosGHD[CD_GEOCMU],[1]!DadosGHD[MUNICIPIO])</f>
        <v>RUBIM</v>
      </c>
      <c r="F2838" s="6">
        <v>38.702247619628899</v>
      </c>
      <c r="G2838" s="6">
        <v>38.740608215332003</v>
      </c>
      <c r="H2838" s="6">
        <v>38.783718109130902</v>
      </c>
      <c r="I2838" s="6">
        <v>38.755264282226598</v>
      </c>
      <c r="J2838" s="6">
        <v>38.771144866943402</v>
      </c>
      <c r="K2838" s="6">
        <v>38.834159851074197</v>
      </c>
      <c r="L2838" s="6">
        <v>30.7087001800537</v>
      </c>
    </row>
    <row r="2839" spans="1:12" x14ac:dyDescent="0.25">
      <c r="A2839">
        <v>2906873</v>
      </c>
      <c r="B2839" t="str">
        <f t="shared" si="44"/>
        <v>CAPIM GROSSO, BA, Brasil</v>
      </c>
      <c r="C2839" s="4" t="str">
        <f>_xlfn.XLOOKUP(A2839,[1]!DadosGHD[CD_GEOCMU],[1]!DadosGHD[Região])</f>
        <v>NE</v>
      </c>
      <c r="D2839" s="4" t="str">
        <f>_xlfn.XLOOKUP(A2839,[1]!DadosGHD[CD_GEOCMU],[1]!DadosGHD[uf])</f>
        <v>BA</v>
      </c>
      <c r="E2839" s="5" t="str">
        <f>_xlfn.XLOOKUP(A2839,[1]!DadosGHD[CD_GEOCMU],[1]!DadosGHD[MUNICIPIO])</f>
        <v>CAPIM GROSSO</v>
      </c>
      <c r="F2839" s="6">
        <v>38.702255249023402</v>
      </c>
      <c r="G2839" s="6">
        <v>43.658279418945298</v>
      </c>
      <c r="H2839" s="6">
        <v>43.711696624755902</v>
      </c>
      <c r="I2839" s="6">
        <v>38.786872863769503</v>
      </c>
      <c r="J2839" s="6">
        <v>38.762771606445298</v>
      </c>
      <c r="K2839" s="6">
        <v>38.834335327148402</v>
      </c>
      <c r="L2839" s="6">
        <v>44.070938110351598</v>
      </c>
    </row>
    <row r="2840" spans="1:12" x14ac:dyDescent="0.25">
      <c r="A2840">
        <v>1200179</v>
      </c>
      <c r="B2840" t="str">
        <f t="shared" si="44"/>
        <v>CAPIXABA, AC, Brasil</v>
      </c>
      <c r="C2840" s="4" t="str">
        <f>_xlfn.XLOOKUP(A2840,[1]!DadosGHD[CD_GEOCMU],[1]!DadosGHD[Região])</f>
        <v>NO</v>
      </c>
      <c r="D2840" s="4" t="str">
        <f>_xlfn.XLOOKUP(A2840,[1]!DadosGHD[CD_GEOCMU],[1]!DadosGHD[uf])</f>
        <v>AC</v>
      </c>
      <c r="E2840" s="5" t="str">
        <f>_xlfn.XLOOKUP(A2840,[1]!DadosGHD[CD_GEOCMU],[1]!DadosGHD[MUNICIPIO])</f>
        <v>CAPIXABA</v>
      </c>
      <c r="F2840" s="6">
        <v>38.702278137207003</v>
      </c>
      <c r="G2840" s="6">
        <v>38.713191986083999</v>
      </c>
      <c r="H2840" s="6">
        <v>38.747272491455099</v>
      </c>
      <c r="I2840" s="6">
        <v>38.716110229492202</v>
      </c>
      <c r="J2840" s="6">
        <v>33.882152557373097</v>
      </c>
      <c r="K2840" s="6">
        <v>33.905040740966797</v>
      </c>
      <c r="L2840" s="6">
        <v>30.690574645996101</v>
      </c>
    </row>
    <row r="2841" spans="1:12" x14ac:dyDescent="0.25">
      <c r="A2841">
        <v>4117271</v>
      </c>
      <c r="B2841" t="str">
        <f t="shared" si="44"/>
        <v>NOVA TEBAS, PR, Brasil</v>
      </c>
      <c r="C2841" s="4" t="str">
        <f>_xlfn.XLOOKUP(A2841,[1]!DadosGHD[CD_GEOCMU],[1]!DadosGHD[Região])</f>
        <v>SL</v>
      </c>
      <c r="D2841" s="4" t="str">
        <f>_xlfn.XLOOKUP(A2841,[1]!DadosGHD[CD_GEOCMU],[1]!DadosGHD[uf])</f>
        <v>PR</v>
      </c>
      <c r="E2841" s="5" t="str">
        <f>_xlfn.XLOOKUP(A2841,[1]!DadosGHD[CD_GEOCMU],[1]!DadosGHD[MUNICIPIO])</f>
        <v>NOVA TEBAS</v>
      </c>
      <c r="F2841" s="6">
        <v>38.702354431152301</v>
      </c>
      <c r="G2841" s="6">
        <v>43.711715698242202</v>
      </c>
      <c r="H2841" s="6">
        <v>43.7967529296875</v>
      </c>
      <c r="I2841" s="6">
        <v>43.792373657226598</v>
      </c>
      <c r="J2841" s="6">
        <v>48.702812194824197</v>
      </c>
      <c r="K2841" s="6">
        <v>43.754329681396499</v>
      </c>
      <c r="L2841" s="6">
        <v>30.69899559021</v>
      </c>
    </row>
    <row r="2842" spans="1:12" x14ac:dyDescent="0.25">
      <c r="A2842">
        <v>2408706</v>
      </c>
      <c r="B2842" t="str">
        <f t="shared" si="44"/>
        <v>PARAU, RN, Brasil</v>
      </c>
      <c r="C2842" s="4" t="str">
        <f>_xlfn.XLOOKUP(A2842,[1]!DadosGHD[CD_GEOCMU],[1]!DadosGHD[Região])</f>
        <v>NE</v>
      </c>
      <c r="D2842" s="4" t="str">
        <f>_xlfn.XLOOKUP(A2842,[1]!DadosGHD[CD_GEOCMU],[1]!DadosGHD[uf])</f>
        <v>RN</v>
      </c>
      <c r="E2842" s="5" t="str">
        <f>_xlfn.XLOOKUP(A2842,[1]!DadosGHD[CD_GEOCMU],[1]!DadosGHD[MUNICIPIO])</f>
        <v>PARAU</v>
      </c>
      <c r="F2842" s="6">
        <v>38.702552795410199</v>
      </c>
      <c r="G2842" s="6">
        <v>38.750911712646499</v>
      </c>
      <c r="H2842" s="6">
        <v>38.7905883789063</v>
      </c>
      <c r="I2842" s="6">
        <v>38.761848449707003</v>
      </c>
      <c r="J2842" s="6">
        <v>38.8026733398438</v>
      </c>
      <c r="K2842" s="6">
        <v>38.785041809082003</v>
      </c>
      <c r="L2842" s="6">
        <v>39.6112060546875</v>
      </c>
    </row>
    <row r="2843" spans="1:12" x14ac:dyDescent="0.25">
      <c r="A2843">
        <v>1100502</v>
      </c>
      <c r="B2843" t="str">
        <f t="shared" si="44"/>
        <v>NOVO HORIZONTE DO OESTE, RO, Brasil</v>
      </c>
      <c r="C2843" s="4" t="str">
        <f>_xlfn.XLOOKUP(A2843,[1]!DadosGHD[CD_GEOCMU],[1]!DadosGHD[Região])</f>
        <v>NO</v>
      </c>
      <c r="D2843" s="4" t="str">
        <f>_xlfn.XLOOKUP(A2843,[1]!DadosGHD[CD_GEOCMU],[1]!DadosGHD[uf])</f>
        <v>RO</v>
      </c>
      <c r="E2843" s="5" t="str">
        <f>_xlfn.XLOOKUP(A2843,[1]!DadosGHD[CD_GEOCMU],[1]!DadosGHD[MUNICIPIO])</f>
        <v>NOVO HORIZONTE DO OESTE</v>
      </c>
      <c r="F2843" s="6">
        <v>38.702568054199197</v>
      </c>
      <c r="G2843" s="6">
        <v>48.634807586669901</v>
      </c>
      <c r="H2843" s="6">
        <v>48.849864959716797</v>
      </c>
      <c r="I2843" s="6">
        <v>53.805656433105497</v>
      </c>
      <c r="J2843" s="6">
        <v>53.847480773925803</v>
      </c>
      <c r="K2843" s="6">
        <v>53.923488616943402</v>
      </c>
      <c r="L2843" s="6">
        <v>44.060676574707003</v>
      </c>
    </row>
    <row r="2844" spans="1:12" x14ac:dyDescent="0.25">
      <c r="A2844">
        <v>4113452</v>
      </c>
      <c r="B2844" t="str">
        <f t="shared" si="44"/>
        <v>LINDOESTE, PR, Brasil</v>
      </c>
      <c r="C2844" s="4" t="str">
        <f>_xlfn.XLOOKUP(A2844,[1]!DadosGHD[CD_GEOCMU],[1]!DadosGHD[Região])</f>
        <v>SL</v>
      </c>
      <c r="D2844" s="4" t="str">
        <f>_xlfn.XLOOKUP(A2844,[1]!DadosGHD[CD_GEOCMU],[1]!DadosGHD[uf])</f>
        <v>PR</v>
      </c>
      <c r="E2844" s="5" t="str">
        <f>_xlfn.XLOOKUP(A2844,[1]!DadosGHD[CD_GEOCMU],[1]!DadosGHD[MUNICIPIO])</f>
        <v>LINDOESTE</v>
      </c>
      <c r="F2844" s="6">
        <v>38.702590942382798</v>
      </c>
      <c r="G2844" s="6">
        <v>48.748508453369098</v>
      </c>
      <c r="H2844" s="6">
        <v>48.833766937255902</v>
      </c>
      <c r="I2844" s="6">
        <v>48.789703369140597</v>
      </c>
      <c r="J2844" s="6">
        <v>53.817546844482401</v>
      </c>
      <c r="K2844" s="6">
        <v>53.873039245605497</v>
      </c>
      <c r="L2844" s="6">
        <v>48.537464141845703</v>
      </c>
    </row>
    <row r="2845" spans="1:12" x14ac:dyDescent="0.25">
      <c r="A2845">
        <v>3203163</v>
      </c>
      <c r="B2845" t="str">
        <f t="shared" si="44"/>
        <v>LARANJA DA TERRA, ES, Brasil</v>
      </c>
      <c r="C2845" s="4" t="str">
        <f>_xlfn.XLOOKUP(A2845,[1]!DadosGHD[CD_GEOCMU],[1]!DadosGHD[Região])</f>
        <v>SD</v>
      </c>
      <c r="D2845" s="4" t="str">
        <f>_xlfn.XLOOKUP(A2845,[1]!DadosGHD[CD_GEOCMU],[1]!DadosGHD[uf])</f>
        <v>ES</v>
      </c>
      <c r="E2845" s="5" t="str">
        <f>_xlfn.XLOOKUP(A2845,[1]!DadosGHD[CD_GEOCMU],[1]!DadosGHD[MUNICIPIO])</f>
        <v>LARANJA DA TERRA</v>
      </c>
      <c r="F2845" s="6">
        <v>38.702640533447301</v>
      </c>
      <c r="G2845" s="6">
        <v>43.638641357421903</v>
      </c>
      <c r="H2845" s="6">
        <v>38.8092041015625</v>
      </c>
      <c r="I2845" s="6">
        <v>38.780635833740199</v>
      </c>
      <c r="J2845" s="6">
        <v>38.801731109619098</v>
      </c>
      <c r="K2845" s="6">
        <v>43.779087066650398</v>
      </c>
      <c r="L2845" s="6">
        <v>44.019519805908203</v>
      </c>
    </row>
    <row r="2846" spans="1:12" x14ac:dyDescent="0.25">
      <c r="A2846">
        <v>3106002</v>
      </c>
      <c r="B2846" t="str">
        <f t="shared" si="44"/>
        <v>BELA VISTA DE MINAS, MG, Brasil</v>
      </c>
      <c r="C2846" s="4" t="str">
        <f>_xlfn.XLOOKUP(A2846,[1]!DadosGHD[CD_GEOCMU],[1]!DadosGHD[Região])</f>
        <v>SD</v>
      </c>
      <c r="D2846" s="4" t="str">
        <f>_xlfn.XLOOKUP(A2846,[1]!DadosGHD[CD_GEOCMU],[1]!DadosGHD[uf])</f>
        <v>MG</v>
      </c>
      <c r="E2846" s="5" t="str">
        <f>_xlfn.XLOOKUP(A2846,[1]!DadosGHD[CD_GEOCMU],[1]!DadosGHD[MUNICIPIO])</f>
        <v>BELA VISTA DE MINAS</v>
      </c>
      <c r="F2846" s="6">
        <v>38.702789306640597</v>
      </c>
      <c r="G2846" s="6">
        <v>43.6792182922363</v>
      </c>
      <c r="H2846" s="6">
        <v>43.751075744628899</v>
      </c>
      <c r="I2846" s="6">
        <v>43.745197296142599</v>
      </c>
      <c r="J2846" s="6">
        <v>43.718795776367202</v>
      </c>
      <c r="K2846" s="6">
        <v>38.884738922119098</v>
      </c>
      <c r="L2846" s="6">
        <v>44.042793273925803</v>
      </c>
    </row>
    <row r="2847" spans="1:12" x14ac:dyDescent="0.25">
      <c r="A2847">
        <v>4113759</v>
      </c>
      <c r="B2847" t="str">
        <f t="shared" si="44"/>
        <v>LUNARDELLI, PR, Brasil</v>
      </c>
      <c r="C2847" s="4" t="str">
        <f>_xlfn.XLOOKUP(A2847,[1]!DadosGHD[CD_GEOCMU],[1]!DadosGHD[Região])</f>
        <v>SL</v>
      </c>
      <c r="D2847" s="4" t="str">
        <f>_xlfn.XLOOKUP(A2847,[1]!DadosGHD[CD_GEOCMU],[1]!DadosGHD[uf])</f>
        <v>PR</v>
      </c>
      <c r="E2847" s="5" t="str">
        <f>_xlfn.XLOOKUP(A2847,[1]!DadosGHD[CD_GEOCMU],[1]!DadosGHD[MUNICIPIO])</f>
        <v>LUNARDELLI</v>
      </c>
      <c r="F2847" s="6">
        <v>38.702880859375</v>
      </c>
      <c r="G2847" s="6">
        <v>43.704795837402301</v>
      </c>
      <c r="H2847" s="6">
        <v>43.768264770507798</v>
      </c>
      <c r="I2847" s="6">
        <v>43.736484527587898</v>
      </c>
      <c r="J2847" s="6">
        <v>43.7370414733887</v>
      </c>
      <c r="K2847" s="6">
        <v>43.785434722900398</v>
      </c>
      <c r="L2847" s="6">
        <v>39.584197998046903</v>
      </c>
    </row>
    <row r="2848" spans="1:12" x14ac:dyDescent="0.25">
      <c r="A2848">
        <v>4108007</v>
      </c>
      <c r="B2848" t="str">
        <f t="shared" si="44"/>
        <v>FLORESTOPOLIS, PR, Brasil</v>
      </c>
      <c r="C2848" s="4" t="str">
        <f>_xlfn.XLOOKUP(A2848,[1]!DadosGHD[CD_GEOCMU],[1]!DadosGHD[Região])</f>
        <v>SL</v>
      </c>
      <c r="D2848" s="4" t="str">
        <f>_xlfn.XLOOKUP(A2848,[1]!DadosGHD[CD_GEOCMU],[1]!DadosGHD[uf])</f>
        <v>PR</v>
      </c>
      <c r="E2848" s="5" t="str">
        <f>_xlfn.XLOOKUP(A2848,[1]!DadosGHD[CD_GEOCMU],[1]!DadosGHD[MUNICIPIO])</f>
        <v>FLORESTOPOLIS</v>
      </c>
      <c r="F2848" s="6">
        <v>38.702949523925803</v>
      </c>
      <c r="G2848" s="6">
        <v>38.734642028808601</v>
      </c>
      <c r="H2848" s="6">
        <v>38.795330047607401</v>
      </c>
      <c r="I2848" s="6">
        <v>38.805080413818402</v>
      </c>
      <c r="J2848" s="6">
        <v>38.7872314453125</v>
      </c>
      <c r="K2848" s="6">
        <v>38.880031585693402</v>
      </c>
      <c r="L2848" s="6">
        <v>39.591041564941399</v>
      </c>
    </row>
    <row r="2849" spans="1:12" x14ac:dyDescent="0.25">
      <c r="A2849">
        <v>2612208</v>
      </c>
      <c r="B2849" t="str">
        <f t="shared" si="44"/>
        <v>SALGUEIRO, PE, Brasil</v>
      </c>
      <c r="C2849" s="4" t="str">
        <f>_xlfn.XLOOKUP(A2849,[1]!DadosGHD[CD_GEOCMU],[1]!DadosGHD[Região])</f>
        <v>NE</v>
      </c>
      <c r="D2849" s="4" t="str">
        <f>_xlfn.XLOOKUP(A2849,[1]!DadosGHD[CD_GEOCMU],[1]!DadosGHD[uf])</f>
        <v>PE</v>
      </c>
      <c r="E2849" s="5" t="str">
        <f>_xlfn.XLOOKUP(A2849,[1]!DadosGHD[CD_GEOCMU],[1]!DadosGHD[MUNICIPIO])</f>
        <v>SALGUEIRO</v>
      </c>
      <c r="F2849" s="6">
        <v>38.703113555908203</v>
      </c>
      <c r="G2849" s="6">
        <v>38.750888824462898</v>
      </c>
      <c r="H2849" s="6">
        <v>38.777549743652301</v>
      </c>
      <c r="I2849" s="6">
        <v>38.813163757324197</v>
      </c>
      <c r="J2849" s="6">
        <v>38.838371276855497</v>
      </c>
      <c r="K2849" s="6">
        <v>38.8592720031738</v>
      </c>
      <c r="L2849" s="6">
        <v>39.585403442382798</v>
      </c>
    </row>
    <row r="2850" spans="1:12" x14ac:dyDescent="0.25">
      <c r="A2850">
        <v>3160207</v>
      </c>
      <c r="B2850" t="str">
        <f t="shared" si="44"/>
        <v>SANTO ANTONIO DO ITAMBE, MG, Brasil</v>
      </c>
      <c r="C2850" s="4" t="str">
        <f>_xlfn.XLOOKUP(A2850,[1]!DadosGHD[CD_GEOCMU],[1]!DadosGHD[Região])</f>
        <v>SD</v>
      </c>
      <c r="D2850" s="4" t="str">
        <f>_xlfn.XLOOKUP(A2850,[1]!DadosGHD[CD_GEOCMU],[1]!DadosGHD[uf])</f>
        <v>MG</v>
      </c>
      <c r="E2850" s="5" t="str">
        <f>_xlfn.XLOOKUP(A2850,[1]!DadosGHD[CD_GEOCMU],[1]!DadosGHD[MUNICIPIO])</f>
        <v>SANTO ANTONIO DO ITAMBE</v>
      </c>
      <c r="F2850" s="6">
        <v>38.7032661437988</v>
      </c>
      <c r="G2850" s="6">
        <v>38.730918884277301</v>
      </c>
      <c r="H2850" s="6">
        <v>38.7831001281738</v>
      </c>
      <c r="I2850" s="6">
        <v>38.767501831054702</v>
      </c>
      <c r="J2850" s="6">
        <v>33.813713073730497</v>
      </c>
      <c r="K2850" s="6">
        <v>33.874805450439503</v>
      </c>
      <c r="L2850" s="6">
        <v>30.714807510376001</v>
      </c>
    </row>
    <row r="2851" spans="1:12" x14ac:dyDescent="0.25">
      <c r="A2851">
        <v>3101300</v>
      </c>
      <c r="B2851" t="str">
        <f t="shared" si="44"/>
        <v>ALAGOA, MG, Brasil</v>
      </c>
      <c r="C2851" s="4" t="str">
        <f>_xlfn.XLOOKUP(A2851,[1]!DadosGHD[CD_GEOCMU],[1]!DadosGHD[Região])</f>
        <v>SD</v>
      </c>
      <c r="D2851" s="4" t="str">
        <f>_xlfn.XLOOKUP(A2851,[1]!DadosGHD[CD_GEOCMU],[1]!DadosGHD[uf])</f>
        <v>MG</v>
      </c>
      <c r="E2851" s="5" t="str">
        <f>_xlfn.XLOOKUP(A2851,[1]!DadosGHD[CD_GEOCMU],[1]!DadosGHD[MUNICIPIO])</f>
        <v>ALAGOA</v>
      </c>
      <c r="F2851" s="6">
        <v>38.703605651855497</v>
      </c>
      <c r="G2851" s="6">
        <v>28.932847976684599</v>
      </c>
      <c r="H2851" s="6">
        <v>28.9745178222656</v>
      </c>
      <c r="I2851" s="6">
        <v>33.806102752685597</v>
      </c>
      <c r="J2851" s="6">
        <v>33.8854789733887</v>
      </c>
      <c r="K2851" s="6">
        <v>33.908779144287102</v>
      </c>
      <c r="L2851" s="6">
        <v>44.058433532714801</v>
      </c>
    </row>
    <row r="2852" spans="1:12" x14ac:dyDescent="0.25">
      <c r="A2852">
        <v>3158508</v>
      </c>
      <c r="B2852" t="str">
        <f t="shared" si="44"/>
        <v>SANTANA DE PIRAPAMA, MG, Brasil</v>
      </c>
      <c r="C2852" s="4" t="str">
        <f>_xlfn.XLOOKUP(A2852,[1]!DadosGHD[CD_GEOCMU],[1]!DadosGHD[Região])</f>
        <v>SD</v>
      </c>
      <c r="D2852" s="4" t="str">
        <f>_xlfn.XLOOKUP(A2852,[1]!DadosGHD[CD_GEOCMU],[1]!DadosGHD[uf])</f>
        <v>MG</v>
      </c>
      <c r="E2852" s="5" t="str">
        <f>_xlfn.XLOOKUP(A2852,[1]!DadosGHD[CD_GEOCMU],[1]!DadosGHD[MUNICIPIO])</f>
        <v>SANTANA DE PIRAPAMA</v>
      </c>
      <c r="F2852" s="6">
        <v>38.703651428222699</v>
      </c>
      <c r="G2852" s="6">
        <v>38.745113372802699</v>
      </c>
      <c r="H2852" s="6">
        <v>38.749809265136697</v>
      </c>
      <c r="I2852" s="6">
        <v>38.718029022216797</v>
      </c>
      <c r="J2852" s="6">
        <v>38.744781494140597</v>
      </c>
      <c r="K2852" s="6">
        <v>38.7889595031738</v>
      </c>
      <c r="L2852" s="6">
        <v>35.147895812988303</v>
      </c>
    </row>
    <row r="2853" spans="1:12" x14ac:dyDescent="0.25">
      <c r="A2853">
        <v>2211407</v>
      </c>
      <c r="B2853" t="str">
        <f t="shared" si="44"/>
        <v>VARZEA GRANDE, PI, Brasil</v>
      </c>
      <c r="C2853" s="4" t="str">
        <f>_xlfn.XLOOKUP(A2853,[1]!DadosGHD[CD_GEOCMU],[1]!DadosGHD[Região])</f>
        <v>NE</v>
      </c>
      <c r="D2853" s="4" t="str">
        <f>_xlfn.XLOOKUP(A2853,[1]!DadosGHD[CD_GEOCMU],[1]!DadosGHD[uf])</f>
        <v>PI</v>
      </c>
      <c r="E2853" s="5" t="str">
        <f>_xlfn.XLOOKUP(A2853,[1]!DadosGHD[CD_GEOCMU],[1]!DadosGHD[MUNICIPIO])</f>
        <v>VARZEA GRANDE</v>
      </c>
      <c r="F2853" s="6">
        <v>38.703685760498097</v>
      </c>
      <c r="G2853" s="6">
        <v>38.729087829589801</v>
      </c>
      <c r="H2853" s="6">
        <v>38.7769775390625</v>
      </c>
      <c r="I2853" s="6">
        <v>38.732212066650398</v>
      </c>
      <c r="J2853" s="6">
        <v>33.894538879394503</v>
      </c>
      <c r="K2853" s="6">
        <v>28.980566024780298</v>
      </c>
      <c r="L2853" s="6">
        <v>30.688480377197301</v>
      </c>
    </row>
    <row r="2854" spans="1:12" x14ac:dyDescent="0.25">
      <c r="A2854">
        <v>2922003</v>
      </c>
      <c r="B2854" t="str">
        <f t="shared" si="44"/>
        <v>MUCURI, BA, Brasil</v>
      </c>
      <c r="C2854" s="4" t="str">
        <f>_xlfn.XLOOKUP(A2854,[1]!DadosGHD[CD_GEOCMU],[1]!DadosGHD[Região])</f>
        <v>NE</v>
      </c>
      <c r="D2854" s="4" t="str">
        <f>_xlfn.XLOOKUP(A2854,[1]!DadosGHD[CD_GEOCMU],[1]!DadosGHD[uf])</f>
        <v>BA</v>
      </c>
      <c r="E2854" s="5" t="str">
        <f>_xlfn.XLOOKUP(A2854,[1]!DadosGHD[CD_GEOCMU],[1]!DadosGHD[MUNICIPIO])</f>
        <v>MUCURI</v>
      </c>
      <c r="F2854" s="6">
        <v>38.704277038574197</v>
      </c>
      <c r="G2854" s="6">
        <v>38.764701843261697</v>
      </c>
      <c r="H2854" s="6">
        <v>38.848934173583999</v>
      </c>
      <c r="I2854" s="6">
        <v>43.692653656005902</v>
      </c>
      <c r="J2854" s="6">
        <v>38.822116851806598</v>
      </c>
      <c r="K2854" s="6">
        <v>38.791576385498097</v>
      </c>
      <c r="L2854" s="6">
        <v>35.124568939208999</v>
      </c>
    </row>
    <row r="2855" spans="1:12" x14ac:dyDescent="0.25">
      <c r="A2855">
        <v>3105905</v>
      </c>
      <c r="B2855" t="str">
        <f t="shared" si="44"/>
        <v>BARROSO, MG, Brasil</v>
      </c>
      <c r="C2855" s="4" t="str">
        <f>_xlfn.XLOOKUP(A2855,[1]!DadosGHD[CD_GEOCMU],[1]!DadosGHD[Região])</f>
        <v>SD</v>
      </c>
      <c r="D2855" s="4" t="str">
        <f>_xlfn.XLOOKUP(A2855,[1]!DadosGHD[CD_GEOCMU],[1]!DadosGHD[uf])</f>
        <v>MG</v>
      </c>
      <c r="E2855" s="5" t="str">
        <f>_xlfn.XLOOKUP(A2855,[1]!DadosGHD[CD_GEOCMU],[1]!DadosGHD[MUNICIPIO])</f>
        <v>BARROSO</v>
      </c>
      <c r="F2855" s="6">
        <v>38.704277038574197</v>
      </c>
      <c r="G2855" s="6">
        <v>38.717990875244098</v>
      </c>
      <c r="H2855" s="6">
        <v>38.844039916992202</v>
      </c>
      <c r="I2855" s="6">
        <v>43.731227874755902</v>
      </c>
      <c r="J2855" s="6">
        <v>43.793758392333999</v>
      </c>
      <c r="K2855" s="6">
        <v>48.769199371337898</v>
      </c>
      <c r="L2855" s="6">
        <v>52.981941223144503</v>
      </c>
    </row>
    <row r="2856" spans="1:12" x14ac:dyDescent="0.25">
      <c r="A2856">
        <v>2205102</v>
      </c>
      <c r="B2856" t="str">
        <f t="shared" si="44"/>
        <v>ITAUEIRA, PI, Brasil</v>
      </c>
      <c r="C2856" s="4" t="str">
        <f>_xlfn.XLOOKUP(A2856,[1]!DadosGHD[CD_GEOCMU],[1]!DadosGHD[Região])</f>
        <v>NE</v>
      </c>
      <c r="D2856" s="4" t="str">
        <f>_xlfn.XLOOKUP(A2856,[1]!DadosGHD[CD_GEOCMU],[1]!DadosGHD[uf])</f>
        <v>PI</v>
      </c>
      <c r="E2856" s="5" t="str">
        <f>_xlfn.XLOOKUP(A2856,[1]!DadosGHD[CD_GEOCMU],[1]!DadosGHD[MUNICIPIO])</f>
        <v>ITAUEIRA</v>
      </c>
      <c r="F2856" s="6">
        <v>38.704669952392599</v>
      </c>
      <c r="G2856" s="6">
        <v>38.737838745117202</v>
      </c>
      <c r="H2856" s="6">
        <v>38.776130676269503</v>
      </c>
      <c r="I2856" s="6">
        <v>38.755943298339801</v>
      </c>
      <c r="J2856" s="6">
        <v>33.880626678466797</v>
      </c>
      <c r="K2856" s="6">
        <v>43.7694282531738</v>
      </c>
      <c r="L2856" s="6">
        <v>30.699535369873001</v>
      </c>
    </row>
    <row r="2857" spans="1:12" x14ac:dyDescent="0.25">
      <c r="A2857">
        <v>4124905</v>
      </c>
      <c r="B2857" t="str">
        <f t="shared" si="44"/>
        <v>SAO JOAO DO CAIUA, PR, Brasil</v>
      </c>
      <c r="C2857" s="4" t="str">
        <f>_xlfn.XLOOKUP(A2857,[1]!DadosGHD[CD_GEOCMU],[1]!DadosGHD[Região])</f>
        <v>SL</v>
      </c>
      <c r="D2857" s="4" t="str">
        <f>_xlfn.XLOOKUP(A2857,[1]!DadosGHD[CD_GEOCMU],[1]!DadosGHD[uf])</f>
        <v>PR</v>
      </c>
      <c r="E2857" s="5" t="str">
        <f>_xlfn.XLOOKUP(A2857,[1]!DadosGHD[CD_GEOCMU],[1]!DadosGHD[MUNICIPIO])</f>
        <v>SAO JOAO DO CAIUA</v>
      </c>
      <c r="F2857" s="6">
        <v>38.704921722412102</v>
      </c>
      <c r="G2857" s="6">
        <v>43.705394744873097</v>
      </c>
      <c r="H2857" s="6">
        <v>43.774326324462898</v>
      </c>
      <c r="I2857" s="6">
        <v>43.740055084228501</v>
      </c>
      <c r="J2857" s="6">
        <v>43.747642517089801</v>
      </c>
      <c r="K2857" s="6">
        <v>43.770076751708999</v>
      </c>
      <c r="L2857" s="6">
        <v>39.5649223327637</v>
      </c>
    </row>
    <row r="2858" spans="1:12" x14ac:dyDescent="0.25">
      <c r="A2858">
        <v>2916401</v>
      </c>
      <c r="B2858" t="str">
        <f t="shared" si="44"/>
        <v>ITAPETINGA, BA, Brasil</v>
      </c>
      <c r="C2858" s="4" t="str">
        <f>_xlfn.XLOOKUP(A2858,[1]!DadosGHD[CD_GEOCMU],[1]!DadosGHD[Região])</f>
        <v>NE</v>
      </c>
      <c r="D2858" s="4" t="str">
        <f>_xlfn.XLOOKUP(A2858,[1]!DadosGHD[CD_GEOCMU],[1]!DadosGHD[uf])</f>
        <v>BA</v>
      </c>
      <c r="E2858" s="5" t="str">
        <f>_xlfn.XLOOKUP(A2858,[1]!DadosGHD[CD_GEOCMU],[1]!DadosGHD[MUNICIPIO])</f>
        <v>ITAPETINGA</v>
      </c>
      <c r="F2858" s="6">
        <v>38.704948425292997</v>
      </c>
      <c r="G2858" s="6">
        <v>38.766746520996101</v>
      </c>
      <c r="H2858" s="6">
        <v>38.817092895507798</v>
      </c>
      <c r="I2858" s="6">
        <v>38.7826957702637</v>
      </c>
      <c r="J2858" s="6">
        <v>38.781745910644503</v>
      </c>
      <c r="K2858" s="6">
        <v>38.811576843261697</v>
      </c>
      <c r="L2858" s="6">
        <v>30.709764480590799</v>
      </c>
    </row>
    <row r="2859" spans="1:12" x14ac:dyDescent="0.25">
      <c r="A2859">
        <v>3172202</v>
      </c>
      <c r="B2859" t="str">
        <f t="shared" si="44"/>
        <v>WENCESLAU BRAZ, MG, Brasil</v>
      </c>
      <c r="C2859" s="4" t="str">
        <f>_xlfn.XLOOKUP(A2859,[1]!DadosGHD[CD_GEOCMU],[1]!DadosGHD[Região])</f>
        <v>SD</v>
      </c>
      <c r="D2859" s="4" t="str">
        <f>_xlfn.XLOOKUP(A2859,[1]!DadosGHD[CD_GEOCMU],[1]!DadosGHD[uf])</f>
        <v>MG</v>
      </c>
      <c r="E2859" s="5" t="str">
        <f>_xlfn.XLOOKUP(A2859,[1]!DadosGHD[CD_GEOCMU],[1]!DadosGHD[MUNICIPIO])</f>
        <v>WENCESLAU BRAZ</v>
      </c>
      <c r="F2859" s="6">
        <v>38.705158233642599</v>
      </c>
      <c r="G2859" s="6">
        <v>28.9328727722168</v>
      </c>
      <c r="H2859" s="6">
        <v>28.9550170898438</v>
      </c>
      <c r="I2859" s="6">
        <v>28.925045013427699</v>
      </c>
      <c r="J2859" s="6">
        <v>28.9409065246582</v>
      </c>
      <c r="K2859" s="6">
        <v>28.970624923706101</v>
      </c>
      <c r="L2859" s="6">
        <v>30.708185195922901</v>
      </c>
    </row>
    <row r="2860" spans="1:12" x14ac:dyDescent="0.25">
      <c r="A2860">
        <v>3551405</v>
      </c>
      <c r="B2860" t="str">
        <f t="shared" si="44"/>
        <v>SERRA AZUL, SP, Brasil</v>
      </c>
      <c r="C2860" s="4" t="str">
        <f>_xlfn.XLOOKUP(A2860,[1]!DadosGHD[CD_GEOCMU],[1]!DadosGHD[Região])</f>
        <v>SD</v>
      </c>
      <c r="D2860" s="4" t="str">
        <f>_xlfn.XLOOKUP(A2860,[1]!DadosGHD[CD_GEOCMU],[1]!DadosGHD[uf])</f>
        <v>SP</v>
      </c>
      <c r="E2860" s="5" t="str">
        <f>_xlfn.XLOOKUP(A2860,[1]!DadosGHD[CD_GEOCMU],[1]!DadosGHD[MUNICIPIO])</f>
        <v>SERRA AZUL</v>
      </c>
      <c r="F2860" s="6">
        <v>38.705268859863303</v>
      </c>
      <c r="G2860" s="6">
        <v>38.776294708252003</v>
      </c>
      <c r="H2860" s="6">
        <v>38.782859802246101</v>
      </c>
      <c r="I2860" s="6">
        <v>38.743507385253899</v>
      </c>
      <c r="J2860" s="6">
        <v>33.887664794921903</v>
      </c>
      <c r="K2860" s="6">
        <v>33.908775329589801</v>
      </c>
      <c r="L2860" s="6">
        <v>35.139896392822301</v>
      </c>
    </row>
    <row r="2861" spans="1:12" x14ac:dyDescent="0.25">
      <c r="A2861">
        <v>2801405</v>
      </c>
      <c r="B2861" t="str">
        <f t="shared" si="44"/>
        <v>CARIRA, SE, Brasil</v>
      </c>
      <c r="C2861" s="4" t="str">
        <f>_xlfn.XLOOKUP(A2861,[1]!DadosGHD[CD_GEOCMU],[1]!DadosGHD[Região])</f>
        <v>NE</v>
      </c>
      <c r="D2861" s="4" t="str">
        <f>_xlfn.XLOOKUP(A2861,[1]!DadosGHD[CD_GEOCMU],[1]!DadosGHD[uf])</f>
        <v>SE</v>
      </c>
      <c r="E2861" s="5" t="str">
        <f>_xlfn.XLOOKUP(A2861,[1]!DadosGHD[CD_GEOCMU],[1]!DadosGHD[MUNICIPIO])</f>
        <v>CARIRA</v>
      </c>
      <c r="F2861" s="6">
        <v>38.705268859863303</v>
      </c>
      <c r="G2861" s="6">
        <v>43.639472961425803</v>
      </c>
      <c r="H2861" s="6">
        <v>43.718540191650398</v>
      </c>
      <c r="I2861" s="6">
        <v>43.684844970703097</v>
      </c>
      <c r="J2861" s="6">
        <v>38.841278076171903</v>
      </c>
      <c r="K2861" s="6">
        <v>38.880771636962898</v>
      </c>
      <c r="L2861" s="6">
        <v>30.700483322143601</v>
      </c>
    </row>
    <row r="2862" spans="1:12" x14ac:dyDescent="0.25">
      <c r="A2862">
        <v>3157609</v>
      </c>
      <c r="B2862" t="str">
        <f t="shared" si="44"/>
        <v>SANTA FE DE MINAS, MG, Brasil</v>
      </c>
      <c r="C2862" s="4" t="str">
        <f>_xlfn.XLOOKUP(A2862,[1]!DadosGHD[CD_GEOCMU],[1]!DadosGHD[Região])</f>
        <v>SD</v>
      </c>
      <c r="D2862" s="4" t="str">
        <f>_xlfn.XLOOKUP(A2862,[1]!DadosGHD[CD_GEOCMU],[1]!DadosGHD[uf])</f>
        <v>MG</v>
      </c>
      <c r="E2862" s="5" t="str">
        <f>_xlfn.XLOOKUP(A2862,[1]!DadosGHD[CD_GEOCMU],[1]!DadosGHD[MUNICIPIO])</f>
        <v>SANTA FE DE MINAS</v>
      </c>
      <c r="F2862" s="6">
        <v>38.705299377441399</v>
      </c>
      <c r="G2862" s="6">
        <v>38.768344879150398</v>
      </c>
      <c r="H2862" s="6">
        <v>38.7789916992188</v>
      </c>
      <c r="I2862" s="6">
        <v>38.775413513183601</v>
      </c>
      <c r="J2862" s="6">
        <v>38.767005920410199</v>
      </c>
      <c r="K2862" s="6">
        <v>38.802463531494098</v>
      </c>
      <c r="L2862" s="6">
        <v>30.698968887329102</v>
      </c>
    </row>
    <row r="2863" spans="1:12" x14ac:dyDescent="0.25">
      <c r="A2863">
        <v>4216404</v>
      </c>
      <c r="B2863" t="str">
        <f t="shared" si="44"/>
        <v>SAO JOAO DO SUL, SC, Brasil</v>
      </c>
      <c r="C2863" s="4" t="str">
        <f>_xlfn.XLOOKUP(A2863,[1]!DadosGHD[CD_GEOCMU],[1]!DadosGHD[Região])</f>
        <v>SL</v>
      </c>
      <c r="D2863" s="4" t="str">
        <f>_xlfn.XLOOKUP(A2863,[1]!DadosGHD[CD_GEOCMU],[1]!DadosGHD[uf])</f>
        <v>SC</v>
      </c>
      <c r="E2863" s="5" t="str">
        <f>_xlfn.XLOOKUP(A2863,[1]!DadosGHD[CD_GEOCMU],[1]!DadosGHD[MUNICIPIO])</f>
        <v>SAO JOAO DO SUL</v>
      </c>
      <c r="F2863" s="6">
        <v>38.705394744873097</v>
      </c>
      <c r="G2863" s="6">
        <v>43.713665008544901</v>
      </c>
      <c r="H2863" s="6">
        <v>43.840385437011697</v>
      </c>
      <c r="I2863" s="6">
        <v>43.723678588867202</v>
      </c>
      <c r="J2863" s="6">
        <v>43.757900238037102</v>
      </c>
      <c r="K2863" s="6">
        <v>38.887939453125</v>
      </c>
      <c r="L2863" s="6">
        <v>35.143016815185597</v>
      </c>
    </row>
    <row r="2864" spans="1:12" x14ac:dyDescent="0.25">
      <c r="A2864">
        <v>1714302</v>
      </c>
      <c r="B2864" t="str">
        <f t="shared" si="44"/>
        <v>NAZARE, TO, Brasil</v>
      </c>
      <c r="C2864" s="4" t="str">
        <f>_xlfn.XLOOKUP(A2864,[1]!DadosGHD[CD_GEOCMU],[1]!DadosGHD[Região])</f>
        <v>NO</v>
      </c>
      <c r="D2864" s="4" t="str">
        <f>_xlfn.XLOOKUP(A2864,[1]!DadosGHD[CD_GEOCMU],[1]!DadosGHD[uf])</f>
        <v>TO</v>
      </c>
      <c r="E2864" s="5" t="str">
        <f>_xlfn.XLOOKUP(A2864,[1]!DadosGHD[CD_GEOCMU],[1]!DadosGHD[MUNICIPIO])</f>
        <v>NAZARE</v>
      </c>
      <c r="F2864" s="6">
        <v>38.7054252624512</v>
      </c>
      <c r="G2864" s="6">
        <v>38.729503631591797</v>
      </c>
      <c r="H2864" s="6">
        <v>38.772750854492202</v>
      </c>
      <c r="I2864" s="6">
        <v>38.745563507080099</v>
      </c>
      <c r="J2864" s="6">
        <v>38.764900207519503</v>
      </c>
      <c r="K2864" s="6">
        <v>38.804710388183601</v>
      </c>
      <c r="L2864" s="6">
        <v>26.298353195190401</v>
      </c>
    </row>
    <row r="2865" spans="1:12" x14ac:dyDescent="0.25">
      <c r="A2865">
        <v>5202601</v>
      </c>
      <c r="B2865" t="str">
        <f t="shared" si="44"/>
        <v>AURILANDIA, GO, Brasil</v>
      </c>
      <c r="C2865" s="4" t="str">
        <f>_xlfn.XLOOKUP(A2865,[1]!DadosGHD[CD_GEOCMU],[1]!DadosGHD[Região])</f>
        <v>CO</v>
      </c>
      <c r="D2865" s="4" t="str">
        <f>_xlfn.XLOOKUP(A2865,[1]!DadosGHD[CD_GEOCMU],[1]!DadosGHD[uf])</f>
        <v>GO</v>
      </c>
      <c r="E2865" s="5" t="str">
        <f>_xlfn.XLOOKUP(A2865,[1]!DadosGHD[CD_GEOCMU],[1]!DadosGHD[MUNICIPIO])</f>
        <v>AURILANDIA</v>
      </c>
      <c r="F2865" s="6">
        <v>38.705574035644503</v>
      </c>
      <c r="G2865" s="6">
        <v>43.650794982910199</v>
      </c>
      <c r="H2865" s="6">
        <v>38.843620300292997</v>
      </c>
      <c r="I2865" s="6">
        <v>38.805511474609403</v>
      </c>
      <c r="J2865" s="6">
        <v>38.809196472167997</v>
      </c>
      <c r="K2865" s="6">
        <v>43.758167266845703</v>
      </c>
      <c r="L2865" s="6">
        <v>35.141220092773402</v>
      </c>
    </row>
    <row r="2866" spans="1:12" x14ac:dyDescent="0.25">
      <c r="A2866">
        <v>2210607</v>
      </c>
      <c r="B2866" t="str">
        <f t="shared" si="44"/>
        <v>SAO RAIMUNDO NONATO, PI, Brasil</v>
      </c>
      <c r="C2866" s="4" t="str">
        <f>_xlfn.XLOOKUP(A2866,[1]!DadosGHD[CD_GEOCMU],[1]!DadosGHD[Região])</f>
        <v>NE</v>
      </c>
      <c r="D2866" s="4" t="str">
        <f>_xlfn.XLOOKUP(A2866,[1]!DadosGHD[CD_GEOCMU],[1]!DadosGHD[uf])</f>
        <v>PI</v>
      </c>
      <c r="E2866" s="5" t="str">
        <f>_xlfn.XLOOKUP(A2866,[1]!DadosGHD[CD_GEOCMU],[1]!DadosGHD[MUNICIPIO])</f>
        <v>SAO RAIMUNDO NONATO</v>
      </c>
      <c r="F2866" s="6">
        <v>38.705638885498097</v>
      </c>
      <c r="G2866" s="6">
        <v>38.775131225585902</v>
      </c>
      <c r="H2866" s="6">
        <v>38.824661254882798</v>
      </c>
      <c r="I2866" s="6">
        <v>43.745525360107401</v>
      </c>
      <c r="J2866" s="6">
        <v>43.748828887939503</v>
      </c>
      <c r="K2866" s="6">
        <v>43.776775360107401</v>
      </c>
      <c r="L2866" s="6">
        <v>39.557559967041001</v>
      </c>
    </row>
    <row r="2867" spans="1:12" x14ac:dyDescent="0.25">
      <c r="A2867">
        <v>4127908</v>
      </c>
      <c r="B2867" t="str">
        <f t="shared" si="44"/>
        <v>TUNEIRAS DO OESTE, PR, Brasil</v>
      </c>
      <c r="C2867" s="4" t="str">
        <f>_xlfn.XLOOKUP(A2867,[1]!DadosGHD[CD_GEOCMU],[1]!DadosGHD[Região])</f>
        <v>SL</v>
      </c>
      <c r="D2867" s="4" t="str">
        <f>_xlfn.XLOOKUP(A2867,[1]!DadosGHD[CD_GEOCMU],[1]!DadosGHD[uf])</f>
        <v>PR</v>
      </c>
      <c r="E2867" s="5" t="str">
        <f>_xlfn.XLOOKUP(A2867,[1]!DadosGHD[CD_GEOCMU],[1]!DadosGHD[MUNICIPIO])</f>
        <v>TUNEIRAS DO OESTE</v>
      </c>
      <c r="F2867" s="6">
        <v>38.705726623535199</v>
      </c>
      <c r="G2867" s="6">
        <v>43.6794624328613</v>
      </c>
      <c r="H2867" s="6">
        <v>43.733524322509801</v>
      </c>
      <c r="I2867" s="6">
        <v>43.716056823730497</v>
      </c>
      <c r="J2867" s="6">
        <v>43.807044982910199</v>
      </c>
      <c r="K2867" s="6">
        <v>43.826400756835902</v>
      </c>
      <c r="L2867" s="6">
        <v>39.555892944335902</v>
      </c>
    </row>
    <row r="2868" spans="1:12" x14ac:dyDescent="0.25">
      <c r="A2868">
        <v>4106001</v>
      </c>
      <c r="B2868" t="str">
        <f t="shared" si="44"/>
        <v>CONGONHINHAS, PR, Brasil</v>
      </c>
      <c r="C2868" s="4" t="str">
        <f>_xlfn.XLOOKUP(A2868,[1]!DadosGHD[CD_GEOCMU],[1]!DadosGHD[Região])</f>
        <v>SL</v>
      </c>
      <c r="D2868" s="4" t="str">
        <f>_xlfn.XLOOKUP(A2868,[1]!DadosGHD[CD_GEOCMU],[1]!DadosGHD[uf])</f>
        <v>PR</v>
      </c>
      <c r="E2868" s="5" t="str">
        <f>_xlfn.XLOOKUP(A2868,[1]!DadosGHD[CD_GEOCMU],[1]!DadosGHD[MUNICIPIO])</f>
        <v>CONGONHINHAS</v>
      </c>
      <c r="F2868" s="6">
        <v>38.705909729003899</v>
      </c>
      <c r="G2868" s="6">
        <v>43.699390411377003</v>
      </c>
      <c r="H2868" s="6">
        <v>43.772361755371101</v>
      </c>
      <c r="I2868" s="6">
        <v>43.7471733093262</v>
      </c>
      <c r="J2868" s="6">
        <v>43.773937225341797</v>
      </c>
      <c r="K2868" s="6">
        <v>43.821800231933601</v>
      </c>
      <c r="L2868" s="6">
        <v>44.055435180664098</v>
      </c>
    </row>
    <row r="2869" spans="1:12" x14ac:dyDescent="0.25">
      <c r="A2869">
        <v>3130507</v>
      </c>
      <c r="B2869" t="str">
        <f t="shared" si="44"/>
        <v>ILICINEA, MG, Brasil</v>
      </c>
      <c r="C2869" s="4" t="str">
        <f>_xlfn.XLOOKUP(A2869,[1]!DadosGHD[CD_GEOCMU],[1]!DadosGHD[Região])</f>
        <v>SD</v>
      </c>
      <c r="D2869" s="4" t="str">
        <f>_xlfn.XLOOKUP(A2869,[1]!DadosGHD[CD_GEOCMU],[1]!DadosGHD[uf])</f>
        <v>MG</v>
      </c>
      <c r="E2869" s="5" t="str">
        <f>_xlfn.XLOOKUP(A2869,[1]!DadosGHD[CD_GEOCMU],[1]!DadosGHD[MUNICIPIO])</f>
        <v>ILICINEA</v>
      </c>
      <c r="F2869" s="6">
        <v>38.706047058105497</v>
      </c>
      <c r="G2869" s="6">
        <v>43.667789459228501</v>
      </c>
      <c r="H2869" s="6">
        <v>43.722640991210902</v>
      </c>
      <c r="I2869" s="6">
        <v>38.796356201171903</v>
      </c>
      <c r="J2869" s="6">
        <v>38.745063781738303</v>
      </c>
      <c r="K2869" s="6">
        <v>38.874282836914098</v>
      </c>
      <c r="L2869" s="6">
        <v>44.028682708740199</v>
      </c>
    </row>
    <row r="2870" spans="1:12" x14ac:dyDescent="0.25">
      <c r="A2870">
        <v>4215356</v>
      </c>
      <c r="B2870" t="str">
        <f t="shared" si="44"/>
        <v>SALTINHO, SC, Brasil</v>
      </c>
      <c r="C2870" s="4" t="str">
        <f>_xlfn.XLOOKUP(A2870,[1]!DadosGHD[CD_GEOCMU],[1]!DadosGHD[Região])</f>
        <v>SL</v>
      </c>
      <c r="D2870" s="4" t="str">
        <f>_xlfn.XLOOKUP(A2870,[1]!DadosGHD[CD_GEOCMU],[1]!DadosGHD[uf])</f>
        <v>SC</v>
      </c>
      <c r="E2870" s="5" t="str">
        <f>_xlfn.XLOOKUP(A2870,[1]!DadosGHD[CD_GEOCMU],[1]!DadosGHD[MUNICIPIO])</f>
        <v>SALTINHO</v>
      </c>
      <c r="F2870" s="6">
        <v>38.706188201904297</v>
      </c>
      <c r="G2870" s="6">
        <v>48.696544647216797</v>
      </c>
      <c r="H2870" s="6">
        <v>48.833438873291001</v>
      </c>
      <c r="I2870" s="6">
        <v>53.812278747558601</v>
      </c>
      <c r="J2870" s="6">
        <v>53.891487121582003</v>
      </c>
      <c r="K2870" s="6">
        <v>53.988693237304702</v>
      </c>
      <c r="L2870" s="6">
        <v>52.9926147460938</v>
      </c>
    </row>
    <row r="2871" spans="1:12" x14ac:dyDescent="0.25">
      <c r="A2871">
        <v>5219258</v>
      </c>
      <c r="B2871" t="str">
        <f t="shared" si="44"/>
        <v>SANTA FE DE GOIAS, GO, Brasil</v>
      </c>
      <c r="C2871" s="4" t="str">
        <f>_xlfn.XLOOKUP(A2871,[1]!DadosGHD[CD_GEOCMU],[1]!DadosGHD[Região])</f>
        <v>CO</v>
      </c>
      <c r="D2871" s="4" t="str">
        <f>_xlfn.XLOOKUP(A2871,[1]!DadosGHD[CD_GEOCMU],[1]!DadosGHD[uf])</f>
        <v>GO</v>
      </c>
      <c r="E2871" s="5" t="str">
        <f>_xlfn.XLOOKUP(A2871,[1]!DadosGHD[CD_GEOCMU],[1]!DadosGHD[MUNICIPIO])</f>
        <v>SANTA FE DE GOIAS</v>
      </c>
      <c r="F2871" s="6">
        <v>38.706413269042997</v>
      </c>
      <c r="G2871" s="6">
        <v>38.781383514404297</v>
      </c>
      <c r="H2871" s="6">
        <v>38.844993591308601</v>
      </c>
      <c r="I2871" s="6">
        <v>38.800102233886697</v>
      </c>
      <c r="J2871" s="6">
        <v>43.746475219726598</v>
      </c>
      <c r="K2871" s="6">
        <v>38.883415222167997</v>
      </c>
      <c r="L2871" s="6">
        <v>39.603446960449197</v>
      </c>
    </row>
    <row r="2872" spans="1:12" x14ac:dyDescent="0.25">
      <c r="A2872">
        <v>3553856</v>
      </c>
      <c r="B2872" t="str">
        <f t="shared" si="44"/>
        <v>TAQUARIVAI, SP, Brasil</v>
      </c>
      <c r="C2872" s="4" t="str">
        <f>_xlfn.XLOOKUP(A2872,[1]!DadosGHD[CD_GEOCMU],[1]!DadosGHD[Região])</f>
        <v>SD</v>
      </c>
      <c r="D2872" s="4" t="str">
        <f>_xlfn.XLOOKUP(A2872,[1]!DadosGHD[CD_GEOCMU],[1]!DadosGHD[uf])</f>
        <v>SP</v>
      </c>
      <c r="E2872" s="5" t="str">
        <f>_xlfn.XLOOKUP(A2872,[1]!DadosGHD[CD_GEOCMU],[1]!DadosGHD[MUNICIPIO])</f>
        <v>TAQUARIVAI</v>
      </c>
      <c r="F2872" s="6">
        <v>38.706443786621101</v>
      </c>
      <c r="G2872" s="6">
        <v>38.773422241210902</v>
      </c>
      <c r="H2872" s="6">
        <v>38.822227478027301</v>
      </c>
      <c r="I2872" s="6">
        <v>38.805809020996101</v>
      </c>
      <c r="J2872" s="6">
        <v>38.838783264160199</v>
      </c>
      <c r="K2872" s="6">
        <v>43.768569946289098</v>
      </c>
      <c r="L2872" s="6">
        <v>44.064014434814503</v>
      </c>
    </row>
    <row r="2873" spans="1:12" x14ac:dyDescent="0.25">
      <c r="A2873">
        <v>5215256</v>
      </c>
      <c r="B2873" t="str">
        <f t="shared" si="44"/>
        <v>NOVO PLANALTO, GO, Brasil</v>
      </c>
      <c r="C2873" s="4" t="str">
        <f>_xlfn.XLOOKUP(A2873,[1]!DadosGHD[CD_GEOCMU],[1]!DadosGHD[Região])</f>
        <v>CO</v>
      </c>
      <c r="D2873" s="4" t="str">
        <f>_xlfn.XLOOKUP(A2873,[1]!DadosGHD[CD_GEOCMU],[1]!DadosGHD[uf])</f>
        <v>GO</v>
      </c>
      <c r="E2873" s="5" t="str">
        <f>_xlfn.XLOOKUP(A2873,[1]!DadosGHD[CD_GEOCMU],[1]!DadosGHD[MUNICIPIO])</f>
        <v>NOVO PLANALTO</v>
      </c>
      <c r="F2873" s="6">
        <v>38.7066459655762</v>
      </c>
      <c r="G2873" s="6">
        <v>38.734169006347699</v>
      </c>
      <c r="H2873" s="6">
        <v>38.768264770507798</v>
      </c>
      <c r="I2873" s="6">
        <v>38.740177154541001</v>
      </c>
      <c r="J2873" s="6">
        <v>38.742874145507798</v>
      </c>
      <c r="K2873" s="6">
        <v>33.926113128662102</v>
      </c>
      <c r="L2873" s="6">
        <v>30.705377578735401</v>
      </c>
    </row>
    <row r="2874" spans="1:12" x14ac:dyDescent="0.25">
      <c r="A2874">
        <v>3123528</v>
      </c>
      <c r="B2874" t="str">
        <f t="shared" si="44"/>
        <v>DURANDE, MG, Brasil</v>
      </c>
      <c r="C2874" s="4" t="str">
        <f>_xlfn.XLOOKUP(A2874,[1]!DadosGHD[CD_GEOCMU],[1]!DadosGHD[Região])</f>
        <v>SD</v>
      </c>
      <c r="D2874" s="4" t="str">
        <f>_xlfn.XLOOKUP(A2874,[1]!DadosGHD[CD_GEOCMU],[1]!DadosGHD[uf])</f>
        <v>MG</v>
      </c>
      <c r="E2874" s="5" t="str">
        <f>_xlfn.XLOOKUP(A2874,[1]!DadosGHD[CD_GEOCMU],[1]!DadosGHD[MUNICIPIO])</f>
        <v>DURANDE</v>
      </c>
      <c r="F2874" s="6">
        <v>38.706932067871101</v>
      </c>
      <c r="G2874" s="6">
        <v>43.664093017578097</v>
      </c>
      <c r="H2874" s="6">
        <v>43.7248725891113</v>
      </c>
      <c r="I2874" s="6">
        <v>43.702857971191399</v>
      </c>
      <c r="J2874" s="6">
        <v>43.730995178222699</v>
      </c>
      <c r="K2874" s="6">
        <v>43.811847686767599</v>
      </c>
      <c r="L2874" s="6">
        <v>39.564273834228501</v>
      </c>
    </row>
    <row r="2875" spans="1:12" x14ac:dyDescent="0.25">
      <c r="A2875">
        <v>3169109</v>
      </c>
      <c r="B2875" t="str">
        <f t="shared" si="44"/>
        <v>TOLEDO, MG, Brasil</v>
      </c>
      <c r="C2875" s="4" t="str">
        <f>_xlfn.XLOOKUP(A2875,[1]!DadosGHD[CD_GEOCMU],[1]!DadosGHD[Região])</f>
        <v>SD</v>
      </c>
      <c r="D2875" s="4" t="str">
        <f>_xlfn.XLOOKUP(A2875,[1]!DadosGHD[CD_GEOCMU],[1]!DadosGHD[uf])</f>
        <v>MG</v>
      </c>
      <c r="E2875" s="5" t="str">
        <f>_xlfn.XLOOKUP(A2875,[1]!DadosGHD[CD_GEOCMU],[1]!DadosGHD[MUNICIPIO])</f>
        <v>TOLEDO</v>
      </c>
      <c r="F2875" s="6">
        <v>38.707382202148402</v>
      </c>
      <c r="G2875" s="6">
        <v>38.7800102233887</v>
      </c>
      <c r="H2875" s="6">
        <v>43.805843353271499</v>
      </c>
      <c r="I2875" s="6">
        <v>48.703170776367202</v>
      </c>
      <c r="J2875" s="6">
        <v>43.801731109619098</v>
      </c>
      <c r="K2875" s="6">
        <v>48.775066375732401</v>
      </c>
      <c r="L2875" s="6">
        <v>48.558910369873097</v>
      </c>
    </row>
    <row r="2876" spans="1:12" x14ac:dyDescent="0.25">
      <c r="A2876">
        <v>5007109</v>
      </c>
      <c r="B2876" t="str">
        <f t="shared" si="44"/>
        <v>RIBAS DO RIO PARDO, MS, Brasil</v>
      </c>
      <c r="C2876" s="4" t="str">
        <f>_xlfn.XLOOKUP(A2876,[1]!DadosGHD[CD_GEOCMU],[1]!DadosGHD[Região])</f>
        <v>CO</v>
      </c>
      <c r="D2876" s="4" t="str">
        <f>_xlfn.XLOOKUP(A2876,[1]!DadosGHD[CD_GEOCMU],[1]!DadosGHD[uf])</f>
        <v>MS</v>
      </c>
      <c r="E2876" s="5" t="str">
        <f>_xlfn.XLOOKUP(A2876,[1]!DadosGHD[CD_GEOCMU],[1]!DadosGHD[MUNICIPIO])</f>
        <v>RIBAS DO RIO PARDO</v>
      </c>
      <c r="F2876" s="6">
        <v>38.707527160644503</v>
      </c>
      <c r="G2876" s="6">
        <v>38.761344909667997</v>
      </c>
      <c r="H2876" s="6">
        <v>38.831626892089801</v>
      </c>
      <c r="I2876" s="6">
        <v>38.797073364257798</v>
      </c>
      <c r="J2876" s="6">
        <v>38.8167724609375</v>
      </c>
      <c r="K2876" s="6">
        <v>38.783134460449197</v>
      </c>
      <c r="L2876" s="6">
        <v>30.718082427978501</v>
      </c>
    </row>
    <row r="2877" spans="1:12" x14ac:dyDescent="0.25">
      <c r="A2877">
        <v>1100403</v>
      </c>
      <c r="B2877" t="str">
        <f t="shared" si="44"/>
        <v>ALTO PARAISO, RO, Brasil</v>
      </c>
      <c r="C2877" s="4" t="str">
        <f>_xlfn.XLOOKUP(A2877,[1]!DadosGHD[CD_GEOCMU],[1]!DadosGHD[Região])</f>
        <v>NO</v>
      </c>
      <c r="D2877" s="4" t="str">
        <f>_xlfn.XLOOKUP(A2877,[1]!DadosGHD[CD_GEOCMU],[1]!DadosGHD[uf])</f>
        <v>RO</v>
      </c>
      <c r="E2877" s="5" t="str">
        <f>_xlfn.XLOOKUP(A2877,[1]!DadosGHD[CD_GEOCMU],[1]!DadosGHD[MUNICIPIO])</f>
        <v>ALTO PARAISO</v>
      </c>
      <c r="F2877" s="6">
        <v>38.707618713378899</v>
      </c>
      <c r="G2877" s="6">
        <v>43.676010131835902</v>
      </c>
      <c r="H2877" s="6">
        <v>43.746604919433601</v>
      </c>
      <c r="I2877" s="6">
        <v>43.760345458984403</v>
      </c>
      <c r="J2877" s="6">
        <v>48.7084770202637</v>
      </c>
      <c r="K2877" s="6">
        <v>43.881832122802699</v>
      </c>
      <c r="L2877" s="6">
        <v>39.5767631530762</v>
      </c>
    </row>
    <row r="2878" spans="1:12" x14ac:dyDescent="0.25">
      <c r="A2878">
        <v>3523107</v>
      </c>
      <c r="B2878" t="str">
        <f t="shared" si="44"/>
        <v>ITAQUAQUECETUBA, SP, Brasil</v>
      </c>
      <c r="C2878" s="4" t="str">
        <f>_xlfn.XLOOKUP(A2878,[1]!DadosGHD[CD_GEOCMU],[1]!DadosGHD[Região])</f>
        <v>SD</v>
      </c>
      <c r="D2878" s="4" t="str">
        <f>_xlfn.XLOOKUP(A2878,[1]!DadosGHD[CD_GEOCMU],[1]!DadosGHD[uf])</f>
        <v>SP</v>
      </c>
      <c r="E2878" s="5" t="str">
        <f>_xlfn.XLOOKUP(A2878,[1]!DadosGHD[CD_GEOCMU],[1]!DadosGHD[MUNICIPIO])</f>
        <v>ITAQUAQUECETUBA</v>
      </c>
      <c r="F2878" s="6">
        <v>38.707633972167997</v>
      </c>
      <c r="G2878" s="6">
        <v>43.637481689453097</v>
      </c>
      <c r="H2878" s="6">
        <v>38.824913024902301</v>
      </c>
      <c r="I2878" s="6">
        <v>38.799625396728501</v>
      </c>
      <c r="J2878" s="6">
        <v>38.812545776367202</v>
      </c>
      <c r="K2878" s="6">
        <v>38.844200134277301</v>
      </c>
      <c r="L2878" s="6">
        <v>39.612064361572301</v>
      </c>
    </row>
    <row r="2879" spans="1:12" x14ac:dyDescent="0.25">
      <c r="A2879">
        <v>3202652</v>
      </c>
      <c r="B2879" t="str">
        <f t="shared" si="44"/>
        <v>IRUPI, ES, Brasil</v>
      </c>
      <c r="C2879" s="4" t="str">
        <f>_xlfn.XLOOKUP(A2879,[1]!DadosGHD[CD_GEOCMU],[1]!DadosGHD[Região])</f>
        <v>SD</v>
      </c>
      <c r="D2879" s="4" t="str">
        <f>_xlfn.XLOOKUP(A2879,[1]!DadosGHD[CD_GEOCMU],[1]!DadosGHD[uf])</f>
        <v>ES</v>
      </c>
      <c r="E2879" s="5" t="str">
        <f>_xlfn.XLOOKUP(A2879,[1]!DadosGHD[CD_GEOCMU],[1]!DadosGHD[MUNICIPIO])</f>
        <v>IRUPI</v>
      </c>
      <c r="F2879" s="6">
        <v>38.707668304443402</v>
      </c>
      <c r="G2879" s="6">
        <v>38.781612396240199</v>
      </c>
      <c r="H2879" s="6">
        <v>38.841148376464801</v>
      </c>
      <c r="I2879" s="6">
        <v>43.7249145507813</v>
      </c>
      <c r="J2879" s="6">
        <v>43.739952087402301</v>
      </c>
      <c r="K2879" s="6">
        <v>43.767368316650398</v>
      </c>
      <c r="L2879" s="6">
        <v>39.595882415771499</v>
      </c>
    </row>
    <row r="2880" spans="1:12" x14ac:dyDescent="0.25">
      <c r="A2880">
        <v>4100400</v>
      </c>
      <c r="B2880" t="str">
        <f t="shared" si="44"/>
        <v>ALMIRANTE TAMANDARE, PR, Brasil</v>
      </c>
      <c r="C2880" s="4" t="str">
        <f>_xlfn.XLOOKUP(A2880,[1]!DadosGHD[CD_GEOCMU],[1]!DadosGHD[Região])</f>
        <v>SL</v>
      </c>
      <c r="D2880" s="4" t="str">
        <f>_xlfn.XLOOKUP(A2880,[1]!DadosGHD[CD_GEOCMU],[1]!DadosGHD[uf])</f>
        <v>PR</v>
      </c>
      <c r="E2880" s="5" t="str">
        <f>_xlfn.XLOOKUP(A2880,[1]!DadosGHD[CD_GEOCMU],[1]!DadosGHD[MUNICIPIO])</f>
        <v>ALMIRANTE TAMANDARE</v>
      </c>
      <c r="F2880" s="6">
        <v>38.707843780517599</v>
      </c>
      <c r="G2880" s="6">
        <v>43.651046752929702</v>
      </c>
      <c r="H2880" s="6">
        <v>43.713050842285199</v>
      </c>
      <c r="I2880" s="6">
        <v>38.806251525878899</v>
      </c>
      <c r="J2880" s="6">
        <v>38.792247772216797</v>
      </c>
      <c r="K2880" s="6">
        <v>38.868213653564503</v>
      </c>
      <c r="L2880" s="6">
        <v>44.021957397460902</v>
      </c>
    </row>
    <row r="2881" spans="1:12" x14ac:dyDescent="0.25">
      <c r="A2881">
        <v>4104402</v>
      </c>
      <c r="B2881" t="str">
        <f t="shared" si="44"/>
        <v>CANDIDO DE ABREU, PR, Brasil</v>
      </c>
      <c r="C2881" s="4" t="str">
        <f>_xlfn.XLOOKUP(A2881,[1]!DadosGHD[CD_GEOCMU],[1]!DadosGHD[Região])</f>
        <v>SL</v>
      </c>
      <c r="D2881" s="4" t="str">
        <f>_xlfn.XLOOKUP(A2881,[1]!DadosGHD[CD_GEOCMU],[1]!DadosGHD[uf])</f>
        <v>PR</v>
      </c>
      <c r="E2881" s="5" t="str">
        <f>_xlfn.XLOOKUP(A2881,[1]!DadosGHD[CD_GEOCMU],[1]!DadosGHD[MUNICIPIO])</f>
        <v>CANDIDO DE ABREU</v>
      </c>
      <c r="F2881" s="6">
        <v>38.707851409912102</v>
      </c>
      <c r="G2881" s="6">
        <v>43.648593902587898</v>
      </c>
      <c r="H2881" s="6">
        <v>43.7171020507813</v>
      </c>
      <c r="I2881" s="6">
        <v>43.77490234375</v>
      </c>
      <c r="J2881" s="6">
        <v>48.711582183837898</v>
      </c>
      <c r="K2881" s="6">
        <v>48.800975799560597</v>
      </c>
      <c r="L2881" s="6">
        <v>39.58984375</v>
      </c>
    </row>
    <row r="2882" spans="1:12" x14ac:dyDescent="0.25">
      <c r="A2882">
        <v>2312502</v>
      </c>
      <c r="B2882" t="str">
        <f t="shared" si="44"/>
        <v>SAO JOAO DO JAGUARIBE, CE, Brasil</v>
      </c>
      <c r="C2882" s="4" t="str">
        <f>_xlfn.XLOOKUP(A2882,[1]!DadosGHD[CD_GEOCMU],[1]!DadosGHD[Região])</f>
        <v>NE</v>
      </c>
      <c r="D2882" s="4" t="str">
        <f>_xlfn.XLOOKUP(A2882,[1]!DadosGHD[CD_GEOCMU],[1]!DadosGHD[uf])</f>
        <v>CE</v>
      </c>
      <c r="E2882" s="5" t="str">
        <f>_xlfn.XLOOKUP(A2882,[1]!DadosGHD[CD_GEOCMU],[1]!DadosGHD[MUNICIPIO])</f>
        <v>SAO JOAO DO JAGUARIBE</v>
      </c>
      <c r="F2882" s="6">
        <v>38.707855224609403</v>
      </c>
      <c r="G2882" s="6">
        <v>38.742469787597699</v>
      </c>
      <c r="H2882" s="6">
        <v>38.785083770752003</v>
      </c>
      <c r="I2882" s="6">
        <v>38.763942718505902</v>
      </c>
      <c r="J2882" s="6">
        <v>38.825584411621101</v>
      </c>
      <c r="K2882" s="6">
        <v>33.926963806152301</v>
      </c>
      <c r="L2882" s="6">
        <v>30.7042331695557</v>
      </c>
    </row>
    <row r="2883" spans="1:12" x14ac:dyDescent="0.25">
      <c r="A2883">
        <v>2202752</v>
      </c>
      <c r="B2883" t="str">
        <f t="shared" si="44"/>
        <v>COLONIA DO GURGUEIA, PI, Brasil</v>
      </c>
      <c r="C2883" s="4" t="str">
        <f>_xlfn.XLOOKUP(A2883,[1]!DadosGHD[CD_GEOCMU],[1]!DadosGHD[Região])</f>
        <v>NE</v>
      </c>
      <c r="D2883" s="4" t="str">
        <f>_xlfn.XLOOKUP(A2883,[1]!DadosGHD[CD_GEOCMU],[1]!DadosGHD[uf])</f>
        <v>PI</v>
      </c>
      <c r="E2883" s="5" t="str">
        <f>_xlfn.XLOOKUP(A2883,[1]!DadosGHD[CD_GEOCMU],[1]!DadosGHD[MUNICIPIO])</f>
        <v>COLONIA DO GURGUEIA</v>
      </c>
      <c r="F2883" s="6">
        <v>38.707973480224602</v>
      </c>
      <c r="G2883" s="6">
        <v>38.711837768554702</v>
      </c>
      <c r="H2883" s="6">
        <v>38.755378723144503</v>
      </c>
      <c r="I2883" s="6">
        <v>38.722831726074197</v>
      </c>
      <c r="J2883" s="6">
        <v>33.888233184814503</v>
      </c>
      <c r="K2883" s="6">
        <v>33.915889739990199</v>
      </c>
      <c r="L2883" s="6">
        <v>26.282976150512699</v>
      </c>
    </row>
    <row r="2884" spans="1:12" x14ac:dyDescent="0.25">
      <c r="A2884">
        <v>3169059</v>
      </c>
      <c r="B2884" t="str">
        <f t="shared" ref="B2884:B2947" si="45">_xlfn.CONCAT(E2884, ", ", D2884, ", Brasil")</f>
        <v>TOCOS DO MOJI, MG, Brasil</v>
      </c>
      <c r="C2884" s="4" t="str">
        <f>_xlfn.XLOOKUP(A2884,[1]!DadosGHD[CD_GEOCMU],[1]!DadosGHD[Região])</f>
        <v>SD</v>
      </c>
      <c r="D2884" s="4" t="str">
        <f>_xlfn.XLOOKUP(A2884,[1]!DadosGHD[CD_GEOCMU],[1]!DadosGHD[uf])</f>
        <v>MG</v>
      </c>
      <c r="E2884" s="5" t="str">
        <f>_xlfn.XLOOKUP(A2884,[1]!DadosGHD[CD_GEOCMU],[1]!DadosGHD[MUNICIPIO])</f>
        <v>TOCOS DO MOJI</v>
      </c>
      <c r="F2884" s="6">
        <v>38.708019256591797</v>
      </c>
      <c r="G2884" s="6">
        <v>38.734428405761697</v>
      </c>
      <c r="H2884" s="6">
        <v>38.793228149414098</v>
      </c>
      <c r="I2884" s="6">
        <v>38.779903411865199</v>
      </c>
      <c r="J2884" s="6">
        <v>38.807659149169901</v>
      </c>
      <c r="K2884" s="6">
        <v>43.795036315917997</v>
      </c>
      <c r="L2884" s="6">
        <v>44.016937255859403</v>
      </c>
    </row>
    <row r="2885" spans="1:12" x14ac:dyDescent="0.25">
      <c r="A2885">
        <v>1100338</v>
      </c>
      <c r="B2885" t="str">
        <f t="shared" si="45"/>
        <v>NOVA MAMORE, RO, Brasil</v>
      </c>
      <c r="C2885" s="4" t="str">
        <f>_xlfn.XLOOKUP(A2885,[1]!DadosGHD[CD_GEOCMU],[1]!DadosGHD[Região])</f>
        <v>NO</v>
      </c>
      <c r="D2885" s="4" t="str">
        <f>_xlfn.XLOOKUP(A2885,[1]!DadosGHD[CD_GEOCMU],[1]!DadosGHD[uf])</f>
        <v>RO</v>
      </c>
      <c r="E2885" s="5" t="str">
        <f>_xlfn.XLOOKUP(A2885,[1]!DadosGHD[CD_GEOCMU],[1]!DadosGHD[MUNICIPIO])</f>
        <v>NOVA MAMORE</v>
      </c>
      <c r="F2885" s="6">
        <v>38.708076477050803</v>
      </c>
      <c r="G2885" s="6">
        <v>38.785774230957003</v>
      </c>
      <c r="H2885" s="6">
        <v>43.728328704833999</v>
      </c>
      <c r="I2885" s="6">
        <v>43.763298034667997</v>
      </c>
      <c r="J2885" s="6">
        <v>43.820358276367202</v>
      </c>
      <c r="K2885" s="6">
        <v>48.815567016601598</v>
      </c>
      <c r="L2885" s="6">
        <v>44.025218963623097</v>
      </c>
    </row>
    <row r="2886" spans="1:12" x14ac:dyDescent="0.25">
      <c r="A2886">
        <v>1101005</v>
      </c>
      <c r="B2886" t="str">
        <f t="shared" si="45"/>
        <v>GOVERNADOR JORGE TEIXEIRA, RO, Brasil</v>
      </c>
      <c r="C2886" s="4" t="str">
        <f>_xlfn.XLOOKUP(A2886,[1]!DadosGHD[CD_GEOCMU],[1]!DadosGHD[Região])</f>
        <v>NO</v>
      </c>
      <c r="D2886" s="4" t="str">
        <f>_xlfn.XLOOKUP(A2886,[1]!DadosGHD[CD_GEOCMU],[1]!DadosGHD[uf])</f>
        <v>RO</v>
      </c>
      <c r="E2886" s="5" t="str">
        <f>_xlfn.XLOOKUP(A2886,[1]!DadosGHD[CD_GEOCMU],[1]!DadosGHD[MUNICIPIO])</f>
        <v>GOVERNADOR JORGE TEIXEIRA</v>
      </c>
      <c r="F2886" s="6">
        <v>38.708137512207003</v>
      </c>
      <c r="G2886" s="6">
        <v>43.6598091125488</v>
      </c>
      <c r="H2886" s="6">
        <v>48.744670867919901</v>
      </c>
      <c r="I2886" s="6">
        <v>48.7402534484863</v>
      </c>
      <c r="J2886" s="6">
        <v>48.783260345458999</v>
      </c>
      <c r="K2886" s="6">
        <v>48.826808929443402</v>
      </c>
      <c r="L2886" s="6">
        <v>35.126274108886697</v>
      </c>
    </row>
    <row r="2887" spans="1:12" x14ac:dyDescent="0.25">
      <c r="A2887">
        <v>1706100</v>
      </c>
      <c r="B2887" t="str">
        <f t="shared" si="45"/>
        <v>CRISTALANDIA, TO, Brasil</v>
      </c>
      <c r="C2887" s="4" t="str">
        <f>_xlfn.XLOOKUP(A2887,[1]!DadosGHD[CD_GEOCMU],[1]!DadosGHD[Região])</f>
        <v>NO</v>
      </c>
      <c r="D2887" s="4" t="str">
        <f>_xlfn.XLOOKUP(A2887,[1]!DadosGHD[CD_GEOCMU],[1]!DadosGHD[uf])</f>
        <v>TO</v>
      </c>
      <c r="E2887" s="5" t="str">
        <f>_xlfn.XLOOKUP(A2887,[1]!DadosGHD[CD_GEOCMU],[1]!DadosGHD[MUNICIPIO])</f>
        <v>CRISTALANDIA</v>
      </c>
      <c r="F2887" s="6">
        <v>38.708236694335902</v>
      </c>
      <c r="G2887" s="6">
        <v>38.754661560058601</v>
      </c>
      <c r="H2887" s="6">
        <v>38.8011283874512</v>
      </c>
      <c r="I2887" s="6">
        <v>38.755149841308601</v>
      </c>
      <c r="J2887" s="6">
        <v>38.759986877441399</v>
      </c>
      <c r="K2887" s="6">
        <v>38.802455902099602</v>
      </c>
      <c r="L2887" s="6">
        <v>44.019302368164098</v>
      </c>
    </row>
    <row r="2888" spans="1:12" x14ac:dyDescent="0.25">
      <c r="A2888">
        <v>2932200</v>
      </c>
      <c r="B2888" t="str">
        <f t="shared" si="45"/>
        <v>UBAITABA, BA, Brasil</v>
      </c>
      <c r="C2888" s="4" t="str">
        <f>_xlfn.XLOOKUP(A2888,[1]!DadosGHD[CD_GEOCMU],[1]!DadosGHD[Região])</f>
        <v>NE</v>
      </c>
      <c r="D2888" s="4" t="str">
        <f>_xlfn.XLOOKUP(A2888,[1]!DadosGHD[CD_GEOCMU],[1]!DadosGHD[uf])</f>
        <v>BA</v>
      </c>
      <c r="E2888" s="5" t="str">
        <f>_xlfn.XLOOKUP(A2888,[1]!DadosGHD[CD_GEOCMU],[1]!DadosGHD[MUNICIPIO])</f>
        <v>UBAITABA</v>
      </c>
      <c r="F2888" s="6">
        <v>38.708335876464801</v>
      </c>
      <c r="G2888" s="6">
        <v>38.725826263427699</v>
      </c>
      <c r="H2888" s="6">
        <v>38.784736633300803</v>
      </c>
      <c r="I2888" s="6">
        <v>38.7660522460938</v>
      </c>
      <c r="J2888" s="6">
        <v>38.7688179016113</v>
      </c>
      <c r="K2888" s="6">
        <v>38.804164886474602</v>
      </c>
      <c r="L2888" s="6">
        <v>30.7051906585693</v>
      </c>
    </row>
    <row r="2889" spans="1:12" x14ac:dyDescent="0.25">
      <c r="A2889">
        <v>5108808</v>
      </c>
      <c r="B2889" t="str">
        <f t="shared" si="45"/>
        <v>NOVA GUARITA, MT, Brasil</v>
      </c>
      <c r="C2889" s="4" t="str">
        <f>_xlfn.XLOOKUP(A2889,[1]!DadosGHD[CD_GEOCMU],[1]!DadosGHD[Região])</f>
        <v>CO</v>
      </c>
      <c r="D2889" s="4" t="str">
        <f>_xlfn.XLOOKUP(A2889,[1]!DadosGHD[CD_GEOCMU],[1]!DadosGHD[uf])</f>
        <v>MT</v>
      </c>
      <c r="E2889" s="5" t="str">
        <f>_xlfn.XLOOKUP(A2889,[1]!DadosGHD[CD_GEOCMU],[1]!DadosGHD[MUNICIPIO])</f>
        <v>NOVA GUARITA</v>
      </c>
      <c r="F2889" s="6">
        <v>38.708381652832003</v>
      </c>
      <c r="G2889" s="6">
        <v>43.749187469482401</v>
      </c>
      <c r="H2889" s="6">
        <v>43.799949645996101</v>
      </c>
      <c r="I2889" s="6">
        <v>43.7931518554688</v>
      </c>
      <c r="J2889" s="6">
        <v>48.7916870117188</v>
      </c>
      <c r="K2889" s="6">
        <v>48.804332733154297</v>
      </c>
      <c r="L2889" s="6">
        <v>35.144229888916001</v>
      </c>
    </row>
    <row r="2890" spans="1:12" x14ac:dyDescent="0.25">
      <c r="A2890">
        <v>4120655</v>
      </c>
      <c r="B2890" t="str">
        <f t="shared" si="45"/>
        <v>QUARTO CENTENARIO, PR, Brasil</v>
      </c>
      <c r="C2890" s="4" t="str">
        <f>_xlfn.XLOOKUP(A2890,[1]!DadosGHD[CD_GEOCMU],[1]!DadosGHD[Região])</f>
        <v>SL</v>
      </c>
      <c r="D2890" s="4" t="str">
        <f>_xlfn.XLOOKUP(A2890,[1]!DadosGHD[CD_GEOCMU],[1]!DadosGHD[uf])</f>
        <v>PR</v>
      </c>
      <c r="E2890" s="5" t="str">
        <f>_xlfn.XLOOKUP(A2890,[1]!DadosGHD[CD_GEOCMU],[1]!DadosGHD[MUNICIPIO])</f>
        <v>QUARTO CENTENARIO</v>
      </c>
      <c r="F2890" s="6">
        <v>38.708724975585902</v>
      </c>
      <c r="G2890" s="6">
        <v>43.741374969482401</v>
      </c>
      <c r="H2890" s="6">
        <v>48.8017768859863</v>
      </c>
      <c r="I2890" s="6">
        <v>48.775272369384801</v>
      </c>
      <c r="J2890" s="6">
        <v>48.806346893310597</v>
      </c>
      <c r="K2890" s="6">
        <v>48.879550933837898</v>
      </c>
      <c r="L2890" s="6">
        <v>48.542381286621101</v>
      </c>
    </row>
    <row r="2891" spans="1:12" x14ac:dyDescent="0.25">
      <c r="A2891">
        <v>2508802</v>
      </c>
      <c r="B2891" t="str">
        <f t="shared" si="45"/>
        <v>MALTA, PB, Brasil</v>
      </c>
      <c r="C2891" s="4" t="str">
        <f>_xlfn.XLOOKUP(A2891,[1]!DadosGHD[CD_GEOCMU],[1]!DadosGHD[Região])</f>
        <v>NE</v>
      </c>
      <c r="D2891" s="4" t="str">
        <f>_xlfn.XLOOKUP(A2891,[1]!DadosGHD[CD_GEOCMU],[1]!DadosGHD[uf])</f>
        <v>PB</v>
      </c>
      <c r="E2891" s="5" t="str">
        <f>_xlfn.XLOOKUP(A2891,[1]!DadosGHD[CD_GEOCMU],[1]!DadosGHD[MUNICIPIO])</f>
        <v>MALTA</v>
      </c>
      <c r="F2891" s="6">
        <v>38.708831787109403</v>
      </c>
      <c r="G2891" s="6">
        <v>38.704841613769503</v>
      </c>
      <c r="H2891" s="6">
        <v>38.740531921386697</v>
      </c>
      <c r="I2891" s="6">
        <v>33.874507904052699</v>
      </c>
      <c r="J2891" s="6">
        <v>33.894542694091797</v>
      </c>
      <c r="K2891" s="6">
        <v>38.815956115722699</v>
      </c>
      <c r="L2891" s="6">
        <v>35.149650573730497</v>
      </c>
    </row>
    <row r="2892" spans="1:12" x14ac:dyDescent="0.25">
      <c r="A2892">
        <v>4107405</v>
      </c>
      <c r="B2892" t="str">
        <f t="shared" si="45"/>
        <v>ENEAS MARQUES, PR, Brasil</v>
      </c>
      <c r="C2892" s="4" t="str">
        <f>_xlfn.XLOOKUP(A2892,[1]!DadosGHD[CD_GEOCMU],[1]!DadosGHD[Região])</f>
        <v>SL</v>
      </c>
      <c r="D2892" s="4" t="str">
        <f>_xlfn.XLOOKUP(A2892,[1]!DadosGHD[CD_GEOCMU],[1]!DadosGHD[uf])</f>
        <v>PR</v>
      </c>
      <c r="E2892" s="5" t="str">
        <f>_xlfn.XLOOKUP(A2892,[1]!DadosGHD[CD_GEOCMU],[1]!DadosGHD[MUNICIPIO])</f>
        <v>ENEAS MARQUES</v>
      </c>
      <c r="F2892" s="6">
        <v>38.709083557128899</v>
      </c>
      <c r="G2892" s="6">
        <v>43.691581726074197</v>
      </c>
      <c r="H2892" s="6">
        <v>43.765743255615199</v>
      </c>
      <c r="I2892" s="6">
        <v>48.763355255127003</v>
      </c>
      <c r="J2892" s="6">
        <v>48.834270477294901</v>
      </c>
      <c r="K2892" s="6">
        <v>53.871971130371101</v>
      </c>
      <c r="L2892" s="6">
        <v>44.066005706787102</v>
      </c>
    </row>
    <row r="2893" spans="1:12" x14ac:dyDescent="0.25">
      <c r="A2893">
        <v>3106408</v>
      </c>
      <c r="B2893" t="str">
        <f t="shared" si="45"/>
        <v>BELO VALE, MG, Brasil</v>
      </c>
      <c r="C2893" s="4" t="str">
        <f>_xlfn.XLOOKUP(A2893,[1]!DadosGHD[CD_GEOCMU],[1]!DadosGHD[Região])</f>
        <v>SD</v>
      </c>
      <c r="D2893" s="4" t="str">
        <f>_xlfn.XLOOKUP(A2893,[1]!DadosGHD[CD_GEOCMU],[1]!DadosGHD[uf])</f>
        <v>MG</v>
      </c>
      <c r="E2893" s="5" t="str">
        <f>_xlfn.XLOOKUP(A2893,[1]!DadosGHD[CD_GEOCMU],[1]!DadosGHD[MUNICIPIO])</f>
        <v>BELO VALE</v>
      </c>
      <c r="F2893" s="6">
        <v>38.709144592285199</v>
      </c>
      <c r="G2893" s="6">
        <v>43.685775756835902</v>
      </c>
      <c r="H2893" s="6">
        <v>43.806587219238303</v>
      </c>
      <c r="I2893" s="6">
        <v>43.795867919921903</v>
      </c>
      <c r="J2893" s="6">
        <v>43.810626983642599</v>
      </c>
      <c r="K2893" s="6">
        <v>48.780967712402301</v>
      </c>
      <c r="L2893" s="6">
        <v>44.018093109130902</v>
      </c>
    </row>
    <row r="2894" spans="1:12" x14ac:dyDescent="0.25">
      <c r="A2894">
        <v>4113007</v>
      </c>
      <c r="B2894" t="str">
        <f t="shared" si="45"/>
        <v>JUSSARA, PR, Brasil</v>
      </c>
      <c r="C2894" s="4" t="str">
        <f>_xlfn.XLOOKUP(A2894,[1]!DadosGHD[CD_GEOCMU],[1]!DadosGHD[Região])</f>
        <v>SL</v>
      </c>
      <c r="D2894" s="4" t="str">
        <f>_xlfn.XLOOKUP(A2894,[1]!DadosGHD[CD_GEOCMU],[1]!DadosGHD[uf])</f>
        <v>PR</v>
      </c>
      <c r="E2894" s="5" t="str">
        <f>_xlfn.XLOOKUP(A2894,[1]!DadosGHD[CD_GEOCMU],[1]!DadosGHD[MUNICIPIO])</f>
        <v>JUSSARA</v>
      </c>
      <c r="F2894" s="6">
        <v>38.709194183349602</v>
      </c>
      <c r="G2894" s="6">
        <v>43.7264213562012</v>
      </c>
      <c r="H2894" s="6">
        <v>43.812080383300803</v>
      </c>
      <c r="I2894" s="6">
        <v>48.688369750976598</v>
      </c>
      <c r="J2894" s="6">
        <v>48.709358215332003</v>
      </c>
      <c r="K2894" s="6">
        <v>43.846958160400398</v>
      </c>
      <c r="L2894" s="6">
        <v>44.045272827148402</v>
      </c>
    </row>
    <row r="2895" spans="1:12" x14ac:dyDescent="0.25">
      <c r="A2895">
        <v>4115101</v>
      </c>
      <c r="B2895" t="str">
        <f t="shared" si="45"/>
        <v>MARILUZ, PR, Brasil</v>
      </c>
      <c r="C2895" s="4" t="str">
        <f>_xlfn.XLOOKUP(A2895,[1]!DadosGHD[CD_GEOCMU],[1]!DadosGHD[Região])</f>
        <v>SL</v>
      </c>
      <c r="D2895" s="4" t="str">
        <f>_xlfn.XLOOKUP(A2895,[1]!DadosGHD[CD_GEOCMU],[1]!DadosGHD[uf])</f>
        <v>PR</v>
      </c>
      <c r="E2895" s="5" t="str">
        <f>_xlfn.XLOOKUP(A2895,[1]!DadosGHD[CD_GEOCMU],[1]!DadosGHD[MUNICIPIO])</f>
        <v>MARILUZ</v>
      </c>
      <c r="F2895" s="6">
        <v>38.709278106689503</v>
      </c>
      <c r="G2895" s="6">
        <v>43.763347625732401</v>
      </c>
      <c r="H2895" s="6">
        <v>43.836112976074197</v>
      </c>
      <c r="I2895" s="6">
        <v>43.783145904541001</v>
      </c>
      <c r="J2895" s="6">
        <v>43.779869079589801</v>
      </c>
      <c r="K2895" s="6">
        <v>48.780719757080099</v>
      </c>
      <c r="L2895" s="6">
        <v>44.0534858703613</v>
      </c>
    </row>
    <row r="2896" spans="1:12" x14ac:dyDescent="0.25">
      <c r="A2896">
        <v>4115507</v>
      </c>
      <c r="B2896" t="str">
        <f t="shared" si="45"/>
        <v>MARUMBI, PR, Brasil</v>
      </c>
      <c r="C2896" s="4" t="str">
        <f>_xlfn.XLOOKUP(A2896,[1]!DadosGHD[CD_GEOCMU],[1]!DadosGHD[Região])</f>
        <v>SL</v>
      </c>
      <c r="D2896" s="4" t="str">
        <f>_xlfn.XLOOKUP(A2896,[1]!DadosGHD[CD_GEOCMU],[1]!DadosGHD[uf])</f>
        <v>PR</v>
      </c>
      <c r="E2896" s="5" t="str">
        <f>_xlfn.XLOOKUP(A2896,[1]!DadosGHD[CD_GEOCMU],[1]!DadosGHD[MUNICIPIO])</f>
        <v>MARUMBI</v>
      </c>
      <c r="F2896" s="6">
        <v>38.709342956542997</v>
      </c>
      <c r="G2896" s="6">
        <v>43.747058868408203</v>
      </c>
      <c r="H2896" s="6">
        <v>48.7276420593262</v>
      </c>
      <c r="I2896" s="6">
        <v>48.681098937988303</v>
      </c>
      <c r="J2896" s="6">
        <v>48.708538055419901</v>
      </c>
      <c r="K2896" s="6">
        <v>43.859569549560597</v>
      </c>
      <c r="L2896" s="6">
        <v>39.595729827880902</v>
      </c>
    </row>
    <row r="2897" spans="1:12" x14ac:dyDescent="0.25">
      <c r="A2897">
        <v>2210805</v>
      </c>
      <c r="B2897" t="str">
        <f t="shared" si="45"/>
        <v>SIMPLICIO MENDES, PI, Brasil</v>
      </c>
      <c r="C2897" s="4" t="str">
        <f>_xlfn.XLOOKUP(A2897,[1]!DadosGHD[CD_GEOCMU],[1]!DadosGHD[Região])</f>
        <v>NE</v>
      </c>
      <c r="D2897" s="4" t="str">
        <f>_xlfn.XLOOKUP(A2897,[1]!DadosGHD[CD_GEOCMU],[1]!DadosGHD[uf])</f>
        <v>PI</v>
      </c>
      <c r="E2897" s="5" t="str">
        <f>_xlfn.XLOOKUP(A2897,[1]!DadosGHD[CD_GEOCMU],[1]!DadosGHD[MUNICIPIO])</f>
        <v>SIMPLICIO MENDES</v>
      </c>
      <c r="F2897" s="6">
        <v>38.709789276123097</v>
      </c>
      <c r="G2897" s="6">
        <v>38.7514457702637</v>
      </c>
      <c r="H2897" s="6">
        <v>38.776828765869098</v>
      </c>
      <c r="I2897" s="6">
        <v>38.779956817627003</v>
      </c>
      <c r="J2897" s="6">
        <v>38.824451446533203</v>
      </c>
      <c r="K2897" s="6">
        <v>38.888423919677699</v>
      </c>
      <c r="L2897" s="6">
        <v>35.118644714355497</v>
      </c>
    </row>
    <row r="2898" spans="1:12" x14ac:dyDescent="0.25">
      <c r="A2898">
        <v>3116704</v>
      </c>
      <c r="B2898" t="str">
        <f t="shared" si="45"/>
        <v>COIMBRA, MG, Brasil</v>
      </c>
      <c r="C2898" s="4" t="str">
        <f>_xlfn.XLOOKUP(A2898,[1]!DadosGHD[CD_GEOCMU],[1]!DadosGHD[Região])</f>
        <v>SD</v>
      </c>
      <c r="D2898" s="4" t="str">
        <f>_xlfn.XLOOKUP(A2898,[1]!DadosGHD[CD_GEOCMU],[1]!DadosGHD[uf])</f>
        <v>MG</v>
      </c>
      <c r="E2898" s="5" t="str">
        <f>_xlfn.XLOOKUP(A2898,[1]!DadosGHD[CD_GEOCMU],[1]!DadosGHD[MUNICIPIO])</f>
        <v>COIMBRA</v>
      </c>
      <c r="F2898" s="6">
        <v>38.709861755371101</v>
      </c>
      <c r="G2898" s="6">
        <v>38.763675689697301</v>
      </c>
      <c r="H2898" s="6">
        <v>38.830192565917997</v>
      </c>
      <c r="I2898" s="6">
        <v>48.681858062744098</v>
      </c>
      <c r="J2898" s="6">
        <v>43.708091735839801</v>
      </c>
      <c r="K2898" s="6">
        <v>38.781589508056598</v>
      </c>
      <c r="L2898" s="6">
        <v>44.052467346191399</v>
      </c>
    </row>
    <row r="2899" spans="1:12" x14ac:dyDescent="0.25">
      <c r="A2899">
        <v>5218706</v>
      </c>
      <c r="B2899" t="str">
        <f t="shared" si="45"/>
        <v>RIANAPOLIS, GO, Brasil</v>
      </c>
      <c r="C2899" s="4" t="str">
        <f>_xlfn.XLOOKUP(A2899,[1]!DadosGHD[CD_GEOCMU],[1]!DadosGHD[Região])</f>
        <v>CO</v>
      </c>
      <c r="D2899" s="4" t="str">
        <f>_xlfn.XLOOKUP(A2899,[1]!DadosGHD[CD_GEOCMU],[1]!DadosGHD[uf])</f>
        <v>GO</v>
      </c>
      <c r="E2899" s="5" t="str">
        <f>_xlfn.XLOOKUP(A2899,[1]!DadosGHD[CD_GEOCMU],[1]!DadosGHD[MUNICIPIO])</f>
        <v>RIANAPOLIS</v>
      </c>
      <c r="F2899" s="6">
        <v>38.710281372070298</v>
      </c>
      <c r="G2899" s="6">
        <v>38.763156890869098</v>
      </c>
      <c r="H2899" s="6">
        <v>38.809093475341797</v>
      </c>
      <c r="I2899" s="6">
        <v>38.781578063964801</v>
      </c>
      <c r="J2899" s="6">
        <v>38.813911437988303</v>
      </c>
      <c r="K2899" s="6">
        <v>38.878288269042997</v>
      </c>
      <c r="L2899" s="6">
        <v>44.041946411132798</v>
      </c>
    </row>
    <row r="2900" spans="1:12" x14ac:dyDescent="0.25">
      <c r="A2900">
        <v>2909505</v>
      </c>
      <c r="B2900" t="str">
        <f t="shared" si="45"/>
        <v>CRAVOLANDIA, BA, Brasil</v>
      </c>
      <c r="C2900" s="4" t="str">
        <f>_xlfn.XLOOKUP(A2900,[1]!DadosGHD[CD_GEOCMU],[1]!DadosGHD[Região])</f>
        <v>NE</v>
      </c>
      <c r="D2900" s="4" t="str">
        <f>_xlfn.XLOOKUP(A2900,[1]!DadosGHD[CD_GEOCMU],[1]!DadosGHD[uf])</f>
        <v>BA</v>
      </c>
      <c r="E2900" s="5" t="str">
        <f>_xlfn.XLOOKUP(A2900,[1]!DadosGHD[CD_GEOCMU],[1]!DadosGHD[MUNICIPIO])</f>
        <v>CRAVOLANDIA</v>
      </c>
      <c r="F2900" s="6">
        <v>38.710742950439503</v>
      </c>
      <c r="G2900" s="6">
        <v>38.704051971435597</v>
      </c>
      <c r="H2900" s="6">
        <v>38.766166687011697</v>
      </c>
      <c r="I2900" s="6">
        <v>38.743385314941399</v>
      </c>
      <c r="J2900" s="6">
        <v>38.783943176269503</v>
      </c>
      <c r="K2900" s="6">
        <v>38.816879272460902</v>
      </c>
      <c r="L2900" s="6">
        <v>35.112518310546903</v>
      </c>
    </row>
    <row r="2901" spans="1:12" x14ac:dyDescent="0.25">
      <c r="A2901">
        <v>2505501</v>
      </c>
      <c r="B2901" t="str">
        <f t="shared" si="45"/>
        <v>VISTA SERRANA, PB, Brasil</v>
      </c>
      <c r="C2901" s="4" t="str">
        <f>_xlfn.XLOOKUP(A2901,[1]!DadosGHD[CD_GEOCMU],[1]!DadosGHD[Região])</f>
        <v>NE</v>
      </c>
      <c r="D2901" s="4" t="str">
        <f>_xlfn.XLOOKUP(A2901,[1]!DadosGHD[CD_GEOCMU],[1]!DadosGHD[uf])</f>
        <v>PB</v>
      </c>
      <c r="E2901" s="5" t="str">
        <f>_xlfn.XLOOKUP(A2901,[1]!DadosGHD[CD_GEOCMU],[1]!DadosGHD[MUNICIPIO])</f>
        <v>VISTA SERRANA</v>
      </c>
      <c r="F2901" s="6">
        <v>43.5497856140137</v>
      </c>
      <c r="G2901" s="6">
        <v>38.730430603027301</v>
      </c>
      <c r="H2901" s="6">
        <v>38.775871276855497</v>
      </c>
      <c r="I2901" s="6">
        <v>38.756576538085902</v>
      </c>
      <c r="J2901" s="6">
        <v>38.767200469970703</v>
      </c>
      <c r="K2901" s="6">
        <v>38.805240631103501</v>
      </c>
      <c r="L2901" s="6">
        <v>30.712806701660199</v>
      </c>
    </row>
    <row r="2902" spans="1:12" x14ac:dyDescent="0.25">
      <c r="A2902">
        <v>2800407</v>
      </c>
      <c r="B2902" t="str">
        <f t="shared" si="45"/>
        <v>ARAUA, SE, Brasil</v>
      </c>
      <c r="C2902" s="4" t="str">
        <f>_xlfn.XLOOKUP(A2902,[1]!DadosGHD[CD_GEOCMU],[1]!DadosGHD[Região])</f>
        <v>NE</v>
      </c>
      <c r="D2902" s="4" t="str">
        <f>_xlfn.XLOOKUP(A2902,[1]!DadosGHD[CD_GEOCMU],[1]!DadosGHD[uf])</f>
        <v>SE</v>
      </c>
      <c r="E2902" s="5" t="str">
        <f>_xlfn.XLOOKUP(A2902,[1]!DadosGHD[CD_GEOCMU],[1]!DadosGHD[MUNICIPIO])</f>
        <v>ARAUA</v>
      </c>
      <c r="F2902" s="6">
        <v>43.549819946289098</v>
      </c>
      <c r="G2902" s="6">
        <v>38.734577178955099</v>
      </c>
      <c r="H2902" s="6">
        <v>38.785835266113303</v>
      </c>
      <c r="I2902" s="6">
        <v>38.774917602539098</v>
      </c>
      <c r="J2902" s="6">
        <v>38.771049499511697</v>
      </c>
      <c r="K2902" s="6">
        <v>38.807289123535199</v>
      </c>
      <c r="L2902" s="6">
        <v>35.128475189208999</v>
      </c>
    </row>
    <row r="2903" spans="1:12" x14ac:dyDescent="0.25">
      <c r="A2903">
        <v>2512036</v>
      </c>
      <c r="B2903" t="str">
        <f t="shared" si="45"/>
        <v>POCO DANTAS, PB, Brasil</v>
      </c>
      <c r="C2903" s="4" t="str">
        <f>_xlfn.XLOOKUP(A2903,[1]!DadosGHD[CD_GEOCMU],[1]!DadosGHD[Região])</f>
        <v>NE</v>
      </c>
      <c r="D2903" s="4" t="str">
        <f>_xlfn.XLOOKUP(A2903,[1]!DadosGHD[CD_GEOCMU],[1]!DadosGHD[uf])</f>
        <v>PB</v>
      </c>
      <c r="E2903" s="5" t="str">
        <f>_xlfn.XLOOKUP(A2903,[1]!DadosGHD[CD_GEOCMU],[1]!DadosGHD[MUNICIPIO])</f>
        <v>POCO DANTAS</v>
      </c>
      <c r="F2903" s="6">
        <v>43.550086975097699</v>
      </c>
      <c r="G2903" s="6">
        <v>38.773632049560597</v>
      </c>
      <c r="H2903" s="6">
        <v>38.824836730957003</v>
      </c>
      <c r="I2903" s="6">
        <v>38.781349182128899</v>
      </c>
      <c r="J2903" s="6">
        <v>38.795074462890597</v>
      </c>
      <c r="K2903" s="6">
        <v>33.902385711669901</v>
      </c>
      <c r="L2903" s="6">
        <v>39.555606842041001</v>
      </c>
    </row>
    <row r="2904" spans="1:12" x14ac:dyDescent="0.25">
      <c r="A2904">
        <v>4310850</v>
      </c>
      <c r="B2904" t="str">
        <f t="shared" si="45"/>
        <v>JABOTICABA, RS, Brasil</v>
      </c>
      <c r="C2904" s="4" t="str">
        <f>_xlfn.XLOOKUP(A2904,[1]!DadosGHD[CD_GEOCMU],[1]!DadosGHD[Região])</f>
        <v>SL</v>
      </c>
      <c r="D2904" s="4" t="str">
        <f>_xlfn.XLOOKUP(A2904,[1]!DadosGHD[CD_GEOCMU],[1]!DadosGHD[uf])</f>
        <v>RS</v>
      </c>
      <c r="E2904" s="5" t="str">
        <f>_xlfn.XLOOKUP(A2904,[1]!DadosGHD[CD_GEOCMU],[1]!DadosGHD[MUNICIPIO])</f>
        <v>JABOTICABA</v>
      </c>
      <c r="F2904" s="6">
        <v>43.550125122070298</v>
      </c>
      <c r="G2904" s="6">
        <v>43.663173675537102</v>
      </c>
      <c r="H2904" s="6">
        <v>43.771194458007798</v>
      </c>
      <c r="I2904" s="6">
        <v>43.781299591064503</v>
      </c>
      <c r="J2904" s="6">
        <v>53.770847320556598</v>
      </c>
      <c r="K2904" s="6">
        <v>48.908195495605497</v>
      </c>
      <c r="L2904" s="6">
        <v>48.4967041015625</v>
      </c>
    </row>
    <row r="2905" spans="1:12" x14ac:dyDescent="0.25">
      <c r="A2905">
        <v>3109709</v>
      </c>
      <c r="B2905" t="str">
        <f t="shared" si="45"/>
        <v>CACHOEIRA DE MINAS, MG, Brasil</v>
      </c>
      <c r="C2905" s="4" t="str">
        <f>_xlfn.XLOOKUP(A2905,[1]!DadosGHD[CD_GEOCMU],[1]!DadosGHD[Região])</f>
        <v>SD</v>
      </c>
      <c r="D2905" s="4" t="str">
        <f>_xlfn.XLOOKUP(A2905,[1]!DadosGHD[CD_GEOCMU],[1]!DadosGHD[uf])</f>
        <v>MG</v>
      </c>
      <c r="E2905" s="5" t="str">
        <f>_xlfn.XLOOKUP(A2905,[1]!DadosGHD[CD_GEOCMU],[1]!DadosGHD[MUNICIPIO])</f>
        <v>CACHOEIRA DE MINAS</v>
      </c>
      <c r="F2905" s="6">
        <v>43.550468444824197</v>
      </c>
      <c r="G2905" s="6">
        <v>43.674556732177699</v>
      </c>
      <c r="H2905" s="6">
        <v>43.763954162597699</v>
      </c>
      <c r="I2905" s="6">
        <v>43.747150421142599</v>
      </c>
      <c r="J2905" s="6">
        <v>43.807655334472699</v>
      </c>
      <c r="K2905" s="6">
        <v>43.872020721435597</v>
      </c>
      <c r="L2905" s="6">
        <v>44.066291809082003</v>
      </c>
    </row>
    <row r="2906" spans="1:12" x14ac:dyDescent="0.25">
      <c r="A2906">
        <v>3141504</v>
      </c>
      <c r="B2906" t="str">
        <f t="shared" si="45"/>
        <v>MENDES PIMENTEL, MG, Brasil</v>
      </c>
      <c r="C2906" s="4" t="str">
        <f>_xlfn.XLOOKUP(A2906,[1]!DadosGHD[CD_GEOCMU],[1]!DadosGHD[Região])</f>
        <v>SD</v>
      </c>
      <c r="D2906" s="4" t="str">
        <f>_xlfn.XLOOKUP(A2906,[1]!DadosGHD[CD_GEOCMU],[1]!DadosGHD[uf])</f>
        <v>MG</v>
      </c>
      <c r="E2906" s="5" t="str">
        <f>_xlfn.XLOOKUP(A2906,[1]!DadosGHD[CD_GEOCMU],[1]!DadosGHD[MUNICIPIO])</f>
        <v>MENDES PIMENTEL</v>
      </c>
      <c r="F2906" s="6">
        <v>43.550506591796903</v>
      </c>
      <c r="G2906" s="6">
        <v>33.796073913574197</v>
      </c>
      <c r="H2906" s="6">
        <v>33.831058502197301</v>
      </c>
      <c r="I2906" s="6">
        <v>33.808353424072301</v>
      </c>
      <c r="J2906" s="6">
        <v>33.832157135009801</v>
      </c>
      <c r="K2906" s="6">
        <v>33.857387542724602</v>
      </c>
      <c r="L2906" s="6">
        <v>26.298921585083001</v>
      </c>
    </row>
    <row r="2907" spans="1:12" x14ac:dyDescent="0.25">
      <c r="A2907">
        <v>4122701</v>
      </c>
      <c r="B2907" t="str">
        <f t="shared" si="45"/>
        <v>SABAUDIA, PR, Brasil</v>
      </c>
      <c r="C2907" s="4" t="str">
        <f>_xlfn.XLOOKUP(A2907,[1]!DadosGHD[CD_GEOCMU],[1]!DadosGHD[Região])</f>
        <v>SL</v>
      </c>
      <c r="D2907" s="4" t="str">
        <f>_xlfn.XLOOKUP(A2907,[1]!DadosGHD[CD_GEOCMU],[1]!DadosGHD[uf])</f>
        <v>PR</v>
      </c>
      <c r="E2907" s="5" t="str">
        <f>_xlfn.XLOOKUP(A2907,[1]!DadosGHD[CD_GEOCMU],[1]!DadosGHD[MUNICIPIO])</f>
        <v>SABAUDIA</v>
      </c>
      <c r="F2907" s="6">
        <v>43.5505180358887</v>
      </c>
      <c r="G2907" s="6">
        <v>48.633579254150398</v>
      </c>
      <c r="H2907" s="6">
        <v>48.804233551025398</v>
      </c>
      <c r="I2907" s="6">
        <v>53.848182678222699</v>
      </c>
      <c r="J2907" s="6">
        <v>58.806270599365199</v>
      </c>
      <c r="K2907" s="6">
        <v>53.895793914794901</v>
      </c>
      <c r="L2907" s="6">
        <v>48.529430389404297</v>
      </c>
    </row>
    <row r="2908" spans="1:12" x14ac:dyDescent="0.25">
      <c r="A2908">
        <v>2914604</v>
      </c>
      <c r="B2908" t="str">
        <f t="shared" si="45"/>
        <v>IRECE, BA, Brasil</v>
      </c>
      <c r="C2908" s="4" t="str">
        <f>_xlfn.XLOOKUP(A2908,[1]!DadosGHD[CD_GEOCMU],[1]!DadosGHD[Região])</f>
        <v>NE</v>
      </c>
      <c r="D2908" s="4" t="str">
        <f>_xlfn.XLOOKUP(A2908,[1]!DadosGHD[CD_GEOCMU],[1]!DadosGHD[uf])</f>
        <v>BA</v>
      </c>
      <c r="E2908" s="5" t="str">
        <f>_xlfn.XLOOKUP(A2908,[1]!DadosGHD[CD_GEOCMU],[1]!DadosGHD[MUNICIPIO])</f>
        <v>IRECE</v>
      </c>
      <c r="F2908" s="6">
        <v>43.550716400146499</v>
      </c>
      <c r="G2908" s="6">
        <v>43.660919189453097</v>
      </c>
      <c r="H2908" s="6">
        <v>43.712512969970703</v>
      </c>
      <c r="I2908" s="6">
        <v>43.6971435546875</v>
      </c>
      <c r="J2908" s="6">
        <v>43.796791076660199</v>
      </c>
      <c r="K2908" s="6">
        <v>43.85009765625</v>
      </c>
      <c r="L2908" s="6">
        <v>48.5014038085938</v>
      </c>
    </row>
    <row r="2909" spans="1:12" x14ac:dyDescent="0.25">
      <c r="A2909">
        <v>4304663</v>
      </c>
      <c r="B2909" t="str">
        <f t="shared" si="45"/>
        <v>CAPAO DO LEAO, RS, Brasil</v>
      </c>
      <c r="C2909" s="4" t="str">
        <f>_xlfn.XLOOKUP(A2909,[1]!DadosGHD[CD_GEOCMU],[1]!DadosGHD[Região])</f>
        <v>SL</v>
      </c>
      <c r="D2909" s="4" t="str">
        <f>_xlfn.XLOOKUP(A2909,[1]!DadosGHD[CD_GEOCMU],[1]!DadosGHD[uf])</f>
        <v>RS</v>
      </c>
      <c r="E2909" s="5" t="str">
        <f>_xlfn.XLOOKUP(A2909,[1]!DadosGHD[CD_GEOCMU],[1]!DadosGHD[MUNICIPIO])</f>
        <v>CAPAO DO LEAO</v>
      </c>
      <c r="F2909" s="6">
        <v>43.550849914550803</v>
      </c>
      <c r="G2909" s="6">
        <v>43.733699798583999</v>
      </c>
      <c r="H2909" s="6">
        <v>48.723140716552699</v>
      </c>
      <c r="I2909" s="6">
        <v>43.758060455322301</v>
      </c>
      <c r="J2909" s="6">
        <v>43.760776519775398</v>
      </c>
      <c r="K2909" s="6">
        <v>43.861717224121101</v>
      </c>
      <c r="L2909" s="6">
        <v>44.058792114257798</v>
      </c>
    </row>
    <row r="2910" spans="1:12" x14ac:dyDescent="0.25">
      <c r="A2910">
        <v>5107701</v>
      </c>
      <c r="B2910" t="str">
        <f t="shared" si="45"/>
        <v>ROSARIO OESTE, MT, Brasil</v>
      </c>
      <c r="C2910" s="4" t="str">
        <f>_xlfn.XLOOKUP(A2910,[1]!DadosGHD[CD_GEOCMU],[1]!DadosGHD[Região])</f>
        <v>CO</v>
      </c>
      <c r="D2910" s="4" t="str">
        <f>_xlfn.XLOOKUP(A2910,[1]!DadosGHD[CD_GEOCMU],[1]!DadosGHD[uf])</f>
        <v>MT</v>
      </c>
      <c r="E2910" s="5" t="str">
        <f>_xlfn.XLOOKUP(A2910,[1]!DadosGHD[CD_GEOCMU],[1]!DadosGHD[MUNICIPIO])</f>
        <v>ROSARIO OESTE</v>
      </c>
      <c r="F2910" s="6">
        <v>43.551265716552699</v>
      </c>
      <c r="G2910" s="6">
        <v>43.662757873535199</v>
      </c>
      <c r="H2910" s="6">
        <v>38.839164733886697</v>
      </c>
      <c r="I2910" s="6">
        <v>38.812099456787102</v>
      </c>
      <c r="J2910" s="6">
        <v>38.845542907714801</v>
      </c>
      <c r="K2910" s="6">
        <v>43.767967224121101</v>
      </c>
      <c r="L2910" s="6">
        <v>35.114006042480497</v>
      </c>
    </row>
    <row r="2911" spans="1:12" x14ac:dyDescent="0.25">
      <c r="A2911">
        <v>2203107</v>
      </c>
      <c r="B2911" t="str">
        <f t="shared" si="45"/>
        <v>CRISTINO CASTRO, PI, Brasil</v>
      </c>
      <c r="C2911" s="4" t="str">
        <f>_xlfn.XLOOKUP(A2911,[1]!DadosGHD[CD_GEOCMU],[1]!DadosGHD[Região])</f>
        <v>NE</v>
      </c>
      <c r="D2911" s="4" t="str">
        <f>_xlfn.XLOOKUP(A2911,[1]!DadosGHD[CD_GEOCMU],[1]!DadosGHD[uf])</f>
        <v>PI</v>
      </c>
      <c r="E2911" s="5" t="str">
        <f>_xlfn.XLOOKUP(A2911,[1]!DadosGHD[CD_GEOCMU],[1]!DadosGHD[MUNICIPIO])</f>
        <v>CRISTINO CASTRO</v>
      </c>
      <c r="F2911" s="6">
        <v>43.551685333252003</v>
      </c>
      <c r="G2911" s="6">
        <v>38.756755828857401</v>
      </c>
      <c r="H2911" s="6">
        <v>38.814220428466797</v>
      </c>
      <c r="I2911" s="6">
        <v>38.8088989257813</v>
      </c>
      <c r="J2911" s="6">
        <v>38.763031005859403</v>
      </c>
      <c r="K2911" s="6">
        <v>33.918975830078097</v>
      </c>
      <c r="L2911" s="6">
        <v>35.127555847167997</v>
      </c>
    </row>
    <row r="2912" spans="1:12" x14ac:dyDescent="0.25">
      <c r="A2912">
        <v>4125100</v>
      </c>
      <c r="B2912" t="str">
        <f t="shared" si="45"/>
        <v>SAO JOAO DO TRIUNFO, PR, Brasil</v>
      </c>
      <c r="C2912" s="4" t="str">
        <f>_xlfn.XLOOKUP(A2912,[1]!DadosGHD[CD_GEOCMU],[1]!DadosGHD[Região])</f>
        <v>SL</v>
      </c>
      <c r="D2912" s="4" t="str">
        <f>_xlfn.XLOOKUP(A2912,[1]!DadosGHD[CD_GEOCMU],[1]!DadosGHD[uf])</f>
        <v>PR</v>
      </c>
      <c r="E2912" s="5" t="str">
        <f>_xlfn.XLOOKUP(A2912,[1]!DadosGHD[CD_GEOCMU],[1]!DadosGHD[MUNICIPIO])</f>
        <v>SAO JOAO DO TRIUNFO</v>
      </c>
      <c r="F2912" s="6">
        <v>43.551773071289098</v>
      </c>
      <c r="G2912" s="6">
        <v>43.706954956054702</v>
      </c>
      <c r="H2912" s="6">
        <v>43.772991180419901</v>
      </c>
      <c r="I2912" s="6">
        <v>43.719223022460902</v>
      </c>
      <c r="J2912" s="6">
        <v>43.782737731933601</v>
      </c>
      <c r="K2912" s="6">
        <v>43.803386688232401</v>
      </c>
      <c r="L2912" s="6">
        <v>35.157936096191399</v>
      </c>
    </row>
    <row r="2913" spans="1:12" x14ac:dyDescent="0.25">
      <c r="A2913">
        <v>5201702</v>
      </c>
      <c r="B2913" t="str">
        <f t="shared" si="45"/>
        <v>ARAGARCAS, GO, Brasil</v>
      </c>
      <c r="C2913" s="4" t="str">
        <f>_xlfn.XLOOKUP(A2913,[1]!DadosGHD[CD_GEOCMU],[1]!DadosGHD[Região])</f>
        <v>CO</v>
      </c>
      <c r="D2913" s="4" t="str">
        <f>_xlfn.XLOOKUP(A2913,[1]!DadosGHD[CD_GEOCMU],[1]!DadosGHD[uf])</f>
        <v>GO</v>
      </c>
      <c r="E2913" s="5" t="str">
        <f>_xlfn.XLOOKUP(A2913,[1]!DadosGHD[CD_GEOCMU],[1]!DadosGHD[MUNICIPIO])</f>
        <v>ARAGARCAS</v>
      </c>
      <c r="F2913" s="6">
        <v>43.551807403564503</v>
      </c>
      <c r="G2913" s="6">
        <v>38.780235290527301</v>
      </c>
      <c r="H2913" s="6">
        <v>38.821983337402301</v>
      </c>
      <c r="I2913" s="6">
        <v>38.8088188171387</v>
      </c>
      <c r="J2913" s="6">
        <v>38.779396057128899</v>
      </c>
      <c r="K2913" s="6">
        <v>33.913505554199197</v>
      </c>
      <c r="L2913" s="6">
        <v>30.709527969360401</v>
      </c>
    </row>
    <row r="2914" spans="1:12" x14ac:dyDescent="0.25">
      <c r="A2914">
        <v>4107736</v>
      </c>
      <c r="B2914" t="str">
        <f t="shared" si="45"/>
        <v>FERNANDES PINHEIRO, PR, Brasil</v>
      </c>
      <c r="C2914" s="4" t="str">
        <f>_xlfn.XLOOKUP(A2914,[1]!DadosGHD[CD_GEOCMU],[1]!DadosGHD[Região])</f>
        <v>SL</v>
      </c>
      <c r="D2914" s="4" t="str">
        <f>_xlfn.XLOOKUP(A2914,[1]!DadosGHD[CD_GEOCMU],[1]!DadosGHD[uf])</f>
        <v>PR</v>
      </c>
      <c r="E2914" s="5" t="str">
        <f>_xlfn.XLOOKUP(A2914,[1]!DadosGHD[CD_GEOCMU],[1]!DadosGHD[MUNICIPIO])</f>
        <v>FERNANDES PINHEIRO</v>
      </c>
      <c r="F2914" s="6">
        <v>43.552497863769503</v>
      </c>
      <c r="G2914" s="6">
        <v>38.767955780029297</v>
      </c>
      <c r="H2914" s="6">
        <v>38.837863922119098</v>
      </c>
      <c r="I2914" s="6">
        <v>38.818294525146499</v>
      </c>
      <c r="J2914" s="6">
        <v>43.716754913330099</v>
      </c>
      <c r="K2914" s="6">
        <v>43.763988494873097</v>
      </c>
      <c r="L2914" s="6">
        <v>39.561641693115199</v>
      </c>
    </row>
    <row r="2915" spans="1:12" x14ac:dyDescent="0.25">
      <c r="A2915">
        <v>3168408</v>
      </c>
      <c r="B2915" t="str">
        <f t="shared" si="45"/>
        <v>TARUMIRIM, MG, Brasil</v>
      </c>
      <c r="C2915" s="4" t="str">
        <f>_xlfn.XLOOKUP(A2915,[1]!DadosGHD[CD_GEOCMU],[1]!DadosGHD[Região])</f>
        <v>SD</v>
      </c>
      <c r="D2915" s="4" t="str">
        <f>_xlfn.XLOOKUP(A2915,[1]!DadosGHD[CD_GEOCMU],[1]!DadosGHD[uf])</f>
        <v>MG</v>
      </c>
      <c r="E2915" s="5" t="str">
        <f>_xlfn.XLOOKUP(A2915,[1]!DadosGHD[CD_GEOCMU],[1]!DadosGHD[MUNICIPIO])</f>
        <v>TARUMIRIM</v>
      </c>
      <c r="F2915" s="6">
        <v>43.552532196044901</v>
      </c>
      <c r="G2915" s="6">
        <v>38.783641815185597</v>
      </c>
      <c r="H2915" s="6">
        <v>43.708194732666001</v>
      </c>
      <c r="I2915" s="6">
        <v>38.822803497314503</v>
      </c>
      <c r="J2915" s="6">
        <v>38.831947326660199</v>
      </c>
      <c r="K2915" s="6">
        <v>43.761573791503899</v>
      </c>
      <c r="L2915" s="6">
        <v>30.702844619751001</v>
      </c>
    </row>
    <row r="2916" spans="1:12" x14ac:dyDescent="0.25">
      <c r="A2916">
        <v>3200102</v>
      </c>
      <c r="B2916" t="str">
        <f t="shared" si="45"/>
        <v>AFONSO CLAUDIO, ES, Brasil</v>
      </c>
      <c r="C2916" s="4" t="str">
        <f>_xlfn.XLOOKUP(A2916,[1]!DadosGHD[CD_GEOCMU],[1]!DadosGHD[Região])</f>
        <v>SD</v>
      </c>
      <c r="D2916" s="4" t="str">
        <f>_xlfn.XLOOKUP(A2916,[1]!DadosGHD[CD_GEOCMU],[1]!DadosGHD[uf])</f>
        <v>ES</v>
      </c>
      <c r="E2916" s="5" t="str">
        <f>_xlfn.XLOOKUP(A2916,[1]!DadosGHD[CD_GEOCMU],[1]!DadosGHD[MUNICIPIO])</f>
        <v>AFONSO CLAUDIO</v>
      </c>
      <c r="F2916" s="6">
        <v>43.552570343017599</v>
      </c>
      <c r="G2916" s="6">
        <v>38.773868560791001</v>
      </c>
      <c r="H2916" s="6">
        <v>38.831474304199197</v>
      </c>
      <c r="I2916" s="6">
        <v>38.819099426269503</v>
      </c>
      <c r="J2916" s="6">
        <v>43.708503723144503</v>
      </c>
      <c r="K2916" s="6">
        <v>43.754367828369098</v>
      </c>
      <c r="L2916" s="6">
        <v>35.133861541748097</v>
      </c>
    </row>
    <row r="2917" spans="1:12" x14ac:dyDescent="0.25">
      <c r="A2917">
        <v>4108320</v>
      </c>
      <c r="B2917" t="str">
        <f t="shared" si="45"/>
        <v>FRANCISCO ALVES, PR, Brasil</v>
      </c>
      <c r="C2917" s="4" t="str">
        <f>_xlfn.XLOOKUP(A2917,[1]!DadosGHD[CD_GEOCMU],[1]!DadosGHD[Região])</f>
        <v>SL</v>
      </c>
      <c r="D2917" s="4" t="str">
        <f>_xlfn.XLOOKUP(A2917,[1]!DadosGHD[CD_GEOCMU],[1]!DadosGHD[uf])</f>
        <v>PR</v>
      </c>
      <c r="E2917" s="5" t="str">
        <f>_xlfn.XLOOKUP(A2917,[1]!DadosGHD[CD_GEOCMU],[1]!DadosGHD[MUNICIPIO])</f>
        <v>FRANCISCO ALVES</v>
      </c>
      <c r="F2917" s="6">
        <v>43.553131103515597</v>
      </c>
      <c r="G2917" s="6">
        <v>43.725124359130902</v>
      </c>
      <c r="H2917" s="6">
        <v>43.793754577636697</v>
      </c>
      <c r="I2917" s="6">
        <v>43.762374877929702</v>
      </c>
      <c r="J2917" s="6">
        <v>43.763355255127003</v>
      </c>
      <c r="K2917" s="6">
        <v>43.794567108154297</v>
      </c>
      <c r="L2917" s="6">
        <v>30.696971893310501</v>
      </c>
    </row>
    <row r="2918" spans="1:12" x14ac:dyDescent="0.25">
      <c r="A2918">
        <v>2918902</v>
      </c>
      <c r="B2918" t="str">
        <f t="shared" si="45"/>
        <v>LAJEDAO, BA, Brasil</v>
      </c>
      <c r="C2918" s="4" t="str">
        <f>_xlfn.XLOOKUP(A2918,[1]!DadosGHD[CD_GEOCMU],[1]!DadosGHD[Região])</f>
        <v>NE</v>
      </c>
      <c r="D2918" s="4" t="str">
        <f>_xlfn.XLOOKUP(A2918,[1]!DadosGHD[CD_GEOCMU],[1]!DadosGHD[uf])</f>
        <v>BA</v>
      </c>
      <c r="E2918" s="5" t="str">
        <f>_xlfn.XLOOKUP(A2918,[1]!DadosGHD[CD_GEOCMU],[1]!DadosGHD[MUNICIPIO])</f>
        <v>LAJEDAO</v>
      </c>
      <c r="F2918" s="6">
        <v>43.553279876708999</v>
      </c>
      <c r="G2918" s="6">
        <v>43.738285064697301</v>
      </c>
      <c r="H2918" s="6">
        <v>43.790462493896499</v>
      </c>
      <c r="I2918" s="6">
        <v>43.751964569091797</v>
      </c>
      <c r="J2918" s="6">
        <v>43.763900756835902</v>
      </c>
      <c r="K2918" s="6">
        <v>43.8008422851563</v>
      </c>
      <c r="L2918" s="6">
        <v>30.708921432495099</v>
      </c>
    </row>
    <row r="2919" spans="1:12" x14ac:dyDescent="0.25">
      <c r="A2919">
        <v>3551108</v>
      </c>
      <c r="B2919" t="str">
        <f t="shared" si="45"/>
        <v>SARAPUI, SP, Brasil</v>
      </c>
      <c r="C2919" s="4" t="str">
        <f>_xlfn.XLOOKUP(A2919,[1]!DadosGHD[CD_GEOCMU],[1]!DadosGHD[Região])</f>
        <v>SD</v>
      </c>
      <c r="D2919" s="4" t="str">
        <f>_xlfn.XLOOKUP(A2919,[1]!DadosGHD[CD_GEOCMU],[1]!DadosGHD[uf])</f>
        <v>SP</v>
      </c>
      <c r="E2919" s="5" t="str">
        <f>_xlfn.XLOOKUP(A2919,[1]!DadosGHD[CD_GEOCMU],[1]!DadosGHD[MUNICIPIO])</f>
        <v>SARAPUI</v>
      </c>
      <c r="F2919" s="6">
        <v>43.553295135498097</v>
      </c>
      <c r="G2919" s="6">
        <v>38.749332427978501</v>
      </c>
      <c r="H2919" s="6">
        <v>38.792568206787102</v>
      </c>
      <c r="I2919" s="6">
        <v>38.793102264404297</v>
      </c>
      <c r="J2919" s="6">
        <v>43.715080261230497</v>
      </c>
      <c r="K2919" s="6">
        <v>43.787605285644503</v>
      </c>
      <c r="L2919" s="6">
        <v>44.024173736572301</v>
      </c>
    </row>
    <row r="2920" spans="1:12" x14ac:dyDescent="0.25">
      <c r="A2920">
        <v>4103503</v>
      </c>
      <c r="B2920" t="str">
        <f t="shared" si="45"/>
        <v>CALIFORNIA, PR, Brasil</v>
      </c>
      <c r="C2920" s="4" t="str">
        <f>_xlfn.XLOOKUP(A2920,[1]!DadosGHD[CD_GEOCMU],[1]!DadosGHD[Região])</f>
        <v>SL</v>
      </c>
      <c r="D2920" s="4" t="str">
        <f>_xlfn.XLOOKUP(A2920,[1]!DadosGHD[CD_GEOCMU],[1]!DadosGHD[uf])</f>
        <v>PR</v>
      </c>
      <c r="E2920" s="5" t="str">
        <f>_xlfn.XLOOKUP(A2920,[1]!DadosGHD[CD_GEOCMU],[1]!DadosGHD[MUNICIPIO])</f>
        <v>CALIFORNIA</v>
      </c>
      <c r="F2920" s="6">
        <v>43.553482055664098</v>
      </c>
      <c r="G2920" s="6">
        <v>43.702434539794901</v>
      </c>
      <c r="H2920" s="6">
        <v>43.753536224365199</v>
      </c>
      <c r="I2920" s="6">
        <v>43.729938507080099</v>
      </c>
      <c r="J2920" s="6">
        <v>43.7220458984375</v>
      </c>
      <c r="K2920" s="6">
        <v>43.815380096435597</v>
      </c>
      <c r="L2920" s="6">
        <v>39.603950500488303</v>
      </c>
    </row>
    <row r="2921" spans="1:12" x14ac:dyDescent="0.25">
      <c r="A2921">
        <v>1507755</v>
      </c>
      <c r="B2921" t="str">
        <f t="shared" si="45"/>
        <v>SAPUCAIA, PA, Brasil</v>
      </c>
      <c r="C2921" s="4" t="str">
        <f>_xlfn.XLOOKUP(A2921,[1]!DadosGHD[CD_GEOCMU],[1]!DadosGHD[Região])</f>
        <v>NO</v>
      </c>
      <c r="D2921" s="4" t="str">
        <f>_xlfn.XLOOKUP(A2921,[1]!DadosGHD[CD_GEOCMU],[1]!DadosGHD[uf])</f>
        <v>PA</v>
      </c>
      <c r="E2921" s="5" t="str">
        <f>_xlfn.XLOOKUP(A2921,[1]!DadosGHD[CD_GEOCMU],[1]!DadosGHD[MUNICIPIO])</f>
        <v>SAPUCAIA</v>
      </c>
      <c r="F2921" s="6">
        <v>43.553543090820298</v>
      </c>
      <c r="G2921" s="6">
        <v>38.7580757141113</v>
      </c>
      <c r="H2921" s="6">
        <v>38.801422119140597</v>
      </c>
      <c r="I2921" s="6">
        <v>38.770820617675803</v>
      </c>
      <c r="J2921" s="6">
        <v>38.781936645507798</v>
      </c>
      <c r="K2921" s="6">
        <v>38.815727233886697</v>
      </c>
      <c r="L2921" s="6">
        <v>30.702445983886701</v>
      </c>
    </row>
    <row r="2922" spans="1:12" x14ac:dyDescent="0.25">
      <c r="A2922">
        <v>3157104</v>
      </c>
      <c r="B2922" t="str">
        <f t="shared" si="45"/>
        <v>SALTO DA DIVISA, MG, Brasil</v>
      </c>
      <c r="C2922" s="4" t="str">
        <f>_xlfn.XLOOKUP(A2922,[1]!DadosGHD[CD_GEOCMU],[1]!DadosGHD[Região])</f>
        <v>SD</v>
      </c>
      <c r="D2922" s="4" t="str">
        <f>_xlfn.XLOOKUP(A2922,[1]!DadosGHD[CD_GEOCMU],[1]!DadosGHD[uf])</f>
        <v>MG</v>
      </c>
      <c r="E2922" s="5" t="str">
        <f>_xlfn.XLOOKUP(A2922,[1]!DadosGHD[CD_GEOCMU],[1]!DadosGHD[MUNICIPIO])</f>
        <v>SALTO DA DIVISA</v>
      </c>
      <c r="F2922" s="6">
        <v>43.553680419921903</v>
      </c>
      <c r="G2922" s="6">
        <v>38.760177612304702</v>
      </c>
      <c r="H2922" s="6">
        <v>38.796619415283203</v>
      </c>
      <c r="I2922" s="6">
        <v>38.754314422607401</v>
      </c>
      <c r="J2922" s="6">
        <v>38.760578155517599</v>
      </c>
      <c r="K2922" s="6">
        <v>33.931953430175803</v>
      </c>
      <c r="L2922" s="6">
        <v>26.298503875732401</v>
      </c>
    </row>
    <row r="2923" spans="1:12" x14ac:dyDescent="0.25">
      <c r="A2923">
        <v>1100031</v>
      </c>
      <c r="B2923" t="str">
        <f t="shared" si="45"/>
        <v>CABIXI, RO, Brasil</v>
      </c>
      <c r="C2923" s="4" t="str">
        <f>_xlfn.XLOOKUP(A2923,[1]!DadosGHD[CD_GEOCMU],[1]!DadosGHD[Região])</f>
        <v>NO</v>
      </c>
      <c r="D2923" s="4" t="str">
        <f>_xlfn.XLOOKUP(A2923,[1]!DadosGHD[CD_GEOCMU],[1]!DadosGHD[uf])</f>
        <v>RO</v>
      </c>
      <c r="E2923" s="5" t="str">
        <f>_xlfn.XLOOKUP(A2923,[1]!DadosGHD[CD_GEOCMU],[1]!DadosGHD[MUNICIPIO])</f>
        <v>CABIXI</v>
      </c>
      <c r="F2923" s="6">
        <v>43.5536918640137</v>
      </c>
      <c r="G2923" s="6">
        <v>38.747520446777301</v>
      </c>
      <c r="H2923" s="6">
        <v>38.828304290771499</v>
      </c>
      <c r="I2923" s="6">
        <v>43.679508209228501</v>
      </c>
      <c r="J2923" s="6">
        <v>38.829170227050803</v>
      </c>
      <c r="K2923" s="6">
        <v>38.854206085205099</v>
      </c>
      <c r="L2923" s="6">
        <v>35.142765045166001</v>
      </c>
    </row>
    <row r="2924" spans="1:12" x14ac:dyDescent="0.25">
      <c r="A2924">
        <v>1200203</v>
      </c>
      <c r="B2924" t="str">
        <f t="shared" si="45"/>
        <v>CRUZEIRO DO SUL, AC, Brasil</v>
      </c>
      <c r="C2924" s="4" t="str">
        <f>_xlfn.XLOOKUP(A2924,[1]!DadosGHD[CD_GEOCMU],[1]!DadosGHD[Região])</f>
        <v>NO</v>
      </c>
      <c r="D2924" s="4" t="str">
        <f>_xlfn.XLOOKUP(A2924,[1]!DadosGHD[CD_GEOCMU],[1]!DadosGHD[uf])</f>
        <v>AC</v>
      </c>
      <c r="E2924" s="5" t="str">
        <f>_xlfn.XLOOKUP(A2924,[1]!DadosGHD[CD_GEOCMU],[1]!DadosGHD[MUNICIPIO])</f>
        <v>CRUZEIRO DO SUL</v>
      </c>
      <c r="F2924" s="6">
        <v>43.5537300109863</v>
      </c>
      <c r="G2924" s="6">
        <v>38.755264282226598</v>
      </c>
      <c r="H2924" s="6">
        <v>38.775634765625</v>
      </c>
      <c r="I2924" s="6">
        <v>38.757030487060597</v>
      </c>
      <c r="J2924" s="6">
        <v>38.784061431884801</v>
      </c>
      <c r="K2924" s="6">
        <v>38.817470550537102</v>
      </c>
      <c r="L2924" s="6">
        <v>35.123542785644503</v>
      </c>
    </row>
    <row r="2925" spans="1:12" x14ac:dyDescent="0.25">
      <c r="A2925">
        <v>5103007</v>
      </c>
      <c r="B2925" t="str">
        <f t="shared" si="45"/>
        <v>CHAPADA DOS GUIMARAES, MT, Brasil</v>
      </c>
      <c r="C2925" s="4" t="str">
        <f>_xlfn.XLOOKUP(A2925,[1]!DadosGHD[CD_GEOCMU],[1]!DadosGHD[Região])</f>
        <v>CO</v>
      </c>
      <c r="D2925" s="4" t="str">
        <f>_xlfn.XLOOKUP(A2925,[1]!DadosGHD[CD_GEOCMU],[1]!DadosGHD[uf])</f>
        <v>MT</v>
      </c>
      <c r="E2925" s="5" t="str">
        <f>_xlfn.XLOOKUP(A2925,[1]!DadosGHD[CD_GEOCMU],[1]!DadosGHD[MUNICIPIO])</f>
        <v>CHAPADA DOS GUIMARAES</v>
      </c>
      <c r="F2925" s="6">
        <v>43.5538520812988</v>
      </c>
      <c r="G2925" s="6">
        <v>43.705562591552699</v>
      </c>
      <c r="H2925" s="6">
        <v>43.808238983154297</v>
      </c>
      <c r="I2925" s="6">
        <v>43.797073364257798</v>
      </c>
      <c r="J2925" s="6">
        <v>48.722381591796903</v>
      </c>
      <c r="K2925" s="6">
        <v>43.811969757080099</v>
      </c>
      <c r="L2925" s="6">
        <v>52.981891632080099</v>
      </c>
    </row>
    <row r="2926" spans="1:12" x14ac:dyDescent="0.25">
      <c r="A2926">
        <v>3138005</v>
      </c>
      <c r="B2926" t="str">
        <f t="shared" si="45"/>
        <v>LARANJAL, MG, Brasil</v>
      </c>
      <c r="C2926" s="4" t="str">
        <f>_xlfn.XLOOKUP(A2926,[1]!DadosGHD[CD_GEOCMU],[1]!DadosGHD[Região])</f>
        <v>SD</v>
      </c>
      <c r="D2926" s="4" t="str">
        <f>_xlfn.XLOOKUP(A2926,[1]!DadosGHD[CD_GEOCMU],[1]!DadosGHD[uf])</f>
        <v>MG</v>
      </c>
      <c r="E2926" s="5" t="str">
        <f>_xlfn.XLOOKUP(A2926,[1]!DadosGHD[CD_GEOCMU],[1]!DadosGHD[MUNICIPIO])</f>
        <v>LARANJAL</v>
      </c>
      <c r="F2926" s="6">
        <v>43.553928375244098</v>
      </c>
      <c r="G2926" s="6">
        <v>43.7012329101563</v>
      </c>
      <c r="H2926" s="6">
        <v>43.745948791503899</v>
      </c>
      <c r="I2926" s="6">
        <v>43.707370758056598</v>
      </c>
      <c r="J2926" s="6">
        <v>43.714481353759801</v>
      </c>
      <c r="K2926" s="6">
        <v>38.884635925292997</v>
      </c>
      <c r="L2926" s="6">
        <v>35.112468719482401</v>
      </c>
    </row>
    <row r="2927" spans="1:12" x14ac:dyDescent="0.25">
      <c r="A2927">
        <v>2301109</v>
      </c>
      <c r="B2927" t="str">
        <f t="shared" si="45"/>
        <v>ARACATI, CE, Brasil</v>
      </c>
      <c r="C2927" s="4" t="str">
        <f>_xlfn.XLOOKUP(A2927,[1]!DadosGHD[CD_GEOCMU],[1]!DadosGHD[Região])</f>
        <v>NE</v>
      </c>
      <c r="D2927" s="4" t="str">
        <f>_xlfn.XLOOKUP(A2927,[1]!DadosGHD[CD_GEOCMU],[1]!DadosGHD[uf])</f>
        <v>CE</v>
      </c>
      <c r="E2927" s="5" t="str">
        <f>_xlfn.XLOOKUP(A2927,[1]!DadosGHD[CD_GEOCMU],[1]!DadosGHD[MUNICIPIO])</f>
        <v>ARACATI</v>
      </c>
      <c r="F2927" s="6">
        <v>43.553981781005902</v>
      </c>
      <c r="G2927" s="6">
        <v>43.639392852783203</v>
      </c>
      <c r="H2927" s="6">
        <v>38.839431762695298</v>
      </c>
      <c r="I2927" s="6">
        <v>43.734207153320298</v>
      </c>
      <c r="J2927" s="6">
        <v>38.810298919677699</v>
      </c>
      <c r="K2927" s="6">
        <v>43.8262748718262</v>
      </c>
      <c r="L2927" s="6">
        <v>44.056510925292997</v>
      </c>
    </row>
    <row r="2928" spans="1:12" x14ac:dyDescent="0.25">
      <c r="A2928">
        <v>2401503</v>
      </c>
      <c r="B2928" t="str">
        <f t="shared" si="45"/>
        <v>BARCELONA, RN, Brasil</v>
      </c>
      <c r="C2928" s="4" t="str">
        <f>_xlfn.XLOOKUP(A2928,[1]!DadosGHD[CD_GEOCMU],[1]!DadosGHD[Região])</f>
        <v>NE</v>
      </c>
      <c r="D2928" s="4" t="str">
        <f>_xlfn.XLOOKUP(A2928,[1]!DadosGHD[CD_GEOCMU],[1]!DadosGHD[uf])</f>
        <v>RN</v>
      </c>
      <c r="E2928" s="5" t="str">
        <f>_xlfn.XLOOKUP(A2928,[1]!DadosGHD[CD_GEOCMU],[1]!DadosGHD[MUNICIPIO])</f>
        <v>BARCELONA</v>
      </c>
      <c r="F2928" s="6">
        <v>43.554435729980497</v>
      </c>
      <c r="G2928" s="6">
        <v>38.738948822021499</v>
      </c>
      <c r="H2928" s="6">
        <v>38.831809997558601</v>
      </c>
      <c r="I2928" s="6">
        <v>38.808219909667997</v>
      </c>
      <c r="J2928" s="6">
        <v>38.785511016845703</v>
      </c>
      <c r="K2928" s="6">
        <v>38.8452339172363</v>
      </c>
      <c r="L2928" s="6">
        <v>39.586502075195298</v>
      </c>
    </row>
    <row r="2929" spans="1:12" x14ac:dyDescent="0.25">
      <c r="A2929">
        <v>3305000</v>
      </c>
      <c r="B2929" t="str">
        <f t="shared" si="45"/>
        <v>SAO JOAO DA BARRA, RJ, Brasil</v>
      </c>
      <c r="C2929" s="4" t="str">
        <f>_xlfn.XLOOKUP(A2929,[1]!DadosGHD[CD_GEOCMU],[1]!DadosGHD[Região])</f>
        <v>SD</v>
      </c>
      <c r="D2929" s="4" t="str">
        <f>_xlfn.XLOOKUP(A2929,[1]!DadosGHD[CD_GEOCMU],[1]!DadosGHD[uf])</f>
        <v>RJ</v>
      </c>
      <c r="E2929" s="5" t="str">
        <f>_xlfn.XLOOKUP(A2929,[1]!DadosGHD[CD_GEOCMU],[1]!DadosGHD[MUNICIPIO])</f>
        <v>SAO JOAO DA BARRA</v>
      </c>
      <c r="F2929" s="6">
        <v>43.554740905761697</v>
      </c>
      <c r="G2929" s="6">
        <v>38.757579803466797</v>
      </c>
      <c r="H2929" s="6">
        <v>38.786823272705099</v>
      </c>
      <c r="I2929" s="6">
        <v>38.757972717285199</v>
      </c>
      <c r="J2929" s="6">
        <v>38.768882751464801</v>
      </c>
      <c r="K2929" s="6">
        <v>33.9207954406738</v>
      </c>
      <c r="L2929" s="6">
        <v>35.122734069824197</v>
      </c>
    </row>
    <row r="2930" spans="1:12" x14ac:dyDescent="0.25">
      <c r="A2930">
        <v>3304755</v>
      </c>
      <c r="B2930" t="str">
        <f t="shared" si="45"/>
        <v>SAO FRANCISCO DE ITABAPOANA, RJ, Brasil</v>
      </c>
      <c r="C2930" s="4" t="str">
        <f>_xlfn.XLOOKUP(A2930,[1]!DadosGHD[CD_GEOCMU],[1]!DadosGHD[Região])</f>
        <v>SD</v>
      </c>
      <c r="D2930" s="4" t="str">
        <f>_xlfn.XLOOKUP(A2930,[1]!DadosGHD[CD_GEOCMU],[1]!DadosGHD[uf])</f>
        <v>RJ</v>
      </c>
      <c r="E2930" s="5" t="str">
        <f>_xlfn.XLOOKUP(A2930,[1]!DadosGHD[CD_GEOCMU],[1]!DadosGHD[MUNICIPIO])</f>
        <v>SAO FRANCISCO DE ITABAPOANA</v>
      </c>
      <c r="F2930" s="6">
        <v>43.5547485351563</v>
      </c>
      <c r="G2930" s="6">
        <v>43.6740531921387</v>
      </c>
      <c r="H2930" s="6">
        <v>38.850028991699197</v>
      </c>
      <c r="I2930" s="6">
        <v>43.697422027587898</v>
      </c>
      <c r="J2930" s="6">
        <v>43.7319145202637</v>
      </c>
      <c r="K2930" s="6">
        <v>38.854286193847699</v>
      </c>
      <c r="L2930" s="6">
        <v>35.139739990234403</v>
      </c>
    </row>
    <row r="2931" spans="1:12" x14ac:dyDescent="0.25">
      <c r="A2931">
        <v>2509503</v>
      </c>
      <c r="B2931" t="str">
        <f t="shared" si="45"/>
        <v>MONTADAS, PB, Brasil</v>
      </c>
      <c r="C2931" s="4" t="str">
        <f>_xlfn.XLOOKUP(A2931,[1]!DadosGHD[CD_GEOCMU],[1]!DadosGHD[Região])</f>
        <v>NE</v>
      </c>
      <c r="D2931" s="4" t="str">
        <f>_xlfn.XLOOKUP(A2931,[1]!DadosGHD[CD_GEOCMU],[1]!DadosGHD[uf])</f>
        <v>PB</v>
      </c>
      <c r="E2931" s="5" t="str">
        <f>_xlfn.XLOOKUP(A2931,[1]!DadosGHD[CD_GEOCMU],[1]!DadosGHD[MUNICIPIO])</f>
        <v>MONTADAS</v>
      </c>
      <c r="F2931" s="6">
        <v>43.5550727844238</v>
      </c>
      <c r="G2931" s="6">
        <v>33.775959014892599</v>
      </c>
      <c r="H2931" s="6">
        <v>33.8789672851563</v>
      </c>
      <c r="I2931" s="6">
        <v>33.863204956054702</v>
      </c>
      <c r="J2931" s="6">
        <v>33.876853942871101</v>
      </c>
      <c r="K2931" s="6">
        <v>28.9960231781006</v>
      </c>
      <c r="L2931" s="6">
        <v>30.717412948608398</v>
      </c>
    </row>
    <row r="2932" spans="1:12" x14ac:dyDescent="0.25">
      <c r="A2932">
        <v>4126306</v>
      </c>
      <c r="B2932" t="str">
        <f t="shared" si="45"/>
        <v>SENGES, PR, Brasil</v>
      </c>
      <c r="C2932" s="4" t="str">
        <f>_xlfn.XLOOKUP(A2932,[1]!DadosGHD[CD_GEOCMU],[1]!DadosGHD[Região])</f>
        <v>SL</v>
      </c>
      <c r="D2932" s="4" t="str">
        <f>_xlfn.XLOOKUP(A2932,[1]!DadosGHD[CD_GEOCMU],[1]!DadosGHD[uf])</f>
        <v>PR</v>
      </c>
      <c r="E2932" s="5" t="str">
        <f>_xlfn.XLOOKUP(A2932,[1]!DadosGHD[CD_GEOCMU],[1]!DadosGHD[MUNICIPIO])</f>
        <v>SENGES</v>
      </c>
      <c r="F2932" s="6">
        <v>43.555084228515597</v>
      </c>
      <c r="G2932" s="6">
        <v>38.7316703796387</v>
      </c>
      <c r="H2932" s="6">
        <v>38.781333923339801</v>
      </c>
      <c r="I2932" s="6">
        <v>38.780021667480497</v>
      </c>
      <c r="J2932" s="6">
        <v>38.790962219238303</v>
      </c>
      <c r="K2932" s="6">
        <v>38.808753967285199</v>
      </c>
      <c r="L2932" s="6">
        <v>35.130317687988303</v>
      </c>
    </row>
    <row r="2933" spans="1:12" x14ac:dyDescent="0.25">
      <c r="A2933">
        <v>5219100</v>
      </c>
      <c r="B2933" t="str">
        <f t="shared" si="45"/>
        <v>SANTA BARBARA DE GOIAS, GO, Brasil</v>
      </c>
      <c r="C2933" s="4" t="str">
        <f>_xlfn.XLOOKUP(A2933,[1]!DadosGHD[CD_GEOCMU],[1]!DadosGHD[Região])</f>
        <v>CO</v>
      </c>
      <c r="D2933" s="4" t="str">
        <f>_xlfn.XLOOKUP(A2933,[1]!DadosGHD[CD_GEOCMU],[1]!DadosGHD[uf])</f>
        <v>GO</v>
      </c>
      <c r="E2933" s="5" t="str">
        <f>_xlfn.XLOOKUP(A2933,[1]!DadosGHD[CD_GEOCMU],[1]!DadosGHD[MUNICIPIO])</f>
        <v>SANTA BARBARA DE GOIAS</v>
      </c>
      <c r="F2933" s="6">
        <v>43.555488586425803</v>
      </c>
      <c r="G2933" s="6">
        <v>38.777336120605497</v>
      </c>
      <c r="H2933" s="6">
        <v>33.894264221191399</v>
      </c>
      <c r="I2933" s="6">
        <v>33.855712890625</v>
      </c>
      <c r="J2933" s="6">
        <v>38.826171875</v>
      </c>
      <c r="K2933" s="6">
        <v>38.831577301025398</v>
      </c>
      <c r="L2933" s="6">
        <v>39.574466705322301</v>
      </c>
    </row>
    <row r="2934" spans="1:12" x14ac:dyDescent="0.25">
      <c r="A2934">
        <v>4302709</v>
      </c>
      <c r="B2934" t="str">
        <f t="shared" si="45"/>
        <v>BUTIA, RS, Brasil</v>
      </c>
      <c r="C2934" s="4" t="str">
        <f>_xlfn.XLOOKUP(A2934,[1]!DadosGHD[CD_GEOCMU],[1]!DadosGHD[Região])</f>
        <v>SL</v>
      </c>
      <c r="D2934" s="4" t="str">
        <f>_xlfn.XLOOKUP(A2934,[1]!DadosGHD[CD_GEOCMU],[1]!DadosGHD[uf])</f>
        <v>RS</v>
      </c>
      <c r="E2934" s="5" t="str">
        <f>_xlfn.XLOOKUP(A2934,[1]!DadosGHD[CD_GEOCMU],[1]!DadosGHD[MUNICIPIO])</f>
        <v>BUTIA</v>
      </c>
      <c r="F2934" s="6">
        <v>43.555549621582003</v>
      </c>
      <c r="G2934" s="6">
        <v>43.641746520996101</v>
      </c>
      <c r="H2934" s="6">
        <v>43.728569030761697</v>
      </c>
      <c r="I2934" s="6">
        <v>43.703559875488303</v>
      </c>
      <c r="J2934" s="6">
        <v>48.759891510009801</v>
      </c>
      <c r="K2934" s="6">
        <v>48.866428375244098</v>
      </c>
      <c r="L2934" s="6">
        <v>44.015464782714801</v>
      </c>
    </row>
    <row r="2935" spans="1:12" x14ac:dyDescent="0.25">
      <c r="A2935">
        <v>3117009</v>
      </c>
      <c r="B2935" t="str">
        <f t="shared" si="45"/>
        <v>COMERCINHO, MG, Brasil</v>
      </c>
      <c r="C2935" s="4" t="str">
        <f>_xlfn.XLOOKUP(A2935,[1]!DadosGHD[CD_GEOCMU],[1]!DadosGHD[Região])</f>
        <v>SD</v>
      </c>
      <c r="D2935" s="4" t="str">
        <f>_xlfn.XLOOKUP(A2935,[1]!DadosGHD[CD_GEOCMU],[1]!DadosGHD[uf])</f>
        <v>MG</v>
      </c>
      <c r="E2935" s="5" t="str">
        <f>_xlfn.XLOOKUP(A2935,[1]!DadosGHD[CD_GEOCMU],[1]!DadosGHD[MUNICIPIO])</f>
        <v>COMERCINHO</v>
      </c>
      <c r="F2935" s="6">
        <v>43.5556831359863</v>
      </c>
      <c r="G2935" s="6">
        <v>38.741725921630902</v>
      </c>
      <c r="H2935" s="6">
        <v>38.799320220947301</v>
      </c>
      <c r="I2935" s="6">
        <v>38.774166107177699</v>
      </c>
      <c r="J2935" s="6">
        <v>38.794891357421903</v>
      </c>
      <c r="K2935" s="6">
        <v>33.9274711608887</v>
      </c>
      <c r="L2935" s="6">
        <v>35.122714996337898</v>
      </c>
    </row>
    <row r="2936" spans="1:12" x14ac:dyDescent="0.25">
      <c r="A2936">
        <v>5208400</v>
      </c>
      <c r="B2936" t="str">
        <f t="shared" si="45"/>
        <v>GOIANAPOLIS, GO, Brasil</v>
      </c>
      <c r="C2936" s="4" t="str">
        <f>_xlfn.XLOOKUP(A2936,[1]!DadosGHD[CD_GEOCMU],[1]!DadosGHD[Região])</f>
        <v>CO</v>
      </c>
      <c r="D2936" s="4" t="str">
        <f>_xlfn.XLOOKUP(A2936,[1]!DadosGHD[CD_GEOCMU],[1]!DadosGHD[uf])</f>
        <v>GO</v>
      </c>
      <c r="E2936" s="5" t="str">
        <f>_xlfn.XLOOKUP(A2936,[1]!DadosGHD[CD_GEOCMU],[1]!DadosGHD[MUNICIPIO])</f>
        <v>GOIANAPOLIS</v>
      </c>
      <c r="F2936" s="6">
        <v>43.556068420410199</v>
      </c>
      <c r="G2936" s="6">
        <v>43.648227691650398</v>
      </c>
      <c r="H2936" s="6">
        <v>43.710994720458999</v>
      </c>
      <c r="I2936" s="6">
        <v>38.822685241699197</v>
      </c>
      <c r="J2936" s="6">
        <v>38.806636810302699</v>
      </c>
      <c r="K2936" s="6">
        <v>38.810874938964801</v>
      </c>
      <c r="L2936" s="6">
        <v>26.298252105712901</v>
      </c>
    </row>
    <row r="2937" spans="1:12" x14ac:dyDescent="0.25">
      <c r="A2937">
        <v>2306207</v>
      </c>
      <c r="B2937" t="str">
        <f t="shared" si="45"/>
        <v>ITAICABA, CE, Brasil</v>
      </c>
      <c r="C2937" s="4" t="str">
        <f>_xlfn.XLOOKUP(A2937,[1]!DadosGHD[CD_GEOCMU],[1]!DadosGHD[Região])</f>
        <v>NE</v>
      </c>
      <c r="D2937" s="4" t="str">
        <f>_xlfn.XLOOKUP(A2937,[1]!DadosGHD[CD_GEOCMU],[1]!DadosGHD[uf])</f>
        <v>CE</v>
      </c>
      <c r="E2937" s="5" t="str">
        <f>_xlfn.XLOOKUP(A2937,[1]!DadosGHD[CD_GEOCMU],[1]!DadosGHD[MUNICIPIO])</f>
        <v>ITAICABA</v>
      </c>
      <c r="F2937" s="6">
        <v>43.556209564208999</v>
      </c>
      <c r="G2937" s="6">
        <v>38.728969573974602</v>
      </c>
      <c r="H2937" s="6">
        <v>38.764797210693402</v>
      </c>
      <c r="I2937" s="6">
        <v>38.763832092285199</v>
      </c>
      <c r="J2937" s="6">
        <v>48.697174072265597</v>
      </c>
      <c r="K2937" s="6">
        <v>48.805252075195298</v>
      </c>
      <c r="L2937" s="6">
        <v>53.010456085205099</v>
      </c>
    </row>
    <row r="2938" spans="1:12" x14ac:dyDescent="0.25">
      <c r="A2938">
        <v>3138906</v>
      </c>
      <c r="B2938" t="str">
        <f t="shared" si="45"/>
        <v>MACHACALIS, MG, Brasil</v>
      </c>
      <c r="C2938" s="4" t="str">
        <f>_xlfn.XLOOKUP(A2938,[1]!DadosGHD[CD_GEOCMU],[1]!DadosGHD[Região])</f>
        <v>SD</v>
      </c>
      <c r="D2938" s="4" t="str">
        <f>_xlfn.XLOOKUP(A2938,[1]!DadosGHD[CD_GEOCMU],[1]!DadosGHD[uf])</f>
        <v>MG</v>
      </c>
      <c r="E2938" s="5" t="str">
        <f>_xlfn.XLOOKUP(A2938,[1]!DadosGHD[CD_GEOCMU],[1]!DadosGHD[MUNICIPIO])</f>
        <v>MACHACALIS</v>
      </c>
      <c r="F2938" s="6">
        <v>43.556350708007798</v>
      </c>
      <c r="G2938" s="6">
        <v>43.650928497314503</v>
      </c>
      <c r="H2938" s="6">
        <v>38.845558166503899</v>
      </c>
      <c r="I2938" s="6">
        <v>43.681488037109403</v>
      </c>
      <c r="J2938" s="6">
        <v>38.837303161621101</v>
      </c>
      <c r="K2938" s="6">
        <v>38.869831085205099</v>
      </c>
      <c r="L2938" s="6">
        <v>35.146083831787102</v>
      </c>
    </row>
    <row r="2939" spans="1:12" x14ac:dyDescent="0.25">
      <c r="A2939">
        <v>5219407</v>
      </c>
      <c r="B2939" t="str">
        <f t="shared" si="45"/>
        <v>SANTA RITA DO ARAGUAIA, GO, Brasil</v>
      </c>
      <c r="C2939" s="4" t="str">
        <f>_xlfn.XLOOKUP(A2939,[1]!DadosGHD[CD_GEOCMU],[1]!DadosGHD[Região])</f>
        <v>CO</v>
      </c>
      <c r="D2939" s="4" t="str">
        <f>_xlfn.XLOOKUP(A2939,[1]!DadosGHD[CD_GEOCMU],[1]!DadosGHD[uf])</f>
        <v>GO</v>
      </c>
      <c r="E2939" s="5" t="str">
        <f>_xlfn.XLOOKUP(A2939,[1]!DadosGHD[CD_GEOCMU],[1]!DadosGHD[MUNICIPIO])</f>
        <v>SANTA RITA DO ARAGUAIA</v>
      </c>
      <c r="F2939" s="6">
        <v>43.556526184082003</v>
      </c>
      <c r="G2939" s="6">
        <v>38.724330902099602</v>
      </c>
      <c r="H2939" s="6">
        <v>33.874336242675803</v>
      </c>
      <c r="I2939" s="6">
        <v>33.848403930664098</v>
      </c>
      <c r="J2939" s="6">
        <v>33.844043731689503</v>
      </c>
      <c r="K2939" s="6">
        <v>33.855396270752003</v>
      </c>
      <c r="L2939" s="6">
        <v>30.695238113403299</v>
      </c>
    </row>
    <row r="2940" spans="1:12" x14ac:dyDescent="0.25">
      <c r="A2940">
        <v>1101104</v>
      </c>
      <c r="B2940" t="str">
        <f t="shared" si="45"/>
        <v>ITAPUA DO OESTE, RO, Brasil</v>
      </c>
      <c r="C2940" s="4" t="str">
        <f>_xlfn.XLOOKUP(A2940,[1]!DadosGHD[CD_GEOCMU],[1]!DadosGHD[Região])</f>
        <v>NO</v>
      </c>
      <c r="D2940" s="4" t="str">
        <f>_xlfn.XLOOKUP(A2940,[1]!DadosGHD[CD_GEOCMU],[1]!DadosGHD[uf])</f>
        <v>RO</v>
      </c>
      <c r="E2940" s="5" t="str">
        <f>_xlfn.XLOOKUP(A2940,[1]!DadosGHD[CD_GEOCMU],[1]!DadosGHD[MUNICIPIO])</f>
        <v>ITAPUA DO OESTE</v>
      </c>
      <c r="F2940" s="6">
        <v>43.5568656921387</v>
      </c>
      <c r="G2940" s="6">
        <v>38.750404357910199</v>
      </c>
      <c r="H2940" s="6">
        <v>38.7825736999512</v>
      </c>
      <c r="I2940" s="6">
        <v>38.749828338623097</v>
      </c>
      <c r="J2940" s="6">
        <v>38.783500671386697</v>
      </c>
      <c r="K2940" s="6">
        <v>38.855384826660199</v>
      </c>
      <c r="L2940" s="6">
        <v>39.607002258300803</v>
      </c>
    </row>
    <row r="2941" spans="1:12" x14ac:dyDescent="0.25">
      <c r="A2941">
        <v>4125407</v>
      </c>
      <c r="B2941" t="str">
        <f t="shared" si="45"/>
        <v>SAO JOSE DA BOA VISTA, PR, Brasil</v>
      </c>
      <c r="C2941" s="4" t="str">
        <f>_xlfn.XLOOKUP(A2941,[1]!DadosGHD[CD_GEOCMU],[1]!DadosGHD[Região])</f>
        <v>SL</v>
      </c>
      <c r="D2941" s="4" t="str">
        <f>_xlfn.XLOOKUP(A2941,[1]!DadosGHD[CD_GEOCMU],[1]!DadosGHD[uf])</f>
        <v>PR</v>
      </c>
      <c r="E2941" s="5" t="str">
        <f>_xlfn.XLOOKUP(A2941,[1]!DadosGHD[CD_GEOCMU],[1]!DadosGHD[MUNICIPIO])</f>
        <v>SAO JOSE DA BOA VISTA</v>
      </c>
      <c r="F2941" s="6">
        <v>43.556995391845703</v>
      </c>
      <c r="G2941" s="6">
        <v>38.769260406494098</v>
      </c>
      <c r="H2941" s="6">
        <v>38.820446014404297</v>
      </c>
      <c r="I2941" s="6">
        <v>38.796054840087898</v>
      </c>
      <c r="J2941" s="6">
        <v>53.844120025634801</v>
      </c>
      <c r="K2941" s="6">
        <v>38.865657806396499</v>
      </c>
      <c r="L2941" s="6">
        <v>35.159805297851598</v>
      </c>
    </row>
    <row r="2942" spans="1:12" x14ac:dyDescent="0.25">
      <c r="A2942">
        <v>3204500</v>
      </c>
      <c r="B2942" t="str">
        <f t="shared" si="45"/>
        <v>SANTA LEOPOLDINA, ES, Brasil</v>
      </c>
      <c r="C2942" s="4" t="str">
        <f>_xlfn.XLOOKUP(A2942,[1]!DadosGHD[CD_GEOCMU],[1]!DadosGHD[Região])</f>
        <v>SD</v>
      </c>
      <c r="D2942" s="4" t="str">
        <f>_xlfn.XLOOKUP(A2942,[1]!DadosGHD[CD_GEOCMU],[1]!DadosGHD[uf])</f>
        <v>ES</v>
      </c>
      <c r="E2942" s="5" t="str">
        <f>_xlfn.XLOOKUP(A2942,[1]!DadosGHD[CD_GEOCMU],[1]!DadosGHD[MUNICIPIO])</f>
        <v>SANTA LEOPOLDINA</v>
      </c>
      <c r="F2942" s="6">
        <v>43.557209014892599</v>
      </c>
      <c r="G2942" s="6">
        <v>43.703781127929702</v>
      </c>
      <c r="H2942" s="6">
        <v>43.790653228759801</v>
      </c>
      <c r="I2942" s="6">
        <v>43.758289337158203</v>
      </c>
      <c r="J2942" s="6">
        <v>43.791175842285199</v>
      </c>
      <c r="K2942" s="6">
        <v>43.842563629150398</v>
      </c>
      <c r="L2942" s="6">
        <v>35.146518707275398</v>
      </c>
    </row>
    <row r="2943" spans="1:12" x14ac:dyDescent="0.25">
      <c r="A2943">
        <v>5000203</v>
      </c>
      <c r="B2943" t="str">
        <f t="shared" si="45"/>
        <v>AGUA CLARA, MS, Brasil</v>
      </c>
      <c r="C2943" s="4" t="str">
        <f>_xlfn.XLOOKUP(A2943,[1]!DadosGHD[CD_GEOCMU],[1]!DadosGHD[Região])</f>
        <v>CO</v>
      </c>
      <c r="D2943" s="4" t="str">
        <f>_xlfn.XLOOKUP(A2943,[1]!DadosGHD[CD_GEOCMU],[1]!DadosGHD[uf])</f>
        <v>MS</v>
      </c>
      <c r="E2943" s="5" t="str">
        <f>_xlfn.XLOOKUP(A2943,[1]!DadosGHD[CD_GEOCMU],[1]!DadosGHD[MUNICIPIO])</f>
        <v>AGUA CLARA</v>
      </c>
      <c r="F2943" s="6">
        <v>43.557437896728501</v>
      </c>
      <c r="G2943" s="6">
        <v>43.656425476074197</v>
      </c>
      <c r="H2943" s="6">
        <v>43.742790222167997</v>
      </c>
      <c r="I2943" s="6">
        <v>43.731742858886697</v>
      </c>
      <c r="J2943" s="6">
        <v>38.7851753234863</v>
      </c>
      <c r="K2943" s="6">
        <v>38.885063171386697</v>
      </c>
      <c r="L2943" s="6">
        <v>39.605281829833999</v>
      </c>
    </row>
    <row r="2944" spans="1:12" x14ac:dyDescent="0.25">
      <c r="A2944">
        <v>1712405</v>
      </c>
      <c r="B2944" t="str">
        <f t="shared" si="45"/>
        <v>LIZARDA, TO, Brasil</v>
      </c>
      <c r="C2944" s="4" t="str">
        <f>_xlfn.XLOOKUP(A2944,[1]!DadosGHD[CD_GEOCMU],[1]!DadosGHD[Região])</f>
        <v>NO</v>
      </c>
      <c r="D2944" s="4" t="str">
        <f>_xlfn.XLOOKUP(A2944,[1]!DadosGHD[CD_GEOCMU],[1]!DadosGHD[uf])</f>
        <v>TO</v>
      </c>
      <c r="E2944" s="5" t="str">
        <f>_xlfn.XLOOKUP(A2944,[1]!DadosGHD[CD_GEOCMU],[1]!DadosGHD[MUNICIPIO])</f>
        <v>LIZARDA</v>
      </c>
      <c r="F2944" s="6">
        <v>43.557529449462898</v>
      </c>
      <c r="G2944" s="6">
        <v>38.735950469970703</v>
      </c>
      <c r="H2944" s="6">
        <v>38.777912139892599</v>
      </c>
      <c r="I2944" s="6">
        <v>38.752487182617202</v>
      </c>
      <c r="J2944" s="6">
        <v>38.7715454101563</v>
      </c>
      <c r="K2944" s="6">
        <v>38.807754516601598</v>
      </c>
      <c r="L2944" s="6">
        <v>30.7115783691406</v>
      </c>
    </row>
    <row r="2945" spans="1:12" x14ac:dyDescent="0.25">
      <c r="A2945">
        <v>2403608</v>
      </c>
      <c r="B2945" t="str">
        <f t="shared" si="45"/>
        <v>EXTREMOZ, RN, Brasil</v>
      </c>
      <c r="C2945" s="4" t="str">
        <f>_xlfn.XLOOKUP(A2945,[1]!DadosGHD[CD_GEOCMU],[1]!DadosGHD[Região])</f>
        <v>NE</v>
      </c>
      <c r="D2945" s="4" t="str">
        <f>_xlfn.XLOOKUP(A2945,[1]!DadosGHD[CD_GEOCMU],[1]!DadosGHD[uf])</f>
        <v>RN</v>
      </c>
      <c r="E2945" s="5" t="str">
        <f>_xlfn.XLOOKUP(A2945,[1]!DadosGHD[CD_GEOCMU],[1]!DadosGHD[MUNICIPIO])</f>
        <v>EXTREMOZ</v>
      </c>
      <c r="F2945" s="6">
        <v>43.557559967041001</v>
      </c>
      <c r="G2945" s="6">
        <v>43.680126190185597</v>
      </c>
      <c r="H2945" s="6">
        <v>43.812015533447301</v>
      </c>
      <c r="I2945" s="6">
        <v>48.704681396484403</v>
      </c>
      <c r="J2945" s="6">
        <v>48.786243438720703</v>
      </c>
      <c r="K2945" s="6">
        <v>53.9911918640137</v>
      </c>
      <c r="L2945" s="6">
        <v>48.545078277587898</v>
      </c>
    </row>
    <row r="2946" spans="1:12" x14ac:dyDescent="0.25">
      <c r="A2946">
        <v>5100508</v>
      </c>
      <c r="B2946" t="str">
        <f t="shared" si="45"/>
        <v>ALTO PARAGUAI, MT, Brasil</v>
      </c>
      <c r="C2946" s="4" t="str">
        <f>_xlfn.XLOOKUP(A2946,[1]!DadosGHD[CD_GEOCMU],[1]!DadosGHD[Região])</f>
        <v>CO</v>
      </c>
      <c r="D2946" s="4" t="str">
        <f>_xlfn.XLOOKUP(A2946,[1]!DadosGHD[CD_GEOCMU],[1]!DadosGHD[uf])</f>
        <v>MT</v>
      </c>
      <c r="E2946" s="5" t="str">
        <f>_xlfn.XLOOKUP(A2946,[1]!DadosGHD[CD_GEOCMU],[1]!DadosGHD[MUNICIPIO])</f>
        <v>ALTO PARAGUAI</v>
      </c>
      <c r="F2946" s="6">
        <v>43.557624816894503</v>
      </c>
      <c r="G2946" s="6">
        <v>43.674720764160199</v>
      </c>
      <c r="H2946" s="6">
        <v>43.729385375976598</v>
      </c>
      <c r="I2946" s="6">
        <v>43.689079284667997</v>
      </c>
      <c r="J2946" s="6">
        <v>38.770408630371101</v>
      </c>
      <c r="K2946" s="6">
        <v>33.9068412780762</v>
      </c>
      <c r="L2946" s="6">
        <v>30.6931667327881</v>
      </c>
    </row>
    <row r="2947" spans="1:12" x14ac:dyDescent="0.25">
      <c r="A2947">
        <v>5205208</v>
      </c>
      <c r="B2947" t="str">
        <f t="shared" si="45"/>
        <v>CATURAI, GO, Brasil</v>
      </c>
      <c r="C2947" s="4" t="str">
        <f>_xlfn.XLOOKUP(A2947,[1]!DadosGHD[CD_GEOCMU],[1]!DadosGHD[Região])</f>
        <v>CO</v>
      </c>
      <c r="D2947" s="4" t="str">
        <f>_xlfn.XLOOKUP(A2947,[1]!DadosGHD[CD_GEOCMU],[1]!DadosGHD[uf])</f>
        <v>GO</v>
      </c>
      <c r="E2947" s="5" t="str">
        <f>_xlfn.XLOOKUP(A2947,[1]!DadosGHD[CD_GEOCMU],[1]!DadosGHD[MUNICIPIO])</f>
        <v>CATURAI</v>
      </c>
      <c r="F2947" s="6">
        <v>43.557785034179702</v>
      </c>
      <c r="G2947" s="6">
        <v>38.746986389160199</v>
      </c>
      <c r="H2947" s="6">
        <v>38.771240234375</v>
      </c>
      <c r="I2947" s="6">
        <v>38.734306335449197</v>
      </c>
      <c r="J2947" s="6">
        <v>38.757217407226598</v>
      </c>
      <c r="K2947" s="6">
        <v>38.795330047607401</v>
      </c>
      <c r="L2947" s="6">
        <v>30.6865558624268</v>
      </c>
    </row>
    <row r="2948" spans="1:12" x14ac:dyDescent="0.25">
      <c r="A2948">
        <v>2403103</v>
      </c>
      <c r="B2948" t="str">
        <f t="shared" ref="B2948:B3011" si="46">_xlfn.CONCAT(E2948, ", ", D2948, ", Brasil")</f>
        <v>CURRAIS NOVOS, RN, Brasil</v>
      </c>
      <c r="C2948" s="4" t="str">
        <f>_xlfn.XLOOKUP(A2948,[1]!DadosGHD[CD_GEOCMU],[1]!DadosGHD[Região])</f>
        <v>NE</v>
      </c>
      <c r="D2948" s="4" t="str">
        <f>_xlfn.XLOOKUP(A2948,[1]!DadosGHD[CD_GEOCMU],[1]!DadosGHD[uf])</f>
        <v>RN</v>
      </c>
      <c r="E2948" s="5" t="str">
        <f>_xlfn.XLOOKUP(A2948,[1]!DadosGHD[CD_GEOCMU],[1]!DadosGHD[MUNICIPIO])</f>
        <v>CURRAIS NOVOS</v>
      </c>
      <c r="F2948" s="6">
        <v>43.557815551757798</v>
      </c>
      <c r="G2948" s="6">
        <v>43.649631500244098</v>
      </c>
      <c r="H2948" s="6">
        <v>38.82177734375</v>
      </c>
      <c r="I2948" s="6">
        <v>43.707424163818402</v>
      </c>
      <c r="J2948" s="6">
        <v>43.797401428222699</v>
      </c>
      <c r="K2948" s="6">
        <v>43.874465942382798</v>
      </c>
      <c r="L2948" s="6">
        <v>48.537227630615199</v>
      </c>
    </row>
    <row r="2949" spans="1:12" x14ac:dyDescent="0.25">
      <c r="A2949">
        <v>3158201</v>
      </c>
      <c r="B2949" t="str">
        <f t="shared" si="46"/>
        <v>SANTA MARIA DO SUACUI, MG, Brasil</v>
      </c>
      <c r="C2949" s="4" t="str">
        <f>_xlfn.XLOOKUP(A2949,[1]!DadosGHD[CD_GEOCMU],[1]!DadosGHD[Região])</f>
        <v>SD</v>
      </c>
      <c r="D2949" s="4" t="str">
        <f>_xlfn.XLOOKUP(A2949,[1]!DadosGHD[CD_GEOCMU],[1]!DadosGHD[uf])</f>
        <v>MG</v>
      </c>
      <c r="E2949" s="5" t="str">
        <f>_xlfn.XLOOKUP(A2949,[1]!DadosGHD[CD_GEOCMU],[1]!DadosGHD[MUNICIPIO])</f>
        <v>SANTA MARIA DO SUACUI</v>
      </c>
      <c r="F2949" s="6">
        <v>43.557891845703097</v>
      </c>
      <c r="G2949" s="6">
        <v>43.675270080566399</v>
      </c>
      <c r="H2949" s="6">
        <v>43.7320365905762</v>
      </c>
      <c r="I2949" s="6">
        <v>43.7037544250488</v>
      </c>
      <c r="J2949" s="6">
        <v>43.709648132324197</v>
      </c>
      <c r="K2949" s="6">
        <v>38.846405029296903</v>
      </c>
      <c r="L2949" s="6">
        <v>30.7149353027344</v>
      </c>
    </row>
    <row r="2950" spans="1:12" x14ac:dyDescent="0.25">
      <c r="A2950">
        <v>2109007</v>
      </c>
      <c r="B2950" t="str">
        <f t="shared" si="46"/>
        <v>PORTO FRANCO, MA, Brasil</v>
      </c>
      <c r="C2950" s="4" t="str">
        <f>_xlfn.XLOOKUP(A2950,[1]!DadosGHD[CD_GEOCMU],[1]!DadosGHD[Região])</f>
        <v>NE</v>
      </c>
      <c r="D2950" s="4" t="str">
        <f>_xlfn.XLOOKUP(A2950,[1]!DadosGHD[CD_GEOCMU],[1]!DadosGHD[uf])</f>
        <v>MA</v>
      </c>
      <c r="E2950" s="5" t="str">
        <f>_xlfn.XLOOKUP(A2950,[1]!DadosGHD[CD_GEOCMU],[1]!DadosGHD[MUNICIPIO])</f>
        <v>PORTO FRANCO</v>
      </c>
      <c r="F2950" s="6">
        <v>43.5579833984375</v>
      </c>
      <c r="G2950" s="6">
        <v>38.767566680908203</v>
      </c>
      <c r="H2950" s="6">
        <v>38.791160583496101</v>
      </c>
      <c r="I2950" s="6">
        <v>38.765579223632798</v>
      </c>
      <c r="J2950" s="6">
        <v>38.800125122070298</v>
      </c>
      <c r="K2950" s="6">
        <v>38.852684020996101</v>
      </c>
      <c r="L2950" s="6">
        <v>35.129753112792997</v>
      </c>
    </row>
    <row r="2951" spans="1:12" x14ac:dyDescent="0.25">
      <c r="A2951">
        <v>3148509</v>
      </c>
      <c r="B2951" t="str">
        <f t="shared" si="46"/>
        <v>PAVAO, MG, Brasil</v>
      </c>
      <c r="C2951" s="4" t="str">
        <f>_xlfn.XLOOKUP(A2951,[1]!DadosGHD[CD_GEOCMU],[1]!DadosGHD[Região])</f>
        <v>SD</v>
      </c>
      <c r="D2951" s="4" t="str">
        <f>_xlfn.XLOOKUP(A2951,[1]!DadosGHD[CD_GEOCMU],[1]!DadosGHD[uf])</f>
        <v>MG</v>
      </c>
      <c r="E2951" s="5" t="str">
        <f>_xlfn.XLOOKUP(A2951,[1]!DadosGHD[CD_GEOCMU],[1]!DadosGHD[MUNICIPIO])</f>
        <v>PAVAO</v>
      </c>
      <c r="F2951" s="6">
        <v>43.558029174804702</v>
      </c>
      <c r="G2951" s="6">
        <v>38.780517578125</v>
      </c>
      <c r="H2951" s="6">
        <v>38.834449768066399</v>
      </c>
      <c r="I2951" s="6">
        <v>38.813652038574197</v>
      </c>
      <c r="J2951" s="6">
        <v>38.831817626953097</v>
      </c>
      <c r="K2951" s="6">
        <v>38.871757507324197</v>
      </c>
      <c r="L2951" s="6">
        <v>30.714113235473601</v>
      </c>
    </row>
    <row r="2952" spans="1:12" x14ac:dyDescent="0.25">
      <c r="A2952">
        <v>3516309</v>
      </c>
      <c r="B2952" t="str">
        <f t="shared" si="46"/>
        <v>FRANCISCO MORATO, SP, Brasil</v>
      </c>
      <c r="C2952" s="4" t="str">
        <f>_xlfn.XLOOKUP(A2952,[1]!DadosGHD[CD_GEOCMU],[1]!DadosGHD[Região])</f>
        <v>SD</v>
      </c>
      <c r="D2952" s="4" t="str">
        <f>_xlfn.XLOOKUP(A2952,[1]!DadosGHD[CD_GEOCMU],[1]!DadosGHD[uf])</f>
        <v>SP</v>
      </c>
      <c r="E2952" s="5" t="str">
        <f>_xlfn.XLOOKUP(A2952,[1]!DadosGHD[CD_GEOCMU],[1]!DadosGHD[MUNICIPIO])</f>
        <v>FRANCISCO MORATO</v>
      </c>
      <c r="F2952" s="6">
        <v>43.558284759521499</v>
      </c>
      <c r="G2952" s="6">
        <v>43.653011322021499</v>
      </c>
      <c r="H2952" s="6">
        <v>38.836441040039098</v>
      </c>
      <c r="I2952" s="6">
        <v>38.799736022949197</v>
      </c>
      <c r="J2952" s="6">
        <v>38.801139831542997</v>
      </c>
      <c r="K2952" s="6">
        <v>38.875621795654297</v>
      </c>
      <c r="L2952" s="6">
        <v>44.036464691162102</v>
      </c>
    </row>
    <row r="2953" spans="1:12" x14ac:dyDescent="0.25">
      <c r="A2953">
        <v>2304285</v>
      </c>
      <c r="B2953" t="str">
        <f t="shared" si="46"/>
        <v>EUSEBIO, CE, Brasil</v>
      </c>
      <c r="C2953" s="4" t="str">
        <f>_xlfn.XLOOKUP(A2953,[1]!DadosGHD[CD_GEOCMU],[1]!DadosGHD[Região])</f>
        <v>NE</v>
      </c>
      <c r="D2953" s="4" t="str">
        <f>_xlfn.XLOOKUP(A2953,[1]!DadosGHD[CD_GEOCMU],[1]!DadosGHD[uf])</f>
        <v>CE</v>
      </c>
      <c r="E2953" s="5" t="str">
        <f>_xlfn.XLOOKUP(A2953,[1]!DadosGHD[CD_GEOCMU],[1]!DadosGHD[MUNICIPIO])</f>
        <v>EUSEBIO</v>
      </c>
      <c r="F2953" s="6">
        <v>43.5583305358887</v>
      </c>
      <c r="G2953" s="6">
        <v>43.643943786621101</v>
      </c>
      <c r="H2953" s="6">
        <v>43.765590667724602</v>
      </c>
      <c r="I2953" s="6">
        <v>48.709804534912102</v>
      </c>
      <c r="J2953" s="6">
        <v>48.761814117431598</v>
      </c>
      <c r="K2953" s="6">
        <v>48.8235893249512</v>
      </c>
      <c r="L2953" s="6">
        <v>44.056606292724602</v>
      </c>
    </row>
    <row r="2954" spans="1:12" x14ac:dyDescent="0.25">
      <c r="A2954">
        <v>4126678</v>
      </c>
      <c r="B2954" t="str">
        <f t="shared" si="46"/>
        <v>TAMARANA, PR, Brasil</v>
      </c>
      <c r="C2954" s="4" t="str">
        <f>_xlfn.XLOOKUP(A2954,[1]!DadosGHD[CD_GEOCMU],[1]!DadosGHD[Região])</f>
        <v>SL</v>
      </c>
      <c r="D2954" s="4" t="str">
        <f>_xlfn.XLOOKUP(A2954,[1]!DadosGHD[CD_GEOCMU],[1]!DadosGHD[uf])</f>
        <v>PR</v>
      </c>
      <c r="E2954" s="5" t="str">
        <f>_xlfn.XLOOKUP(A2954,[1]!DadosGHD[CD_GEOCMU],[1]!DadosGHD[MUNICIPIO])</f>
        <v>TAMARANA</v>
      </c>
      <c r="F2954" s="6">
        <v>43.558765411377003</v>
      </c>
      <c r="G2954" s="6">
        <v>43.682662963867202</v>
      </c>
      <c r="H2954" s="6">
        <v>48.719985961914098</v>
      </c>
      <c r="I2954" s="6">
        <v>43.7405815124512</v>
      </c>
      <c r="J2954" s="6">
        <v>38.781333923339801</v>
      </c>
      <c r="K2954" s="6">
        <v>38.818984985351598</v>
      </c>
      <c r="L2954" s="6">
        <v>57.556571960449197</v>
      </c>
    </row>
    <row r="2955" spans="1:12" x14ac:dyDescent="0.25">
      <c r="A2955">
        <v>3555703</v>
      </c>
      <c r="B2955" t="str">
        <f t="shared" si="46"/>
        <v>UNIAO PAULISTA, SP, Brasil</v>
      </c>
      <c r="C2955" s="4" t="str">
        <f>_xlfn.XLOOKUP(A2955,[1]!DadosGHD[CD_GEOCMU],[1]!DadosGHD[Região])</f>
        <v>SD</v>
      </c>
      <c r="D2955" s="4" t="str">
        <f>_xlfn.XLOOKUP(A2955,[1]!DadosGHD[CD_GEOCMU],[1]!DadosGHD[uf])</f>
        <v>SP</v>
      </c>
      <c r="E2955" s="5" t="str">
        <f>_xlfn.XLOOKUP(A2955,[1]!DadosGHD[CD_GEOCMU],[1]!DadosGHD[MUNICIPIO])</f>
        <v>UNIAO PAULISTA</v>
      </c>
      <c r="F2955" s="6">
        <v>43.558780670166001</v>
      </c>
      <c r="G2955" s="6">
        <v>53.6728706359863</v>
      </c>
      <c r="H2955" s="6">
        <v>53.796413421630902</v>
      </c>
      <c r="I2955" s="6">
        <v>43.705966949462898</v>
      </c>
      <c r="J2955" s="6">
        <v>43.717128753662102</v>
      </c>
      <c r="K2955" s="6">
        <v>43.800865173339801</v>
      </c>
      <c r="L2955" s="6">
        <v>30.712680816650401</v>
      </c>
    </row>
    <row r="2956" spans="1:12" x14ac:dyDescent="0.25">
      <c r="A2956">
        <v>1101401</v>
      </c>
      <c r="B2956" t="str">
        <f t="shared" si="46"/>
        <v>MONTE NEGRO, RO, Brasil</v>
      </c>
      <c r="C2956" s="4" t="str">
        <f>_xlfn.XLOOKUP(A2956,[1]!DadosGHD[CD_GEOCMU],[1]!DadosGHD[Região])</f>
        <v>NO</v>
      </c>
      <c r="D2956" s="4" t="str">
        <f>_xlfn.XLOOKUP(A2956,[1]!DadosGHD[CD_GEOCMU],[1]!DadosGHD[uf])</f>
        <v>RO</v>
      </c>
      <c r="E2956" s="5" t="str">
        <f>_xlfn.XLOOKUP(A2956,[1]!DadosGHD[CD_GEOCMU],[1]!DadosGHD[MUNICIPIO])</f>
        <v>MONTE NEGRO</v>
      </c>
      <c r="F2956" s="6">
        <v>43.558815002441399</v>
      </c>
      <c r="G2956" s="6">
        <v>43.695381164550803</v>
      </c>
      <c r="H2956" s="6">
        <v>43.779571533203097</v>
      </c>
      <c r="I2956" s="6">
        <v>43.775302886962898</v>
      </c>
      <c r="J2956" s="6">
        <v>43.810848236083999</v>
      </c>
      <c r="K2956" s="6">
        <v>43.8547973632813</v>
      </c>
      <c r="L2956" s="6">
        <v>35.121238708496101</v>
      </c>
    </row>
    <row r="2957" spans="1:12" x14ac:dyDescent="0.25">
      <c r="A2957">
        <v>4312138</v>
      </c>
      <c r="B2957" t="str">
        <f t="shared" si="46"/>
        <v>MATO CASTELHANO, RS, Brasil</v>
      </c>
      <c r="C2957" s="4" t="str">
        <f>_xlfn.XLOOKUP(A2957,[1]!DadosGHD[CD_GEOCMU],[1]!DadosGHD[Região])</f>
        <v>SL</v>
      </c>
      <c r="D2957" s="4" t="str">
        <f>_xlfn.XLOOKUP(A2957,[1]!DadosGHD[CD_GEOCMU],[1]!DadosGHD[uf])</f>
        <v>RS</v>
      </c>
      <c r="E2957" s="5" t="str">
        <f>_xlfn.XLOOKUP(A2957,[1]!DadosGHD[CD_GEOCMU],[1]!DadosGHD[MUNICIPIO])</f>
        <v>MATO CASTELHANO</v>
      </c>
      <c r="F2957" s="6">
        <v>43.558826446533203</v>
      </c>
      <c r="G2957" s="6">
        <v>53.701625823974602</v>
      </c>
      <c r="H2957" s="6">
        <v>53.900543212890597</v>
      </c>
      <c r="I2957" s="6">
        <v>53.878376007080099</v>
      </c>
      <c r="J2957" s="6">
        <v>58.899951934814503</v>
      </c>
      <c r="K2957" s="6">
        <v>59.001506805419901</v>
      </c>
      <c r="L2957" s="6">
        <v>53.057289123535199</v>
      </c>
    </row>
    <row r="2958" spans="1:12" x14ac:dyDescent="0.25">
      <c r="A2958">
        <v>4313953</v>
      </c>
      <c r="B2958" t="str">
        <f t="shared" si="46"/>
        <v>PANTANO GRANDE, RS, Brasil</v>
      </c>
      <c r="C2958" s="4" t="str">
        <f>_xlfn.XLOOKUP(A2958,[1]!DadosGHD[CD_GEOCMU],[1]!DadosGHD[Região])</f>
        <v>SL</v>
      </c>
      <c r="D2958" s="4" t="str">
        <f>_xlfn.XLOOKUP(A2958,[1]!DadosGHD[CD_GEOCMU],[1]!DadosGHD[uf])</f>
        <v>RS</v>
      </c>
      <c r="E2958" s="5" t="str">
        <f>_xlfn.XLOOKUP(A2958,[1]!DadosGHD[CD_GEOCMU],[1]!DadosGHD[MUNICIPIO])</f>
        <v>PANTANO GRANDE</v>
      </c>
      <c r="F2958" s="6">
        <v>43.558925628662102</v>
      </c>
      <c r="G2958" s="6">
        <v>43.693279266357401</v>
      </c>
      <c r="H2958" s="6">
        <v>43.757553100585902</v>
      </c>
      <c r="I2958" s="6">
        <v>43.794418334960902</v>
      </c>
      <c r="J2958" s="6">
        <v>48.804592132568402</v>
      </c>
      <c r="K2958" s="6">
        <v>53.942050933837898</v>
      </c>
      <c r="L2958" s="6">
        <v>44.016197204589801</v>
      </c>
    </row>
    <row r="2959" spans="1:12" x14ac:dyDescent="0.25">
      <c r="A2959">
        <v>2412401</v>
      </c>
      <c r="B2959" t="str">
        <f t="shared" si="46"/>
        <v>SAO JOSE DO SERIDO, RN, Brasil</v>
      </c>
      <c r="C2959" s="4" t="str">
        <f>_xlfn.XLOOKUP(A2959,[1]!DadosGHD[CD_GEOCMU],[1]!DadosGHD[Região])</f>
        <v>NE</v>
      </c>
      <c r="D2959" s="4" t="str">
        <f>_xlfn.XLOOKUP(A2959,[1]!DadosGHD[CD_GEOCMU],[1]!DadosGHD[uf])</f>
        <v>RN</v>
      </c>
      <c r="E2959" s="5" t="str">
        <f>_xlfn.XLOOKUP(A2959,[1]!DadosGHD[CD_GEOCMU],[1]!DadosGHD[MUNICIPIO])</f>
        <v>SAO JOSE DO SERIDO</v>
      </c>
      <c r="F2959" s="6">
        <v>43.559085845947301</v>
      </c>
      <c r="G2959" s="6">
        <v>38.734531402587898</v>
      </c>
      <c r="H2959" s="6">
        <v>43.710426330566399</v>
      </c>
      <c r="I2959" s="6">
        <v>43.696300506591797</v>
      </c>
      <c r="J2959" s="6">
        <v>43.763965606689503</v>
      </c>
      <c r="K2959" s="6">
        <v>43.835704803466797</v>
      </c>
      <c r="L2959" s="6">
        <v>48.523200988769503</v>
      </c>
    </row>
    <row r="2960" spans="1:12" x14ac:dyDescent="0.25">
      <c r="A2960">
        <v>2921906</v>
      </c>
      <c r="B2960" t="str">
        <f t="shared" si="46"/>
        <v>MUCUGE, BA, Brasil</v>
      </c>
      <c r="C2960" s="4" t="str">
        <f>_xlfn.XLOOKUP(A2960,[1]!DadosGHD[CD_GEOCMU],[1]!DadosGHD[Região])</f>
        <v>NE</v>
      </c>
      <c r="D2960" s="4" t="str">
        <f>_xlfn.XLOOKUP(A2960,[1]!DadosGHD[CD_GEOCMU],[1]!DadosGHD[uf])</f>
        <v>BA</v>
      </c>
      <c r="E2960" s="5" t="str">
        <f>_xlfn.XLOOKUP(A2960,[1]!DadosGHD[CD_GEOCMU],[1]!DadosGHD[MUNICIPIO])</f>
        <v>MUCUGE</v>
      </c>
      <c r="F2960" s="6">
        <v>43.5594673156738</v>
      </c>
      <c r="G2960" s="6">
        <v>38.7677001953125</v>
      </c>
      <c r="H2960" s="6">
        <v>43.720726013183601</v>
      </c>
      <c r="I2960" s="6">
        <v>43.730201721191399</v>
      </c>
      <c r="J2960" s="6">
        <v>43.706813812255902</v>
      </c>
      <c r="K2960" s="6">
        <v>48.834999084472699</v>
      </c>
      <c r="L2960" s="6">
        <v>35.124423980712898</v>
      </c>
    </row>
    <row r="2961" spans="1:12" x14ac:dyDescent="0.25">
      <c r="A2961">
        <v>2907400</v>
      </c>
      <c r="B2961" t="str">
        <f t="shared" si="46"/>
        <v>CATOLANDIA, BA, Brasil</v>
      </c>
      <c r="C2961" s="4" t="str">
        <f>_xlfn.XLOOKUP(A2961,[1]!DadosGHD[CD_GEOCMU],[1]!DadosGHD[Região])</f>
        <v>NE</v>
      </c>
      <c r="D2961" s="4" t="str">
        <f>_xlfn.XLOOKUP(A2961,[1]!DadosGHD[CD_GEOCMU],[1]!DadosGHD[uf])</f>
        <v>BA</v>
      </c>
      <c r="E2961" s="5" t="str">
        <f>_xlfn.XLOOKUP(A2961,[1]!DadosGHD[CD_GEOCMU],[1]!DadosGHD[MUNICIPIO])</f>
        <v>CATOLANDIA</v>
      </c>
      <c r="F2961" s="6">
        <v>43.559513092041001</v>
      </c>
      <c r="G2961" s="6">
        <v>38.743949890136697</v>
      </c>
      <c r="H2961" s="6">
        <v>38.797233581542997</v>
      </c>
      <c r="I2961" s="6">
        <v>38.764152526855497</v>
      </c>
      <c r="J2961" s="6">
        <v>38.780929565429702</v>
      </c>
      <c r="K2961" s="6">
        <v>38.815361022949197</v>
      </c>
      <c r="L2961" s="6">
        <v>30.69993019104</v>
      </c>
    </row>
    <row r="2962" spans="1:12" x14ac:dyDescent="0.25">
      <c r="A2962">
        <v>5006259</v>
      </c>
      <c r="B2962" t="str">
        <f t="shared" si="46"/>
        <v>NOVO HORIZONTE DO SUL, MS, Brasil</v>
      </c>
      <c r="C2962" s="4" t="str">
        <f>_xlfn.XLOOKUP(A2962,[1]!DadosGHD[CD_GEOCMU],[1]!DadosGHD[Região])</f>
        <v>CO</v>
      </c>
      <c r="D2962" s="4" t="str">
        <f>_xlfn.XLOOKUP(A2962,[1]!DadosGHD[CD_GEOCMU],[1]!DadosGHD[uf])</f>
        <v>MS</v>
      </c>
      <c r="E2962" s="5" t="str">
        <f>_xlfn.XLOOKUP(A2962,[1]!DadosGHD[CD_GEOCMU],[1]!DadosGHD[MUNICIPIO])</f>
        <v>NOVO HORIZONTE DO SUL</v>
      </c>
      <c r="F2962" s="6">
        <v>43.559593200683601</v>
      </c>
      <c r="G2962" s="6">
        <v>48.643268585205099</v>
      </c>
      <c r="H2962" s="6">
        <v>43.837440490722699</v>
      </c>
      <c r="I2962" s="6">
        <v>48.692760467529297</v>
      </c>
      <c r="J2962" s="6">
        <v>48.738388061523402</v>
      </c>
      <c r="K2962" s="6">
        <v>53.834884643554702</v>
      </c>
      <c r="L2962" s="6">
        <v>39.5589408874512</v>
      </c>
    </row>
    <row r="2963" spans="1:12" x14ac:dyDescent="0.25">
      <c r="A2963">
        <v>3165503</v>
      </c>
      <c r="B2963" t="str">
        <f t="shared" si="46"/>
        <v>SARDOA, MG, Brasil</v>
      </c>
      <c r="C2963" s="4" t="str">
        <f>_xlfn.XLOOKUP(A2963,[1]!DadosGHD[CD_GEOCMU],[1]!DadosGHD[Região])</f>
        <v>SD</v>
      </c>
      <c r="D2963" s="4" t="str">
        <f>_xlfn.XLOOKUP(A2963,[1]!DadosGHD[CD_GEOCMU],[1]!DadosGHD[uf])</f>
        <v>MG</v>
      </c>
      <c r="E2963" s="5" t="str">
        <f>_xlfn.XLOOKUP(A2963,[1]!DadosGHD[CD_GEOCMU],[1]!DadosGHD[MUNICIPIO])</f>
        <v>SARDOA</v>
      </c>
      <c r="F2963" s="6">
        <v>43.560237884521499</v>
      </c>
      <c r="G2963" s="6">
        <v>43.714141845703097</v>
      </c>
      <c r="H2963" s="6">
        <v>43.790756225585902</v>
      </c>
      <c r="I2963" s="6">
        <v>43.7484741210938</v>
      </c>
      <c r="J2963" s="6">
        <v>43.801025390625</v>
      </c>
      <c r="K2963" s="6">
        <v>43.839626312255902</v>
      </c>
      <c r="L2963" s="6">
        <v>53.065902709960902</v>
      </c>
    </row>
    <row r="2964" spans="1:12" x14ac:dyDescent="0.25">
      <c r="A2964">
        <v>2307650</v>
      </c>
      <c r="B2964" t="str">
        <f t="shared" si="46"/>
        <v>MARACANAU, CE, Brasil</v>
      </c>
      <c r="C2964" s="4" t="str">
        <f>_xlfn.XLOOKUP(A2964,[1]!DadosGHD[CD_GEOCMU],[1]!DadosGHD[Região])</f>
        <v>NE</v>
      </c>
      <c r="D2964" s="4" t="str">
        <f>_xlfn.XLOOKUP(A2964,[1]!DadosGHD[CD_GEOCMU],[1]!DadosGHD[uf])</f>
        <v>CE</v>
      </c>
      <c r="E2964" s="5" t="str">
        <f>_xlfn.XLOOKUP(A2964,[1]!DadosGHD[CD_GEOCMU],[1]!DadosGHD[MUNICIPIO])</f>
        <v>MARACANAU</v>
      </c>
      <c r="F2964" s="6">
        <v>43.560955047607401</v>
      </c>
      <c r="G2964" s="6">
        <v>43.643581390380902</v>
      </c>
      <c r="H2964" s="6">
        <v>38.840423583984403</v>
      </c>
      <c r="I2964" s="6">
        <v>38.823013305664098</v>
      </c>
      <c r="J2964" s="6">
        <v>38.839725494384801</v>
      </c>
      <c r="K2964" s="6">
        <v>38.888317108154297</v>
      </c>
      <c r="L2964" s="6">
        <v>44.014850616455099</v>
      </c>
    </row>
    <row r="2965" spans="1:12" x14ac:dyDescent="0.25">
      <c r="A2965">
        <v>3163102</v>
      </c>
      <c r="B2965" t="str">
        <f t="shared" si="46"/>
        <v>SAO JOSE DA VARGINHA, MG, Brasil</v>
      </c>
      <c r="C2965" s="4" t="str">
        <f>_xlfn.XLOOKUP(A2965,[1]!DadosGHD[CD_GEOCMU],[1]!DadosGHD[Região])</f>
        <v>SD</v>
      </c>
      <c r="D2965" s="4" t="str">
        <f>_xlfn.XLOOKUP(A2965,[1]!DadosGHD[CD_GEOCMU],[1]!DadosGHD[uf])</f>
        <v>MG</v>
      </c>
      <c r="E2965" s="5" t="str">
        <f>_xlfn.XLOOKUP(A2965,[1]!DadosGHD[CD_GEOCMU],[1]!DadosGHD[MUNICIPIO])</f>
        <v>SAO JOSE DA VARGINHA</v>
      </c>
      <c r="F2965" s="6">
        <v>43.560970306396499</v>
      </c>
      <c r="G2965" s="6">
        <v>58.8154487609863</v>
      </c>
      <c r="H2965" s="6">
        <v>48.8451957702637</v>
      </c>
      <c r="I2965" s="6">
        <v>43.762378692627003</v>
      </c>
      <c r="J2965" s="6">
        <v>38.800239562988303</v>
      </c>
      <c r="K2965" s="6">
        <v>38.882469177246101</v>
      </c>
      <c r="L2965" s="6">
        <v>44.048789978027301</v>
      </c>
    </row>
    <row r="2966" spans="1:12" x14ac:dyDescent="0.25">
      <c r="A2966">
        <v>3204005</v>
      </c>
      <c r="B2966" t="str">
        <f t="shared" si="46"/>
        <v>PANCAS, ES, Brasil</v>
      </c>
      <c r="C2966" s="4" t="str">
        <f>_xlfn.XLOOKUP(A2966,[1]!DadosGHD[CD_GEOCMU],[1]!DadosGHD[Região])</f>
        <v>SD</v>
      </c>
      <c r="D2966" s="4" t="str">
        <f>_xlfn.XLOOKUP(A2966,[1]!DadosGHD[CD_GEOCMU],[1]!DadosGHD[uf])</f>
        <v>ES</v>
      </c>
      <c r="E2966" s="5" t="str">
        <f>_xlfn.XLOOKUP(A2966,[1]!DadosGHD[CD_GEOCMU],[1]!DadosGHD[MUNICIPIO])</f>
        <v>PANCAS</v>
      </c>
      <c r="F2966" s="6">
        <v>43.562309265136697</v>
      </c>
      <c r="G2966" s="6">
        <v>43.659069061279297</v>
      </c>
      <c r="H2966" s="6">
        <v>43.723709106445298</v>
      </c>
      <c r="I2966" s="6">
        <v>43.6893501281738</v>
      </c>
      <c r="J2966" s="6">
        <v>38.835189819335902</v>
      </c>
      <c r="K2966" s="6">
        <v>38.833988189697301</v>
      </c>
      <c r="L2966" s="6">
        <v>35.145641326904297</v>
      </c>
    </row>
    <row r="2967" spans="1:12" x14ac:dyDescent="0.25">
      <c r="A2967">
        <v>3122470</v>
      </c>
      <c r="B2967" t="str">
        <f t="shared" si="46"/>
        <v>DOM BOSCO, MG, Brasil</v>
      </c>
      <c r="C2967" s="4" t="str">
        <f>_xlfn.XLOOKUP(A2967,[1]!DadosGHD[CD_GEOCMU],[1]!DadosGHD[Região])</f>
        <v>SD</v>
      </c>
      <c r="D2967" s="4" t="str">
        <f>_xlfn.XLOOKUP(A2967,[1]!DadosGHD[CD_GEOCMU],[1]!DadosGHD[uf])</f>
        <v>MG</v>
      </c>
      <c r="E2967" s="5" t="str">
        <f>_xlfn.XLOOKUP(A2967,[1]!DadosGHD[CD_GEOCMU],[1]!DadosGHD[MUNICIPIO])</f>
        <v>DOM BOSCO</v>
      </c>
      <c r="F2967" s="6">
        <v>43.562435150146499</v>
      </c>
      <c r="G2967" s="6">
        <v>38.743492126464801</v>
      </c>
      <c r="H2967" s="6">
        <v>48.781368255615199</v>
      </c>
      <c r="I2967" s="6">
        <v>48.743076324462898</v>
      </c>
      <c r="J2967" s="6">
        <v>48.765247344970703</v>
      </c>
      <c r="K2967" s="6">
        <v>48.826007843017599</v>
      </c>
      <c r="L2967" s="6">
        <v>35.138782501220703</v>
      </c>
    </row>
    <row r="2968" spans="1:12" x14ac:dyDescent="0.25">
      <c r="A2968">
        <v>2411205</v>
      </c>
      <c r="B2968" t="str">
        <f t="shared" si="46"/>
        <v>SANTA CRUZ, RN, Brasil</v>
      </c>
      <c r="C2968" s="4" t="str">
        <f>_xlfn.XLOOKUP(A2968,[1]!DadosGHD[CD_GEOCMU],[1]!DadosGHD[Região])</f>
        <v>NE</v>
      </c>
      <c r="D2968" s="4" t="str">
        <f>_xlfn.XLOOKUP(A2968,[1]!DadosGHD[CD_GEOCMU],[1]!DadosGHD[uf])</f>
        <v>RN</v>
      </c>
      <c r="E2968" s="5" t="str">
        <f>_xlfn.XLOOKUP(A2968,[1]!DadosGHD[CD_GEOCMU],[1]!DadosGHD[MUNICIPIO])</f>
        <v>SANTA CRUZ</v>
      </c>
      <c r="F2968" s="6">
        <v>43.562797546386697</v>
      </c>
      <c r="G2968" s="6">
        <v>43.6439208984375</v>
      </c>
      <c r="H2968" s="6">
        <v>43.7678031921387</v>
      </c>
      <c r="I2968" s="6">
        <v>38.771968841552699</v>
      </c>
      <c r="J2968" s="6">
        <v>38.753467559814503</v>
      </c>
      <c r="K2968" s="6">
        <v>38.802497863769503</v>
      </c>
      <c r="L2968" s="6">
        <v>35.127532958984403</v>
      </c>
    </row>
    <row r="2969" spans="1:12" x14ac:dyDescent="0.25">
      <c r="A2969">
        <v>4109658</v>
      </c>
      <c r="B2969" t="str">
        <f t="shared" si="46"/>
        <v>HONORIO SERPA, PR, Brasil</v>
      </c>
      <c r="C2969" s="4" t="str">
        <f>_xlfn.XLOOKUP(A2969,[1]!DadosGHD[CD_GEOCMU],[1]!DadosGHD[Região])</f>
        <v>SL</v>
      </c>
      <c r="D2969" s="4" t="str">
        <f>_xlfn.XLOOKUP(A2969,[1]!DadosGHD[CD_GEOCMU],[1]!DadosGHD[uf])</f>
        <v>PR</v>
      </c>
      <c r="E2969" s="5" t="str">
        <f>_xlfn.XLOOKUP(A2969,[1]!DadosGHD[CD_GEOCMU],[1]!DadosGHD[MUNICIPIO])</f>
        <v>HONORIO SERPA</v>
      </c>
      <c r="F2969" s="6">
        <v>43.5628471374512</v>
      </c>
      <c r="G2969" s="6">
        <v>38.717262268066399</v>
      </c>
      <c r="H2969" s="6">
        <v>38.819240570068402</v>
      </c>
      <c r="I2969" s="6">
        <v>43.7266235351563</v>
      </c>
      <c r="J2969" s="6">
        <v>43.735733032226598</v>
      </c>
      <c r="K2969" s="6">
        <v>43.792236328125</v>
      </c>
      <c r="L2969" s="6">
        <v>35.123222351074197</v>
      </c>
    </row>
    <row r="2970" spans="1:12" x14ac:dyDescent="0.25">
      <c r="A2970">
        <v>3548054</v>
      </c>
      <c r="B2970" t="str">
        <f t="shared" si="46"/>
        <v>SANTO ANTONIO DO ARACANGUA, SP, Brasil</v>
      </c>
      <c r="C2970" s="4" t="str">
        <f>_xlfn.XLOOKUP(A2970,[1]!DadosGHD[CD_GEOCMU],[1]!DadosGHD[Região])</f>
        <v>SD</v>
      </c>
      <c r="D2970" s="4" t="str">
        <f>_xlfn.XLOOKUP(A2970,[1]!DadosGHD[CD_GEOCMU],[1]!DadosGHD[uf])</f>
        <v>SP</v>
      </c>
      <c r="E2970" s="5" t="str">
        <f>_xlfn.XLOOKUP(A2970,[1]!DadosGHD[CD_GEOCMU],[1]!DadosGHD[MUNICIPIO])</f>
        <v>SANTO ANTONIO DO ARACANGUA</v>
      </c>
      <c r="F2970" s="6">
        <v>43.563186645507798</v>
      </c>
      <c r="G2970" s="6">
        <v>38.764213562011697</v>
      </c>
      <c r="H2970" s="6">
        <v>38.799770355224602</v>
      </c>
      <c r="I2970" s="6">
        <v>38.766544342041001</v>
      </c>
      <c r="J2970" s="6">
        <v>38.772201538085902</v>
      </c>
      <c r="K2970" s="6">
        <v>38.799507141113303</v>
      </c>
      <c r="L2970" s="6">
        <v>30.694580078125</v>
      </c>
    </row>
    <row r="2971" spans="1:12" x14ac:dyDescent="0.25">
      <c r="A2971">
        <v>3516101</v>
      </c>
      <c r="B2971" t="str">
        <f t="shared" si="46"/>
        <v>FLORINIA, SP, Brasil</v>
      </c>
      <c r="C2971" s="4" t="str">
        <f>_xlfn.XLOOKUP(A2971,[1]!DadosGHD[CD_GEOCMU],[1]!DadosGHD[Região])</f>
        <v>SD</v>
      </c>
      <c r="D2971" s="4" t="str">
        <f>_xlfn.XLOOKUP(A2971,[1]!DadosGHD[CD_GEOCMU],[1]!DadosGHD[uf])</f>
        <v>SP</v>
      </c>
      <c r="E2971" s="5" t="str">
        <f>_xlfn.XLOOKUP(A2971,[1]!DadosGHD[CD_GEOCMU],[1]!DadosGHD[MUNICIPIO])</f>
        <v>FLORINIA</v>
      </c>
      <c r="F2971" s="6">
        <v>43.5637016296387</v>
      </c>
      <c r="G2971" s="6">
        <v>43.750377655029297</v>
      </c>
      <c r="H2971" s="6">
        <v>43.751235961914098</v>
      </c>
      <c r="I2971" s="6">
        <v>43.7750854492188</v>
      </c>
      <c r="J2971" s="6">
        <v>43.819660186767599</v>
      </c>
      <c r="K2971" s="6">
        <v>43.843452453613303</v>
      </c>
      <c r="L2971" s="6">
        <v>35.158107757568402</v>
      </c>
    </row>
    <row r="2972" spans="1:12" x14ac:dyDescent="0.25">
      <c r="A2972">
        <v>2401107</v>
      </c>
      <c r="B2972" t="str">
        <f t="shared" si="46"/>
        <v>AREIA BRANCA, RN, Brasil</v>
      </c>
      <c r="C2972" s="4" t="str">
        <f>_xlfn.XLOOKUP(A2972,[1]!DadosGHD[CD_GEOCMU],[1]!DadosGHD[Região])</f>
        <v>NE</v>
      </c>
      <c r="D2972" s="4" t="str">
        <f>_xlfn.XLOOKUP(A2972,[1]!DadosGHD[CD_GEOCMU],[1]!DadosGHD[uf])</f>
        <v>RN</v>
      </c>
      <c r="E2972" s="5" t="str">
        <f>_xlfn.XLOOKUP(A2972,[1]!DadosGHD[CD_GEOCMU],[1]!DadosGHD[MUNICIPIO])</f>
        <v>AREIA BRANCA</v>
      </c>
      <c r="F2972" s="6">
        <v>43.564102172851598</v>
      </c>
      <c r="G2972" s="6">
        <v>38.766914367675803</v>
      </c>
      <c r="H2972" s="6">
        <v>38.807327270507798</v>
      </c>
      <c r="I2972" s="6">
        <v>43.713623046875</v>
      </c>
      <c r="J2972" s="6">
        <v>38.845230102539098</v>
      </c>
      <c r="K2972" s="6">
        <v>38.820529937744098</v>
      </c>
      <c r="L2972" s="6">
        <v>35.139137268066399</v>
      </c>
    </row>
    <row r="2973" spans="1:12" x14ac:dyDescent="0.25">
      <c r="A2973">
        <v>3537206</v>
      </c>
      <c r="B2973" t="str">
        <f t="shared" si="46"/>
        <v>PEDRO DE TOLEDO, SP, Brasil</v>
      </c>
      <c r="C2973" s="4" t="str">
        <f>_xlfn.XLOOKUP(A2973,[1]!DadosGHD[CD_GEOCMU],[1]!DadosGHD[Região])</f>
        <v>SD</v>
      </c>
      <c r="D2973" s="4" t="str">
        <f>_xlfn.XLOOKUP(A2973,[1]!DadosGHD[CD_GEOCMU],[1]!DadosGHD[uf])</f>
        <v>SP</v>
      </c>
      <c r="E2973" s="5" t="str">
        <f>_xlfn.XLOOKUP(A2973,[1]!DadosGHD[CD_GEOCMU],[1]!DadosGHD[MUNICIPIO])</f>
        <v>PEDRO DE TOLEDO</v>
      </c>
      <c r="F2973" s="6">
        <v>43.564109802246101</v>
      </c>
      <c r="G2973" s="6">
        <v>38.730167388916001</v>
      </c>
      <c r="H2973" s="6">
        <v>38.774402618408203</v>
      </c>
      <c r="I2973" s="6">
        <v>38.7533569335938</v>
      </c>
      <c r="J2973" s="6">
        <v>38.7709350585938</v>
      </c>
      <c r="K2973" s="6">
        <v>38.781517028808601</v>
      </c>
      <c r="L2973" s="6">
        <v>35.1411743164063</v>
      </c>
    </row>
    <row r="2974" spans="1:12" x14ac:dyDescent="0.25">
      <c r="A2974">
        <v>2404507</v>
      </c>
      <c r="B2974" t="str">
        <f t="shared" si="46"/>
        <v>GUAMARE, RN, Brasil</v>
      </c>
      <c r="C2974" s="4" t="str">
        <f>_xlfn.XLOOKUP(A2974,[1]!DadosGHD[CD_GEOCMU],[1]!DadosGHD[Região])</f>
        <v>NE</v>
      </c>
      <c r="D2974" s="4" t="str">
        <f>_xlfn.XLOOKUP(A2974,[1]!DadosGHD[CD_GEOCMU],[1]!DadosGHD[uf])</f>
        <v>RN</v>
      </c>
      <c r="E2974" s="5" t="str">
        <f>_xlfn.XLOOKUP(A2974,[1]!DadosGHD[CD_GEOCMU],[1]!DadosGHD[MUNICIPIO])</f>
        <v>GUAMARE</v>
      </c>
      <c r="F2974" s="6">
        <v>43.564170837402301</v>
      </c>
      <c r="G2974" s="6">
        <v>43.673412322998097</v>
      </c>
      <c r="H2974" s="6">
        <v>38.847911834716797</v>
      </c>
      <c r="I2974" s="6">
        <v>43.678455352783203</v>
      </c>
      <c r="J2974" s="6">
        <v>38.840648651123097</v>
      </c>
      <c r="K2974" s="6">
        <v>43.869644165039098</v>
      </c>
      <c r="L2974" s="6">
        <v>48.550685882568402</v>
      </c>
    </row>
    <row r="2975" spans="1:12" x14ac:dyDescent="0.25">
      <c r="A2975">
        <v>3140530</v>
      </c>
      <c r="B2975" t="str">
        <f t="shared" si="46"/>
        <v>MARTINS SOARES, MG, Brasil</v>
      </c>
      <c r="C2975" s="4" t="str">
        <f>_xlfn.XLOOKUP(A2975,[1]!DadosGHD[CD_GEOCMU],[1]!DadosGHD[Região])</f>
        <v>SD</v>
      </c>
      <c r="D2975" s="4" t="str">
        <f>_xlfn.XLOOKUP(A2975,[1]!DadosGHD[CD_GEOCMU],[1]!DadosGHD[uf])</f>
        <v>MG</v>
      </c>
      <c r="E2975" s="5" t="str">
        <f>_xlfn.XLOOKUP(A2975,[1]!DadosGHD[CD_GEOCMU],[1]!DadosGHD[MUNICIPIO])</f>
        <v>MARTINS SOARES</v>
      </c>
      <c r="F2975" s="6">
        <v>43.564289093017599</v>
      </c>
      <c r="G2975" s="6">
        <v>38.780891418457003</v>
      </c>
      <c r="H2975" s="6">
        <v>38.817070007324197</v>
      </c>
      <c r="I2975" s="6">
        <v>38.785392761230497</v>
      </c>
      <c r="J2975" s="6">
        <v>43.702457427978501</v>
      </c>
      <c r="K2975" s="6">
        <v>43.817298889160199</v>
      </c>
      <c r="L2975" s="6">
        <v>39.608982086181598</v>
      </c>
    </row>
    <row r="2976" spans="1:12" x14ac:dyDescent="0.25">
      <c r="A2976">
        <v>3127008</v>
      </c>
      <c r="B2976" t="str">
        <f t="shared" si="46"/>
        <v>FRONTEIRA, MG, Brasil</v>
      </c>
      <c r="C2976" s="4" t="str">
        <f>_xlfn.XLOOKUP(A2976,[1]!DadosGHD[CD_GEOCMU],[1]!DadosGHD[Região])</f>
        <v>SD</v>
      </c>
      <c r="D2976" s="4" t="str">
        <f>_xlfn.XLOOKUP(A2976,[1]!DadosGHD[CD_GEOCMU],[1]!DadosGHD[uf])</f>
        <v>MG</v>
      </c>
      <c r="E2976" s="5" t="str">
        <f>_xlfn.XLOOKUP(A2976,[1]!DadosGHD[CD_GEOCMU],[1]!DadosGHD[MUNICIPIO])</f>
        <v>FRONTEIRA</v>
      </c>
      <c r="F2976" s="6">
        <v>43.564300537109403</v>
      </c>
      <c r="G2976" s="6">
        <v>43.719970703125</v>
      </c>
      <c r="H2976" s="6">
        <v>38.839599609375</v>
      </c>
      <c r="I2976" s="6">
        <v>38.783676147460902</v>
      </c>
      <c r="J2976" s="6">
        <v>38.819000244140597</v>
      </c>
      <c r="K2976" s="6">
        <v>38.846393585205099</v>
      </c>
      <c r="L2976" s="6">
        <v>44.070461273193402</v>
      </c>
    </row>
    <row r="2977" spans="1:12" x14ac:dyDescent="0.25">
      <c r="A2977">
        <v>4120606</v>
      </c>
      <c r="B2977" t="str">
        <f t="shared" si="46"/>
        <v>PRUDENTOPOLIS, PR, Brasil</v>
      </c>
      <c r="C2977" s="4" t="str">
        <f>_xlfn.XLOOKUP(A2977,[1]!DadosGHD[CD_GEOCMU],[1]!DadosGHD[Região])</f>
        <v>SL</v>
      </c>
      <c r="D2977" s="4" t="str">
        <f>_xlfn.XLOOKUP(A2977,[1]!DadosGHD[CD_GEOCMU],[1]!DadosGHD[uf])</f>
        <v>PR</v>
      </c>
      <c r="E2977" s="5" t="str">
        <f>_xlfn.XLOOKUP(A2977,[1]!DadosGHD[CD_GEOCMU],[1]!DadosGHD[MUNICIPIO])</f>
        <v>PRUDENTOPOLIS</v>
      </c>
      <c r="F2977" s="6">
        <v>43.564342498779297</v>
      </c>
      <c r="G2977" s="6">
        <v>43.678428649902301</v>
      </c>
      <c r="H2977" s="6">
        <v>43.757080078125</v>
      </c>
      <c r="I2977" s="6">
        <v>43.755863189697301</v>
      </c>
      <c r="J2977" s="6">
        <v>43.789459228515597</v>
      </c>
      <c r="K2977" s="6">
        <v>43.805580139160199</v>
      </c>
      <c r="L2977" s="6">
        <v>39.581901550292997</v>
      </c>
    </row>
    <row r="2978" spans="1:12" x14ac:dyDescent="0.25">
      <c r="A2978">
        <v>3144508</v>
      </c>
      <c r="B2978" t="str">
        <f t="shared" si="46"/>
        <v>NAZARENO, MG, Brasil</v>
      </c>
      <c r="C2978" s="4" t="str">
        <f>_xlfn.XLOOKUP(A2978,[1]!DadosGHD[CD_GEOCMU],[1]!DadosGHD[Região])</f>
        <v>SD</v>
      </c>
      <c r="D2978" s="4" t="str">
        <f>_xlfn.XLOOKUP(A2978,[1]!DadosGHD[CD_GEOCMU],[1]!DadosGHD[uf])</f>
        <v>MG</v>
      </c>
      <c r="E2978" s="5" t="str">
        <f>_xlfn.XLOOKUP(A2978,[1]!DadosGHD[CD_GEOCMU],[1]!DadosGHD[MUNICIPIO])</f>
        <v>NAZARENO</v>
      </c>
      <c r="F2978" s="6">
        <v>43.564468383789098</v>
      </c>
      <c r="G2978" s="6">
        <v>43.664077758789098</v>
      </c>
      <c r="H2978" s="6">
        <v>43.7402954101563</v>
      </c>
      <c r="I2978" s="6">
        <v>43.738365173339801</v>
      </c>
      <c r="J2978" s="6">
        <v>48.702434539794901</v>
      </c>
      <c r="K2978" s="6">
        <v>48.796112060546903</v>
      </c>
      <c r="L2978" s="6">
        <v>53.005397796630902</v>
      </c>
    </row>
    <row r="2979" spans="1:12" x14ac:dyDescent="0.25">
      <c r="A2979">
        <v>4300703</v>
      </c>
      <c r="B2979" t="str">
        <f t="shared" si="46"/>
        <v>ANTA GORDA, RS, Brasil</v>
      </c>
      <c r="C2979" s="4" t="str">
        <f>_xlfn.XLOOKUP(A2979,[1]!DadosGHD[CD_GEOCMU],[1]!DadosGHD[Região])</f>
        <v>SL</v>
      </c>
      <c r="D2979" s="4" t="str">
        <f>_xlfn.XLOOKUP(A2979,[1]!DadosGHD[CD_GEOCMU],[1]!DadosGHD[uf])</f>
        <v>RS</v>
      </c>
      <c r="E2979" s="5" t="str">
        <f>_xlfn.XLOOKUP(A2979,[1]!DadosGHD[CD_GEOCMU],[1]!DadosGHD[MUNICIPIO])</f>
        <v>ANTA GORDA</v>
      </c>
      <c r="F2979" s="6">
        <v>43.564495086669901</v>
      </c>
      <c r="G2979" s="6">
        <v>43.736106872558601</v>
      </c>
      <c r="H2979" s="6">
        <v>43.795143127441399</v>
      </c>
      <c r="I2979" s="6">
        <v>43.7679443359375</v>
      </c>
      <c r="J2979" s="6">
        <v>48.752487182617202</v>
      </c>
      <c r="K2979" s="6">
        <v>48.807949066162102</v>
      </c>
      <c r="L2979" s="6">
        <v>48.496425628662102</v>
      </c>
    </row>
    <row r="2980" spans="1:12" x14ac:dyDescent="0.25">
      <c r="A2980">
        <v>5104104</v>
      </c>
      <c r="B2980" t="str">
        <f t="shared" si="46"/>
        <v>GUARANTA DO NORTE, MT, Brasil</v>
      </c>
      <c r="C2980" s="4" t="str">
        <f>_xlfn.XLOOKUP(A2980,[1]!DadosGHD[CD_GEOCMU],[1]!DadosGHD[Região])</f>
        <v>CO</v>
      </c>
      <c r="D2980" s="4" t="str">
        <f>_xlfn.XLOOKUP(A2980,[1]!DadosGHD[CD_GEOCMU],[1]!DadosGHD[uf])</f>
        <v>MT</v>
      </c>
      <c r="E2980" s="5" t="str">
        <f>_xlfn.XLOOKUP(A2980,[1]!DadosGHD[CD_GEOCMU],[1]!DadosGHD[MUNICIPIO])</f>
        <v>GUARANTA DO NORTE</v>
      </c>
      <c r="F2980" s="6">
        <v>43.5645751953125</v>
      </c>
      <c r="G2980" s="6">
        <v>43.6476440429688</v>
      </c>
      <c r="H2980" s="6">
        <v>38.850376129150398</v>
      </c>
      <c r="I2980" s="6">
        <v>43.724498748779297</v>
      </c>
      <c r="J2980" s="6">
        <v>43.760501861572301</v>
      </c>
      <c r="K2980" s="6">
        <v>43.881809234619098</v>
      </c>
      <c r="L2980" s="6">
        <v>44.0782279968262</v>
      </c>
    </row>
    <row r="2981" spans="1:12" x14ac:dyDescent="0.25">
      <c r="A2981">
        <v>5221809</v>
      </c>
      <c r="B2981" t="str">
        <f t="shared" si="46"/>
        <v>URUTAI, GO, Brasil</v>
      </c>
      <c r="C2981" s="4" t="str">
        <f>_xlfn.XLOOKUP(A2981,[1]!DadosGHD[CD_GEOCMU],[1]!DadosGHD[Região])</f>
        <v>CO</v>
      </c>
      <c r="D2981" s="4" t="str">
        <f>_xlfn.XLOOKUP(A2981,[1]!DadosGHD[CD_GEOCMU],[1]!DadosGHD[uf])</f>
        <v>GO</v>
      </c>
      <c r="E2981" s="5" t="str">
        <f>_xlfn.XLOOKUP(A2981,[1]!DadosGHD[CD_GEOCMU],[1]!DadosGHD[MUNICIPIO])</f>
        <v>URUTAI</v>
      </c>
      <c r="F2981" s="6">
        <v>43.564762115478501</v>
      </c>
      <c r="G2981" s="6">
        <v>33.798385620117202</v>
      </c>
      <c r="H2981" s="6">
        <v>33.853630065917997</v>
      </c>
      <c r="I2981" s="6">
        <v>43.710376739502003</v>
      </c>
      <c r="J2981" s="6">
        <v>43.706924438476598</v>
      </c>
      <c r="K2981" s="6">
        <v>38.873908996582003</v>
      </c>
      <c r="L2981" s="6">
        <v>44.018959045410199</v>
      </c>
    </row>
    <row r="2982" spans="1:12" x14ac:dyDescent="0.25">
      <c r="A2982">
        <v>3203056</v>
      </c>
      <c r="B2982" t="str">
        <f t="shared" si="46"/>
        <v>JAGUARE, ES, Brasil</v>
      </c>
      <c r="C2982" s="4" t="str">
        <f>_xlfn.XLOOKUP(A2982,[1]!DadosGHD[CD_GEOCMU],[1]!DadosGHD[Região])</f>
        <v>SD</v>
      </c>
      <c r="D2982" s="4" t="str">
        <f>_xlfn.XLOOKUP(A2982,[1]!DadosGHD[CD_GEOCMU],[1]!DadosGHD[uf])</f>
        <v>ES</v>
      </c>
      <c r="E2982" s="5" t="str">
        <f>_xlfn.XLOOKUP(A2982,[1]!DadosGHD[CD_GEOCMU],[1]!DadosGHD[MUNICIPIO])</f>
        <v>JAGUARE</v>
      </c>
      <c r="F2982" s="6">
        <v>43.564964294433601</v>
      </c>
      <c r="G2982" s="6">
        <v>43.651618957519503</v>
      </c>
      <c r="H2982" s="6">
        <v>38.846336364746101</v>
      </c>
      <c r="I2982" s="6">
        <v>38.797622680664098</v>
      </c>
      <c r="J2982" s="6">
        <v>38.804958343505902</v>
      </c>
      <c r="K2982" s="6">
        <v>38.886024475097699</v>
      </c>
      <c r="L2982" s="6">
        <v>39.567893981933601</v>
      </c>
    </row>
    <row r="2983" spans="1:12" x14ac:dyDescent="0.25">
      <c r="A2983">
        <v>1200450</v>
      </c>
      <c r="B2983" t="str">
        <f t="shared" si="46"/>
        <v>SENADOR GUIOMARD, AC, Brasil</v>
      </c>
      <c r="C2983" s="4" t="str">
        <f>_xlfn.XLOOKUP(A2983,[1]!DadosGHD[CD_GEOCMU],[1]!DadosGHD[Região])</f>
        <v>NO</v>
      </c>
      <c r="D2983" s="4" t="str">
        <f>_xlfn.XLOOKUP(A2983,[1]!DadosGHD[CD_GEOCMU],[1]!DadosGHD[uf])</f>
        <v>AC</v>
      </c>
      <c r="E2983" s="5" t="str">
        <f>_xlfn.XLOOKUP(A2983,[1]!DadosGHD[CD_GEOCMU],[1]!DadosGHD[MUNICIPIO])</f>
        <v>SENADOR GUIOMARD</v>
      </c>
      <c r="F2983" s="6">
        <v>43.565059661865199</v>
      </c>
      <c r="G2983" s="6">
        <v>38.786369323730497</v>
      </c>
      <c r="H2983" s="6">
        <v>38.830448150634801</v>
      </c>
      <c r="I2983" s="6">
        <v>38.810794830322301</v>
      </c>
      <c r="J2983" s="6">
        <v>38.818523406982401</v>
      </c>
      <c r="K2983" s="6">
        <v>38.8712158203125</v>
      </c>
      <c r="L2983" s="6">
        <v>39.563182830810597</v>
      </c>
    </row>
    <row r="2984" spans="1:12" x14ac:dyDescent="0.25">
      <c r="A2984">
        <v>3200706</v>
      </c>
      <c r="B2984" t="str">
        <f t="shared" si="46"/>
        <v>ATILIO VIVACQUA, ES, Brasil</v>
      </c>
      <c r="C2984" s="4" t="str">
        <f>_xlfn.XLOOKUP(A2984,[1]!DadosGHD[CD_GEOCMU],[1]!DadosGHD[Região])</f>
        <v>SD</v>
      </c>
      <c r="D2984" s="4" t="str">
        <f>_xlfn.XLOOKUP(A2984,[1]!DadosGHD[CD_GEOCMU],[1]!DadosGHD[uf])</f>
        <v>ES</v>
      </c>
      <c r="E2984" s="5" t="str">
        <f>_xlfn.XLOOKUP(A2984,[1]!DadosGHD[CD_GEOCMU],[1]!DadosGHD[MUNICIPIO])</f>
        <v>ATILIO VIVACQUA</v>
      </c>
      <c r="F2984" s="6">
        <v>43.565708160400398</v>
      </c>
      <c r="G2984" s="6">
        <v>43.665531158447301</v>
      </c>
      <c r="H2984" s="6">
        <v>43.723442077636697</v>
      </c>
      <c r="I2984" s="6">
        <v>38.821983337402301</v>
      </c>
      <c r="J2984" s="6">
        <v>38.828895568847699</v>
      </c>
      <c r="K2984" s="6">
        <v>43.797130584716797</v>
      </c>
      <c r="L2984" s="6">
        <v>44.065540313720703</v>
      </c>
    </row>
    <row r="2985" spans="1:12" x14ac:dyDescent="0.25">
      <c r="A2985">
        <v>1710904</v>
      </c>
      <c r="B2985" t="str">
        <f t="shared" si="46"/>
        <v>ITAPIRATINS, TO, Brasil</v>
      </c>
      <c r="C2985" s="4" t="str">
        <f>_xlfn.XLOOKUP(A2985,[1]!DadosGHD[CD_GEOCMU],[1]!DadosGHD[Região])</f>
        <v>NO</v>
      </c>
      <c r="D2985" s="4" t="str">
        <f>_xlfn.XLOOKUP(A2985,[1]!DadosGHD[CD_GEOCMU],[1]!DadosGHD[uf])</f>
        <v>TO</v>
      </c>
      <c r="E2985" s="5" t="str">
        <f>_xlfn.XLOOKUP(A2985,[1]!DadosGHD[CD_GEOCMU],[1]!DadosGHD[MUNICIPIO])</f>
        <v>ITAPIRATINS</v>
      </c>
      <c r="F2985" s="6">
        <v>43.565887451171903</v>
      </c>
      <c r="G2985" s="6">
        <v>38.740394592285199</v>
      </c>
      <c r="H2985" s="6">
        <v>38.782741546630902</v>
      </c>
      <c r="I2985" s="6">
        <v>38.750434875488303</v>
      </c>
      <c r="J2985" s="6">
        <v>38.775482177734403</v>
      </c>
      <c r="K2985" s="6">
        <v>38.830978393554702</v>
      </c>
      <c r="L2985" s="6">
        <v>30.705591201782202</v>
      </c>
    </row>
    <row r="2986" spans="1:12" x14ac:dyDescent="0.25">
      <c r="A2986">
        <v>3171204</v>
      </c>
      <c r="B2986" t="str">
        <f t="shared" si="46"/>
        <v>VESPASIANO, MG, Brasil</v>
      </c>
      <c r="C2986" s="4" t="str">
        <f>_xlfn.XLOOKUP(A2986,[1]!DadosGHD[CD_GEOCMU],[1]!DadosGHD[Região])</f>
        <v>SD</v>
      </c>
      <c r="D2986" s="4" t="str">
        <f>_xlfn.XLOOKUP(A2986,[1]!DadosGHD[CD_GEOCMU],[1]!DadosGHD[uf])</f>
        <v>MG</v>
      </c>
      <c r="E2986" s="5" t="str">
        <f>_xlfn.XLOOKUP(A2986,[1]!DadosGHD[CD_GEOCMU],[1]!DadosGHD[MUNICIPIO])</f>
        <v>VESPASIANO</v>
      </c>
      <c r="F2986" s="6">
        <v>43.565925598144503</v>
      </c>
      <c r="G2986" s="6">
        <v>43.684600830078097</v>
      </c>
      <c r="H2986" s="6">
        <v>43.7406005859375</v>
      </c>
      <c r="I2986" s="6">
        <v>43.7096557617188</v>
      </c>
      <c r="J2986" s="6">
        <v>43.726089477539098</v>
      </c>
      <c r="K2986" s="6">
        <v>43.788463592529297</v>
      </c>
      <c r="L2986" s="6">
        <v>44.063789367675803</v>
      </c>
    </row>
    <row r="2987" spans="1:12" x14ac:dyDescent="0.25">
      <c r="A2987">
        <v>2503704</v>
      </c>
      <c r="B2987" t="str">
        <f t="shared" si="46"/>
        <v>CAJAZEIRAS, PB, Brasil</v>
      </c>
      <c r="C2987" s="4" t="str">
        <f>_xlfn.XLOOKUP(A2987,[1]!DadosGHD[CD_GEOCMU],[1]!DadosGHD[Região])</f>
        <v>NE</v>
      </c>
      <c r="D2987" s="4" t="str">
        <f>_xlfn.XLOOKUP(A2987,[1]!DadosGHD[CD_GEOCMU],[1]!DadosGHD[uf])</f>
        <v>PB</v>
      </c>
      <c r="E2987" s="5" t="str">
        <f>_xlfn.XLOOKUP(A2987,[1]!DadosGHD[CD_GEOCMU],[1]!DadosGHD[MUNICIPIO])</f>
        <v>CAJAZEIRAS</v>
      </c>
      <c r="F2987" s="6">
        <v>43.565963745117202</v>
      </c>
      <c r="G2987" s="6">
        <v>43.6856079101563</v>
      </c>
      <c r="H2987" s="6">
        <v>43.756420135498097</v>
      </c>
      <c r="I2987" s="6">
        <v>43.771881103515597</v>
      </c>
      <c r="J2987" s="6">
        <v>43.784130096435597</v>
      </c>
      <c r="K2987" s="6">
        <v>43.7921333312988</v>
      </c>
      <c r="L2987" s="6">
        <v>39.57666015625</v>
      </c>
    </row>
    <row r="2988" spans="1:12" x14ac:dyDescent="0.25">
      <c r="A2988">
        <v>2601201</v>
      </c>
      <c r="B2988" t="str">
        <f t="shared" si="46"/>
        <v>ARCOVERDE, PE, Brasil</v>
      </c>
      <c r="C2988" s="4" t="str">
        <f>_xlfn.XLOOKUP(A2988,[1]!DadosGHD[CD_GEOCMU],[1]!DadosGHD[Região])</f>
        <v>NE</v>
      </c>
      <c r="D2988" s="4" t="str">
        <f>_xlfn.XLOOKUP(A2988,[1]!DadosGHD[CD_GEOCMU],[1]!DadosGHD[uf])</f>
        <v>PE</v>
      </c>
      <c r="E2988" s="5" t="str">
        <f>_xlfn.XLOOKUP(A2988,[1]!DadosGHD[CD_GEOCMU],[1]!DadosGHD[MUNICIPIO])</f>
        <v>ARCOVERDE</v>
      </c>
      <c r="F2988" s="6">
        <v>43.566188812255902</v>
      </c>
      <c r="G2988" s="6">
        <v>38.780857086181598</v>
      </c>
      <c r="H2988" s="6">
        <v>38.792179107666001</v>
      </c>
      <c r="I2988" s="6">
        <v>38.758094787597699</v>
      </c>
      <c r="J2988" s="6">
        <v>38.805828094482401</v>
      </c>
      <c r="K2988" s="6">
        <v>38.831657409667997</v>
      </c>
      <c r="L2988" s="6">
        <v>35.1287651062012</v>
      </c>
    </row>
    <row r="2989" spans="1:12" x14ac:dyDescent="0.25">
      <c r="A2989">
        <v>3305406</v>
      </c>
      <c r="B2989" t="str">
        <f t="shared" si="46"/>
        <v>SAPUCAIA, RJ, Brasil</v>
      </c>
      <c r="C2989" s="4" t="str">
        <f>_xlfn.XLOOKUP(A2989,[1]!DadosGHD[CD_GEOCMU],[1]!DadosGHD[Região])</f>
        <v>SD</v>
      </c>
      <c r="D2989" s="4" t="str">
        <f>_xlfn.XLOOKUP(A2989,[1]!DadosGHD[CD_GEOCMU],[1]!DadosGHD[uf])</f>
        <v>RJ</v>
      </c>
      <c r="E2989" s="5" t="str">
        <f>_xlfn.XLOOKUP(A2989,[1]!DadosGHD[CD_GEOCMU],[1]!DadosGHD[MUNICIPIO])</f>
        <v>SAPUCAIA</v>
      </c>
      <c r="F2989" s="6">
        <v>43.566242218017599</v>
      </c>
      <c r="G2989" s="6">
        <v>48.641181945800803</v>
      </c>
      <c r="H2989" s="6">
        <v>48.724906921386697</v>
      </c>
      <c r="I2989" s="6">
        <v>48.767463684082003</v>
      </c>
      <c r="J2989" s="6">
        <v>48.791397094726598</v>
      </c>
      <c r="K2989" s="6">
        <v>43.883190155029297</v>
      </c>
      <c r="L2989" s="6">
        <v>48.515827178955099</v>
      </c>
    </row>
    <row r="2990" spans="1:12" x14ac:dyDescent="0.25">
      <c r="A2990">
        <v>2202307</v>
      </c>
      <c r="B2990" t="str">
        <f t="shared" si="46"/>
        <v>CANTO DO BURITI, PI, Brasil</v>
      </c>
      <c r="C2990" s="4" t="str">
        <f>_xlfn.XLOOKUP(A2990,[1]!DadosGHD[CD_GEOCMU],[1]!DadosGHD[Região])</f>
        <v>NE</v>
      </c>
      <c r="D2990" s="4" t="str">
        <f>_xlfn.XLOOKUP(A2990,[1]!DadosGHD[CD_GEOCMU],[1]!DadosGHD[uf])</f>
        <v>PI</v>
      </c>
      <c r="E2990" s="5" t="str">
        <f>_xlfn.XLOOKUP(A2990,[1]!DadosGHD[CD_GEOCMU],[1]!DadosGHD[MUNICIPIO])</f>
        <v>CANTO DO BURITI</v>
      </c>
      <c r="F2990" s="6">
        <v>43.5670356750488</v>
      </c>
      <c r="G2990" s="6">
        <v>43.651180267333999</v>
      </c>
      <c r="H2990" s="6">
        <v>43.720058441162102</v>
      </c>
      <c r="I2990" s="6">
        <v>43.678085327148402</v>
      </c>
      <c r="J2990" s="6">
        <v>43.742042541503899</v>
      </c>
      <c r="K2990" s="6">
        <v>38.827033996582003</v>
      </c>
      <c r="L2990" s="6">
        <v>35.1591987609863</v>
      </c>
    </row>
    <row r="2991" spans="1:12" x14ac:dyDescent="0.25">
      <c r="A2991">
        <v>1100080</v>
      </c>
      <c r="B2991" t="str">
        <f t="shared" si="46"/>
        <v>COSTA MARQUES, RO, Brasil</v>
      </c>
      <c r="C2991" s="4" t="str">
        <f>_xlfn.XLOOKUP(A2991,[1]!DadosGHD[CD_GEOCMU],[1]!DadosGHD[Região])</f>
        <v>NO</v>
      </c>
      <c r="D2991" s="4" t="str">
        <f>_xlfn.XLOOKUP(A2991,[1]!DadosGHD[CD_GEOCMU],[1]!DadosGHD[uf])</f>
        <v>RO</v>
      </c>
      <c r="E2991" s="5" t="str">
        <f>_xlfn.XLOOKUP(A2991,[1]!DadosGHD[CD_GEOCMU],[1]!DadosGHD[MUNICIPIO])</f>
        <v>COSTA MARQUES</v>
      </c>
      <c r="F2991" s="6">
        <v>43.567039489746101</v>
      </c>
      <c r="G2991" s="6">
        <v>43.641021728515597</v>
      </c>
      <c r="H2991" s="6">
        <v>38.806098937988303</v>
      </c>
      <c r="I2991" s="6">
        <v>38.787464141845703</v>
      </c>
      <c r="J2991" s="6">
        <v>38.801445007324197</v>
      </c>
      <c r="K2991" s="6">
        <v>38.847892761230497</v>
      </c>
      <c r="L2991" s="6">
        <v>35.146308898925803</v>
      </c>
    </row>
    <row r="2992" spans="1:12" x14ac:dyDescent="0.25">
      <c r="A2992">
        <v>2300804</v>
      </c>
      <c r="B2992" t="str">
        <f t="shared" si="46"/>
        <v>ANTONINA DO NORTE, CE, Brasil</v>
      </c>
      <c r="C2992" s="4" t="str">
        <f>_xlfn.XLOOKUP(A2992,[1]!DadosGHD[CD_GEOCMU],[1]!DadosGHD[Região])</f>
        <v>NE</v>
      </c>
      <c r="D2992" s="4" t="str">
        <f>_xlfn.XLOOKUP(A2992,[1]!DadosGHD[CD_GEOCMU],[1]!DadosGHD[uf])</f>
        <v>CE</v>
      </c>
      <c r="E2992" s="5" t="str">
        <f>_xlfn.XLOOKUP(A2992,[1]!DadosGHD[CD_GEOCMU],[1]!DadosGHD[MUNICIPIO])</f>
        <v>ANTONINA DO NORTE</v>
      </c>
      <c r="F2992" s="6">
        <v>43.567173004150398</v>
      </c>
      <c r="G2992" s="6">
        <v>38.739475250244098</v>
      </c>
      <c r="H2992" s="6">
        <v>38.777839660644503</v>
      </c>
      <c r="I2992" s="6">
        <v>38.746803283691399</v>
      </c>
      <c r="J2992" s="6">
        <v>38.780231475830099</v>
      </c>
      <c r="K2992" s="6">
        <v>48.806446075439503</v>
      </c>
      <c r="L2992" s="6">
        <v>39.5924072265625</v>
      </c>
    </row>
    <row r="2993" spans="1:12" x14ac:dyDescent="0.25">
      <c r="A2993">
        <v>5003488</v>
      </c>
      <c r="B2993" t="str">
        <f t="shared" si="46"/>
        <v>DOIS IRMAOS DO BURITI, MS, Brasil</v>
      </c>
      <c r="C2993" s="4" t="str">
        <f>_xlfn.XLOOKUP(A2993,[1]!DadosGHD[CD_GEOCMU],[1]!DadosGHD[Região])</f>
        <v>CO</v>
      </c>
      <c r="D2993" s="4" t="str">
        <f>_xlfn.XLOOKUP(A2993,[1]!DadosGHD[CD_GEOCMU],[1]!DadosGHD[uf])</f>
        <v>MS</v>
      </c>
      <c r="E2993" s="5" t="str">
        <f>_xlfn.XLOOKUP(A2993,[1]!DadosGHD[CD_GEOCMU],[1]!DadosGHD[MUNICIPIO])</f>
        <v>DOIS IRMAOS DO BURITI</v>
      </c>
      <c r="F2993" s="6">
        <v>43.567188262939503</v>
      </c>
      <c r="G2993" s="6">
        <v>38.7762451171875</v>
      </c>
      <c r="H2993" s="6">
        <v>38.832183837890597</v>
      </c>
      <c r="I2993" s="6">
        <v>38.805477142333999</v>
      </c>
      <c r="J2993" s="6">
        <v>38.835289001464801</v>
      </c>
      <c r="K2993" s="6">
        <v>38.864509582519503</v>
      </c>
      <c r="L2993" s="6">
        <v>30.706800460815401</v>
      </c>
    </row>
    <row r="2994" spans="1:12" x14ac:dyDescent="0.25">
      <c r="A2994">
        <v>4320651</v>
      </c>
      <c r="B2994" t="str">
        <f t="shared" si="46"/>
        <v>SILVEIRA MARTINS, RS, Brasil</v>
      </c>
      <c r="C2994" s="4" t="str">
        <f>_xlfn.XLOOKUP(A2994,[1]!DadosGHD[CD_GEOCMU],[1]!DadosGHD[Região])</f>
        <v>SL</v>
      </c>
      <c r="D2994" s="4" t="str">
        <f>_xlfn.XLOOKUP(A2994,[1]!DadosGHD[CD_GEOCMU],[1]!DadosGHD[uf])</f>
        <v>RS</v>
      </c>
      <c r="E2994" s="5" t="str">
        <f>_xlfn.XLOOKUP(A2994,[1]!DadosGHD[CD_GEOCMU],[1]!DadosGHD[MUNICIPIO])</f>
        <v>SILVEIRA MARTINS</v>
      </c>
      <c r="F2994" s="6">
        <v>43.567508697509801</v>
      </c>
      <c r="G2994" s="6">
        <v>53.677127838134801</v>
      </c>
      <c r="H2994" s="6">
        <v>53.797134399414098</v>
      </c>
      <c r="I2994" s="6">
        <v>53.770435333252003</v>
      </c>
      <c r="J2994" s="6">
        <v>53.8014945983887</v>
      </c>
      <c r="K2994" s="6">
        <v>59.030235290527301</v>
      </c>
      <c r="L2994" s="6">
        <v>57.589881896972699</v>
      </c>
    </row>
    <row r="2995" spans="1:12" x14ac:dyDescent="0.25">
      <c r="A2995">
        <v>2802601</v>
      </c>
      <c r="B2995" t="str">
        <f t="shared" si="46"/>
        <v>GRACHO CARDOSO, SE, Brasil</v>
      </c>
      <c r="C2995" s="4" t="str">
        <f>_xlfn.XLOOKUP(A2995,[1]!DadosGHD[CD_GEOCMU],[1]!DadosGHD[Região])</f>
        <v>NE</v>
      </c>
      <c r="D2995" s="4" t="str">
        <f>_xlfn.XLOOKUP(A2995,[1]!DadosGHD[CD_GEOCMU],[1]!DadosGHD[uf])</f>
        <v>SE</v>
      </c>
      <c r="E2995" s="5" t="str">
        <f>_xlfn.XLOOKUP(A2995,[1]!DadosGHD[CD_GEOCMU],[1]!DadosGHD[MUNICIPIO])</f>
        <v>GRACHO CARDOSO</v>
      </c>
      <c r="F2995" s="6">
        <v>43.567714691162102</v>
      </c>
      <c r="G2995" s="6">
        <v>33.789199829101598</v>
      </c>
      <c r="H2995" s="6">
        <v>33.818767547607401</v>
      </c>
      <c r="I2995" s="6">
        <v>33.797706604003899</v>
      </c>
      <c r="J2995" s="6">
        <v>33.814292907714801</v>
      </c>
      <c r="K2995" s="6">
        <v>28.988388061523398</v>
      </c>
      <c r="L2995" s="6">
        <v>26.2798957824707</v>
      </c>
    </row>
    <row r="2996" spans="1:12" x14ac:dyDescent="0.25">
      <c r="A2996">
        <v>3551801</v>
      </c>
      <c r="B2996" t="str">
        <f t="shared" si="46"/>
        <v>SETE BARRAS, SP, Brasil</v>
      </c>
      <c r="C2996" s="4" t="str">
        <f>_xlfn.XLOOKUP(A2996,[1]!DadosGHD[CD_GEOCMU],[1]!DadosGHD[Região])</f>
        <v>SD</v>
      </c>
      <c r="D2996" s="4" t="str">
        <f>_xlfn.XLOOKUP(A2996,[1]!DadosGHD[CD_GEOCMU],[1]!DadosGHD[uf])</f>
        <v>SP</v>
      </c>
      <c r="E2996" s="5" t="str">
        <f>_xlfn.XLOOKUP(A2996,[1]!DadosGHD[CD_GEOCMU],[1]!DadosGHD[MUNICIPIO])</f>
        <v>SETE BARRAS</v>
      </c>
      <c r="F2996" s="6">
        <v>43.567893981933601</v>
      </c>
      <c r="G2996" s="6">
        <v>38.771266937255902</v>
      </c>
      <c r="H2996" s="6">
        <v>38.837043762207003</v>
      </c>
      <c r="I2996" s="6">
        <v>43.710884094238303</v>
      </c>
      <c r="J2996" s="6">
        <v>43.768608093261697</v>
      </c>
      <c r="K2996" s="6">
        <v>43.820632934570298</v>
      </c>
      <c r="L2996" s="6">
        <v>44.046775817871101</v>
      </c>
    </row>
    <row r="2997" spans="1:12" x14ac:dyDescent="0.25">
      <c r="A2997">
        <v>4106100</v>
      </c>
      <c r="B2997" t="str">
        <f t="shared" si="46"/>
        <v>CONSELHEIRO MAIRINCK, PR, Brasil</v>
      </c>
      <c r="C2997" s="4" t="str">
        <f>_xlfn.XLOOKUP(A2997,[1]!DadosGHD[CD_GEOCMU],[1]!DadosGHD[Região])</f>
        <v>SL</v>
      </c>
      <c r="D2997" s="4" t="str">
        <f>_xlfn.XLOOKUP(A2997,[1]!DadosGHD[CD_GEOCMU],[1]!DadosGHD[uf])</f>
        <v>PR</v>
      </c>
      <c r="E2997" s="5" t="str">
        <f>_xlfn.XLOOKUP(A2997,[1]!DadosGHD[CD_GEOCMU],[1]!DadosGHD[MUNICIPIO])</f>
        <v>CONSELHEIRO MAIRINCK</v>
      </c>
      <c r="F2997" s="6">
        <v>43.568050384521499</v>
      </c>
      <c r="G2997" s="6">
        <v>48.6529541015625</v>
      </c>
      <c r="H2997" s="6">
        <v>48.772941589355497</v>
      </c>
      <c r="I2997" s="6">
        <v>48.722671508789098</v>
      </c>
      <c r="J2997" s="6">
        <v>48.744678497314503</v>
      </c>
      <c r="K2997" s="6">
        <v>48.906276702880902</v>
      </c>
      <c r="L2997" s="6">
        <v>44.033901214599602</v>
      </c>
    </row>
    <row r="2998" spans="1:12" x14ac:dyDescent="0.25">
      <c r="A2998">
        <v>4300661</v>
      </c>
      <c r="B2998" t="str">
        <f t="shared" si="46"/>
        <v>ANDRE DA ROCHA, RS, Brasil</v>
      </c>
      <c r="C2998" s="4" t="str">
        <f>_xlfn.XLOOKUP(A2998,[1]!DadosGHD[CD_GEOCMU],[1]!DadosGHD[Região])</f>
        <v>SL</v>
      </c>
      <c r="D2998" s="4" t="str">
        <f>_xlfn.XLOOKUP(A2998,[1]!DadosGHD[CD_GEOCMU],[1]!DadosGHD[uf])</f>
        <v>RS</v>
      </c>
      <c r="E2998" s="5" t="str">
        <f>_xlfn.XLOOKUP(A2998,[1]!DadosGHD[CD_GEOCMU],[1]!DadosGHD[MUNICIPIO])</f>
        <v>ANDRE DA ROCHA</v>
      </c>
      <c r="F2998" s="6">
        <v>43.568569183349602</v>
      </c>
      <c r="G2998" s="6">
        <v>48.634212493896499</v>
      </c>
      <c r="H2998" s="6">
        <v>53.838741302490199</v>
      </c>
      <c r="I2998" s="6">
        <v>43.700565338134801</v>
      </c>
      <c r="J2998" s="6">
        <v>53.745758056640597</v>
      </c>
      <c r="K2998" s="6">
        <v>53.808650970458999</v>
      </c>
      <c r="L2998" s="6">
        <v>48.497112274169901</v>
      </c>
    </row>
    <row r="2999" spans="1:12" x14ac:dyDescent="0.25">
      <c r="A2999">
        <v>2404200</v>
      </c>
      <c r="B2999" t="str">
        <f t="shared" si="46"/>
        <v>GOIANINHA, RN, Brasil</v>
      </c>
      <c r="C2999" s="4" t="str">
        <f>_xlfn.XLOOKUP(A2999,[1]!DadosGHD[CD_GEOCMU],[1]!DadosGHD[Região])</f>
        <v>NE</v>
      </c>
      <c r="D2999" s="4" t="str">
        <f>_xlfn.XLOOKUP(A2999,[1]!DadosGHD[CD_GEOCMU],[1]!DadosGHD[uf])</f>
        <v>RN</v>
      </c>
      <c r="E2999" s="5" t="str">
        <f>_xlfn.XLOOKUP(A2999,[1]!DadosGHD[CD_GEOCMU],[1]!DadosGHD[MUNICIPIO])</f>
        <v>GOIANINHA</v>
      </c>
      <c r="F2999" s="6">
        <v>43.568611145019503</v>
      </c>
      <c r="G2999" s="6">
        <v>43.638683319091797</v>
      </c>
      <c r="H2999" s="6">
        <v>38.839565277099602</v>
      </c>
      <c r="I2999" s="6">
        <v>43.6823120117188</v>
      </c>
      <c r="J2999" s="6">
        <v>48.7114868164063</v>
      </c>
      <c r="K2999" s="6">
        <v>48.8114013671875</v>
      </c>
      <c r="L2999" s="6">
        <v>48.540367126464801</v>
      </c>
    </row>
    <row r="3000" spans="1:12" x14ac:dyDescent="0.25">
      <c r="A3000">
        <v>4122800</v>
      </c>
      <c r="B3000" t="str">
        <f t="shared" si="46"/>
        <v>SALGADO FILHO, PR, Brasil</v>
      </c>
      <c r="C3000" s="4" t="str">
        <f>_xlfn.XLOOKUP(A3000,[1]!DadosGHD[CD_GEOCMU],[1]!DadosGHD[Região])</f>
        <v>SL</v>
      </c>
      <c r="D3000" s="4" t="str">
        <f>_xlfn.XLOOKUP(A3000,[1]!DadosGHD[CD_GEOCMU],[1]!DadosGHD[uf])</f>
        <v>PR</v>
      </c>
      <c r="E3000" s="5" t="str">
        <f>_xlfn.XLOOKUP(A3000,[1]!DadosGHD[CD_GEOCMU],[1]!DadosGHD[MUNICIPIO])</f>
        <v>SALGADO FILHO</v>
      </c>
      <c r="F3000" s="6">
        <v>43.568649291992202</v>
      </c>
      <c r="G3000" s="6">
        <v>48.722221374511697</v>
      </c>
      <c r="H3000" s="6">
        <v>48.804206848144503</v>
      </c>
      <c r="I3000" s="6">
        <v>48.774757385253899</v>
      </c>
      <c r="J3000" s="6">
        <v>53.818225860595703</v>
      </c>
      <c r="K3000" s="6">
        <v>53.952594757080099</v>
      </c>
      <c r="L3000" s="6">
        <v>44.05322265625</v>
      </c>
    </row>
    <row r="3001" spans="1:12" x14ac:dyDescent="0.25">
      <c r="A3001">
        <v>2506905</v>
      </c>
      <c r="B3001" t="str">
        <f t="shared" si="46"/>
        <v>ITABAIANA, PB, Brasil</v>
      </c>
      <c r="C3001" s="4" t="str">
        <f>_xlfn.XLOOKUP(A3001,[1]!DadosGHD[CD_GEOCMU],[1]!DadosGHD[Região])</f>
        <v>NE</v>
      </c>
      <c r="D3001" s="4" t="str">
        <f>_xlfn.XLOOKUP(A3001,[1]!DadosGHD[CD_GEOCMU],[1]!DadosGHD[uf])</f>
        <v>PB</v>
      </c>
      <c r="E3001" s="5" t="str">
        <f>_xlfn.XLOOKUP(A3001,[1]!DadosGHD[CD_GEOCMU],[1]!DadosGHD[MUNICIPIO])</f>
        <v>ITABAIANA</v>
      </c>
      <c r="F3001" s="6">
        <v>43.568660736083999</v>
      </c>
      <c r="G3001" s="6">
        <v>43.650928497314503</v>
      </c>
      <c r="H3001" s="6">
        <v>43.773681640625</v>
      </c>
      <c r="I3001" s="6">
        <v>43.726009368896499</v>
      </c>
      <c r="J3001" s="6">
        <v>43.751602172851598</v>
      </c>
      <c r="K3001" s="6">
        <v>38.8423881530762</v>
      </c>
      <c r="L3001" s="6">
        <v>30.7123928070068</v>
      </c>
    </row>
    <row r="3002" spans="1:12" x14ac:dyDescent="0.25">
      <c r="A3002">
        <v>2210102</v>
      </c>
      <c r="B3002" t="str">
        <f t="shared" si="46"/>
        <v>SAO JOSE DO PEIXE, PI, Brasil</v>
      </c>
      <c r="C3002" s="4" t="str">
        <f>_xlfn.XLOOKUP(A3002,[1]!DadosGHD[CD_GEOCMU],[1]!DadosGHD[Região])</f>
        <v>NE</v>
      </c>
      <c r="D3002" s="4" t="str">
        <f>_xlfn.XLOOKUP(A3002,[1]!DadosGHD[CD_GEOCMU],[1]!DadosGHD[uf])</f>
        <v>PI</v>
      </c>
      <c r="E3002" s="5" t="str">
        <f>_xlfn.XLOOKUP(A3002,[1]!DadosGHD[CD_GEOCMU],[1]!DadosGHD[MUNICIPIO])</f>
        <v>SAO JOSE DO PEIXE</v>
      </c>
      <c r="F3002" s="6">
        <v>43.568981170654297</v>
      </c>
      <c r="G3002" s="6">
        <v>38.743621826171903</v>
      </c>
      <c r="H3002" s="6">
        <v>38.781093597412102</v>
      </c>
      <c r="I3002" s="6">
        <v>38.758644104003899</v>
      </c>
      <c r="J3002" s="6">
        <v>38.788944244384801</v>
      </c>
      <c r="K3002" s="6">
        <v>38.812263488769503</v>
      </c>
      <c r="L3002" s="6">
        <v>30.714958190918001</v>
      </c>
    </row>
    <row r="3003" spans="1:12" x14ac:dyDescent="0.25">
      <c r="A3003">
        <v>2806008</v>
      </c>
      <c r="B3003" t="str">
        <f t="shared" si="46"/>
        <v>RIBEIROPOLIS, SE, Brasil</v>
      </c>
      <c r="C3003" s="4" t="str">
        <f>_xlfn.XLOOKUP(A3003,[1]!DadosGHD[CD_GEOCMU],[1]!DadosGHD[Região])</f>
        <v>NE</v>
      </c>
      <c r="D3003" s="4" t="str">
        <f>_xlfn.XLOOKUP(A3003,[1]!DadosGHD[CD_GEOCMU],[1]!DadosGHD[uf])</f>
        <v>SE</v>
      </c>
      <c r="E3003" s="5" t="str">
        <f>_xlfn.XLOOKUP(A3003,[1]!DadosGHD[CD_GEOCMU],[1]!DadosGHD[MUNICIPIO])</f>
        <v>RIBEIROPOLIS</v>
      </c>
      <c r="F3003" s="6">
        <v>43.568984985351598</v>
      </c>
      <c r="G3003" s="6">
        <v>43.645458221435597</v>
      </c>
      <c r="H3003" s="6">
        <v>43.725337982177699</v>
      </c>
      <c r="I3003" s="6">
        <v>43.692390441894503</v>
      </c>
      <c r="J3003" s="6">
        <v>43.734657287597699</v>
      </c>
      <c r="K3003" s="6">
        <v>43.791725158691399</v>
      </c>
      <c r="L3003" s="6">
        <v>35.153541564941399</v>
      </c>
    </row>
    <row r="3004" spans="1:12" x14ac:dyDescent="0.25">
      <c r="A3004">
        <v>1711506</v>
      </c>
      <c r="B3004" t="str">
        <f t="shared" si="46"/>
        <v>JAU DO TOCANTINS, TO, Brasil</v>
      </c>
      <c r="C3004" s="4" t="str">
        <f>_xlfn.XLOOKUP(A3004,[1]!DadosGHD[CD_GEOCMU],[1]!DadosGHD[Região])</f>
        <v>NO</v>
      </c>
      <c r="D3004" s="4" t="str">
        <f>_xlfn.XLOOKUP(A3004,[1]!DadosGHD[CD_GEOCMU],[1]!DadosGHD[uf])</f>
        <v>TO</v>
      </c>
      <c r="E3004" s="5" t="str">
        <f>_xlfn.XLOOKUP(A3004,[1]!DadosGHD[CD_GEOCMU],[1]!DadosGHD[MUNICIPIO])</f>
        <v>JAU DO TOCANTINS</v>
      </c>
      <c r="F3004" s="6">
        <v>43.569007873535199</v>
      </c>
      <c r="G3004" s="6">
        <v>38.7451782226563</v>
      </c>
      <c r="H3004" s="6">
        <v>38.785148620605497</v>
      </c>
      <c r="I3004" s="6">
        <v>38.754005432128899</v>
      </c>
      <c r="J3004" s="6">
        <v>38.766292572021499</v>
      </c>
      <c r="K3004" s="6">
        <v>38.796070098877003</v>
      </c>
      <c r="L3004" s="6">
        <v>35.1151123046875</v>
      </c>
    </row>
    <row r="3005" spans="1:12" x14ac:dyDescent="0.25">
      <c r="A3005">
        <v>2607208</v>
      </c>
      <c r="B3005" t="str">
        <f t="shared" si="46"/>
        <v>IPOJUCA, PE, Brasil</v>
      </c>
      <c r="C3005" s="4" t="str">
        <f>_xlfn.XLOOKUP(A3005,[1]!DadosGHD[CD_GEOCMU],[1]!DadosGHD[Região])</f>
        <v>NE</v>
      </c>
      <c r="D3005" s="4" t="str">
        <f>_xlfn.XLOOKUP(A3005,[1]!DadosGHD[CD_GEOCMU],[1]!DadosGHD[uf])</f>
        <v>PE</v>
      </c>
      <c r="E3005" s="5" t="str">
        <f>_xlfn.XLOOKUP(A3005,[1]!DadosGHD[CD_GEOCMU],[1]!DadosGHD[MUNICIPIO])</f>
        <v>IPOJUCA</v>
      </c>
      <c r="F3005" s="6">
        <v>43.569133758544901</v>
      </c>
      <c r="G3005" s="6">
        <v>38.787727355957003</v>
      </c>
      <c r="H3005" s="6">
        <v>38.816658020019503</v>
      </c>
      <c r="I3005" s="6">
        <v>38.775466918945298</v>
      </c>
      <c r="J3005" s="6">
        <v>38.790248870849602</v>
      </c>
      <c r="K3005" s="6">
        <v>38.834522247314503</v>
      </c>
      <c r="L3005" s="6">
        <v>39.561759948730497</v>
      </c>
    </row>
    <row r="3006" spans="1:12" x14ac:dyDescent="0.25">
      <c r="A3006">
        <v>1500503</v>
      </c>
      <c r="B3006" t="str">
        <f t="shared" si="46"/>
        <v>ALMEIRIM, PA, Brasil</v>
      </c>
      <c r="C3006" s="4" t="str">
        <f>_xlfn.XLOOKUP(A3006,[1]!DadosGHD[CD_GEOCMU],[1]!DadosGHD[Região])</f>
        <v>NO</v>
      </c>
      <c r="D3006" s="4" t="str">
        <f>_xlfn.XLOOKUP(A3006,[1]!DadosGHD[CD_GEOCMU],[1]!DadosGHD[uf])</f>
        <v>PA</v>
      </c>
      <c r="E3006" s="5" t="str">
        <f>_xlfn.XLOOKUP(A3006,[1]!DadosGHD[CD_GEOCMU],[1]!DadosGHD[MUNICIPIO])</f>
        <v>ALMEIRIM</v>
      </c>
      <c r="F3006" s="6">
        <v>43.569492340087898</v>
      </c>
      <c r="G3006" s="6">
        <v>38.735023498535199</v>
      </c>
      <c r="H3006" s="6">
        <v>38.776828765869098</v>
      </c>
      <c r="I3006" s="6">
        <v>38.749214172363303</v>
      </c>
      <c r="J3006" s="6">
        <v>38.784629821777301</v>
      </c>
      <c r="K3006" s="6">
        <v>38.811050415039098</v>
      </c>
      <c r="L3006" s="6">
        <v>35.121082305908203</v>
      </c>
    </row>
    <row r="3007" spans="1:12" x14ac:dyDescent="0.25">
      <c r="A3007">
        <v>3167103</v>
      </c>
      <c r="B3007" t="str">
        <f t="shared" si="46"/>
        <v>SERRO, MG, Brasil</v>
      </c>
      <c r="C3007" s="4" t="str">
        <f>_xlfn.XLOOKUP(A3007,[1]!DadosGHD[CD_GEOCMU],[1]!DadosGHD[Região])</f>
        <v>SD</v>
      </c>
      <c r="D3007" s="4" t="str">
        <f>_xlfn.XLOOKUP(A3007,[1]!DadosGHD[CD_GEOCMU],[1]!DadosGHD[uf])</f>
        <v>MG</v>
      </c>
      <c r="E3007" s="5" t="str">
        <f>_xlfn.XLOOKUP(A3007,[1]!DadosGHD[CD_GEOCMU],[1]!DadosGHD[MUNICIPIO])</f>
        <v>SERRO</v>
      </c>
      <c r="F3007" s="6">
        <v>43.569503784179702</v>
      </c>
      <c r="G3007" s="6">
        <v>43.707813262939503</v>
      </c>
      <c r="H3007" s="6">
        <v>43.7431640625</v>
      </c>
      <c r="I3007" s="6">
        <v>43.6926460266113</v>
      </c>
      <c r="J3007" s="6">
        <v>43.720211029052699</v>
      </c>
      <c r="K3007" s="6">
        <v>43.829105377197301</v>
      </c>
      <c r="L3007" s="6">
        <v>44.046062469482401</v>
      </c>
    </row>
    <row r="3008" spans="1:12" x14ac:dyDescent="0.25">
      <c r="A3008">
        <v>2912103</v>
      </c>
      <c r="B3008" t="str">
        <f t="shared" si="46"/>
        <v>IBICARAI, BA, Brasil</v>
      </c>
      <c r="C3008" s="4" t="str">
        <f>_xlfn.XLOOKUP(A3008,[1]!DadosGHD[CD_GEOCMU],[1]!DadosGHD[Região])</f>
        <v>NE</v>
      </c>
      <c r="D3008" s="4" t="str">
        <f>_xlfn.XLOOKUP(A3008,[1]!DadosGHD[CD_GEOCMU],[1]!DadosGHD[uf])</f>
        <v>BA</v>
      </c>
      <c r="E3008" s="5" t="str">
        <f>_xlfn.XLOOKUP(A3008,[1]!DadosGHD[CD_GEOCMU],[1]!DadosGHD[MUNICIPIO])</f>
        <v>IBICARAI</v>
      </c>
      <c r="F3008" s="6">
        <v>43.569664001464801</v>
      </c>
      <c r="G3008" s="6">
        <v>38.771987915039098</v>
      </c>
      <c r="H3008" s="6">
        <v>38.822746276855497</v>
      </c>
      <c r="I3008" s="6">
        <v>38.796852111816399</v>
      </c>
      <c r="J3008" s="6">
        <v>38.811279296875</v>
      </c>
      <c r="K3008" s="6">
        <v>38.883968353271499</v>
      </c>
      <c r="L3008" s="6">
        <v>26.297233581543001</v>
      </c>
    </row>
    <row r="3009" spans="1:12" x14ac:dyDescent="0.25">
      <c r="A3009">
        <v>3169703</v>
      </c>
      <c r="B3009" t="str">
        <f t="shared" si="46"/>
        <v>TURMALINA, MG, Brasil</v>
      </c>
      <c r="C3009" s="4" t="str">
        <f>_xlfn.XLOOKUP(A3009,[1]!DadosGHD[CD_GEOCMU],[1]!DadosGHD[Região])</f>
        <v>SD</v>
      </c>
      <c r="D3009" s="4" t="str">
        <f>_xlfn.XLOOKUP(A3009,[1]!DadosGHD[CD_GEOCMU],[1]!DadosGHD[uf])</f>
        <v>MG</v>
      </c>
      <c r="E3009" s="5" t="str">
        <f>_xlfn.XLOOKUP(A3009,[1]!DadosGHD[CD_GEOCMU],[1]!DadosGHD[MUNICIPIO])</f>
        <v>TURMALINA</v>
      </c>
      <c r="F3009" s="6">
        <v>43.570247650146499</v>
      </c>
      <c r="G3009" s="6">
        <v>43.671443939208999</v>
      </c>
      <c r="H3009" s="6">
        <v>43.769222259521499</v>
      </c>
      <c r="I3009" s="6">
        <v>43.738513946533203</v>
      </c>
      <c r="J3009" s="6">
        <v>43.775550842285199</v>
      </c>
      <c r="K3009" s="6">
        <v>38.837520599365199</v>
      </c>
      <c r="L3009" s="6">
        <v>39.5849418640137</v>
      </c>
    </row>
    <row r="3010" spans="1:12" x14ac:dyDescent="0.25">
      <c r="A3010">
        <v>3110202</v>
      </c>
      <c r="B3010" t="str">
        <f t="shared" si="46"/>
        <v>CAJURI, MG, Brasil</v>
      </c>
      <c r="C3010" s="4" t="str">
        <f>_xlfn.XLOOKUP(A3010,[1]!DadosGHD[CD_GEOCMU],[1]!DadosGHD[Região])</f>
        <v>SD</v>
      </c>
      <c r="D3010" s="4" t="str">
        <f>_xlfn.XLOOKUP(A3010,[1]!DadosGHD[CD_GEOCMU],[1]!DadosGHD[uf])</f>
        <v>MG</v>
      </c>
      <c r="E3010" s="5" t="str">
        <f>_xlfn.XLOOKUP(A3010,[1]!DadosGHD[CD_GEOCMU],[1]!DadosGHD[MUNICIPIO])</f>
        <v>CAJURI</v>
      </c>
      <c r="F3010" s="6">
        <v>43.570316314697301</v>
      </c>
      <c r="G3010" s="6">
        <v>38.757606506347699</v>
      </c>
      <c r="H3010" s="6">
        <v>43.7619018554688</v>
      </c>
      <c r="I3010" s="6">
        <v>43.724159240722699</v>
      </c>
      <c r="J3010" s="6">
        <v>38.773994445800803</v>
      </c>
      <c r="K3010" s="6">
        <v>38.830207824707003</v>
      </c>
      <c r="L3010" s="6">
        <v>30.721717834472699</v>
      </c>
    </row>
    <row r="3011" spans="1:12" x14ac:dyDescent="0.25">
      <c r="A3011">
        <v>1703107</v>
      </c>
      <c r="B3011" t="str">
        <f t="shared" si="46"/>
        <v>BARROLANDIA, TO, Brasil</v>
      </c>
      <c r="C3011" s="4" t="str">
        <f>_xlfn.XLOOKUP(A3011,[1]!DadosGHD[CD_GEOCMU],[1]!DadosGHD[Região])</f>
        <v>NO</v>
      </c>
      <c r="D3011" s="4" t="str">
        <f>_xlfn.XLOOKUP(A3011,[1]!DadosGHD[CD_GEOCMU],[1]!DadosGHD[uf])</f>
        <v>TO</v>
      </c>
      <c r="E3011" s="5" t="str">
        <f>_xlfn.XLOOKUP(A3011,[1]!DadosGHD[CD_GEOCMU],[1]!DadosGHD[MUNICIPIO])</f>
        <v>BARROLANDIA</v>
      </c>
      <c r="F3011" s="6">
        <v>43.570369720458999</v>
      </c>
      <c r="G3011" s="6">
        <v>43.675567626953097</v>
      </c>
      <c r="H3011" s="6">
        <v>43.715187072753899</v>
      </c>
      <c r="I3011" s="6">
        <v>38.823635101318402</v>
      </c>
      <c r="J3011" s="6">
        <v>38.838188171386697</v>
      </c>
      <c r="K3011" s="6">
        <v>38.853034973144503</v>
      </c>
      <c r="L3011" s="6">
        <v>30.719070434570298</v>
      </c>
    </row>
    <row r="3012" spans="1:12" x14ac:dyDescent="0.25">
      <c r="A3012">
        <v>3163508</v>
      </c>
      <c r="B3012" t="str">
        <f t="shared" ref="B3012:B3075" si="47">_xlfn.CONCAT(E3012, ", ", D3012, ", Brasil")</f>
        <v>SAO JOSE DO JACURI, MG, Brasil</v>
      </c>
      <c r="C3012" s="4" t="str">
        <f>_xlfn.XLOOKUP(A3012,[1]!DadosGHD[CD_GEOCMU],[1]!DadosGHD[Região])</f>
        <v>SD</v>
      </c>
      <c r="D3012" s="4" t="str">
        <f>_xlfn.XLOOKUP(A3012,[1]!DadosGHD[CD_GEOCMU],[1]!DadosGHD[uf])</f>
        <v>MG</v>
      </c>
      <c r="E3012" s="5" t="str">
        <f>_xlfn.XLOOKUP(A3012,[1]!DadosGHD[CD_GEOCMU],[1]!DadosGHD[MUNICIPIO])</f>
        <v>SAO JOSE DO JACURI</v>
      </c>
      <c r="F3012" s="6">
        <v>43.5704536437988</v>
      </c>
      <c r="G3012" s="6">
        <v>43.650398254394503</v>
      </c>
      <c r="H3012" s="6">
        <v>43.717334747314503</v>
      </c>
      <c r="I3012" s="6">
        <v>43.678916931152301</v>
      </c>
      <c r="J3012" s="6">
        <v>38.835227966308601</v>
      </c>
      <c r="K3012" s="6">
        <v>38.877998352050803</v>
      </c>
      <c r="L3012" s="6">
        <v>30.717466354370099</v>
      </c>
    </row>
    <row r="3013" spans="1:12" x14ac:dyDescent="0.25">
      <c r="A3013">
        <v>2105302</v>
      </c>
      <c r="B3013" t="str">
        <f t="shared" si="47"/>
        <v>IMPERATRIZ, MA, Brasil</v>
      </c>
      <c r="C3013" s="4" t="str">
        <f>_xlfn.XLOOKUP(A3013,[1]!DadosGHD[CD_GEOCMU],[1]!DadosGHD[Região])</f>
        <v>NE</v>
      </c>
      <c r="D3013" s="4" t="str">
        <f>_xlfn.XLOOKUP(A3013,[1]!DadosGHD[CD_GEOCMU],[1]!DadosGHD[uf])</f>
        <v>MA</v>
      </c>
      <c r="E3013" s="5" t="str">
        <f>_xlfn.XLOOKUP(A3013,[1]!DadosGHD[CD_GEOCMU],[1]!DadosGHD[MUNICIPIO])</f>
        <v>IMPERATRIZ</v>
      </c>
      <c r="F3013" s="6">
        <v>43.570724487304702</v>
      </c>
      <c r="G3013" s="6">
        <v>38.785160064697301</v>
      </c>
      <c r="H3013" s="6">
        <v>38.817390441894503</v>
      </c>
      <c r="I3013" s="6">
        <v>38.808326721191399</v>
      </c>
      <c r="J3013" s="6">
        <v>43.751510620117202</v>
      </c>
      <c r="K3013" s="6">
        <v>43.859874725341797</v>
      </c>
      <c r="L3013" s="6">
        <v>44.030548095703097</v>
      </c>
    </row>
    <row r="3014" spans="1:12" x14ac:dyDescent="0.25">
      <c r="A3014">
        <v>3169208</v>
      </c>
      <c r="B3014" t="str">
        <f t="shared" si="47"/>
        <v>TOMBOS, MG, Brasil</v>
      </c>
      <c r="C3014" s="4" t="str">
        <f>_xlfn.XLOOKUP(A3014,[1]!DadosGHD[CD_GEOCMU],[1]!DadosGHD[Região])</f>
        <v>SD</v>
      </c>
      <c r="D3014" s="4" t="str">
        <f>_xlfn.XLOOKUP(A3014,[1]!DadosGHD[CD_GEOCMU],[1]!DadosGHD[uf])</f>
        <v>MG</v>
      </c>
      <c r="E3014" s="5" t="str">
        <f>_xlfn.XLOOKUP(A3014,[1]!DadosGHD[CD_GEOCMU],[1]!DadosGHD[MUNICIPIO])</f>
        <v>TOMBOS</v>
      </c>
      <c r="F3014" s="6">
        <v>43.570770263671903</v>
      </c>
      <c r="G3014" s="6">
        <v>43.653419494628899</v>
      </c>
      <c r="H3014" s="6">
        <v>43.759319305419901</v>
      </c>
      <c r="I3014" s="6">
        <v>43.755729675292997</v>
      </c>
      <c r="J3014" s="6">
        <v>48.699951171875</v>
      </c>
      <c r="K3014" s="6">
        <v>53.828292846679702</v>
      </c>
      <c r="L3014" s="6">
        <v>48.5401802062988</v>
      </c>
    </row>
    <row r="3015" spans="1:12" x14ac:dyDescent="0.25">
      <c r="A3015">
        <v>2204501</v>
      </c>
      <c r="B3015" t="str">
        <f t="shared" si="47"/>
        <v>GUADALUPE, PI, Brasil</v>
      </c>
      <c r="C3015" s="4" t="str">
        <f>_xlfn.XLOOKUP(A3015,[1]!DadosGHD[CD_GEOCMU],[1]!DadosGHD[Região])</f>
        <v>NE</v>
      </c>
      <c r="D3015" s="4" t="str">
        <f>_xlfn.XLOOKUP(A3015,[1]!DadosGHD[CD_GEOCMU],[1]!DadosGHD[uf])</f>
        <v>PI</v>
      </c>
      <c r="E3015" s="5" t="str">
        <f>_xlfn.XLOOKUP(A3015,[1]!DadosGHD[CD_GEOCMU],[1]!DadosGHD[MUNICIPIO])</f>
        <v>GUADALUPE</v>
      </c>
      <c r="F3015" s="6">
        <v>43.570789337158203</v>
      </c>
      <c r="G3015" s="6">
        <v>43.664638519287102</v>
      </c>
      <c r="H3015" s="6">
        <v>38.836490631103501</v>
      </c>
      <c r="I3015" s="6">
        <v>38.813838958740199</v>
      </c>
      <c r="J3015" s="6">
        <v>38.749916076660199</v>
      </c>
      <c r="K3015" s="6">
        <v>43.764293670654297</v>
      </c>
      <c r="L3015" s="6">
        <v>39.608192443847699</v>
      </c>
    </row>
    <row r="3016" spans="1:12" x14ac:dyDescent="0.25">
      <c r="A3016">
        <v>3130101</v>
      </c>
      <c r="B3016" t="str">
        <f t="shared" si="47"/>
        <v>IGARAPE, MG, Brasil</v>
      </c>
      <c r="C3016" s="4" t="str">
        <f>_xlfn.XLOOKUP(A3016,[1]!DadosGHD[CD_GEOCMU],[1]!DadosGHD[Região])</f>
        <v>SD</v>
      </c>
      <c r="D3016" s="4" t="str">
        <f>_xlfn.XLOOKUP(A3016,[1]!DadosGHD[CD_GEOCMU],[1]!DadosGHD[uf])</f>
        <v>MG</v>
      </c>
      <c r="E3016" s="5" t="str">
        <f>_xlfn.XLOOKUP(A3016,[1]!DadosGHD[CD_GEOCMU],[1]!DadosGHD[MUNICIPIO])</f>
        <v>IGARAPE</v>
      </c>
      <c r="F3016" s="6">
        <v>43.571098327636697</v>
      </c>
      <c r="G3016" s="6">
        <v>43.679023742675803</v>
      </c>
      <c r="H3016" s="6">
        <v>43.720302581787102</v>
      </c>
      <c r="I3016" s="6">
        <v>38.820003509521499</v>
      </c>
      <c r="J3016" s="6">
        <v>43.702426910400398</v>
      </c>
      <c r="K3016" s="6">
        <v>48.8244438171387</v>
      </c>
      <c r="L3016" s="6">
        <v>52.989219665527301</v>
      </c>
    </row>
    <row r="3017" spans="1:12" x14ac:dyDescent="0.25">
      <c r="A3017">
        <v>4201000</v>
      </c>
      <c r="B3017" t="str">
        <f t="shared" si="47"/>
        <v>ANITA GARIBALDI, SC, Brasil</v>
      </c>
      <c r="C3017" s="4" t="str">
        <f>_xlfn.XLOOKUP(A3017,[1]!DadosGHD[CD_GEOCMU],[1]!DadosGHD[Região])</f>
        <v>SL</v>
      </c>
      <c r="D3017" s="4" t="str">
        <f>_xlfn.XLOOKUP(A3017,[1]!DadosGHD[CD_GEOCMU],[1]!DadosGHD[uf])</f>
        <v>SC</v>
      </c>
      <c r="E3017" s="5" t="str">
        <f>_xlfn.XLOOKUP(A3017,[1]!DadosGHD[CD_GEOCMU],[1]!DadosGHD[MUNICIPIO])</f>
        <v>ANITA GARIBALDI</v>
      </c>
      <c r="F3017" s="6">
        <v>43.571151733398402</v>
      </c>
      <c r="G3017" s="6">
        <v>43.737388610839801</v>
      </c>
      <c r="H3017" s="6">
        <v>43.7918891906738</v>
      </c>
      <c r="I3017" s="6">
        <v>43.768608093261697</v>
      </c>
      <c r="J3017" s="6">
        <v>48.718177795410199</v>
      </c>
      <c r="K3017" s="6">
        <v>43.816417694091797</v>
      </c>
      <c r="L3017" s="6">
        <v>35.117469787597699</v>
      </c>
    </row>
    <row r="3018" spans="1:12" x14ac:dyDescent="0.25">
      <c r="A3018">
        <v>2921005</v>
      </c>
      <c r="B3018" t="str">
        <f t="shared" si="47"/>
        <v>MATA DE SAO JOAO, BA, Brasil</v>
      </c>
      <c r="C3018" s="4" t="str">
        <f>_xlfn.XLOOKUP(A3018,[1]!DadosGHD[CD_GEOCMU],[1]!DadosGHD[Região])</f>
        <v>NE</v>
      </c>
      <c r="D3018" s="4" t="str">
        <f>_xlfn.XLOOKUP(A3018,[1]!DadosGHD[CD_GEOCMU],[1]!DadosGHD[uf])</f>
        <v>BA</v>
      </c>
      <c r="E3018" s="5" t="str">
        <f>_xlfn.XLOOKUP(A3018,[1]!DadosGHD[CD_GEOCMU],[1]!DadosGHD[MUNICIPIO])</f>
        <v>MATA DE SAO JOAO</v>
      </c>
      <c r="F3018" s="6">
        <v>43.571487426757798</v>
      </c>
      <c r="G3018" s="6">
        <v>38.72119140625</v>
      </c>
      <c r="H3018" s="6">
        <v>38.797462463378899</v>
      </c>
      <c r="I3018" s="6">
        <v>38.812370300292997</v>
      </c>
      <c r="J3018" s="6">
        <v>43.703208923339801</v>
      </c>
      <c r="K3018" s="6">
        <v>38.844429016113303</v>
      </c>
      <c r="L3018" s="6">
        <v>35.1351318359375</v>
      </c>
    </row>
    <row r="3019" spans="1:12" x14ac:dyDescent="0.25">
      <c r="A3019">
        <v>4121109</v>
      </c>
      <c r="B3019" t="str">
        <f t="shared" si="47"/>
        <v>QUINTA DO SOL, PR, Brasil</v>
      </c>
      <c r="C3019" s="4" t="str">
        <f>_xlfn.XLOOKUP(A3019,[1]!DadosGHD[CD_GEOCMU],[1]!DadosGHD[Região])</f>
        <v>SL</v>
      </c>
      <c r="D3019" s="4" t="str">
        <f>_xlfn.XLOOKUP(A3019,[1]!DadosGHD[CD_GEOCMU],[1]!DadosGHD[uf])</f>
        <v>PR</v>
      </c>
      <c r="E3019" s="5" t="str">
        <f>_xlfn.XLOOKUP(A3019,[1]!DadosGHD[CD_GEOCMU],[1]!DadosGHD[MUNICIPIO])</f>
        <v>QUINTA DO SOL</v>
      </c>
      <c r="F3019" s="6">
        <v>43.571525573730497</v>
      </c>
      <c r="G3019" s="6">
        <v>43.7222290039063</v>
      </c>
      <c r="H3019" s="6">
        <v>43.806854248046903</v>
      </c>
      <c r="I3019" s="6">
        <v>43.792770385742202</v>
      </c>
      <c r="J3019" s="6">
        <v>43.755611419677699</v>
      </c>
      <c r="K3019" s="6">
        <v>38.879344940185597</v>
      </c>
      <c r="L3019" s="6">
        <v>39.5922241210938</v>
      </c>
    </row>
    <row r="3020" spans="1:12" x14ac:dyDescent="0.25">
      <c r="A3020">
        <v>5107941</v>
      </c>
      <c r="B3020" t="str">
        <f t="shared" si="47"/>
        <v>TABAPORA, MT, Brasil</v>
      </c>
      <c r="C3020" s="4" t="str">
        <f>_xlfn.XLOOKUP(A3020,[1]!DadosGHD[CD_GEOCMU],[1]!DadosGHD[Região])</f>
        <v>CO</v>
      </c>
      <c r="D3020" s="4" t="str">
        <f>_xlfn.XLOOKUP(A3020,[1]!DadosGHD[CD_GEOCMU],[1]!DadosGHD[uf])</f>
        <v>MT</v>
      </c>
      <c r="E3020" s="5" t="str">
        <f>_xlfn.XLOOKUP(A3020,[1]!DadosGHD[CD_GEOCMU],[1]!DadosGHD[MUNICIPIO])</f>
        <v>TABAPORA</v>
      </c>
      <c r="F3020" s="6">
        <v>43.571620941162102</v>
      </c>
      <c r="G3020" s="6">
        <v>48.667327880859403</v>
      </c>
      <c r="H3020" s="6">
        <v>48.720500946044901</v>
      </c>
      <c r="I3020" s="6">
        <v>48.75439453125</v>
      </c>
      <c r="J3020" s="6">
        <v>53.7315483093262</v>
      </c>
      <c r="K3020" s="6">
        <v>53.861774444580099</v>
      </c>
      <c r="L3020" s="6">
        <v>44.0501708984375</v>
      </c>
    </row>
    <row r="3021" spans="1:12" x14ac:dyDescent="0.25">
      <c r="A3021">
        <v>1100320</v>
      </c>
      <c r="B3021" t="str">
        <f t="shared" si="47"/>
        <v>SAO MIGUEL DO GUAPORE, RO, Brasil</v>
      </c>
      <c r="C3021" s="4" t="str">
        <f>_xlfn.XLOOKUP(A3021,[1]!DadosGHD[CD_GEOCMU],[1]!DadosGHD[Região])</f>
        <v>NO</v>
      </c>
      <c r="D3021" s="4" t="str">
        <f>_xlfn.XLOOKUP(A3021,[1]!DadosGHD[CD_GEOCMU],[1]!DadosGHD[uf])</f>
        <v>RO</v>
      </c>
      <c r="E3021" s="5" t="str">
        <f>_xlfn.XLOOKUP(A3021,[1]!DadosGHD[CD_GEOCMU],[1]!DadosGHD[MUNICIPIO])</f>
        <v>SAO MIGUEL DO GUAPORE</v>
      </c>
      <c r="F3021" s="6">
        <v>43.571670532226598</v>
      </c>
      <c r="G3021" s="6">
        <v>43.6993408203125</v>
      </c>
      <c r="H3021" s="6">
        <v>43.7706108093262</v>
      </c>
      <c r="I3021" s="6">
        <v>43.744880676269503</v>
      </c>
      <c r="J3021" s="6">
        <v>43.763206481933601</v>
      </c>
      <c r="K3021" s="6">
        <v>48.773246765136697</v>
      </c>
      <c r="L3021" s="6">
        <v>35.136405944824197</v>
      </c>
    </row>
    <row r="3022" spans="1:12" x14ac:dyDescent="0.25">
      <c r="A3022">
        <v>5211800</v>
      </c>
      <c r="B3022" t="str">
        <f t="shared" si="47"/>
        <v>JARAGUA, GO, Brasil</v>
      </c>
      <c r="C3022" s="4" t="str">
        <f>_xlfn.XLOOKUP(A3022,[1]!DadosGHD[CD_GEOCMU],[1]!DadosGHD[Região])</f>
        <v>CO</v>
      </c>
      <c r="D3022" s="4" t="str">
        <f>_xlfn.XLOOKUP(A3022,[1]!DadosGHD[CD_GEOCMU],[1]!DadosGHD[uf])</f>
        <v>GO</v>
      </c>
      <c r="E3022" s="5" t="str">
        <f>_xlfn.XLOOKUP(A3022,[1]!DadosGHD[CD_GEOCMU],[1]!DadosGHD[MUNICIPIO])</f>
        <v>JARAGUA</v>
      </c>
      <c r="F3022" s="6">
        <v>43.571731567382798</v>
      </c>
      <c r="G3022" s="6">
        <v>43.669075012207003</v>
      </c>
      <c r="H3022" s="6">
        <v>38.846809387207003</v>
      </c>
      <c r="I3022" s="6">
        <v>38.802001953125</v>
      </c>
      <c r="J3022" s="6">
        <v>38.845657348632798</v>
      </c>
      <c r="K3022" s="6">
        <v>38.865936279296903</v>
      </c>
      <c r="L3022" s="6">
        <v>39.586917877197301</v>
      </c>
    </row>
    <row r="3023" spans="1:12" x14ac:dyDescent="0.25">
      <c r="A3023">
        <v>3204658</v>
      </c>
      <c r="B3023" t="str">
        <f t="shared" si="47"/>
        <v>SAO DOMINGOS DO NORTE, ES, Brasil</v>
      </c>
      <c r="C3023" s="4" t="str">
        <f>_xlfn.XLOOKUP(A3023,[1]!DadosGHD[CD_GEOCMU],[1]!DadosGHD[Região])</f>
        <v>SD</v>
      </c>
      <c r="D3023" s="4" t="str">
        <f>_xlfn.XLOOKUP(A3023,[1]!DadosGHD[CD_GEOCMU],[1]!DadosGHD[uf])</f>
        <v>ES</v>
      </c>
      <c r="E3023" s="5" t="str">
        <f>_xlfn.XLOOKUP(A3023,[1]!DadosGHD[CD_GEOCMU],[1]!DadosGHD[MUNICIPIO])</f>
        <v>SAO DOMINGOS DO NORTE</v>
      </c>
      <c r="F3023" s="6">
        <v>43.571884155273402</v>
      </c>
      <c r="G3023" s="6">
        <v>43.706745147705099</v>
      </c>
      <c r="H3023" s="6">
        <v>43.776321411132798</v>
      </c>
      <c r="I3023" s="6">
        <v>38.805614471435597</v>
      </c>
      <c r="J3023" s="6">
        <v>38.809867858886697</v>
      </c>
      <c r="K3023" s="6">
        <v>38.837455749511697</v>
      </c>
      <c r="L3023" s="6">
        <v>35.152015686035199</v>
      </c>
    </row>
    <row r="3024" spans="1:12" x14ac:dyDescent="0.25">
      <c r="A3024">
        <v>3203403</v>
      </c>
      <c r="B3024" t="str">
        <f t="shared" si="47"/>
        <v>MIMOSO DO SUL, ES, Brasil</v>
      </c>
      <c r="C3024" s="4" t="str">
        <f>_xlfn.XLOOKUP(A3024,[1]!DadosGHD[CD_GEOCMU],[1]!DadosGHD[Região])</f>
        <v>SD</v>
      </c>
      <c r="D3024" s="4" t="str">
        <f>_xlfn.XLOOKUP(A3024,[1]!DadosGHD[CD_GEOCMU],[1]!DadosGHD[uf])</f>
        <v>ES</v>
      </c>
      <c r="E3024" s="5" t="str">
        <f>_xlfn.XLOOKUP(A3024,[1]!DadosGHD[CD_GEOCMU],[1]!DadosGHD[MUNICIPIO])</f>
        <v>MIMOSO DO SUL</v>
      </c>
      <c r="F3024" s="6">
        <v>43.572238922119098</v>
      </c>
      <c r="G3024" s="6">
        <v>43.669792175292997</v>
      </c>
      <c r="H3024" s="6">
        <v>43.764324188232401</v>
      </c>
      <c r="I3024" s="6">
        <v>43.734352111816399</v>
      </c>
      <c r="J3024" s="6">
        <v>43.759403228759801</v>
      </c>
      <c r="K3024" s="6">
        <v>43.780548095703097</v>
      </c>
      <c r="L3024" s="6">
        <v>39.569652557373097</v>
      </c>
    </row>
    <row r="3025" spans="1:12" x14ac:dyDescent="0.25">
      <c r="A3025">
        <v>2209807</v>
      </c>
      <c r="B3025" t="str">
        <f t="shared" si="47"/>
        <v>SAO GONCALO DO PIAUI, PI, Brasil</v>
      </c>
      <c r="C3025" s="4" t="str">
        <f>_xlfn.XLOOKUP(A3025,[1]!DadosGHD[CD_GEOCMU],[1]!DadosGHD[Região])</f>
        <v>NE</v>
      </c>
      <c r="D3025" s="4" t="str">
        <f>_xlfn.XLOOKUP(A3025,[1]!DadosGHD[CD_GEOCMU],[1]!DadosGHD[uf])</f>
        <v>PI</v>
      </c>
      <c r="E3025" s="5" t="str">
        <f>_xlfn.XLOOKUP(A3025,[1]!DadosGHD[CD_GEOCMU],[1]!DadosGHD[MUNICIPIO])</f>
        <v>SAO GONCALO DO PIAUI</v>
      </c>
      <c r="F3025" s="6">
        <v>43.572307586669901</v>
      </c>
      <c r="G3025" s="6">
        <v>43.692882537841797</v>
      </c>
      <c r="H3025" s="6">
        <v>43.775726318359403</v>
      </c>
      <c r="I3025" s="6">
        <v>43.776790618896499</v>
      </c>
      <c r="J3025" s="6">
        <v>43.792060852050803</v>
      </c>
      <c r="K3025" s="6">
        <v>38.890308380127003</v>
      </c>
      <c r="L3025" s="6">
        <v>35.158473968505902</v>
      </c>
    </row>
    <row r="3026" spans="1:12" x14ac:dyDescent="0.25">
      <c r="A3026">
        <v>4206009</v>
      </c>
      <c r="B3026" t="str">
        <f t="shared" si="47"/>
        <v>GOVERNADOR CELSO RAMOS, SC, Brasil</v>
      </c>
      <c r="C3026" s="4" t="str">
        <f>_xlfn.XLOOKUP(A3026,[1]!DadosGHD[CD_GEOCMU],[1]!DadosGHD[Região])</f>
        <v>SL</v>
      </c>
      <c r="D3026" s="4" t="str">
        <f>_xlfn.XLOOKUP(A3026,[1]!DadosGHD[CD_GEOCMU],[1]!DadosGHD[uf])</f>
        <v>SC</v>
      </c>
      <c r="E3026" s="5" t="str">
        <f>_xlfn.XLOOKUP(A3026,[1]!DadosGHD[CD_GEOCMU],[1]!DadosGHD[MUNICIPIO])</f>
        <v>GOVERNADOR CELSO RAMOS</v>
      </c>
      <c r="F3026" s="6">
        <v>43.572307586669901</v>
      </c>
      <c r="G3026" s="6">
        <v>38.763572692871101</v>
      </c>
      <c r="H3026" s="6">
        <v>43.835464477539098</v>
      </c>
      <c r="I3026" s="6">
        <v>48.8130073547363</v>
      </c>
      <c r="J3026" s="6">
        <v>48.809028625488303</v>
      </c>
      <c r="K3026" s="6">
        <v>48.905097961425803</v>
      </c>
      <c r="L3026" s="6">
        <v>57.557193756103501</v>
      </c>
    </row>
    <row r="3027" spans="1:12" x14ac:dyDescent="0.25">
      <c r="A3027">
        <v>3159001</v>
      </c>
      <c r="B3027" t="str">
        <f t="shared" si="47"/>
        <v>SANTANA DO RIACHO, MG, Brasil</v>
      </c>
      <c r="C3027" s="4" t="str">
        <f>_xlfn.XLOOKUP(A3027,[1]!DadosGHD[CD_GEOCMU],[1]!DadosGHD[Região])</f>
        <v>SD</v>
      </c>
      <c r="D3027" s="4" t="str">
        <f>_xlfn.XLOOKUP(A3027,[1]!DadosGHD[CD_GEOCMU],[1]!DadosGHD[uf])</f>
        <v>MG</v>
      </c>
      <c r="E3027" s="5" t="str">
        <f>_xlfn.XLOOKUP(A3027,[1]!DadosGHD[CD_GEOCMU],[1]!DadosGHD[MUNICIPIO])</f>
        <v>SANTANA DO RIACHO</v>
      </c>
      <c r="F3027" s="6">
        <v>43.572483062744098</v>
      </c>
      <c r="G3027" s="6">
        <v>38.745662689208999</v>
      </c>
      <c r="H3027" s="6">
        <v>38.8335571289063</v>
      </c>
      <c r="I3027" s="6">
        <v>43.715888977050803</v>
      </c>
      <c r="J3027" s="6">
        <v>48.715587615966797</v>
      </c>
      <c r="K3027" s="6">
        <v>43.883377075195298</v>
      </c>
      <c r="L3027" s="6">
        <v>44.031341552734403</v>
      </c>
    </row>
    <row r="3028" spans="1:12" x14ac:dyDescent="0.25">
      <c r="A3028">
        <v>5215405</v>
      </c>
      <c r="B3028" t="str">
        <f t="shared" si="47"/>
        <v>OURO VERDE DE GOIAS, GO, Brasil</v>
      </c>
      <c r="C3028" s="4" t="str">
        <f>_xlfn.XLOOKUP(A3028,[1]!DadosGHD[CD_GEOCMU],[1]!DadosGHD[Região])</f>
        <v>CO</v>
      </c>
      <c r="D3028" s="4" t="str">
        <f>_xlfn.XLOOKUP(A3028,[1]!DadosGHD[CD_GEOCMU],[1]!DadosGHD[uf])</f>
        <v>GO</v>
      </c>
      <c r="E3028" s="5" t="str">
        <f>_xlfn.XLOOKUP(A3028,[1]!DadosGHD[CD_GEOCMU],[1]!DadosGHD[MUNICIPIO])</f>
        <v>OURO VERDE DE GOIAS</v>
      </c>
      <c r="F3028" s="6">
        <v>43.572620391845703</v>
      </c>
      <c r="G3028" s="6">
        <v>48.638660430908203</v>
      </c>
      <c r="H3028" s="6">
        <v>48.7658081054688</v>
      </c>
      <c r="I3028" s="6">
        <v>48.780796051025398</v>
      </c>
      <c r="J3028" s="6">
        <v>48.818599700927699</v>
      </c>
      <c r="K3028" s="6">
        <v>48.874195098877003</v>
      </c>
      <c r="L3028" s="6">
        <v>39.600875854492202</v>
      </c>
    </row>
    <row r="3029" spans="1:12" x14ac:dyDescent="0.25">
      <c r="A3029">
        <v>3139805</v>
      </c>
      <c r="B3029" t="str">
        <f t="shared" si="47"/>
        <v>MAR DE ESPANHA, MG, Brasil</v>
      </c>
      <c r="C3029" s="4" t="str">
        <f>_xlfn.XLOOKUP(A3029,[1]!DadosGHD[CD_GEOCMU],[1]!DadosGHD[Região])</f>
        <v>SD</v>
      </c>
      <c r="D3029" s="4" t="str">
        <f>_xlfn.XLOOKUP(A3029,[1]!DadosGHD[CD_GEOCMU],[1]!DadosGHD[uf])</f>
        <v>MG</v>
      </c>
      <c r="E3029" s="5" t="str">
        <f>_xlfn.XLOOKUP(A3029,[1]!DadosGHD[CD_GEOCMU],[1]!DadosGHD[MUNICIPIO])</f>
        <v>MAR DE ESPANHA</v>
      </c>
      <c r="F3029" s="6">
        <v>43.573028564453097</v>
      </c>
      <c r="G3029" s="6">
        <v>43.673530578613303</v>
      </c>
      <c r="H3029" s="6">
        <v>43.770046234130902</v>
      </c>
      <c r="I3029" s="6">
        <v>43.749526977539098</v>
      </c>
      <c r="J3029" s="6">
        <v>43.769134521484403</v>
      </c>
      <c r="K3029" s="6">
        <v>48.784011840820298</v>
      </c>
      <c r="L3029" s="6">
        <v>53.008945465087898</v>
      </c>
    </row>
    <row r="3030" spans="1:12" x14ac:dyDescent="0.25">
      <c r="A3030">
        <v>4212304</v>
      </c>
      <c r="B3030" t="str">
        <f t="shared" si="47"/>
        <v>PAULO LOPES, SC, Brasil</v>
      </c>
      <c r="C3030" s="4" t="str">
        <f>_xlfn.XLOOKUP(A3030,[1]!DadosGHD[CD_GEOCMU],[1]!DadosGHD[Região])</f>
        <v>SL</v>
      </c>
      <c r="D3030" s="4" t="str">
        <f>_xlfn.XLOOKUP(A3030,[1]!DadosGHD[CD_GEOCMU],[1]!DadosGHD[uf])</f>
        <v>SC</v>
      </c>
      <c r="E3030" s="5" t="str">
        <f>_xlfn.XLOOKUP(A3030,[1]!DadosGHD[CD_GEOCMU],[1]!DadosGHD[MUNICIPIO])</f>
        <v>PAULO LOPES</v>
      </c>
      <c r="F3030" s="6">
        <v>43.573097229003899</v>
      </c>
      <c r="G3030" s="6">
        <v>48.6531372070313</v>
      </c>
      <c r="H3030" s="6">
        <v>43.792957305908203</v>
      </c>
      <c r="I3030" s="6">
        <v>48.820690155029297</v>
      </c>
      <c r="J3030" s="6">
        <v>53.832664489746101</v>
      </c>
      <c r="K3030" s="6">
        <v>58.993492126464801</v>
      </c>
      <c r="L3030" s="6">
        <v>57.589881896972699</v>
      </c>
    </row>
    <row r="3031" spans="1:12" x14ac:dyDescent="0.25">
      <c r="A3031">
        <v>3101631</v>
      </c>
      <c r="B3031" t="str">
        <f t="shared" si="47"/>
        <v>ALFREDO VASCONCELOS, MG, Brasil</v>
      </c>
      <c r="C3031" s="4" t="str">
        <f>_xlfn.XLOOKUP(A3031,[1]!DadosGHD[CD_GEOCMU],[1]!DadosGHD[Região])</f>
        <v>SD</v>
      </c>
      <c r="D3031" s="4" t="str">
        <f>_xlfn.XLOOKUP(A3031,[1]!DadosGHD[CD_GEOCMU],[1]!DadosGHD[uf])</f>
        <v>MG</v>
      </c>
      <c r="E3031" s="5" t="str">
        <f>_xlfn.XLOOKUP(A3031,[1]!DadosGHD[CD_GEOCMU],[1]!DadosGHD[MUNICIPIO])</f>
        <v>ALFREDO VASCONCELOS</v>
      </c>
      <c r="F3031" s="6">
        <v>43.573360443115199</v>
      </c>
      <c r="G3031" s="6">
        <v>43.707592010498097</v>
      </c>
      <c r="H3031" s="6">
        <v>43.8166313171387</v>
      </c>
      <c r="I3031" s="6">
        <v>48.731399536132798</v>
      </c>
      <c r="J3031" s="6">
        <v>48.771751403808601</v>
      </c>
      <c r="K3031" s="6">
        <v>48.806053161621101</v>
      </c>
      <c r="L3031" s="6">
        <v>48.530838012695298</v>
      </c>
    </row>
    <row r="3032" spans="1:12" x14ac:dyDescent="0.25">
      <c r="A3032">
        <v>3132602</v>
      </c>
      <c r="B3032" t="str">
        <f t="shared" si="47"/>
        <v>ITAMARATI DE MINAS, MG, Brasil</v>
      </c>
      <c r="C3032" s="4" t="str">
        <f>_xlfn.XLOOKUP(A3032,[1]!DadosGHD[CD_GEOCMU],[1]!DadosGHD[Região])</f>
        <v>SD</v>
      </c>
      <c r="D3032" s="4" t="str">
        <f>_xlfn.XLOOKUP(A3032,[1]!DadosGHD[CD_GEOCMU],[1]!DadosGHD[uf])</f>
        <v>MG</v>
      </c>
      <c r="E3032" s="5" t="str">
        <f>_xlfn.XLOOKUP(A3032,[1]!DadosGHD[CD_GEOCMU],[1]!DadosGHD[MUNICIPIO])</f>
        <v>ITAMARATI DE MINAS</v>
      </c>
      <c r="F3032" s="6">
        <v>43.573539733886697</v>
      </c>
      <c r="G3032" s="6">
        <v>43.739109039306598</v>
      </c>
      <c r="H3032" s="6">
        <v>48.775009155273402</v>
      </c>
      <c r="I3032" s="6">
        <v>48.794158935546903</v>
      </c>
      <c r="J3032" s="6">
        <v>48.783973693847699</v>
      </c>
      <c r="K3032" s="6">
        <v>48.7734985351563</v>
      </c>
      <c r="L3032" s="6">
        <v>44.036415100097699</v>
      </c>
    </row>
    <row r="3033" spans="1:12" x14ac:dyDescent="0.25">
      <c r="A3033">
        <v>4305959</v>
      </c>
      <c r="B3033" t="str">
        <f t="shared" si="47"/>
        <v>COTIPORA, RS, Brasil</v>
      </c>
      <c r="C3033" s="4" t="str">
        <f>_xlfn.XLOOKUP(A3033,[1]!DadosGHD[CD_GEOCMU],[1]!DadosGHD[Região])</f>
        <v>SL</v>
      </c>
      <c r="D3033" s="4" t="str">
        <f>_xlfn.XLOOKUP(A3033,[1]!DadosGHD[CD_GEOCMU],[1]!DadosGHD[uf])</f>
        <v>RS</v>
      </c>
      <c r="E3033" s="5" t="str">
        <f>_xlfn.XLOOKUP(A3033,[1]!DadosGHD[CD_GEOCMU],[1]!DadosGHD[MUNICIPIO])</f>
        <v>COTIPORA</v>
      </c>
      <c r="F3033" s="6">
        <v>43.573677062988303</v>
      </c>
      <c r="G3033" s="6">
        <v>43.6918334960938</v>
      </c>
      <c r="H3033" s="6">
        <v>43.790351867675803</v>
      </c>
      <c r="I3033" s="6">
        <v>48.727916717529297</v>
      </c>
      <c r="J3033" s="6">
        <v>48.742191314697301</v>
      </c>
      <c r="K3033" s="6">
        <v>48.798492431640597</v>
      </c>
      <c r="L3033" s="6">
        <v>44.035362243652301</v>
      </c>
    </row>
    <row r="3034" spans="1:12" x14ac:dyDescent="0.25">
      <c r="A3034">
        <v>3135100</v>
      </c>
      <c r="B3034" t="str">
        <f t="shared" si="47"/>
        <v>JANAUBA, MG, Brasil</v>
      </c>
      <c r="C3034" s="4" t="str">
        <f>_xlfn.XLOOKUP(A3034,[1]!DadosGHD[CD_GEOCMU],[1]!DadosGHD[Região])</f>
        <v>SD</v>
      </c>
      <c r="D3034" s="4" t="str">
        <f>_xlfn.XLOOKUP(A3034,[1]!DadosGHD[CD_GEOCMU],[1]!DadosGHD[uf])</f>
        <v>MG</v>
      </c>
      <c r="E3034" s="5" t="str">
        <f>_xlfn.XLOOKUP(A3034,[1]!DadosGHD[CD_GEOCMU],[1]!DadosGHD[MUNICIPIO])</f>
        <v>JANAUBA</v>
      </c>
      <c r="F3034" s="6">
        <v>43.573802947998097</v>
      </c>
      <c r="G3034" s="6">
        <v>43.695709228515597</v>
      </c>
      <c r="H3034" s="6">
        <v>48.761932373046903</v>
      </c>
      <c r="I3034" s="6">
        <v>48.723503112792997</v>
      </c>
      <c r="J3034" s="6">
        <v>43.748580932617202</v>
      </c>
      <c r="K3034" s="6">
        <v>38.857559204101598</v>
      </c>
      <c r="L3034" s="6">
        <v>39.594272613525398</v>
      </c>
    </row>
    <row r="3035" spans="1:12" x14ac:dyDescent="0.25">
      <c r="A3035">
        <v>1703867</v>
      </c>
      <c r="B3035" t="str">
        <f t="shared" si="47"/>
        <v>CARIRI DO TOCANTINS, TO, Brasil</v>
      </c>
      <c r="C3035" s="4" t="str">
        <f>_xlfn.XLOOKUP(A3035,[1]!DadosGHD[CD_GEOCMU],[1]!DadosGHD[Região])</f>
        <v>NO</v>
      </c>
      <c r="D3035" s="4" t="str">
        <f>_xlfn.XLOOKUP(A3035,[1]!DadosGHD[CD_GEOCMU],[1]!DadosGHD[uf])</f>
        <v>TO</v>
      </c>
      <c r="E3035" s="5" t="str">
        <f>_xlfn.XLOOKUP(A3035,[1]!DadosGHD[CD_GEOCMU],[1]!DadosGHD[MUNICIPIO])</f>
        <v>CARIRI DO TOCANTINS</v>
      </c>
      <c r="F3035" s="6">
        <v>43.573822021484403</v>
      </c>
      <c r="G3035" s="6">
        <v>38.774044036865199</v>
      </c>
      <c r="H3035" s="6">
        <v>38.822731018066399</v>
      </c>
      <c r="I3035" s="6">
        <v>38.784515380859403</v>
      </c>
      <c r="J3035" s="6">
        <v>38.781295776367202</v>
      </c>
      <c r="K3035" s="6">
        <v>38.789398193359403</v>
      </c>
      <c r="L3035" s="6">
        <v>30.707801818847699</v>
      </c>
    </row>
    <row r="3036" spans="1:12" x14ac:dyDescent="0.25">
      <c r="A3036">
        <v>3102407</v>
      </c>
      <c r="B3036" t="str">
        <f t="shared" si="47"/>
        <v>ALVORADA DE MINAS, MG, Brasil</v>
      </c>
      <c r="C3036" s="4" t="str">
        <f>_xlfn.XLOOKUP(A3036,[1]!DadosGHD[CD_GEOCMU],[1]!DadosGHD[Região])</f>
        <v>SD</v>
      </c>
      <c r="D3036" s="4" t="str">
        <f>_xlfn.XLOOKUP(A3036,[1]!DadosGHD[CD_GEOCMU],[1]!DadosGHD[uf])</f>
        <v>MG</v>
      </c>
      <c r="E3036" s="5" t="str">
        <f>_xlfn.XLOOKUP(A3036,[1]!DadosGHD[CD_GEOCMU],[1]!DadosGHD[MUNICIPIO])</f>
        <v>ALVORADA DE MINAS</v>
      </c>
      <c r="F3036" s="6">
        <v>43.573886871337898</v>
      </c>
      <c r="G3036" s="6">
        <v>38.749477386474602</v>
      </c>
      <c r="H3036" s="6">
        <v>38.809318542480497</v>
      </c>
      <c r="I3036" s="6">
        <v>38.815525054931598</v>
      </c>
      <c r="J3036" s="6">
        <v>43.721607208252003</v>
      </c>
      <c r="K3036" s="6">
        <v>43.776447296142599</v>
      </c>
      <c r="L3036" s="6">
        <v>44.038047790527301</v>
      </c>
    </row>
    <row r="3037" spans="1:12" x14ac:dyDescent="0.25">
      <c r="A3037">
        <v>3550209</v>
      </c>
      <c r="B3037" t="str">
        <f t="shared" si="47"/>
        <v>SAO MIGUEL ARCANJO, SP, Brasil</v>
      </c>
      <c r="C3037" s="4" t="str">
        <f>_xlfn.XLOOKUP(A3037,[1]!DadosGHD[CD_GEOCMU],[1]!DadosGHD[Região])</f>
        <v>SD</v>
      </c>
      <c r="D3037" s="4" t="str">
        <f>_xlfn.XLOOKUP(A3037,[1]!DadosGHD[CD_GEOCMU],[1]!DadosGHD[uf])</f>
        <v>SP</v>
      </c>
      <c r="E3037" s="5" t="str">
        <f>_xlfn.XLOOKUP(A3037,[1]!DadosGHD[CD_GEOCMU],[1]!DadosGHD[MUNICIPIO])</f>
        <v>SAO MIGUEL ARCANJO</v>
      </c>
      <c r="F3037" s="6">
        <v>43.573921203613303</v>
      </c>
      <c r="G3037" s="6">
        <v>43.637859344482401</v>
      </c>
      <c r="H3037" s="6">
        <v>43.715785980224602</v>
      </c>
      <c r="I3037" s="6">
        <v>43.698341369628899</v>
      </c>
      <c r="J3037" s="6">
        <v>43.735836029052699</v>
      </c>
      <c r="K3037" s="6">
        <v>43.771091461181598</v>
      </c>
      <c r="L3037" s="6">
        <v>39.575649261474602</v>
      </c>
    </row>
    <row r="3038" spans="1:12" x14ac:dyDescent="0.25">
      <c r="A3038">
        <v>3102308</v>
      </c>
      <c r="B3038" t="str">
        <f t="shared" si="47"/>
        <v>ALVINOPOLIS, MG, Brasil</v>
      </c>
      <c r="C3038" s="4" t="str">
        <f>_xlfn.XLOOKUP(A3038,[1]!DadosGHD[CD_GEOCMU],[1]!DadosGHD[Região])</f>
        <v>SD</v>
      </c>
      <c r="D3038" s="4" t="str">
        <f>_xlfn.XLOOKUP(A3038,[1]!DadosGHD[CD_GEOCMU],[1]!DadosGHD[uf])</f>
        <v>MG</v>
      </c>
      <c r="E3038" s="5" t="str">
        <f>_xlfn.XLOOKUP(A3038,[1]!DadosGHD[CD_GEOCMU],[1]!DadosGHD[MUNICIPIO])</f>
        <v>ALVINOPOLIS</v>
      </c>
      <c r="F3038" s="6">
        <v>43.574180603027301</v>
      </c>
      <c r="G3038" s="6">
        <v>43.731468200683601</v>
      </c>
      <c r="H3038" s="6">
        <v>43.812549591064503</v>
      </c>
      <c r="I3038" s="6">
        <v>48.6824951171875</v>
      </c>
      <c r="J3038" s="6">
        <v>48.735801696777301</v>
      </c>
      <c r="K3038" s="6">
        <v>48.785572052002003</v>
      </c>
      <c r="L3038" s="6">
        <v>48.5130004882813</v>
      </c>
    </row>
    <row r="3039" spans="1:12" x14ac:dyDescent="0.25">
      <c r="A3039">
        <v>4102604</v>
      </c>
      <c r="B3039" t="str">
        <f t="shared" si="47"/>
        <v>BARRACAO, PR, Brasil</v>
      </c>
      <c r="C3039" s="4" t="str">
        <f>_xlfn.XLOOKUP(A3039,[1]!DadosGHD[CD_GEOCMU],[1]!DadosGHD[Região])</f>
        <v>SL</v>
      </c>
      <c r="D3039" s="4" t="str">
        <f>_xlfn.XLOOKUP(A3039,[1]!DadosGHD[CD_GEOCMU],[1]!DadosGHD[uf])</f>
        <v>PR</v>
      </c>
      <c r="E3039" s="5" t="str">
        <f>_xlfn.XLOOKUP(A3039,[1]!DadosGHD[CD_GEOCMU],[1]!DadosGHD[MUNICIPIO])</f>
        <v>BARRACAO</v>
      </c>
      <c r="F3039" s="6">
        <v>43.574264526367202</v>
      </c>
      <c r="G3039" s="6">
        <v>48.667137145996101</v>
      </c>
      <c r="H3039" s="6">
        <v>43.810955047607401</v>
      </c>
      <c r="I3039" s="6">
        <v>48.758167266845703</v>
      </c>
      <c r="J3039" s="6">
        <v>53.825546264648402</v>
      </c>
      <c r="K3039" s="6">
        <v>53.889644622802699</v>
      </c>
      <c r="L3039" s="6">
        <v>53.0322456359863</v>
      </c>
    </row>
    <row r="3040" spans="1:12" x14ac:dyDescent="0.25">
      <c r="A3040">
        <v>1718865</v>
      </c>
      <c r="B3040" t="str">
        <f t="shared" si="47"/>
        <v>SANTA FE DO ARAGUAIA, TO, Brasil</v>
      </c>
      <c r="C3040" s="4" t="str">
        <f>_xlfn.XLOOKUP(A3040,[1]!DadosGHD[CD_GEOCMU],[1]!DadosGHD[Região])</f>
        <v>NO</v>
      </c>
      <c r="D3040" s="4" t="str">
        <f>_xlfn.XLOOKUP(A3040,[1]!DadosGHD[CD_GEOCMU],[1]!DadosGHD[uf])</f>
        <v>TO</v>
      </c>
      <c r="E3040" s="5" t="str">
        <f>_xlfn.XLOOKUP(A3040,[1]!DadosGHD[CD_GEOCMU],[1]!DadosGHD[MUNICIPIO])</f>
        <v>SANTA FE DO ARAGUAIA</v>
      </c>
      <c r="F3040" s="6">
        <v>43.574607849121101</v>
      </c>
      <c r="G3040" s="6">
        <v>38.744213104248097</v>
      </c>
      <c r="H3040" s="6">
        <v>38.779441833496101</v>
      </c>
      <c r="I3040" s="6">
        <v>38.746265411377003</v>
      </c>
      <c r="J3040" s="6">
        <v>38.763008117675803</v>
      </c>
      <c r="K3040" s="6">
        <v>38.793586730957003</v>
      </c>
      <c r="L3040" s="6">
        <v>30.686943054199201</v>
      </c>
    </row>
    <row r="3041" spans="1:12" x14ac:dyDescent="0.25">
      <c r="A3041">
        <v>4303707</v>
      </c>
      <c r="B3041" t="str">
        <f t="shared" si="47"/>
        <v>CAMPINA DAS MISSOES, RS, Brasil</v>
      </c>
      <c r="C3041" s="4" t="str">
        <f>_xlfn.XLOOKUP(A3041,[1]!DadosGHD[CD_GEOCMU],[1]!DadosGHD[Região])</f>
        <v>SL</v>
      </c>
      <c r="D3041" s="4" t="str">
        <f>_xlfn.XLOOKUP(A3041,[1]!DadosGHD[CD_GEOCMU],[1]!DadosGHD[uf])</f>
        <v>RS</v>
      </c>
      <c r="E3041" s="5" t="str">
        <f>_xlfn.XLOOKUP(A3041,[1]!DadosGHD[CD_GEOCMU],[1]!DadosGHD[MUNICIPIO])</f>
        <v>CAMPINA DAS MISSOES</v>
      </c>
      <c r="F3041" s="6">
        <v>43.574855804443402</v>
      </c>
      <c r="G3041" s="6">
        <v>48.644424438476598</v>
      </c>
      <c r="H3041" s="6">
        <v>48.725532531738303</v>
      </c>
      <c r="I3041" s="6">
        <v>53.7463569641113</v>
      </c>
      <c r="J3041" s="6">
        <v>53.836544036865199</v>
      </c>
      <c r="K3041" s="6">
        <v>48.856010437011697</v>
      </c>
      <c r="L3041" s="6">
        <v>44.027065277099602</v>
      </c>
    </row>
    <row r="3042" spans="1:12" x14ac:dyDescent="0.25">
      <c r="A3042">
        <v>3554201</v>
      </c>
      <c r="B3042" t="str">
        <f t="shared" si="47"/>
        <v>TEJUPA, SP, Brasil</v>
      </c>
      <c r="C3042" s="4" t="str">
        <f>_xlfn.XLOOKUP(A3042,[1]!DadosGHD[CD_GEOCMU],[1]!DadosGHD[Região])</f>
        <v>SD</v>
      </c>
      <c r="D3042" s="4" t="str">
        <f>_xlfn.XLOOKUP(A3042,[1]!DadosGHD[CD_GEOCMU],[1]!DadosGHD[uf])</f>
        <v>SP</v>
      </c>
      <c r="E3042" s="5" t="str">
        <f>_xlfn.XLOOKUP(A3042,[1]!DadosGHD[CD_GEOCMU],[1]!DadosGHD[MUNICIPIO])</f>
        <v>TEJUPA</v>
      </c>
      <c r="F3042" s="6">
        <v>43.574886322021499</v>
      </c>
      <c r="G3042" s="6">
        <v>38.739830017089801</v>
      </c>
      <c r="H3042" s="6">
        <v>38.780818939208999</v>
      </c>
      <c r="I3042" s="6">
        <v>38.780036926269503</v>
      </c>
      <c r="J3042" s="6">
        <v>43.709300994873097</v>
      </c>
      <c r="K3042" s="6">
        <v>38.877937316894503</v>
      </c>
      <c r="L3042" s="6">
        <v>48.507686614990199</v>
      </c>
    </row>
    <row r="3043" spans="1:12" x14ac:dyDescent="0.25">
      <c r="A3043">
        <v>3106309</v>
      </c>
      <c r="B3043" t="str">
        <f t="shared" si="47"/>
        <v>BELO ORIENTE, MG, Brasil</v>
      </c>
      <c r="C3043" s="4" t="str">
        <f>_xlfn.XLOOKUP(A3043,[1]!DadosGHD[CD_GEOCMU],[1]!DadosGHD[Região])</f>
        <v>SD</v>
      </c>
      <c r="D3043" s="4" t="str">
        <f>_xlfn.XLOOKUP(A3043,[1]!DadosGHD[CD_GEOCMU],[1]!DadosGHD[uf])</f>
        <v>MG</v>
      </c>
      <c r="E3043" s="5" t="str">
        <f>_xlfn.XLOOKUP(A3043,[1]!DadosGHD[CD_GEOCMU],[1]!DadosGHD[MUNICIPIO])</f>
        <v>BELO ORIENTE</v>
      </c>
      <c r="F3043" s="6">
        <v>43.574939727783203</v>
      </c>
      <c r="G3043" s="6">
        <v>43.641933441162102</v>
      </c>
      <c r="H3043" s="6">
        <v>38.83203125</v>
      </c>
      <c r="I3043" s="6">
        <v>38.814399719238303</v>
      </c>
      <c r="J3043" s="6">
        <v>38.832000732421903</v>
      </c>
      <c r="K3043" s="6">
        <v>43.847305297851598</v>
      </c>
      <c r="L3043" s="6">
        <v>48.543918609619098</v>
      </c>
    </row>
    <row r="3044" spans="1:12" x14ac:dyDescent="0.25">
      <c r="A3044">
        <v>3111903</v>
      </c>
      <c r="B3044" t="str">
        <f t="shared" si="47"/>
        <v>CANA VERDE, MG, Brasil</v>
      </c>
      <c r="C3044" s="4" t="str">
        <f>_xlfn.XLOOKUP(A3044,[1]!DadosGHD[CD_GEOCMU],[1]!DadosGHD[Região])</f>
        <v>SD</v>
      </c>
      <c r="D3044" s="4" t="str">
        <f>_xlfn.XLOOKUP(A3044,[1]!DadosGHD[CD_GEOCMU],[1]!DadosGHD[uf])</f>
        <v>MG</v>
      </c>
      <c r="E3044" s="5" t="str">
        <f>_xlfn.XLOOKUP(A3044,[1]!DadosGHD[CD_GEOCMU],[1]!DadosGHD[MUNICIPIO])</f>
        <v>CANA VERDE</v>
      </c>
      <c r="F3044" s="6">
        <v>43.575153350830099</v>
      </c>
      <c r="G3044" s="6">
        <v>43.684768676757798</v>
      </c>
      <c r="H3044" s="6">
        <v>43.729061126708999</v>
      </c>
      <c r="I3044" s="6">
        <v>43.715755462646499</v>
      </c>
      <c r="J3044" s="6">
        <v>43.751266479492202</v>
      </c>
      <c r="K3044" s="6">
        <v>38.839405059814503</v>
      </c>
      <c r="L3044" s="6">
        <v>39.612838745117202</v>
      </c>
    </row>
    <row r="3045" spans="1:12" x14ac:dyDescent="0.25">
      <c r="A3045">
        <v>4110953</v>
      </c>
      <c r="B3045" t="str">
        <f t="shared" si="47"/>
        <v>ITAIPULANDIA, PR, Brasil</v>
      </c>
      <c r="C3045" s="4" t="str">
        <f>_xlfn.XLOOKUP(A3045,[1]!DadosGHD[CD_GEOCMU],[1]!DadosGHD[Região])</f>
        <v>SL</v>
      </c>
      <c r="D3045" s="4" t="str">
        <f>_xlfn.XLOOKUP(A3045,[1]!DadosGHD[CD_GEOCMU],[1]!DadosGHD[uf])</f>
        <v>PR</v>
      </c>
      <c r="E3045" s="5" t="str">
        <f>_xlfn.XLOOKUP(A3045,[1]!DadosGHD[CD_GEOCMU],[1]!DadosGHD[MUNICIPIO])</f>
        <v>ITAIPULANDIA</v>
      </c>
      <c r="F3045" s="6">
        <v>43.575153350830099</v>
      </c>
      <c r="G3045" s="6">
        <v>43.664710998535199</v>
      </c>
      <c r="H3045" s="6">
        <v>43.716930389404297</v>
      </c>
      <c r="I3045" s="6">
        <v>43.699256896972699</v>
      </c>
      <c r="J3045" s="6">
        <v>38.830776214599602</v>
      </c>
      <c r="K3045" s="6">
        <v>53.879989624023402</v>
      </c>
      <c r="L3045" s="6">
        <v>53.012279510498097</v>
      </c>
    </row>
    <row r="3046" spans="1:12" x14ac:dyDescent="0.25">
      <c r="A3046">
        <v>3203007</v>
      </c>
      <c r="B3046" t="str">
        <f t="shared" si="47"/>
        <v>IUNA, ES, Brasil</v>
      </c>
      <c r="C3046" s="4" t="str">
        <f>_xlfn.XLOOKUP(A3046,[1]!DadosGHD[CD_GEOCMU],[1]!DadosGHD[Região])</f>
        <v>SD</v>
      </c>
      <c r="D3046" s="4" t="str">
        <f>_xlfn.XLOOKUP(A3046,[1]!DadosGHD[CD_GEOCMU],[1]!DadosGHD[uf])</f>
        <v>ES</v>
      </c>
      <c r="E3046" s="5" t="str">
        <f>_xlfn.XLOOKUP(A3046,[1]!DadosGHD[CD_GEOCMU],[1]!DadosGHD[MUNICIPIO])</f>
        <v>IUNA</v>
      </c>
      <c r="F3046" s="6">
        <v>43.575767517089801</v>
      </c>
      <c r="G3046" s="6">
        <v>43.663459777832003</v>
      </c>
      <c r="H3046" s="6">
        <v>43.731002807617202</v>
      </c>
      <c r="I3046" s="6">
        <v>43.767856597900398</v>
      </c>
      <c r="J3046" s="6">
        <v>43.815006256103501</v>
      </c>
      <c r="K3046" s="6">
        <v>43.866523742675803</v>
      </c>
      <c r="L3046" s="6">
        <v>44.051170349121101</v>
      </c>
    </row>
    <row r="3047" spans="1:12" x14ac:dyDescent="0.25">
      <c r="A3047">
        <v>5221908</v>
      </c>
      <c r="B3047" t="str">
        <f t="shared" si="47"/>
        <v>VARJAO, GO, Brasil</v>
      </c>
      <c r="C3047" s="4" t="str">
        <f>_xlfn.XLOOKUP(A3047,[1]!DadosGHD[CD_GEOCMU],[1]!DadosGHD[Região])</f>
        <v>CO</v>
      </c>
      <c r="D3047" s="4" t="str">
        <f>_xlfn.XLOOKUP(A3047,[1]!DadosGHD[CD_GEOCMU],[1]!DadosGHD[uf])</f>
        <v>GO</v>
      </c>
      <c r="E3047" s="5" t="str">
        <f>_xlfn.XLOOKUP(A3047,[1]!DadosGHD[CD_GEOCMU],[1]!DadosGHD[MUNICIPIO])</f>
        <v>VARJAO</v>
      </c>
      <c r="F3047" s="6">
        <v>43.575878143310597</v>
      </c>
      <c r="G3047" s="6">
        <v>48.631595611572301</v>
      </c>
      <c r="H3047" s="6">
        <v>43.811931610107401</v>
      </c>
      <c r="I3047" s="6">
        <v>43.769046783447301</v>
      </c>
      <c r="J3047" s="6">
        <v>43.782268524169901</v>
      </c>
      <c r="K3047" s="6">
        <v>48.783660888671903</v>
      </c>
      <c r="L3047" s="6">
        <v>48.502532958984403</v>
      </c>
    </row>
    <row r="3048" spans="1:12" x14ac:dyDescent="0.25">
      <c r="A3048">
        <v>3554953</v>
      </c>
      <c r="B3048" t="str">
        <f t="shared" si="47"/>
        <v>TUIUTI, SP, Brasil</v>
      </c>
      <c r="C3048" s="4" t="str">
        <f>_xlfn.XLOOKUP(A3048,[1]!DadosGHD[CD_GEOCMU],[1]!DadosGHD[Região])</f>
        <v>SD</v>
      </c>
      <c r="D3048" s="4" t="str">
        <f>_xlfn.XLOOKUP(A3048,[1]!DadosGHD[CD_GEOCMU],[1]!DadosGHD[uf])</f>
        <v>SP</v>
      </c>
      <c r="E3048" s="5" t="str">
        <f>_xlfn.XLOOKUP(A3048,[1]!DadosGHD[CD_GEOCMU],[1]!DadosGHD[MUNICIPIO])</f>
        <v>TUIUTI</v>
      </c>
      <c r="F3048" s="6">
        <v>43.575878143310597</v>
      </c>
      <c r="G3048" s="6">
        <v>38.763072967529297</v>
      </c>
      <c r="H3048" s="6">
        <v>38.790813446044901</v>
      </c>
      <c r="I3048" s="6">
        <v>43.689689636230497</v>
      </c>
      <c r="J3048" s="6">
        <v>48.708126068115199</v>
      </c>
      <c r="K3048" s="6">
        <v>43.774467468261697</v>
      </c>
      <c r="L3048" s="6">
        <v>44.0211372375488</v>
      </c>
    </row>
    <row r="3049" spans="1:12" x14ac:dyDescent="0.25">
      <c r="A3049">
        <v>4317608</v>
      </c>
      <c r="B3049" t="str">
        <f t="shared" si="47"/>
        <v>SANTO ANTONIO DA PATRULHA, RS, Brasil</v>
      </c>
      <c r="C3049" s="4" t="str">
        <f>_xlfn.XLOOKUP(A3049,[1]!DadosGHD[CD_GEOCMU],[1]!DadosGHD[Região])</f>
        <v>SL</v>
      </c>
      <c r="D3049" s="4" t="str">
        <f>_xlfn.XLOOKUP(A3049,[1]!DadosGHD[CD_GEOCMU],[1]!DadosGHD[uf])</f>
        <v>RS</v>
      </c>
      <c r="E3049" s="5" t="str">
        <f>_xlfn.XLOOKUP(A3049,[1]!DadosGHD[CD_GEOCMU],[1]!DadosGHD[MUNICIPIO])</f>
        <v>SANTO ANTONIO DA PATRULHA</v>
      </c>
      <c r="F3049" s="6">
        <v>43.576076507568402</v>
      </c>
      <c r="G3049" s="6">
        <v>43.708972930908203</v>
      </c>
      <c r="H3049" s="6">
        <v>53.842933654785199</v>
      </c>
      <c r="I3049" s="6">
        <v>53.772918701171903</v>
      </c>
      <c r="J3049" s="6">
        <v>53.832313537597699</v>
      </c>
      <c r="K3049" s="6">
        <v>53.824611663818402</v>
      </c>
      <c r="L3049" s="6">
        <v>57.520729064941399</v>
      </c>
    </row>
    <row r="3050" spans="1:12" x14ac:dyDescent="0.25">
      <c r="A3050">
        <v>2514008</v>
      </c>
      <c r="B3050" t="str">
        <f t="shared" si="47"/>
        <v>SAO JOAO DO CARIRI, PB, Brasil</v>
      </c>
      <c r="C3050" s="4" t="str">
        <f>_xlfn.XLOOKUP(A3050,[1]!DadosGHD[CD_GEOCMU],[1]!DadosGHD[Região])</f>
        <v>NE</v>
      </c>
      <c r="D3050" s="4" t="str">
        <f>_xlfn.XLOOKUP(A3050,[1]!DadosGHD[CD_GEOCMU],[1]!DadosGHD[uf])</f>
        <v>PB</v>
      </c>
      <c r="E3050" s="5" t="str">
        <f>_xlfn.XLOOKUP(A3050,[1]!DadosGHD[CD_GEOCMU],[1]!DadosGHD[MUNICIPIO])</f>
        <v>SAO JOAO DO CARIRI</v>
      </c>
      <c r="F3050" s="6">
        <v>43.576431274414098</v>
      </c>
      <c r="G3050" s="6">
        <v>38.749427795410199</v>
      </c>
      <c r="H3050" s="6">
        <v>38.758136749267599</v>
      </c>
      <c r="I3050" s="6">
        <v>38.744773864746101</v>
      </c>
      <c r="J3050" s="6">
        <v>38.755264282226598</v>
      </c>
      <c r="K3050" s="6">
        <v>38.793064117431598</v>
      </c>
      <c r="L3050" s="6">
        <v>30.687089920043899</v>
      </c>
    </row>
    <row r="3051" spans="1:12" x14ac:dyDescent="0.25">
      <c r="A3051">
        <v>3113404</v>
      </c>
      <c r="B3051" t="str">
        <f t="shared" si="47"/>
        <v>CARATINGA, MG, Brasil</v>
      </c>
      <c r="C3051" s="4" t="str">
        <f>_xlfn.XLOOKUP(A3051,[1]!DadosGHD[CD_GEOCMU],[1]!DadosGHD[Região])</f>
        <v>SD</v>
      </c>
      <c r="D3051" s="4" t="str">
        <f>_xlfn.XLOOKUP(A3051,[1]!DadosGHD[CD_GEOCMU],[1]!DadosGHD[uf])</f>
        <v>MG</v>
      </c>
      <c r="E3051" s="5" t="str">
        <f>_xlfn.XLOOKUP(A3051,[1]!DadosGHD[CD_GEOCMU],[1]!DadosGHD[MUNICIPIO])</f>
        <v>CARATINGA</v>
      </c>
      <c r="F3051" s="6">
        <v>43.576896667480497</v>
      </c>
      <c r="G3051" s="6">
        <v>43.642971038818402</v>
      </c>
      <c r="H3051" s="6">
        <v>43.709396362304702</v>
      </c>
      <c r="I3051" s="6">
        <v>43.718597412109403</v>
      </c>
      <c r="J3051" s="6">
        <v>43.765487670898402</v>
      </c>
      <c r="K3051" s="6">
        <v>43.804843902587898</v>
      </c>
      <c r="L3051" s="6">
        <v>44.076927185058601</v>
      </c>
    </row>
    <row r="3052" spans="1:12" x14ac:dyDescent="0.25">
      <c r="A3052">
        <v>5207352</v>
      </c>
      <c r="B3052" t="str">
        <f t="shared" si="47"/>
        <v>EDEALINA, GO, Brasil</v>
      </c>
      <c r="C3052" s="4" t="str">
        <f>_xlfn.XLOOKUP(A3052,[1]!DadosGHD[CD_GEOCMU],[1]!DadosGHD[Região])</f>
        <v>CO</v>
      </c>
      <c r="D3052" s="4" t="str">
        <f>_xlfn.XLOOKUP(A3052,[1]!DadosGHD[CD_GEOCMU],[1]!DadosGHD[uf])</f>
        <v>GO</v>
      </c>
      <c r="E3052" s="5" t="str">
        <f>_xlfn.XLOOKUP(A3052,[1]!DadosGHD[CD_GEOCMU],[1]!DadosGHD[MUNICIPIO])</f>
        <v>EDEALINA</v>
      </c>
      <c r="F3052" s="6">
        <v>43.576950073242202</v>
      </c>
      <c r="G3052" s="6">
        <v>48.628898620605497</v>
      </c>
      <c r="H3052" s="6">
        <v>43.8194389343262</v>
      </c>
      <c r="I3052" s="6">
        <v>48.693714141845703</v>
      </c>
      <c r="J3052" s="6">
        <v>43.801132202148402</v>
      </c>
      <c r="K3052" s="6">
        <v>43.840423583984403</v>
      </c>
      <c r="L3052" s="6">
        <v>39.595615386962898</v>
      </c>
    </row>
    <row r="3053" spans="1:12" x14ac:dyDescent="0.25">
      <c r="A3053">
        <v>4107702</v>
      </c>
      <c r="B3053" t="str">
        <f t="shared" si="47"/>
        <v>FENIX, PR, Brasil</v>
      </c>
      <c r="C3053" s="4" t="str">
        <f>_xlfn.XLOOKUP(A3053,[1]!DadosGHD[CD_GEOCMU],[1]!DadosGHD[Região])</f>
        <v>SL</v>
      </c>
      <c r="D3053" s="4" t="str">
        <f>_xlfn.XLOOKUP(A3053,[1]!DadosGHD[CD_GEOCMU],[1]!DadosGHD[uf])</f>
        <v>PR</v>
      </c>
      <c r="E3053" s="5" t="str">
        <f>_xlfn.XLOOKUP(A3053,[1]!DadosGHD[CD_GEOCMU],[1]!DadosGHD[MUNICIPIO])</f>
        <v>FENIX</v>
      </c>
      <c r="F3053" s="6">
        <v>43.577011108398402</v>
      </c>
      <c r="G3053" s="6">
        <v>48.731010437011697</v>
      </c>
      <c r="H3053" s="6">
        <v>48.833892822265597</v>
      </c>
      <c r="I3053" s="6">
        <v>48.817577362060597</v>
      </c>
      <c r="J3053" s="6">
        <v>48.8126831054688</v>
      </c>
      <c r="K3053" s="6">
        <v>48.860027313232401</v>
      </c>
      <c r="L3053" s="6">
        <v>53.0430297851563</v>
      </c>
    </row>
    <row r="3054" spans="1:12" x14ac:dyDescent="0.25">
      <c r="A3054">
        <v>4321436</v>
      </c>
      <c r="B3054" t="str">
        <f t="shared" si="47"/>
        <v>TERRA DE AREIA, RS, Brasil</v>
      </c>
      <c r="C3054" s="4" t="str">
        <f>_xlfn.XLOOKUP(A3054,[1]!DadosGHD[CD_GEOCMU],[1]!DadosGHD[Região])</f>
        <v>SL</v>
      </c>
      <c r="D3054" s="4" t="str">
        <f>_xlfn.XLOOKUP(A3054,[1]!DadosGHD[CD_GEOCMU],[1]!DadosGHD[uf])</f>
        <v>RS</v>
      </c>
      <c r="E3054" s="5" t="str">
        <f>_xlfn.XLOOKUP(A3054,[1]!DadosGHD[CD_GEOCMU],[1]!DadosGHD[MUNICIPIO])</f>
        <v>TERRA DE AREIA</v>
      </c>
      <c r="F3054" s="6">
        <v>43.577396392822301</v>
      </c>
      <c r="G3054" s="6">
        <v>43.648860931396499</v>
      </c>
      <c r="H3054" s="6">
        <v>38.847682952880902</v>
      </c>
      <c r="I3054" s="6">
        <v>43.6934204101563</v>
      </c>
      <c r="J3054" s="6">
        <v>48.706760406494098</v>
      </c>
      <c r="K3054" s="6">
        <v>48.8004760742188</v>
      </c>
      <c r="L3054" s="6">
        <v>48.513225555419901</v>
      </c>
    </row>
    <row r="3055" spans="1:12" x14ac:dyDescent="0.25">
      <c r="A3055">
        <v>5106232</v>
      </c>
      <c r="B3055" t="str">
        <f t="shared" si="47"/>
        <v>NOVA OLIMPIA, MT, Brasil</v>
      </c>
      <c r="C3055" s="4" t="str">
        <f>_xlfn.XLOOKUP(A3055,[1]!DadosGHD[CD_GEOCMU],[1]!DadosGHD[Região])</f>
        <v>CO</v>
      </c>
      <c r="D3055" s="4" t="str">
        <f>_xlfn.XLOOKUP(A3055,[1]!DadosGHD[CD_GEOCMU],[1]!DadosGHD[uf])</f>
        <v>MT</v>
      </c>
      <c r="E3055" s="5" t="str">
        <f>_xlfn.XLOOKUP(A3055,[1]!DadosGHD[CD_GEOCMU],[1]!DadosGHD[MUNICIPIO])</f>
        <v>NOVA OLIMPIA</v>
      </c>
      <c r="F3055" s="6">
        <v>43.5775337219238</v>
      </c>
      <c r="G3055" s="6">
        <v>43.664882659912102</v>
      </c>
      <c r="H3055" s="6">
        <v>38.8444633483887</v>
      </c>
      <c r="I3055" s="6">
        <v>38.805450439453097</v>
      </c>
      <c r="J3055" s="6">
        <v>38.798957824707003</v>
      </c>
      <c r="K3055" s="6">
        <v>38.8382759094238</v>
      </c>
      <c r="L3055" s="6">
        <v>48.506584167480497</v>
      </c>
    </row>
    <row r="3056" spans="1:12" x14ac:dyDescent="0.25">
      <c r="A3056">
        <v>3520608</v>
      </c>
      <c r="B3056" t="str">
        <f t="shared" si="47"/>
        <v>INDIANA, SP, Brasil</v>
      </c>
      <c r="C3056" s="4" t="str">
        <f>_xlfn.XLOOKUP(A3056,[1]!DadosGHD[CD_GEOCMU],[1]!DadosGHD[Região])</f>
        <v>SD</v>
      </c>
      <c r="D3056" s="4" t="str">
        <f>_xlfn.XLOOKUP(A3056,[1]!DadosGHD[CD_GEOCMU],[1]!DadosGHD[uf])</f>
        <v>SP</v>
      </c>
      <c r="E3056" s="5" t="str">
        <f>_xlfn.XLOOKUP(A3056,[1]!DadosGHD[CD_GEOCMU],[1]!DadosGHD[MUNICIPIO])</f>
        <v>INDIANA</v>
      </c>
      <c r="F3056" s="6">
        <v>43.577629089355497</v>
      </c>
      <c r="G3056" s="6">
        <v>38.772632598877003</v>
      </c>
      <c r="H3056" s="6">
        <v>38.805896759033203</v>
      </c>
      <c r="I3056" s="6">
        <v>38.809417724609403</v>
      </c>
      <c r="J3056" s="6">
        <v>43.704872131347699</v>
      </c>
      <c r="K3056" s="6">
        <v>43.756580352783203</v>
      </c>
      <c r="L3056" s="6">
        <v>44.051105499267599</v>
      </c>
    </row>
    <row r="3057" spans="1:12" x14ac:dyDescent="0.25">
      <c r="A3057">
        <v>5221502</v>
      </c>
      <c r="B3057" t="str">
        <f t="shared" si="47"/>
        <v>TURVANIA, GO, Brasil</v>
      </c>
      <c r="C3057" s="4" t="str">
        <f>_xlfn.XLOOKUP(A3057,[1]!DadosGHD[CD_GEOCMU],[1]!DadosGHD[Região])</f>
        <v>CO</v>
      </c>
      <c r="D3057" s="4" t="str">
        <f>_xlfn.XLOOKUP(A3057,[1]!DadosGHD[CD_GEOCMU],[1]!DadosGHD[uf])</f>
        <v>GO</v>
      </c>
      <c r="E3057" s="5" t="str">
        <f>_xlfn.XLOOKUP(A3057,[1]!DadosGHD[CD_GEOCMU],[1]!DadosGHD[MUNICIPIO])</f>
        <v>TURVANIA</v>
      </c>
      <c r="F3057" s="6">
        <v>43.577793121337898</v>
      </c>
      <c r="G3057" s="6">
        <v>48.632614135742202</v>
      </c>
      <c r="H3057" s="6">
        <v>43.800479888916001</v>
      </c>
      <c r="I3057" s="6">
        <v>43.748950958252003</v>
      </c>
      <c r="J3057" s="6">
        <v>43.7877388000488</v>
      </c>
      <c r="K3057" s="6">
        <v>43.873031616210902</v>
      </c>
      <c r="L3057" s="6">
        <v>39.597721099853501</v>
      </c>
    </row>
    <row r="3058" spans="1:12" x14ac:dyDescent="0.25">
      <c r="A3058">
        <v>2910800</v>
      </c>
      <c r="B3058" t="str">
        <f t="shared" si="47"/>
        <v>FEIRA DE SANTANA, BA, Brasil</v>
      </c>
      <c r="C3058" s="4" t="str">
        <f>_xlfn.XLOOKUP(A3058,[1]!DadosGHD[CD_GEOCMU],[1]!DadosGHD[Região])</f>
        <v>NE</v>
      </c>
      <c r="D3058" s="4" t="str">
        <f>_xlfn.XLOOKUP(A3058,[1]!DadosGHD[CD_GEOCMU],[1]!DadosGHD[uf])</f>
        <v>BA</v>
      </c>
      <c r="E3058" s="5" t="str">
        <f>_xlfn.XLOOKUP(A3058,[1]!DadosGHD[CD_GEOCMU],[1]!DadosGHD[MUNICIPIO])</f>
        <v>FEIRA DE SANTANA</v>
      </c>
      <c r="F3058" s="6">
        <v>43.5781440734863</v>
      </c>
      <c r="G3058" s="6">
        <v>43.651443481445298</v>
      </c>
      <c r="H3058" s="6">
        <v>43.720565795898402</v>
      </c>
      <c r="I3058" s="6">
        <v>43.704898834228501</v>
      </c>
      <c r="J3058" s="6">
        <v>43.726982116699197</v>
      </c>
      <c r="K3058" s="6">
        <v>43.764991760253899</v>
      </c>
      <c r="L3058" s="6">
        <v>35.150691986083999</v>
      </c>
    </row>
    <row r="3059" spans="1:12" x14ac:dyDescent="0.25">
      <c r="A3059">
        <v>3150505</v>
      </c>
      <c r="B3059" t="str">
        <f t="shared" si="47"/>
        <v>PIMENTA, MG, Brasil</v>
      </c>
      <c r="C3059" s="4" t="str">
        <f>_xlfn.XLOOKUP(A3059,[1]!DadosGHD[CD_GEOCMU],[1]!DadosGHD[Região])</f>
        <v>SD</v>
      </c>
      <c r="D3059" s="4" t="str">
        <f>_xlfn.XLOOKUP(A3059,[1]!DadosGHD[CD_GEOCMU],[1]!DadosGHD[uf])</f>
        <v>MG</v>
      </c>
      <c r="E3059" s="5" t="str">
        <f>_xlfn.XLOOKUP(A3059,[1]!DadosGHD[CD_GEOCMU],[1]!DadosGHD[MUNICIPIO])</f>
        <v>PIMENTA</v>
      </c>
      <c r="F3059" s="6">
        <v>43.578254699707003</v>
      </c>
      <c r="G3059" s="6">
        <v>43.642646789550803</v>
      </c>
      <c r="H3059" s="6">
        <v>43.717807769775398</v>
      </c>
      <c r="I3059" s="6">
        <v>43.791690826416001</v>
      </c>
      <c r="J3059" s="6">
        <v>43.806957244873097</v>
      </c>
      <c r="K3059" s="6">
        <v>43.839248657226598</v>
      </c>
      <c r="L3059" s="6">
        <v>44.020278930664098</v>
      </c>
    </row>
    <row r="3060" spans="1:12" x14ac:dyDescent="0.25">
      <c r="A3060">
        <v>4123956</v>
      </c>
      <c r="B3060" t="str">
        <f t="shared" si="47"/>
        <v>SANTA MONICA, PR, Brasil</v>
      </c>
      <c r="C3060" s="4" t="str">
        <f>_xlfn.XLOOKUP(A3060,[1]!DadosGHD[CD_GEOCMU],[1]!DadosGHD[Região])</f>
        <v>SL</v>
      </c>
      <c r="D3060" s="4" t="str">
        <f>_xlfn.XLOOKUP(A3060,[1]!DadosGHD[CD_GEOCMU],[1]!DadosGHD[uf])</f>
        <v>PR</v>
      </c>
      <c r="E3060" s="5" t="str">
        <f>_xlfn.XLOOKUP(A3060,[1]!DadosGHD[CD_GEOCMU],[1]!DadosGHD[MUNICIPIO])</f>
        <v>SANTA MONICA</v>
      </c>
      <c r="F3060" s="6">
        <v>43.578289031982401</v>
      </c>
      <c r="G3060" s="6">
        <v>43.760665893554702</v>
      </c>
      <c r="H3060" s="6">
        <v>43.797523498535199</v>
      </c>
      <c r="I3060" s="6">
        <v>43.780712127685597</v>
      </c>
      <c r="J3060" s="6">
        <v>48.713691711425803</v>
      </c>
      <c r="K3060" s="6">
        <v>43.8765258789063</v>
      </c>
      <c r="L3060" s="6">
        <v>44.044075012207003</v>
      </c>
    </row>
    <row r="3061" spans="1:12" x14ac:dyDescent="0.25">
      <c r="A3061">
        <v>2506301</v>
      </c>
      <c r="B3061" t="str">
        <f t="shared" si="47"/>
        <v>GUARABIRA, PB, Brasil</v>
      </c>
      <c r="C3061" s="4" t="str">
        <f>_xlfn.XLOOKUP(A3061,[1]!DadosGHD[CD_GEOCMU],[1]!DadosGHD[Região])</f>
        <v>NE</v>
      </c>
      <c r="D3061" s="4" t="str">
        <f>_xlfn.XLOOKUP(A3061,[1]!DadosGHD[CD_GEOCMU],[1]!DadosGHD[uf])</f>
        <v>PB</v>
      </c>
      <c r="E3061" s="5" t="str">
        <f>_xlfn.XLOOKUP(A3061,[1]!DadosGHD[CD_GEOCMU],[1]!DadosGHD[MUNICIPIO])</f>
        <v>GUARABIRA</v>
      </c>
      <c r="F3061" s="6">
        <v>43.578346252441399</v>
      </c>
      <c r="G3061" s="6">
        <v>43.663417816162102</v>
      </c>
      <c r="H3061" s="6">
        <v>43.726364135742202</v>
      </c>
      <c r="I3061" s="6">
        <v>43.700874328613303</v>
      </c>
      <c r="J3061" s="6">
        <v>43.714607238769503</v>
      </c>
      <c r="K3061" s="6">
        <v>38.860237121582003</v>
      </c>
      <c r="L3061" s="6">
        <v>39.589763641357401</v>
      </c>
    </row>
    <row r="3062" spans="1:12" x14ac:dyDescent="0.25">
      <c r="A3062">
        <v>4120309</v>
      </c>
      <c r="B3062" t="str">
        <f t="shared" si="47"/>
        <v>PORTO VITORIA, PR, Brasil</v>
      </c>
      <c r="C3062" s="4" t="str">
        <f>_xlfn.XLOOKUP(A3062,[1]!DadosGHD[CD_GEOCMU],[1]!DadosGHD[Região])</f>
        <v>SL</v>
      </c>
      <c r="D3062" s="4" t="str">
        <f>_xlfn.XLOOKUP(A3062,[1]!DadosGHD[CD_GEOCMU],[1]!DadosGHD[uf])</f>
        <v>PR</v>
      </c>
      <c r="E3062" s="5" t="str">
        <f>_xlfn.XLOOKUP(A3062,[1]!DadosGHD[CD_GEOCMU],[1]!DadosGHD[MUNICIPIO])</f>
        <v>PORTO VITORIA</v>
      </c>
      <c r="F3062" s="6">
        <v>43.578426361083999</v>
      </c>
      <c r="G3062" s="6">
        <v>48.637672424316399</v>
      </c>
      <c r="H3062" s="6">
        <v>38.807762145996101</v>
      </c>
      <c r="I3062" s="6">
        <v>38.781604766845703</v>
      </c>
      <c r="J3062" s="6">
        <v>38.801292419433601</v>
      </c>
      <c r="K3062" s="6">
        <v>38.836902618408203</v>
      </c>
      <c r="L3062" s="6">
        <v>44.014965057373097</v>
      </c>
    </row>
    <row r="3063" spans="1:12" x14ac:dyDescent="0.25">
      <c r="A3063">
        <v>3151008</v>
      </c>
      <c r="B3063" t="str">
        <f t="shared" si="47"/>
        <v>PIRANGUINHO, MG, Brasil</v>
      </c>
      <c r="C3063" s="4" t="str">
        <f>_xlfn.XLOOKUP(A3063,[1]!DadosGHD[CD_GEOCMU],[1]!DadosGHD[Região])</f>
        <v>SD</v>
      </c>
      <c r="D3063" s="4" t="str">
        <f>_xlfn.XLOOKUP(A3063,[1]!DadosGHD[CD_GEOCMU],[1]!DadosGHD[uf])</f>
        <v>MG</v>
      </c>
      <c r="E3063" s="5" t="str">
        <f>_xlfn.XLOOKUP(A3063,[1]!DadosGHD[CD_GEOCMU],[1]!DadosGHD[MUNICIPIO])</f>
        <v>PIRANGUINHO</v>
      </c>
      <c r="F3063" s="6">
        <v>43.578655242919901</v>
      </c>
      <c r="G3063" s="6">
        <v>43.664516448974602</v>
      </c>
      <c r="H3063" s="6">
        <v>38.7936401367188</v>
      </c>
      <c r="I3063" s="6">
        <v>43.783401489257798</v>
      </c>
      <c r="J3063" s="6">
        <v>43.820812225341797</v>
      </c>
      <c r="K3063" s="6">
        <v>48.845390319824197</v>
      </c>
      <c r="L3063" s="6">
        <v>57.493263244628899</v>
      </c>
    </row>
    <row r="3064" spans="1:12" x14ac:dyDescent="0.25">
      <c r="A3064">
        <v>3102001</v>
      </c>
      <c r="B3064" t="str">
        <f t="shared" si="47"/>
        <v>ALTEROSA, MG, Brasil</v>
      </c>
      <c r="C3064" s="4" t="str">
        <f>_xlfn.XLOOKUP(A3064,[1]!DadosGHD[CD_GEOCMU],[1]!DadosGHD[Região])</f>
        <v>SD</v>
      </c>
      <c r="D3064" s="4" t="str">
        <f>_xlfn.XLOOKUP(A3064,[1]!DadosGHD[CD_GEOCMU],[1]!DadosGHD[uf])</f>
        <v>MG</v>
      </c>
      <c r="E3064" s="5" t="str">
        <f>_xlfn.XLOOKUP(A3064,[1]!DadosGHD[CD_GEOCMU],[1]!DadosGHD[MUNICIPIO])</f>
        <v>ALTEROSA</v>
      </c>
      <c r="F3064" s="6">
        <v>43.578968048095703</v>
      </c>
      <c r="G3064" s="6">
        <v>43.671096801757798</v>
      </c>
      <c r="H3064" s="6">
        <v>43.751541137695298</v>
      </c>
      <c r="I3064" s="6">
        <v>43.746566772460902</v>
      </c>
      <c r="J3064" s="6">
        <v>43.804763793945298</v>
      </c>
      <c r="K3064" s="6">
        <v>43.867149353027301</v>
      </c>
      <c r="L3064" s="6">
        <v>44.076225280761697</v>
      </c>
    </row>
    <row r="3065" spans="1:12" x14ac:dyDescent="0.25">
      <c r="A3065">
        <v>4119806</v>
      </c>
      <c r="B3065" t="str">
        <f t="shared" si="47"/>
        <v>PLANALTO, PR, Brasil</v>
      </c>
      <c r="C3065" s="4" t="str">
        <f>_xlfn.XLOOKUP(A3065,[1]!DadosGHD[CD_GEOCMU],[1]!DadosGHD[Região])</f>
        <v>SL</v>
      </c>
      <c r="D3065" s="4" t="str">
        <f>_xlfn.XLOOKUP(A3065,[1]!DadosGHD[CD_GEOCMU],[1]!DadosGHD[uf])</f>
        <v>PR</v>
      </c>
      <c r="E3065" s="5" t="str">
        <f>_xlfn.XLOOKUP(A3065,[1]!DadosGHD[CD_GEOCMU],[1]!DadosGHD[MUNICIPIO])</f>
        <v>PLANALTO</v>
      </c>
      <c r="F3065" s="6">
        <v>43.5792045593262</v>
      </c>
      <c r="G3065" s="6">
        <v>43.732643127441399</v>
      </c>
      <c r="H3065" s="6">
        <v>43.816421508789098</v>
      </c>
      <c r="I3065" s="6">
        <v>48.711616516113303</v>
      </c>
      <c r="J3065" s="6">
        <v>48.791675567627003</v>
      </c>
      <c r="K3065" s="6">
        <v>48.850856781005902</v>
      </c>
      <c r="L3065" s="6">
        <v>39.567829132080099</v>
      </c>
    </row>
    <row r="3066" spans="1:12" x14ac:dyDescent="0.25">
      <c r="A3066">
        <v>1100015</v>
      </c>
      <c r="B3066" t="str">
        <f t="shared" si="47"/>
        <v>ALTA FLORESTA D'OESTE, RO, Brasil</v>
      </c>
      <c r="C3066" s="4" t="str">
        <f>_xlfn.XLOOKUP(A3066,[1]!DadosGHD[CD_GEOCMU],[1]!DadosGHD[Região])</f>
        <v>NO</v>
      </c>
      <c r="D3066" s="4" t="str">
        <f>_xlfn.XLOOKUP(A3066,[1]!DadosGHD[CD_GEOCMU],[1]!DadosGHD[uf])</f>
        <v>RO</v>
      </c>
      <c r="E3066" s="5" t="str">
        <f>_xlfn.XLOOKUP(A3066,[1]!DadosGHD[CD_GEOCMU],[1]!DadosGHD[MUNICIPIO])</f>
        <v>ALTA FLORESTA D'OESTE</v>
      </c>
      <c r="F3066" s="6">
        <v>43.5796928405762</v>
      </c>
      <c r="G3066" s="6">
        <v>43.704387664794901</v>
      </c>
      <c r="H3066" s="6">
        <v>43.809722900390597</v>
      </c>
      <c r="I3066" s="6">
        <v>43.792449951171903</v>
      </c>
      <c r="J3066" s="6">
        <v>43.818752288818402</v>
      </c>
      <c r="K3066" s="6">
        <v>48.851222991943402</v>
      </c>
      <c r="L3066" s="6">
        <v>39.575035095214801</v>
      </c>
    </row>
    <row r="3067" spans="1:12" x14ac:dyDescent="0.25">
      <c r="A3067">
        <v>3547650</v>
      </c>
      <c r="B3067" t="str">
        <f t="shared" si="47"/>
        <v>SANTA SALETE, SP, Brasil</v>
      </c>
      <c r="C3067" s="4" t="str">
        <f>_xlfn.XLOOKUP(A3067,[1]!DadosGHD[CD_GEOCMU],[1]!DadosGHD[Região])</f>
        <v>SD</v>
      </c>
      <c r="D3067" s="4" t="str">
        <f>_xlfn.XLOOKUP(A3067,[1]!DadosGHD[CD_GEOCMU],[1]!DadosGHD[uf])</f>
        <v>SP</v>
      </c>
      <c r="E3067" s="5" t="str">
        <f>_xlfn.XLOOKUP(A3067,[1]!DadosGHD[CD_GEOCMU],[1]!DadosGHD[MUNICIPIO])</f>
        <v>SANTA SALETE</v>
      </c>
      <c r="F3067" s="6">
        <v>43.579929351806598</v>
      </c>
      <c r="G3067" s="6">
        <v>43.655296325683601</v>
      </c>
      <c r="H3067" s="6">
        <v>43.717639923095703</v>
      </c>
      <c r="I3067" s="6">
        <v>38.788455963134801</v>
      </c>
      <c r="J3067" s="6">
        <v>38.823837280273402</v>
      </c>
      <c r="K3067" s="6">
        <v>38.872108459472699</v>
      </c>
      <c r="L3067" s="6">
        <v>35.123950958252003</v>
      </c>
    </row>
    <row r="3068" spans="1:12" x14ac:dyDescent="0.25">
      <c r="A3068">
        <v>1600105</v>
      </c>
      <c r="B3068" t="str">
        <f t="shared" si="47"/>
        <v>AMAPA, AP, Brasil</v>
      </c>
      <c r="C3068" s="4" t="str">
        <f>_xlfn.XLOOKUP(A3068,[1]!DadosGHD[CD_GEOCMU],[1]!DadosGHD[Região])</f>
        <v>NO</v>
      </c>
      <c r="D3068" s="4" t="str">
        <f>_xlfn.XLOOKUP(A3068,[1]!DadosGHD[CD_GEOCMU],[1]!DadosGHD[uf])</f>
        <v>AP</v>
      </c>
      <c r="E3068" s="5" t="str">
        <f>_xlfn.XLOOKUP(A3068,[1]!DadosGHD[CD_GEOCMU],[1]!DadosGHD[MUNICIPIO])</f>
        <v>AMAPA</v>
      </c>
      <c r="F3068" s="6">
        <v>43.580692291259801</v>
      </c>
      <c r="G3068" s="6">
        <v>38.751312255859403</v>
      </c>
      <c r="H3068" s="6">
        <v>38.773109436035199</v>
      </c>
      <c r="I3068" s="6">
        <v>38.744491577148402</v>
      </c>
      <c r="J3068" s="6">
        <v>38.791366577148402</v>
      </c>
      <c r="K3068" s="6">
        <v>33.913291931152301</v>
      </c>
      <c r="L3068" s="6">
        <v>30.6900424957275</v>
      </c>
    </row>
    <row r="3069" spans="1:12" x14ac:dyDescent="0.25">
      <c r="A3069">
        <v>4309258</v>
      </c>
      <c r="B3069" t="str">
        <f t="shared" si="47"/>
        <v>GUABIJU, RS, Brasil</v>
      </c>
      <c r="C3069" s="4" t="str">
        <f>_xlfn.XLOOKUP(A3069,[1]!DadosGHD[CD_GEOCMU],[1]!DadosGHD[Região])</f>
        <v>SL</v>
      </c>
      <c r="D3069" s="4" t="str">
        <f>_xlfn.XLOOKUP(A3069,[1]!DadosGHD[CD_GEOCMU],[1]!DadosGHD[uf])</f>
        <v>RS</v>
      </c>
      <c r="E3069" s="5" t="str">
        <f>_xlfn.XLOOKUP(A3069,[1]!DadosGHD[CD_GEOCMU],[1]!DadosGHD[MUNICIPIO])</f>
        <v>GUABIJU</v>
      </c>
      <c r="F3069" s="6">
        <v>43.580837249755902</v>
      </c>
      <c r="G3069" s="6">
        <v>53.7193412780762</v>
      </c>
      <c r="H3069" s="6">
        <v>53.772945404052699</v>
      </c>
      <c r="I3069" s="6">
        <v>53.721534729003899</v>
      </c>
      <c r="J3069" s="6">
        <v>53.739253997802699</v>
      </c>
      <c r="K3069" s="6">
        <v>53.816413879394503</v>
      </c>
      <c r="L3069" s="6">
        <v>48.498401641845703</v>
      </c>
    </row>
    <row r="3070" spans="1:12" x14ac:dyDescent="0.25">
      <c r="A3070">
        <v>3159902</v>
      </c>
      <c r="B3070" t="str">
        <f t="shared" si="47"/>
        <v>SANTO ANTONIO DO AMPARO, MG, Brasil</v>
      </c>
      <c r="C3070" s="4" t="str">
        <f>_xlfn.XLOOKUP(A3070,[1]!DadosGHD[CD_GEOCMU],[1]!DadosGHD[Região])</f>
        <v>SD</v>
      </c>
      <c r="D3070" s="4" t="str">
        <f>_xlfn.XLOOKUP(A3070,[1]!DadosGHD[CD_GEOCMU],[1]!DadosGHD[uf])</f>
        <v>MG</v>
      </c>
      <c r="E3070" s="5" t="str">
        <f>_xlfn.XLOOKUP(A3070,[1]!DadosGHD[CD_GEOCMU],[1]!DadosGHD[MUNICIPIO])</f>
        <v>SANTO ANTONIO DO AMPARO</v>
      </c>
      <c r="F3070" s="6">
        <v>43.580959320068402</v>
      </c>
      <c r="G3070" s="6">
        <v>43.682125091552699</v>
      </c>
      <c r="H3070" s="6">
        <v>43.730804443359403</v>
      </c>
      <c r="I3070" s="6">
        <v>43.734279632568402</v>
      </c>
      <c r="J3070" s="6">
        <v>48.754402160644503</v>
      </c>
      <c r="K3070" s="6">
        <v>48.845405578613303</v>
      </c>
      <c r="L3070" s="6">
        <v>53.034297943115199</v>
      </c>
    </row>
    <row r="3071" spans="1:12" x14ac:dyDescent="0.25">
      <c r="A3071">
        <v>4314779</v>
      </c>
      <c r="B3071" t="str">
        <f t="shared" si="47"/>
        <v>PONTAO, RS, Brasil</v>
      </c>
      <c r="C3071" s="4" t="str">
        <f>_xlfn.XLOOKUP(A3071,[1]!DadosGHD[CD_GEOCMU],[1]!DadosGHD[Região])</f>
        <v>SL</v>
      </c>
      <c r="D3071" s="4" t="str">
        <f>_xlfn.XLOOKUP(A3071,[1]!DadosGHD[CD_GEOCMU],[1]!DadosGHD[uf])</f>
        <v>RS</v>
      </c>
      <c r="E3071" s="5" t="str">
        <f>_xlfn.XLOOKUP(A3071,[1]!DadosGHD[CD_GEOCMU],[1]!DadosGHD[MUNICIPIO])</f>
        <v>PONTAO</v>
      </c>
      <c r="F3071" s="6">
        <v>43.580959320068402</v>
      </c>
      <c r="G3071" s="6">
        <v>43.743312835693402</v>
      </c>
      <c r="H3071" s="6">
        <v>48.741451263427699</v>
      </c>
      <c r="I3071" s="6">
        <v>53.832481384277301</v>
      </c>
      <c r="J3071" s="6">
        <v>53.892219543457003</v>
      </c>
      <c r="K3071" s="6">
        <v>53.866420745849602</v>
      </c>
      <c r="L3071" s="6">
        <v>57.578880310058601</v>
      </c>
    </row>
    <row r="3072" spans="1:12" x14ac:dyDescent="0.25">
      <c r="A3072">
        <v>1702703</v>
      </c>
      <c r="B3072" t="str">
        <f t="shared" si="47"/>
        <v>AURORA DO TOCANTINS, TO, Brasil</v>
      </c>
      <c r="C3072" s="4" t="str">
        <f>_xlfn.XLOOKUP(A3072,[1]!DadosGHD[CD_GEOCMU],[1]!DadosGHD[Região])</f>
        <v>NO</v>
      </c>
      <c r="D3072" s="4" t="str">
        <f>_xlfn.XLOOKUP(A3072,[1]!DadosGHD[CD_GEOCMU],[1]!DadosGHD[uf])</f>
        <v>TO</v>
      </c>
      <c r="E3072" s="5" t="str">
        <f>_xlfn.XLOOKUP(A3072,[1]!DadosGHD[CD_GEOCMU],[1]!DadosGHD[MUNICIPIO])</f>
        <v>AURORA DO TOCANTINS</v>
      </c>
      <c r="F3072" s="6">
        <v>43.5811576843262</v>
      </c>
      <c r="G3072" s="6">
        <v>38.755939483642599</v>
      </c>
      <c r="H3072" s="6">
        <v>38.7949028015137</v>
      </c>
      <c r="I3072" s="6">
        <v>38.766918182373097</v>
      </c>
      <c r="J3072" s="6">
        <v>38.790069580078097</v>
      </c>
      <c r="K3072" s="6">
        <v>38.818656921386697</v>
      </c>
      <c r="L3072" s="6">
        <v>44.063713073730497</v>
      </c>
    </row>
    <row r="3073" spans="1:12" x14ac:dyDescent="0.25">
      <c r="A3073">
        <v>3203106</v>
      </c>
      <c r="B3073" t="str">
        <f t="shared" si="47"/>
        <v>JERONIMO MONTEIRO, ES, Brasil</v>
      </c>
      <c r="C3073" s="4" t="str">
        <f>_xlfn.XLOOKUP(A3073,[1]!DadosGHD[CD_GEOCMU],[1]!DadosGHD[Região])</f>
        <v>SD</v>
      </c>
      <c r="D3073" s="4" t="str">
        <f>_xlfn.XLOOKUP(A3073,[1]!DadosGHD[CD_GEOCMU],[1]!DadosGHD[uf])</f>
        <v>ES</v>
      </c>
      <c r="E3073" s="5" t="str">
        <f>_xlfn.XLOOKUP(A3073,[1]!DadosGHD[CD_GEOCMU],[1]!DadosGHD[MUNICIPIO])</f>
        <v>JERONIMO MONTEIRO</v>
      </c>
      <c r="F3073" s="6">
        <v>43.581211090087898</v>
      </c>
      <c r="G3073" s="6">
        <v>38.753482818603501</v>
      </c>
      <c r="H3073" s="6">
        <v>38.843936920166001</v>
      </c>
      <c r="I3073" s="6">
        <v>38.811962127685597</v>
      </c>
      <c r="J3073" s="6">
        <v>38.787864685058601</v>
      </c>
      <c r="K3073" s="6">
        <v>38.858741760253899</v>
      </c>
      <c r="L3073" s="6">
        <v>44.067745208740199</v>
      </c>
    </row>
    <row r="3074" spans="1:12" x14ac:dyDescent="0.25">
      <c r="A3074">
        <v>1200344</v>
      </c>
      <c r="B3074" t="str">
        <f t="shared" si="47"/>
        <v>MANOEL URBANO, AC, Brasil</v>
      </c>
      <c r="C3074" s="4" t="str">
        <f>_xlfn.XLOOKUP(A3074,[1]!DadosGHD[CD_GEOCMU],[1]!DadosGHD[Região])</f>
        <v>NO</v>
      </c>
      <c r="D3074" s="4" t="str">
        <f>_xlfn.XLOOKUP(A3074,[1]!DadosGHD[CD_GEOCMU],[1]!DadosGHD[uf])</f>
        <v>AC</v>
      </c>
      <c r="E3074" s="5" t="str">
        <f>_xlfn.XLOOKUP(A3074,[1]!DadosGHD[CD_GEOCMU],[1]!DadosGHD[MUNICIPIO])</f>
        <v>MANOEL URBANO</v>
      </c>
      <c r="F3074" s="6">
        <v>43.581249237060597</v>
      </c>
      <c r="G3074" s="6">
        <v>43.639839172363303</v>
      </c>
      <c r="H3074" s="6">
        <v>38.813255310058601</v>
      </c>
      <c r="I3074" s="6">
        <v>38.757553100585902</v>
      </c>
      <c r="J3074" s="6">
        <v>38.768486022949197</v>
      </c>
      <c r="K3074" s="6">
        <v>38.8397026062012</v>
      </c>
      <c r="L3074" s="6">
        <v>26.295038223266602</v>
      </c>
    </row>
    <row r="3075" spans="1:12" x14ac:dyDescent="0.25">
      <c r="A3075">
        <v>1715002</v>
      </c>
      <c r="B3075" t="str">
        <f t="shared" si="47"/>
        <v>NOVA ROSALANDIA, TO, Brasil</v>
      </c>
      <c r="C3075" s="4" t="str">
        <f>_xlfn.XLOOKUP(A3075,[1]!DadosGHD[CD_GEOCMU],[1]!DadosGHD[Região])</f>
        <v>NO</v>
      </c>
      <c r="D3075" s="4" t="str">
        <f>_xlfn.XLOOKUP(A3075,[1]!DadosGHD[CD_GEOCMU],[1]!DadosGHD[uf])</f>
        <v>TO</v>
      </c>
      <c r="E3075" s="5" t="str">
        <f>_xlfn.XLOOKUP(A3075,[1]!DadosGHD[CD_GEOCMU],[1]!DadosGHD[MUNICIPIO])</f>
        <v>NOVA ROSALANDIA</v>
      </c>
      <c r="F3075" s="6">
        <v>43.581455230712898</v>
      </c>
      <c r="G3075" s="6">
        <v>38.759414672851598</v>
      </c>
      <c r="H3075" s="6">
        <v>38.788711547851598</v>
      </c>
      <c r="I3075" s="6">
        <v>38.745109558105497</v>
      </c>
      <c r="J3075" s="6">
        <v>38.746589660644503</v>
      </c>
      <c r="K3075" s="6">
        <v>33.925228118896499</v>
      </c>
      <c r="L3075" s="6">
        <v>35.148139953613303</v>
      </c>
    </row>
    <row r="3076" spans="1:12" x14ac:dyDescent="0.25">
      <c r="A3076">
        <v>2916203</v>
      </c>
      <c r="B3076" t="str">
        <f t="shared" ref="B3076:B3139" si="48">_xlfn.CONCAT(E3076, ", ", D3076, ", Brasil")</f>
        <v>ITAPE, BA, Brasil</v>
      </c>
      <c r="C3076" s="4" t="str">
        <f>_xlfn.XLOOKUP(A3076,[1]!DadosGHD[CD_GEOCMU],[1]!DadosGHD[Região])</f>
        <v>NE</v>
      </c>
      <c r="D3076" s="4" t="str">
        <f>_xlfn.XLOOKUP(A3076,[1]!DadosGHD[CD_GEOCMU],[1]!DadosGHD[uf])</f>
        <v>BA</v>
      </c>
      <c r="E3076" s="5" t="str">
        <f>_xlfn.XLOOKUP(A3076,[1]!DadosGHD[CD_GEOCMU],[1]!DadosGHD[MUNICIPIO])</f>
        <v>ITAPE</v>
      </c>
      <c r="F3076" s="6">
        <v>43.581649780273402</v>
      </c>
      <c r="G3076" s="6">
        <v>38.775875091552699</v>
      </c>
      <c r="H3076" s="6">
        <v>38.838569641113303</v>
      </c>
      <c r="I3076" s="6">
        <v>38.810188293457003</v>
      </c>
      <c r="J3076" s="6">
        <v>38.780239105224602</v>
      </c>
      <c r="K3076" s="6">
        <v>43.788494110107401</v>
      </c>
      <c r="L3076" s="6">
        <v>44.069004058837898</v>
      </c>
    </row>
    <row r="3077" spans="1:12" x14ac:dyDescent="0.25">
      <c r="A3077">
        <v>2933307</v>
      </c>
      <c r="B3077" t="str">
        <f t="shared" si="48"/>
        <v>VITORIA DA CONQUISTA, BA, Brasil</v>
      </c>
      <c r="C3077" s="4" t="str">
        <f>_xlfn.XLOOKUP(A3077,[1]!DadosGHD[CD_GEOCMU],[1]!DadosGHD[Região])</f>
        <v>NE</v>
      </c>
      <c r="D3077" s="4" t="str">
        <f>_xlfn.XLOOKUP(A3077,[1]!DadosGHD[CD_GEOCMU],[1]!DadosGHD[uf])</f>
        <v>BA</v>
      </c>
      <c r="E3077" s="5" t="str">
        <f>_xlfn.XLOOKUP(A3077,[1]!DadosGHD[CD_GEOCMU],[1]!DadosGHD[MUNICIPIO])</f>
        <v>VITORIA DA CONQUISTA</v>
      </c>
      <c r="F3077" s="6">
        <v>43.582176208496101</v>
      </c>
      <c r="G3077" s="6">
        <v>43.642852783203097</v>
      </c>
      <c r="H3077" s="6">
        <v>43.734085083007798</v>
      </c>
      <c r="I3077" s="6">
        <v>43.748062133789098</v>
      </c>
      <c r="J3077" s="6">
        <v>43.812477111816399</v>
      </c>
      <c r="K3077" s="6">
        <v>43.882198333740199</v>
      </c>
      <c r="L3077" s="6">
        <v>44.045009613037102</v>
      </c>
    </row>
    <row r="3078" spans="1:12" x14ac:dyDescent="0.25">
      <c r="A3078">
        <v>5216304</v>
      </c>
      <c r="B3078" t="str">
        <f t="shared" si="48"/>
        <v>PARANAIGUARA, GO, Brasil</v>
      </c>
      <c r="C3078" s="4" t="str">
        <f>_xlfn.XLOOKUP(A3078,[1]!DadosGHD[CD_GEOCMU],[1]!DadosGHD[Região])</f>
        <v>CO</v>
      </c>
      <c r="D3078" s="4" t="str">
        <f>_xlfn.XLOOKUP(A3078,[1]!DadosGHD[CD_GEOCMU],[1]!DadosGHD[uf])</f>
        <v>GO</v>
      </c>
      <c r="E3078" s="5" t="str">
        <f>_xlfn.XLOOKUP(A3078,[1]!DadosGHD[CD_GEOCMU],[1]!DadosGHD[MUNICIPIO])</f>
        <v>PARANAIGUARA</v>
      </c>
      <c r="F3078" s="6">
        <v>43.582366943359403</v>
      </c>
      <c r="G3078" s="6">
        <v>43.716884613037102</v>
      </c>
      <c r="H3078" s="6">
        <v>43.763778686523402</v>
      </c>
      <c r="I3078" s="6">
        <v>43.740531921386697</v>
      </c>
      <c r="J3078" s="6">
        <v>43.710739135742202</v>
      </c>
      <c r="K3078" s="6">
        <v>38.887306213378899</v>
      </c>
      <c r="L3078" s="6">
        <v>39.599964141845703</v>
      </c>
    </row>
    <row r="3079" spans="1:12" x14ac:dyDescent="0.25">
      <c r="A3079">
        <v>2515203</v>
      </c>
      <c r="B3079" t="str">
        <f t="shared" si="48"/>
        <v>SAO SEBASTIAO DO UMBUZEIRO, PB, Brasil</v>
      </c>
      <c r="C3079" s="4" t="str">
        <f>_xlfn.XLOOKUP(A3079,[1]!DadosGHD[CD_GEOCMU],[1]!DadosGHD[Região])</f>
        <v>NE</v>
      </c>
      <c r="D3079" s="4" t="str">
        <f>_xlfn.XLOOKUP(A3079,[1]!DadosGHD[CD_GEOCMU],[1]!DadosGHD[uf])</f>
        <v>PB</v>
      </c>
      <c r="E3079" s="5" t="str">
        <f>_xlfn.XLOOKUP(A3079,[1]!DadosGHD[CD_GEOCMU],[1]!DadosGHD[MUNICIPIO])</f>
        <v>SAO SEBASTIAO DO UMBUZEIRO</v>
      </c>
      <c r="F3079" s="6">
        <v>43.582828521728501</v>
      </c>
      <c r="G3079" s="6">
        <v>38.752693176269503</v>
      </c>
      <c r="H3079" s="6">
        <v>38.799526214599602</v>
      </c>
      <c r="I3079" s="6">
        <v>38.79541015625</v>
      </c>
      <c r="J3079" s="6">
        <v>38.824676513671903</v>
      </c>
      <c r="K3079" s="6">
        <v>43.836936950683601</v>
      </c>
      <c r="L3079" s="6">
        <v>39.586235046386697</v>
      </c>
    </row>
    <row r="3080" spans="1:12" x14ac:dyDescent="0.25">
      <c r="A3080">
        <v>3549508</v>
      </c>
      <c r="B3080" t="str">
        <f t="shared" si="48"/>
        <v>SAO JOSE DA BELA VISTA, SP, Brasil</v>
      </c>
      <c r="C3080" s="4" t="str">
        <f>_xlfn.XLOOKUP(A3080,[1]!DadosGHD[CD_GEOCMU],[1]!DadosGHD[Região])</f>
        <v>SD</v>
      </c>
      <c r="D3080" s="4" t="str">
        <f>_xlfn.XLOOKUP(A3080,[1]!DadosGHD[CD_GEOCMU],[1]!DadosGHD[uf])</f>
        <v>SP</v>
      </c>
      <c r="E3080" s="5" t="str">
        <f>_xlfn.XLOOKUP(A3080,[1]!DadosGHD[CD_GEOCMU],[1]!DadosGHD[MUNICIPIO])</f>
        <v>SAO JOSE DA BELA VISTA</v>
      </c>
      <c r="F3080" s="6">
        <v>43.582916259765597</v>
      </c>
      <c r="G3080" s="6">
        <v>43.681175231933601</v>
      </c>
      <c r="H3080" s="6">
        <v>43.7313842773438</v>
      </c>
      <c r="I3080" s="6">
        <v>43.738632202148402</v>
      </c>
      <c r="J3080" s="6">
        <v>43.762218475341797</v>
      </c>
      <c r="K3080" s="6">
        <v>38.862613677978501</v>
      </c>
      <c r="L3080" s="6">
        <v>35.152862548828097</v>
      </c>
    </row>
    <row r="3081" spans="1:12" x14ac:dyDescent="0.25">
      <c r="A3081">
        <v>2922508</v>
      </c>
      <c r="B3081" t="str">
        <f t="shared" si="48"/>
        <v>NAZARE, BA, Brasil</v>
      </c>
      <c r="C3081" s="4" t="str">
        <f>_xlfn.XLOOKUP(A3081,[1]!DadosGHD[CD_GEOCMU],[1]!DadosGHD[Região])</f>
        <v>NE</v>
      </c>
      <c r="D3081" s="4" t="str">
        <f>_xlfn.XLOOKUP(A3081,[1]!DadosGHD[CD_GEOCMU],[1]!DadosGHD[uf])</f>
        <v>BA</v>
      </c>
      <c r="E3081" s="5" t="str">
        <f>_xlfn.XLOOKUP(A3081,[1]!DadosGHD[CD_GEOCMU],[1]!DadosGHD[MUNICIPIO])</f>
        <v>NAZARE</v>
      </c>
      <c r="F3081" s="6">
        <v>43.583332061767599</v>
      </c>
      <c r="G3081" s="6">
        <v>43.743000030517599</v>
      </c>
      <c r="H3081" s="6">
        <v>43.826984405517599</v>
      </c>
      <c r="I3081" s="6">
        <v>43.703296661377003</v>
      </c>
      <c r="J3081" s="6">
        <v>43.721466064453097</v>
      </c>
      <c r="K3081" s="6">
        <v>38.867927551269503</v>
      </c>
      <c r="L3081" s="6">
        <v>35.149574279785199</v>
      </c>
    </row>
    <row r="3082" spans="1:12" x14ac:dyDescent="0.25">
      <c r="A3082">
        <v>4102901</v>
      </c>
      <c r="B3082" t="str">
        <f t="shared" si="48"/>
        <v>BITURUNA, PR, Brasil</v>
      </c>
      <c r="C3082" s="4" t="str">
        <f>_xlfn.XLOOKUP(A3082,[1]!DadosGHD[CD_GEOCMU],[1]!DadosGHD[Região])</f>
        <v>SL</v>
      </c>
      <c r="D3082" s="4" t="str">
        <f>_xlfn.XLOOKUP(A3082,[1]!DadosGHD[CD_GEOCMU],[1]!DadosGHD[uf])</f>
        <v>PR</v>
      </c>
      <c r="E3082" s="5" t="str">
        <f>_xlfn.XLOOKUP(A3082,[1]!DadosGHD[CD_GEOCMU],[1]!DadosGHD[MUNICIPIO])</f>
        <v>BITURUNA</v>
      </c>
      <c r="F3082" s="6">
        <v>43.583667755127003</v>
      </c>
      <c r="G3082" s="6">
        <v>43.665050506591797</v>
      </c>
      <c r="H3082" s="6">
        <v>43.709934234619098</v>
      </c>
      <c r="I3082" s="6">
        <v>43.701171875</v>
      </c>
      <c r="J3082" s="6">
        <v>48.698352813720703</v>
      </c>
      <c r="K3082" s="6">
        <v>43.848506927490199</v>
      </c>
      <c r="L3082" s="6">
        <v>44.015869140625</v>
      </c>
    </row>
    <row r="3083" spans="1:12" x14ac:dyDescent="0.25">
      <c r="A3083">
        <v>5004403</v>
      </c>
      <c r="B3083" t="str">
        <f t="shared" si="48"/>
        <v>INOCENCIA, MS, Brasil</v>
      </c>
      <c r="C3083" s="4" t="str">
        <f>_xlfn.XLOOKUP(A3083,[1]!DadosGHD[CD_GEOCMU],[1]!DadosGHD[Região])</f>
        <v>CO</v>
      </c>
      <c r="D3083" s="4" t="str">
        <f>_xlfn.XLOOKUP(A3083,[1]!DadosGHD[CD_GEOCMU],[1]!DadosGHD[uf])</f>
        <v>MS</v>
      </c>
      <c r="E3083" s="5" t="str">
        <f>_xlfn.XLOOKUP(A3083,[1]!DadosGHD[CD_GEOCMU],[1]!DadosGHD[MUNICIPIO])</f>
        <v>INOCENCIA</v>
      </c>
      <c r="F3083" s="6">
        <v>43.583911895752003</v>
      </c>
      <c r="G3083" s="6">
        <v>38.787445068359403</v>
      </c>
      <c r="H3083" s="6">
        <v>38.815864562988303</v>
      </c>
      <c r="I3083" s="6">
        <v>38.806480407714801</v>
      </c>
      <c r="J3083" s="6">
        <v>38.837089538574197</v>
      </c>
      <c r="K3083" s="6">
        <v>43.756885528564503</v>
      </c>
      <c r="L3083" s="6">
        <v>39.555736541748097</v>
      </c>
    </row>
    <row r="3084" spans="1:12" x14ac:dyDescent="0.25">
      <c r="A3084">
        <v>5004502</v>
      </c>
      <c r="B3084" t="str">
        <f t="shared" si="48"/>
        <v>ITAPORA, MS, Brasil</v>
      </c>
      <c r="C3084" s="4" t="str">
        <f>_xlfn.XLOOKUP(A3084,[1]!DadosGHD[CD_GEOCMU],[1]!DadosGHD[Região])</f>
        <v>CO</v>
      </c>
      <c r="D3084" s="4" t="str">
        <f>_xlfn.XLOOKUP(A3084,[1]!DadosGHD[CD_GEOCMU],[1]!DadosGHD[uf])</f>
        <v>MS</v>
      </c>
      <c r="E3084" s="5" t="str">
        <f>_xlfn.XLOOKUP(A3084,[1]!DadosGHD[CD_GEOCMU],[1]!DadosGHD[MUNICIPIO])</f>
        <v>ITAPORA</v>
      </c>
      <c r="F3084" s="6">
        <v>43.583946228027301</v>
      </c>
      <c r="G3084" s="6">
        <v>43.737979888916001</v>
      </c>
      <c r="H3084" s="6">
        <v>43.821941375732401</v>
      </c>
      <c r="I3084" s="6">
        <v>43.786083221435597</v>
      </c>
      <c r="J3084" s="6">
        <v>48.720127105712898</v>
      </c>
      <c r="K3084" s="6">
        <v>43.768688201904297</v>
      </c>
      <c r="L3084" s="6">
        <v>35.150169372558601</v>
      </c>
    </row>
    <row r="3085" spans="1:12" x14ac:dyDescent="0.25">
      <c r="A3085">
        <v>3300258</v>
      </c>
      <c r="B3085" t="str">
        <f t="shared" si="48"/>
        <v>ARRAIAL DO CABO, RJ, Brasil</v>
      </c>
      <c r="C3085" s="4" t="str">
        <f>_xlfn.XLOOKUP(A3085,[1]!DadosGHD[CD_GEOCMU],[1]!DadosGHD[Região])</f>
        <v>SD</v>
      </c>
      <c r="D3085" s="4" t="str">
        <f>_xlfn.XLOOKUP(A3085,[1]!DadosGHD[CD_GEOCMU],[1]!DadosGHD[uf])</f>
        <v>RJ</v>
      </c>
      <c r="E3085" s="5" t="str">
        <f>_xlfn.XLOOKUP(A3085,[1]!DadosGHD[CD_GEOCMU],[1]!DadosGHD[MUNICIPIO])</f>
        <v>ARRAIAL DO CABO</v>
      </c>
      <c r="F3085" s="6">
        <v>43.584121704101598</v>
      </c>
      <c r="G3085" s="6">
        <v>43.655086517333999</v>
      </c>
      <c r="H3085" s="6">
        <v>43.744522094726598</v>
      </c>
      <c r="I3085" s="6">
        <v>48.691551208496101</v>
      </c>
      <c r="J3085" s="6">
        <v>48.760078430175803</v>
      </c>
      <c r="K3085" s="6">
        <v>48.869094848632798</v>
      </c>
      <c r="L3085" s="6">
        <v>57.532627105712898</v>
      </c>
    </row>
    <row r="3086" spans="1:12" x14ac:dyDescent="0.25">
      <c r="A3086">
        <v>4116950</v>
      </c>
      <c r="B3086" t="str">
        <f t="shared" si="48"/>
        <v>NOVA ESPERANCA DO SUDOESTE, PR, Brasil</v>
      </c>
      <c r="C3086" s="4" t="str">
        <f>_xlfn.XLOOKUP(A3086,[1]!DadosGHD[CD_GEOCMU],[1]!DadosGHD[Região])</f>
        <v>SL</v>
      </c>
      <c r="D3086" s="4" t="str">
        <f>_xlfn.XLOOKUP(A3086,[1]!DadosGHD[CD_GEOCMU],[1]!DadosGHD[uf])</f>
        <v>PR</v>
      </c>
      <c r="E3086" s="5" t="str">
        <f>_xlfn.XLOOKUP(A3086,[1]!DadosGHD[CD_GEOCMU],[1]!DadosGHD[MUNICIPIO])</f>
        <v>NOVA ESPERANCA DO SUDOESTE</v>
      </c>
      <c r="F3086" s="6">
        <v>43.584693908691399</v>
      </c>
      <c r="G3086" s="6">
        <v>43.695148468017599</v>
      </c>
      <c r="H3086" s="6">
        <v>38.8359985351563</v>
      </c>
      <c r="I3086" s="6">
        <v>48.751243591308601</v>
      </c>
      <c r="J3086" s="6">
        <v>53.7873344421387</v>
      </c>
      <c r="K3086" s="6">
        <v>53.9182739257813</v>
      </c>
      <c r="L3086" s="6">
        <v>48.547725677490199</v>
      </c>
    </row>
    <row r="3087" spans="1:12" x14ac:dyDescent="0.25">
      <c r="A3087">
        <v>5101407</v>
      </c>
      <c r="B3087" t="str">
        <f t="shared" si="48"/>
        <v>ARIPUANA, MT, Brasil</v>
      </c>
      <c r="C3087" s="4" t="str">
        <f>_xlfn.XLOOKUP(A3087,[1]!DadosGHD[CD_GEOCMU],[1]!DadosGHD[Região])</f>
        <v>CO</v>
      </c>
      <c r="D3087" s="4" t="str">
        <f>_xlfn.XLOOKUP(A3087,[1]!DadosGHD[CD_GEOCMU],[1]!DadosGHD[uf])</f>
        <v>MT</v>
      </c>
      <c r="E3087" s="5" t="str">
        <f>_xlfn.XLOOKUP(A3087,[1]!DadosGHD[CD_GEOCMU],[1]!DadosGHD[MUNICIPIO])</f>
        <v>ARIPUANA</v>
      </c>
      <c r="F3087" s="6">
        <v>43.584800720214801</v>
      </c>
      <c r="G3087" s="6">
        <v>43.750320434570298</v>
      </c>
      <c r="H3087" s="6">
        <v>43.823570251464801</v>
      </c>
      <c r="I3087" s="6">
        <v>48.713161468505902</v>
      </c>
      <c r="J3087" s="6">
        <v>48.838584899902301</v>
      </c>
      <c r="K3087" s="6">
        <v>48.879787445068402</v>
      </c>
      <c r="L3087" s="6">
        <v>39.572597503662102</v>
      </c>
    </row>
    <row r="3088" spans="1:12" x14ac:dyDescent="0.25">
      <c r="A3088">
        <v>4120150</v>
      </c>
      <c r="B3088" t="str">
        <f t="shared" si="48"/>
        <v>PORTO BARREIRO, PR, Brasil</v>
      </c>
      <c r="C3088" s="4" t="str">
        <f>_xlfn.XLOOKUP(A3088,[1]!DadosGHD[CD_GEOCMU],[1]!DadosGHD[Região])</f>
        <v>SL</v>
      </c>
      <c r="D3088" s="4" t="str">
        <f>_xlfn.XLOOKUP(A3088,[1]!DadosGHD[CD_GEOCMU],[1]!DadosGHD[uf])</f>
        <v>PR</v>
      </c>
      <c r="E3088" s="5" t="str">
        <f>_xlfn.XLOOKUP(A3088,[1]!DadosGHD[CD_GEOCMU],[1]!DadosGHD[MUNICIPIO])</f>
        <v>PORTO BARREIRO</v>
      </c>
      <c r="F3088" s="6">
        <v>43.585048675537102</v>
      </c>
      <c r="G3088" s="6">
        <v>48.6543998718262</v>
      </c>
      <c r="H3088" s="6">
        <v>48.736160278320298</v>
      </c>
      <c r="I3088" s="6">
        <v>48.710258483886697</v>
      </c>
      <c r="J3088" s="6">
        <v>48.771018981933601</v>
      </c>
      <c r="K3088" s="6">
        <v>48.906478881835902</v>
      </c>
      <c r="L3088" s="6">
        <v>44.050254821777301</v>
      </c>
    </row>
    <row r="3089" spans="1:12" x14ac:dyDescent="0.25">
      <c r="A3089">
        <v>3107901</v>
      </c>
      <c r="B3089" t="str">
        <f t="shared" si="48"/>
        <v>BOM REPOUSO, MG, Brasil</v>
      </c>
      <c r="C3089" s="4" t="str">
        <f>_xlfn.XLOOKUP(A3089,[1]!DadosGHD[CD_GEOCMU],[1]!DadosGHD[Região])</f>
        <v>SD</v>
      </c>
      <c r="D3089" s="4" t="str">
        <f>_xlfn.XLOOKUP(A3089,[1]!DadosGHD[CD_GEOCMU],[1]!DadosGHD[uf])</f>
        <v>MG</v>
      </c>
      <c r="E3089" s="5" t="str">
        <f>_xlfn.XLOOKUP(A3089,[1]!DadosGHD[CD_GEOCMU],[1]!DadosGHD[MUNICIPIO])</f>
        <v>BOM REPOUSO</v>
      </c>
      <c r="F3089" s="6">
        <v>43.585105895996101</v>
      </c>
      <c r="G3089" s="6">
        <v>43.6526489257813</v>
      </c>
      <c r="H3089" s="6">
        <v>43.735752105712898</v>
      </c>
      <c r="I3089" s="6">
        <v>43.720371246337898</v>
      </c>
      <c r="J3089" s="6">
        <v>43.740608215332003</v>
      </c>
      <c r="K3089" s="6">
        <v>43.799938201904297</v>
      </c>
      <c r="L3089" s="6">
        <v>39.612422943115199</v>
      </c>
    </row>
    <row r="3090" spans="1:12" x14ac:dyDescent="0.25">
      <c r="A3090">
        <v>3529906</v>
      </c>
      <c r="B3090" t="str">
        <f t="shared" si="48"/>
        <v>MIRACATU, SP, Brasil</v>
      </c>
      <c r="C3090" s="4" t="str">
        <f>_xlfn.XLOOKUP(A3090,[1]!DadosGHD[CD_GEOCMU],[1]!DadosGHD[Região])</f>
        <v>SD</v>
      </c>
      <c r="D3090" s="4" t="str">
        <f>_xlfn.XLOOKUP(A3090,[1]!DadosGHD[CD_GEOCMU],[1]!DadosGHD[uf])</f>
        <v>SP</v>
      </c>
      <c r="E3090" s="5" t="str">
        <f>_xlfn.XLOOKUP(A3090,[1]!DadosGHD[CD_GEOCMU],[1]!DadosGHD[MUNICIPIO])</f>
        <v>MIRACATU</v>
      </c>
      <c r="F3090" s="6">
        <v>43.585227966308601</v>
      </c>
      <c r="G3090" s="6">
        <v>43.650184631347699</v>
      </c>
      <c r="H3090" s="6">
        <v>43.7377319335938</v>
      </c>
      <c r="I3090" s="6">
        <v>43.728767395019503</v>
      </c>
      <c r="J3090" s="6">
        <v>43.748504638671903</v>
      </c>
      <c r="K3090" s="6">
        <v>43.810390472412102</v>
      </c>
      <c r="L3090" s="6">
        <v>48.492164611816399</v>
      </c>
    </row>
    <row r="3091" spans="1:12" x14ac:dyDescent="0.25">
      <c r="A3091">
        <v>3157500</v>
      </c>
      <c r="B3091" t="str">
        <f t="shared" si="48"/>
        <v>SANTA EFIGENIA DE MINAS, MG, Brasil</v>
      </c>
      <c r="C3091" s="4" t="str">
        <f>_xlfn.XLOOKUP(A3091,[1]!DadosGHD[CD_GEOCMU],[1]!DadosGHD[Região])</f>
        <v>SD</v>
      </c>
      <c r="D3091" s="4" t="str">
        <f>_xlfn.XLOOKUP(A3091,[1]!DadosGHD[CD_GEOCMU],[1]!DadosGHD[uf])</f>
        <v>MG</v>
      </c>
      <c r="E3091" s="5" t="str">
        <f>_xlfn.XLOOKUP(A3091,[1]!DadosGHD[CD_GEOCMU],[1]!DadosGHD[MUNICIPIO])</f>
        <v>SANTA EFIGENIA DE MINAS</v>
      </c>
      <c r="F3091" s="6">
        <v>43.585453033447301</v>
      </c>
      <c r="G3091" s="6">
        <v>43.701442718505902</v>
      </c>
      <c r="H3091" s="6">
        <v>43.789966583252003</v>
      </c>
      <c r="I3091" s="6">
        <v>43.778163909912102</v>
      </c>
      <c r="J3091" s="6">
        <v>43.825660705566399</v>
      </c>
      <c r="K3091" s="6">
        <v>43.868614196777301</v>
      </c>
      <c r="L3091" s="6">
        <v>52.993190765380902</v>
      </c>
    </row>
    <row r="3092" spans="1:12" x14ac:dyDescent="0.25">
      <c r="A3092">
        <v>4320677</v>
      </c>
      <c r="B3092" t="str">
        <f t="shared" si="48"/>
        <v>SINIMBU, RS, Brasil</v>
      </c>
      <c r="C3092" s="4" t="str">
        <f>_xlfn.XLOOKUP(A3092,[1]!DadosGHD[CD_GEOCMU],[1]!DadosGHD[Região])</f>
        <v>SL</v>
      </c>
      <c r="D3092" s="4" t="str">
        <f>_xlfn.XLOOKUP(A3092,[1]!DadosGHD[CD_GEOCMU],[1]!DadosGHD[uf])</f>
        <v>RS</v>
      </c>
      <c r="E3092" s="5" t="str">
        <f>_xlfn.XLOOKUP(A3092,[1]!DadosGHD[CD_GEOCMU],[1]!DadosGHD[MUNICIPIO])</f>
        <v>SINIMBU</v>
      </c>
      <c r="F3092" s="6">
        <v>43.5855522155762</v>
      </c>
      <c r="G3092" s="6">
        <v>43.662097930908203</v>
      </c>
      <c r="H3092" s="6">
        <v>43.743747711181598</v>
      </c>
      <c r="I3092" s="6">
        <v>43.702426910400398</v>
      </c>
      <c r="J3092" s="6">
        <v>43.753227233886697</v>
      </c>
      <c r="K3092" s="6">
        <v>43.774967193603501</v>
      </c>
      <c r="L3092" s="6">
        <v>35.134910583496101</v>
      </c>
    </row>
    <row r="3093" spans="1:12" x14ac:dyDescent="0.25">
      <c r="A3093">
        <v>1200104</v>
      </c>
      <c r="B3093" t="str">
        <f t="shared" si="48"/>
        <v>BRASILEIA, AC, Brasil</v>
      </c>
      <c r="C3093" s="4" t="str">
        <f>_xlfn.XLOOKUP(A3093,[1]!DadosGHD[CD_GEOCMU],[1]!DadosGHD[Região])</f>
        <v>NO</v>
      </c>
      <c r="D3093" s="4" t="str">
        <f>_xlfn.XLOOKUP(A3093,[1]!DadosGHD[CD_GEOCMU],[1]!DadosGHD[uf])</f>
        <v>AC</v>
      </c>
      <c r="E3093" s="5" t="str">
        <f>_xlfn.XLOOKUP(A3093,[1]!DadosGHD[CD_GEOCMU],[1]!DadosGHD[MUNICIPIO])</f>
        <v>BRASILEIA</v>
      </c>
      <c r="F3093" s="6">
        <v>43.585575103759801</v>
      </c>
      <c r="G3093" s="6">
        <v>43.657310485839801</v>
      </c>
      <c r="H3093" s="6">
        <v>38.832141876220703</v>
      </c>
      <c r="I3093" s="6">
        <v>38.807197570800803</v>
      </c>
      <c r="J3093" s="6">
        <v>38.843162536621101</v>
      </c>
      <c r="K3093" s="6">
        <v>38.882194519042997</v>
      </c>
      <c r="L3093" s="6">
        <v>35.121250152587898</v>
      </c>
    </row>
    <row r="3094" spans="1:12" x14ac:dyDescent="0.25">
      <c r="A3094">
        <v>3124906</v>
      </c>
      <c r="B3094" t="str">
        <f t="shared" si="48"/>
        <v>EUGENOPOLIS, MG, Brasil</v>
      </c>
      <c r="C3094" s="4" t="str">
        <f>_xlfn.XLOOKUP(A3094,[1]!DadosGHD[CD_GEOCMU],[1]!DadosGHD[Região])</f>
        <v>SD</v>
      </c>
      <c r="D3094" s="4" t="str">
        <f>_xlfn.XLOOKUP(A3094,[1]!DadosGHD[CD_GEOCMU],[1]!DadosGHD[uf])</f>
        <v>MG</v>
      </c>
      <c r="E3094" s="5" t="str">
        <f>_xlfn.XLOOKUP(A3094,[1]!DadosGHD[CD_GEOCMU],[1]!DadosGHD[MUNICIPIO])</f>
        <v>EUGENOPOLIS</v>
      </c>
      <c r="F3094" s="6">
        <v>43.5855903625488</v>
      </c>
      <c r="G3094" s="6">
        <v>43.734409332275398</v>
      </c>
      <c r="H3094" s="6">
        <v>48.759979248046903</v>
      </c>
      <c r="I3094" s="6">
        <v>48.726970672607401</v>
      </c>
      <c r="J3094" s="6">
        <v>48.6991157531738</v>
      </c>
      <c r="K3094" s="6">
        <v>43.869300842285199</v>
      </c>
      <c r="L3094" s="6">
        <v>39.597606658935597</v>
      </c>
    </row>
    <row r="3095" spans="1:12" x14ac:dyDescent="0.25">
      <c r="A3095">
        <v>2503209</v>
      </c>
      <c r="B3095" t="str">
        <f t="shared" si="48"/>
        <v>CABEDELO, PB, Brasil</v>
      </c>
      <c r="C3095" s="4" t="str">
        <f>_xlfn.XLOOKUP(A3095,[1]!DadosGHD[CD_GEOCMU],[1]!DadosGHD[Região])</f>
        <v>NE</v>
      </c>
      <c r="D3095" s="4" t="str">
        <f>_xlfn.XLOOKUP(A3095,[1]!DadosGHD[CD_GEOCMU],[1]!DadosGHD[uf])</f>
        <v>PB</v>
      </c>
      <c r="E3095" s="5" t="str">
        <f>_xlfn.XLOOKUP(A3095,[1]!DadosGHD[CD_GEOCMU],[1]!DadosGHD[MUNICIPIO])</f>
        <v>CABEDELO</v>
      </c>
      <c r="F3095" s="6">
        <v>43.586097717285199</v>
      </c>
      <c r="G3095" s="6">
        <v>43.660308837890597</v>
      </c>
      <c r="H3095" s="6">
        <v>43.7445068359375</v>
      </c>
      <c r="I3095" s="6">
        <v>43.7518119812012</v>
      </c>
      <c r="J3095" s="6">
        <v>43.816661834716797</v>
      </c>
      <c r="K3095" s="6">
        <v>43.863460540771499</v>
      </c>
      <c r="L3095" s="6">
        <v>52.987972259521499</v>
      </c>
    </row>
    <row r="3096" spans="1:12" x14ac:dyDescent="0.25">
      <c r="A3096">
        <v>2400703</v>
      </c>
      <c r="B3096" t="str">
        <f t="shared" si="48"/>
        <v>ALTO DO RODRIGUES, RN, Brasil</v>
      </c>
      <c r="C3096" s="4" t="str">
        <f>_xlfn.XLOOKUP(A3096,[1]!DadosGHD[CD_GEOCMU],[1]!DadosGHD[Região])</f>
        <v>NE</v>
      </c>
      <c r="D3096" s="4" t="str">
        <f>_xlfn.XLOOKUP(A3096,[1]!DadosGHD[CD_GEOCMU],[1]!DadosGHD[uf])</f>
        <v>RN</v>
      </c>
      <c r="E3096" s="5" t="str">
        <f>_xlfn.XLOOKUP(A3096,[1]!DadosGHD[CD_GEOCMU],[1]!DadosGHD[MUNICIPIO])</f>
        <v>ALTO DO RODRIGUES</v>
      </c>
      <c r="F3096" s="6">
        <v>43.586334228515597</v>
      </c>
      <c r="G3096" s="6">
        <v>43.645576477050803</v>
      </c>
      <c r="H3096" s="6">
        <v>38.830085754394503</v>
      </c>
      <c r="I3096" s="6">
        <v>38.818656921386697</v>
      </c>
      <c r="J3096" s="6">
        <v>43.726734161377003</v>
      </c>
      <c r="K3096" s="6">
        <v>43.778495788574197</v>
      </c>
      <c r="L3096" s="6">
        <v>39.609424591064503</v>
      </c>
    </row>
    <row r="3097" spans="1:12" x14ac:dyDescent="0.25">
      <c r="A3097">
        <v>5106307</v>
      </c>
      <c r="B3097" t="str">
        <f t="shared" si="48"/>
        <v>PARANATINGA, MT, Brasil</v>
      </c>
      <c r="C3097" s="4" t="str">
        <f>_xlfn.XLOOKUP(A3097,[1]!DadosGHD[CD_GEOCMU],[1]!DadosGHD[Região])</f>
        <v>CO</v>
      </c>
      <c r="D3097" s="4" t="str">
        <f>_xlfn.XLOOKUP(A3097,[1]!DadosGHD[CD_GEOCMU],[1]!DadosGHD[uf])</f>
        <v>MT</v>
      </c>
      <c r="E3097" s="5" t="str">
        <f>_xlfn.XLOOKUP(A3097,[1]!DadosGHD[CD_GEOCMU],[1]!DadosGHD[MUNICIPIO])</f>
        <v>PARANATINGA</v>
      </c>
      <c r="F3097" s="6">
        <v>43.586540222167997</v>
      </c>
      <c r="G3097" s="6">
        <v>43.704105377197301</v>
      </c>
      <c r="H3097" s="6">
        <v>43.790885925292997</v>
      </c>
      <c r="I3097" s="6">
        <v>43.765045166015597</v>
      </c>
      <c r="J3097" s="6">
        <v>43.784500122070298</v>
      </c>
      <c r="K3097" s="6">
        <v>43.831451416015597</v>
      </c>
      <c r="L3097" s="6">
        <v>39.610542297363303</v>
      </c>
    </row>
    <row r="3098" spans="1:12" x14ac:dyDescent="0.25">
      <c r="A3098">
        <v>4111001</v>
      </c>
      <c r="B3098" t="str">
        <f t="shared" si="48"/>
        <v>ITAMBARACA, PR, Brasil</v>
      </c>
      <c r="C3098" s="4" t="str">
        <f>_xlfn.XLOOKUP(A3098,[1]!DadosGHD[CD_GEOCMU],[1]!DadosGHD[Região])</f>
        <v>SL</v>
      </c>
      <c r="D3098" s="4" t="str">
        <f>_xlfn.XLOOKUP(A3098,[1]!DadosGHD[CD_GEOCMU],[1]!DadosGHD[uf])</f>
        <v>PR</v>
      </c>
      <c r="E3098" s="5" t="str">
        <f>_xlfn.XLOOKUP(A3098,[1]!DadosGHD[CD_GEOCMU],[1]!DadosGHD[MUNICIPIO])</f>
        <v>ITAMBARACA</v>
      </c>
      <c r="F3098" s="6">
        <v>43.5867309570313</v>
      </c>
      <c r="G3098" s="6">
        <v>43.650680541992202</v>
      </c>
      <c r="H3098" s="6">
        <v>38.850215911865199</v>
      </c>
      <c r="I3098" s="6">
        <v>43.715663909912102</v>
      </c>
      <c r="J3098" s="6">
        <v>48.737094879150398</v>
      </c>
      <c r="K3098" s="6">
        <v>48.789684295654297</v>
      </c>
      <c r="L3098" s="6">
        <v>53.047767639160199</v>
      </c>
    </row>
    <row r="3099" spans="1:12" x14ac:dyDescent="0.25">
      <c r="A3099">
        <v>2911709</v>
      </c>
      <c r="B3099" t="str">
        <f t="shared" si="48"/>
        <v>GUANAMBI, BA, Brasil</v>
      </c>
      <c r="C3099" s="4" t="str">
        <f>_xlfn.XLOOKUP(A3099,[1]!DadosGHD[CD_GEOCMU],[1]!DadosGHD[Região])</f>
        <v>NE</v>
      </c>
      <c r="D3099" s="4" t="str">
        <f>_xlfn.XLOOKUP(A3099,[1]!DadosGHD[CD_GEOCMU],[1]!DadosGHD[uf])</f>
        <v>BA</v>
      </c>
      <c r="E3099" s="5" t="str">
        <f>_xlfn.XLOOKUP(A3099,[1]!DadosGHD[CD_GEOCMU],[1]!DadosGHD[MUNICIPIO])</f>
        <v>GUANAMBI</v>
      </c>
      <c r="F3099" s="6">
        <v>43.587181091308601</v>
      </c>
      <c r="G3099" s="6">
        <v>43.644733428955099</v>
      </c>
      <c r="H3099" s="6">
        <v>38.831851959228501</v>
      </c>
      <c r="I3099" s="6">
        <v>38.801952362060597</v>
      </c>
      <c r="J3099" s="6">
        <v>38.835704803466797</v>
      </c>
      <c r="K3099" s="6">
        <v>43.844280242919901</v>
      </c>
      <c r="L3099" s="6">
        <v>44.028064727783203</v>
      </c>
    </row>
    <row r="3100" spans="1:12" x14ac:dyDescent="0.25">
      <c r="A3100">
        <v>3120706</v>
      </c>
      <c r="B3100" t="str">
        <f t="shared" si="48"/>
        <v>CRUZEIRO DA FORTALEZA, MG, Brasil</v>
      </c>
      <c r="C3100" s="4" t="str">
        <f>_xlfn.XLOOKUP(A3100,[1]!DadosGHD[CD_GEOCMU],[1]!DadosGHD[Região])</f>
        <v>SD</v>
      </c>
      <c r="D3100" s="4" t="str">
        <f>_xlfn.XLOOKUP(A3100,[1]!DadosGHD[CD_GEOCMU],[1]!DadosGHD[uf])</f>
        <v>MG</v>
      </c>
      <c r="E3100" s="5" t="str">
        <f>_xlfn.XLOOKUP(A3100,[1]!DadosGHD[CD_GEOCMU],[1]!DadosGHD[MUNICIPIO])</f>
        <v>CRUZEIRO DA FORTALEZA</v>
      </c>
      <c r="F3100" s="6">
        <v>43.587207794189503</v>
      </c>
      <c r="G3100" s="6">
        <v>43.666103363037102</v>
      </c>
      <c r="H3100" s="6">
        <v>43.719566345214801</v>
      </c>
      <c r="I3100" s="6">
        <v>53.715854644775398</v>
      </c>
      <c r="J3100" s="6">
        <v>53.727119445800803</v>
      </c>
      <c r="K3100" s="6">
        <v>53.839302062988303</v>
      </c>
      <c r="L3100" s="6">
        <v>53.032142639160199</v>
      </c>
    </row>
    <row r="3101" spans="1:12" x14ac:dyDescent="0.25">
      <c r="A3101">
        <v>3101706</v>
      </c>
      <c r="B3101" t="str">
        <f t="shared" si="48"/>
        <v>ALMENARA, MG, Brasil</v>
      </c>
      <c r="C3101" s="4" t="str">
        <f>_xlfn.XLOOKUP(A3101,[1]!DadosGHD[CD_GEOCMU],[1]!DadosGHD[Região])</f>
        <v>SD</v>
      </c>
      <c r="D3101" s="4" t="str">
        <f>_xlfn.XLOOKUP(A3101,[1]!DadosGHD[CD_GEOCMU],[1]!DadosGHD[uf])</f>
        <v>MG</v>
      </c>
      <c r="E3101" s="5" t="str">
        <f>_xlfn.XLOOKUP(A3101,[1]!DadosGHD[CD_GEOCMU],[1]!DadosGHD[MUNICIPIO])</f>
        <v>ALMENARA</v>
      </c>
      <c r="F3101" s="6">
        <v>43.587947845458999</v>
      </c>
      <c r="G3101" s="6">
        <v>43.704399108886697</v>
      </c>
      <c r="H3101" s="6">
        <v>43.722526550292997</v>
      </c>
      <c r="I3101" s="6">
        <v>38.814945220947301</v>
      </c>
      <c r="J3101" s="6">
        <v>38.819934844970703</v>
      </c>
      <c r="K3101" s="6">
        <v>38.882053375244098</v>
      </c>
      <c r="L3101" s="6">
        <v>35.118789672851598</v>
      </c>
    </row>
    <row r="3102" spans="1:12" x14ac:dyDescent="0.25">
      <c r="A3102">
        <v>3201803</v>
      </c>
      <c r="B3102" t="str">
        <f t="shared" si="48"/>
        <v>DIVINO DE SAO LOURENCO, ES, Brasil</v>
      </c>
      <c r="C3102" s="4" t="str">
        <f>_xlfn.XLOOKUP(A3102,[1]!DadosGHD[CD_GEOCMU],[1]!DadosGHD[Região])</f>
        <v>SD</v>
      </c>
      <c r="D3102" s="4" t="str">
        <f>_xlfn.XLOOKUP(A3102,[1]!DadosGHD[CD_GEOCMU],[1]!DadosGHD[uf])</f>
        <v>ES</v>
      </c>
      <c r="E3102" s="5" t="str">
        <f>_xlfn.XLOOKUP(A3102,[1]!DadosGHD[CD_GEOCMU],[1]!DadosGHD[MUNICIPIO])</f>
        <v>DIVINO DE SAO LOURENCO</v>
      </c>
      <c r="F3102" s="6">
        <v>43.588352203369098</v>
      </c>
      <c r="G3102" s="6">
        <v>43.661327362060597</v>
      </c>
      <c r="H3102" s="6">
        <v>43.714553833007798</v>
      </c>
      <c r="I3102" s="6">
        <v>43.804878234863303</v>
      </c>
      <c r="J3102" s="6">
        <v>48.6970825195313</v>
      </c>
      <c r="K3102" s="6">
        <v>43.884613037109403</v>
      </c>
      <c r="L3102" s="6">
        <v>39.559902191162102</v>
      </c>
    </row>
    <row r="3103" spans="1:12" x14ac:dyDescent="0.25">
      <c r="A3103">
        <v>5108501</v>
      </c>
      <c r="B3103" t="str">
        <f t="shared" si="48"/>
        <v>VERA, MT, Brasil</v>
      </c>
      <c r="C3103" s="4" t="str">
        <f>_xlfn.XLOOKUP(A3103,[1]!DadosGHD[CD_GEOCMU],[1]!DadosGHD[Região])</f>
        <v>CO</v>
      </c>
      <c r="D3103" s="4" t="str">
        <f>_xlfn.XLOOKUP(A3103,[1]!DadosGHD[CD_GEOCMU],[1]!DadosGHD[uf])</f>
        <v>MT</v>
      </c>
      <c r="E3103" s="5" t="str">
        <f>_xlfn.XLOOKUP(A3103,[1]!DadosGHD[CD_GEOCMU],[1]!DadosGHD[MUNICIPIO])</f>
        <v>VERA</v>
      </c>
      <c r="F3103" s="6">
        <v>43.588432312011697</v>
      </c>
      <c r="G3103" s="6">
        <v>43.697952270507798</v>
      </c>
      <c r="H3103" s="6">
        <v>43.736198425292997</v>
      </c>
      <c r="I3103" s="6">
        <v>43.736251831054702</v>
      </c>
      <c r="J3103" s="6">
        <v>43.776435852050803</v>
      </c>
      <c r="K3103" s="6">
        <v>43.808162689208999</v>
      </c>
      <c r="L3103" s="6">
        <v>44.0384330749512</v>
      </c>
    </row>
    <row r="3104" spans="1:12" x14ac:dyDescent="0.25">
      <c r="A3104">
        <v>2304608</v>
      </c>
      <c r="B3104" t="str">
        <f t="shared" si="48"/>
        <v>GENERAL SAMPAIO, CE, Brasil</v>
      </c>
      <c r="C3104" s="4" t="str">
        <f>_xlfn.XLOOKUP(A3104,[1]!DadosGHD[CD_GEOCMU],[1]!DadosGHD[Região])</f>
        <v>NE</v>
      </c>
      <c r="D3104" s="4" t="str">
        <f>_xlfn.XLOOKUP(A3104,[1]!DadosGHD[CD_GEOCMU],[1]!DadosGHD[uf])</f>
        <v>CE</v>
      </c>
      <c r="E3104" s="5" t="str">
        <f>_xlfn.XLOOKUP(A3104,[1]!DadosGHD[CD_GEOCMU],[1]!DadosGHD[MUNICIPIO])</f>
        <v>GENERAL SAMPAIO</v>
      </c>
      <c r="F3104" s="6">
        <v>43.588619232177699</v>
      </c>
      <c r="G3104" s="6">
        <v>38.759357452392599</v>
      </c>
      <c r="H3104" s="6">
        <v>38.796329498291001</v>
      </c>
      <c r="I3104" s="6">
        <v>38.741188049316399</v>
      </c>
      <c r="J3104" s="6">
        <v>33.880573272705099</v>
      </c>
      <c r="K3104" s="6">
        <v>33.910575866699197</v>
      </c>
      <c r="L3104" s="6">
        <v>30.686037063598601</v>
      </c>
    </row>
    <row r="3105" spans="1:12" x14ac:dyDescent="0.25">
      <c r="A3105">
        <v>5200829</v>
      </c>
      <c r="B3105" t="str">
        <f t="shared" si="48"/>
        <v>AMARALINA, GO, Brasil</v>
      </c>
      <c r="C3105" s="4" t="str">
        <f>_xlfn.XLOOKUP(A3105,[1]!DadosGHD[CD_GEOCMU],[1]!DadosGHD[Região])</f>
        <v>CO</v>
      </c>
      <c r="D3105" s="4" t="str">
        <f>_xlfn.XLOOKUP(A3105,[1]!DadosGHD[CD_GEOCMU],[1]!DadosGHD[uf])</f>
        <v>GO</v>
      </c>
      <c r="E3105" s="5" t="str">
        <f>_xlfn.XLOOKUP(A3105,[1]!DadosGHD[CD_GEOCMU],[1]!DadosGHD[MUNICIPIO])</f>
        <v>AMARALINA</v>
      </c>
      <c r="F3105" s="6">
        <v>43.588714599609403</v>
      </c>
      <c r="G3105" s="6">
        <v>38.759391784667997</v>
      </c>
      <c r="H3105" s="6">
        <v>43.715438842773402</v>
      </c>
      <c r="I3105" s="6">
        <v>43.695564270019503</v>
      </c>
      <c r="J3105" s="6">
        <v>43.7302436828613</v>
      </c>
      <c r="K3105" s="6">
        <v>38.845851898193402</v>
      </c>
      <c r="L3105" s="6">
        <v>35.147163391113303</v>
      </c>
    </row>
    <row r="3106" spans="1:12" x14ac:dyDescent="0.25">
      <c r="A3106">
        <v>2514701</v>
      </c>
      <c r="B3106" t="str">
        <f t="shared" si="48"/>
        <v>SAO JOSE DO SABUGI, PB, Brasil</v>
      </c>
      <c r="C3106" s="4" t="str">
        <f>_xlfn.XLOOKUP(A3106,[1]!DadosGHD[CD_GEOCMU],[1]!DadosGHD[Região])</f>
        <v>NE</v>
      </c>
      <c r="D3106" s="4" t="str">
        <f>_xlfn.XLOOKUP(A3106,[1]!DadosGHD[CD_GEOCMU],[1]!DadosGHD[uf])</f>
        <v>PB</v>
      </c>
      <c r="E3106" s="5" t="str">
        <f>_xlfn.XLOOKUP(A3106,[1]!DadosGHD[CD_GEOCMU],[1]!DadosGHD[MUNICIPIO])</f>
        <v>SAO JOSE DO SABUGI</v>
      </c>
      <c r="F3106" s="6">
        <v>43.589012145996101</v>
      </c>
      <c r="G3106" s="6">
        <v>38.740425109863303</v>
      </c>
      <c r="H3106" s="6">
        <v>38.777339935302699</v>
      </c>
      <c r="I3106" s="6">
        <v>38.759647369384801</v>
      </c>
      <c r="J3106" s="6">
        <v>43.715061187744098</v>
      </c>
      <c r="K3106" s="6">
        <v>48.7903861999512</v>
      </c>
      <c r="L3106" s="6">
        <v>48.519855499267599</v>
      </c>
    </row>
    <row r="3107" spans="1:12" x14ac:dyDescent="0.25">
      <c r="A3107">
        <v>3167905</v>
      </c>
      <c r="B3107" t="str">
        <f t="shared" si="48"/>
        <v>TABULEIRO, MG, Brasil</v>
      </c>
      <c r="C3107" s="4" t="str">
        <f>_xlfn.XLOOKUP(A3107,[1]!DadosGHD[CD_GEOCMU],[1]!DadosGHD[Região])</f>
        <v>SD</v>
      </c>
      <c r="D3107" s="4" t="str">
        <f>_xlfn.XLOOKUP(A3107,[1]!DadosGHD[CD_GEOCMU],[1]!DadosGHD[uf])</f>
        <v>MG</v>
      </c>
      <c r="E3107" s="5" t="str">
        <f>_xlfn.XLOOKUP(A3107,[1]!DadosGHD[CD_GEOCMU],[1]!DadosGHD[MUNICIPIO])</f>
        <v>TABULEIRO</v>
      </c>
      <c r="F3107" s="6">
        <v>43.589279174804702</v>
      </c>
      <c r="G3107" s="6">
        <v>38.765922546386697</v>
      </c>
      <c r="H3107" s="6">
        <v>38.825859069824197</v>
      </c>
      <c r="I3107" s="6">
        <v>43.725399017333999</v>
      </c>
      <c r="J3107" s="6">
        <v>43.762405395507798</v>
      </c>
      <c r="K3107" s="6">
        <v>43.812854766845703</v>
      </c>
      <c r="L3107" s="6">
        <v>39.591209411621101</v>
      </c>
    </row>
    <row r="3108" spans="1:12" x14ac:dyDescent="0.25">
      <c r="A3108">
        <v>1100023</v>
      </c>
      <c r="B3108" t="str">
        <f t="shared" si="48"/>
        <v>ARIQUEMES, RO, Brasil</v>
      </c>
      <c r="C3108" s="4" t="str">
        <f>_xlfn.XLOOKUP(A3108,[1]!DadosGHD[CD_GEOCMU],[1]!DadosGHD[Região])</f>
        <v>NO</v>
      </c>
      <c r="D3108" s="4" t="str">
        <f>_xlfn.XLOOKUP(A3108,[1]!DadosGHD[CD_GEOCMU],[1]!DadosGHD[uf])</f>
        <v>RO</v>
      </c>
      <c r="E3108" s="5" t="str">
        <f>_xlfn.XLOOKUP(A3108,[1]!DadosGHD[CD_GEOCMU],[1]!DadosGHD[MUNICIPIO])</f>
        <v>ARIQUEMES</v>
      </c>
      <c r="F3108" s="6">
        <v>43.589454650878899</v>
      </c>
      <c r="G3108" s="6">
        <v>43.692218780517599</v>
      </c>
      <c r="H3108" s="6">
        <v>43.78271484375</v>
      </c>
      <c r="I3108" s="6">
        <v>43.802902221679702</v>
      </c>
      <c r="J3108" s="6">
        <v>48.708305358886697</v>
      </c>
      <c r="K3108" s="6">
        <v>48.808731079101598</v>
      </c>
      <c r="L3108" s="6">
        <v>48.554714202880902</v>
      </c>
    </row>
    <row r="3109" spans="1:12" x14ac:dyDescent="0.25">
      <c r="A3109">
        <v>1718840</v>
      </c>
      <c r="B3109" t="str">
        <f t="shared" si="48"/>
        <v>SANDOLANDIA, TO, Brasil</v>
      </c>
      <c r="C3109" s="4" t="str">
        <f>_xlfn.XLOOKUP(A3109,[1]!DadosGHD[CD_GEOCMU],[1]!DadosGHD[Região])</f>
        <v>NO</v>
      </c>
      <c r="D3109" s="4" t="str">
        <f>_xlfn.XLOOKUP(A3109,[1]!DadosGHD[CD_GEOCMU],[1]!DadosGHD[uf])</f>
        <v>TO</v>
      </c>
      <c r="E3109" s="5" t="str">
        <f>_xlfn.XLOOKUP(A3109,[1]!DadosGHD[CD_GEOCMU],[1]!DadosGHD[MUNICIPIO])</f>
        <v>SANDOLANDIA</v>
      </c>
      <c r="F3109" s="6">
        <v>43.589832305908203</v>
      </c>
      <c r="G3109" s="6">
        <v>38.7595405578613</v>
      </c>
      <c r="H3109" s="6">
        <v>38.805126190185597</v>
      </c>
      <c r="I3109" s="6">
        <v>38.779815673828097</v>
      </c>
      <c r="J3109" s="6">
        <v>38.798435211181598</v>
      </c>
      <c r="K3109" s="6">
        <v>38.834667205810597</v>
      </c>
      <c r="L3109" s="6">
        <v>26.2986850738525</v>
      </c>
    </row>
    <row r="3110" spans="1:12" x14ac:dyDescent="0.25">
      <c r="A3110">
        <v>3300506</v>
      </c>
      <c r="B3110" t="str">
        <f t="shared" si="48"/>
        <v>BOM JARDIM, RJ, Brasil</v>
      </c>
      <c r="C3110" s="4" t="str">
        <f>_xlfn.XLOOKUP(A3110,[1]!DadosGHD[CD_GEOCMU],[1]!DadosGHD[Região])</f>
        <v>SD</v>
      </c>
      <c r="D3110" s="4" t="str">
        <f>_xlfn.XLOOKUP(A3110,[1]!DadosGHD[CD_GEOCMU],[1]!DadosGHD[uf])</f>
        <v>RJ</v>
      </c>
      <c r="E3110" s="5" t="str">
        <f>_xlfn.XLOOKUP(A3110,[1]!DadosGHD[CD_GEOCMU],[1]!DadosGHD[MUNICIPIO])</f>
        <v>BOM JARDIM</v>
      </c>
      <c r="F3110" s="6">
        <v>43.589885711669901</v>
      </c>
      <c r="G3110" s="6">
        <v>48.704193115234403</v>
      </c>
      <c r="H3110" s="6">
        <v>48.749469757080099</v>
      </c>
      <c r="I3110" s="6">
        <v>48.753536224365199</v>
      </c>
      <c r="J3110" s="6">
        <v>43.811073303222699</v>
      </c>
      <c r="K3110" s="6">
        <v>43.823173522949197</v>
      </c>
      <c r="L3110" s="6">
        <v>44.022468566894503</v>
      </c>
    </row>
    <row r="3111" spans="1:12" x14ac:dyDescent="0.25">
      <c r="A3111">
        <v>1713304</v>
      </c>
      <c r="B3111" t="str">
        <f t="shared" si="48"/>
        <v>MIRANORTE, TO, Brasil</v>
      </c>
      <c r="C3111" s="4" t="str">
        <f>_xlfn.XLOOKUP(A3111,[1]!DadosGHD[CD_GEOCMU],[1]!DadosGHD[Região])</f>
        <v>NO</v>
      </c>
      <c r="D3111" s="4" t="str">
        <f>_xlfn.XLOOKUP(A3111,[1]!DadosGHD[CD_GEOCMU],[1]!DadosGHD[uf])</f>
        <v>TO</v>
      </c>
      <c r="E3111" s="5" t="str">
        <f>_xlfn.XLOOKUP(A3111,[1]!DadosGHD[CD_GEOCMU],[1]!DadosGHD[MUNICIPIO])</f>
        <v>MIRANORTE</v>
      </c>
      <c r="F3111" s="6">
        <v>43.590099334716797</v>
      </c>
      <c r="G3111" s="6">
        <v>43.724666595458999</v>
      </c>
      <c r="H3111" s="6">
        <v>43.806552886962898</v>
      </c>
      <c r="I3111" s="6">
        <v>43.797962188720703</v>
      </c>
      <c r="J3111" s="6">
        <v>48.699375152587898</v>
      </c>
      <c r="K3111" s="6">
        <v>43.865589141845703</v>
      </c>
      <c r="L3111" s="6">
        <v>35.143787384033203</v>
      </c>
    </row>
    <row r="3112" spans="1:12" x14ac:dyDescent="0.25">
      <c r="A3112">
        <v>1500602</v>
      </c>
      <c r="B3112" t="str">
        <f t="shared" si="48"/>
        <v>ALTAMIRA, PA, Brasil</v>
      </c>
      <c r="C3112" s="4" t="str">
        <f>_xlfn.XLOOKUP(A3112,[1]!DadosGHD[CD_GEOCMU],[1]!DadosGHD[Região])</f>
        <v>NO</v>
      </c>
      <c r="D3112" s="4" t="str">
        <f>_xlfn.XLOOKUP(A3112,[1]!DadosGHD[CD_GEOCMU],[1]!DadosGHD[uf])</f>
        <v>PA</v>
      </c>
      <c r="E3112" s="5" t="str">
        <f>_xlfn.XLOOKUP(A3112,[1]!DadosGHD[CD_GEOCMU],[1]!DadosGHD[MUNICIPIO])</f>
        <v>ALTAMIRA</v>
      </c>
      <c r="F3112" s="6">
        <v>43.590530395507798</v>
      </c>
      <c r="G3112" s="6">
        <v>43.6535034179688</v>
      </c>
      <c r="H3112" s="6">
        <v>43.759773254394503</v>
      </c>
      <c r="I3112" s="6">
        <v>43.725765228271499</v>
      </c>
      <c r="J3112" s="6">
        <v>43.708251953125</v>
      </c>
      <c r="K3112" s="6">
        <v>43.767654418945298</v>
      </c>
      <c r="L3112" s="6">
        <v>39.557689666748097</v>
      </c>
    </row>
    <row r="3113" spans="1:12" x14ac:dyDescent="0.25">
      <c r="A3113">
        <v>2805703</v>
      </c>
      <c r="B3113" t="str">
        <f t="shared" si="48"/>
        <v>PROPRIA, SE, Brasil</v>
      </c>
      <c r="C3113" s="4" t="str">
        <f>_xlfn.XLOOKUP(A3113,[1]!DadosGHD[CD_GEOCMU],[1]!DadosGHD[Região])</f>
        <v>NE</v>
      </c>
      <c r="D3113" s="4" t="str">
        <f>_xlfn.XLOOKUP(A3113,[1]!DadosGHD[CD_GEOCMU],[1]!DadosGHD[uf])</f>
        <v>SE</v>
      </c>
      <c r="E3113" s="5" t="str">
        <f>_xlfn.XLOOKUP(A3113,[1]!DadosGHD[CD_GEOCMU],[1]!DadosGHD[MUNICIPIO])</f>
        <v>PROPRIA</v>
      </c>
      <c r="F3113" s="6">
        <v>43.591068267822301</v>
      </c>
      <c r="G3113" s="6">
        <v>43.664608001708999</v>
      </c>
      <c r="H3113" s="6">
        <v>43.730945587158203</v>
      </c>
      <c r="I3113" s="6">
        <v>43.710895538330099</v>
      </c>
      <c r="J3113" s="6">
        <v>48.7192573547363</v>
      </c>
      <c r="K3113" s="6">
        <v>43.885540008544901</v>
      </c>
      <c r="L3113" s="6">
        <v>39.604736328125</v>
      </c>
    </row>
    <row r="3114" spans="1:12" x14ac:dyDescent="0.25">
      <c r="A3114">
        <v>3159407</v>
      </c>
      <c r="B3114" t="str">
        <f t="shared" si="48"/>
        <v>SANTA RITA DE IBITIPOCA, MG, Brasil</v>
      </c>
      <c r="C3114" s="4" t="str">
        <f>_xlfn.XLOOKUP(A3114,[1]!DadosGHD[CD_GEOCMU],[1]!DadosGHD[Região])</f>
        <v>SD</v>
      </c>
      <c r="D3114" s="4" t="str">
        <f>_xlfn.XLOOKUP(A3114,[1]!DadosGHD[CD_GEOCMU],[1]!DadosGHD[uf])</f>
        <v>MG</v>
      </c>
      <c r="E3114" s="5" t="str">
        <f>_xlfn.XLOOKUP(A3114,[1]!DadosGHD[CD_GEOCMU],[1]!DadosGHD[MUNICIPIO])</f>
        <v>SANTA RITA DE IBITIPOCA</v>
      </c>
      <c r="F3114" s="6">
        <v>43.591228485107401</v>
      </c>
      <c r="G3114" s="6">
        <v>38.760276794433601</v>
      </c>
      <c r="H3114" s="6">
        <v>38.8458251953125</v>
      </c>
      <c r="I3114" s="6">
        <v>43.702751159667997</v>
      </c>
      <c r="J3114" s="6">
        <v>43.747447967529297</v>
      </c>
      <c r="K3114" s="6">
        <v>43.820816040039098</v>
      </c>
      <c r="L3114" s="6">
        <v>44.031787872314503</v>
      </c>
    </row>
    <row r="3115" spans="1:12" x14ac:dyDescent="0.25">
      <c r="A3115">
        <v>2413607</v>
      </c>
      <c r="B3115" t="str">
        <f t="shared" si="48"/>
        <v>SEVERIANO MELO, RN, Brasil</v>
      </c>
      <c r="C3115" s="4" t="str">
        <f>_xlfn.XLOOKUP(A3115,[1]!DadosGHD[CD_GEOCMU],[1]!DadosGHD[Região])</f>
        <v>NE</v>
      </c>
      <c r="D3115" s="4" t="str">
        <f>_xlfn.XLOOKUP(A3115,[1]!DadosGHD[CD_GEOCMU],[1]!DadosGHD[uf])</f>
        <v>RN</v>
      </c>
      <c r="E3115" s="5" t="str">
        <f>_xlfn.XLOOKUP(A3115,[1]!DadosGHD[CD_GEOCMU],[1]!DadosGHD[MUNICIPIO])</f>
        <v>SEVERIANO MELO</v>
      </c>
      <c r="F3115" s="6">
        <v>43.591274261474602</v>
      </c>
      <c r="G3115" s="6">
        <v>43.746299743652301</v>
      </c>
      <c r="H3115" s="6">
        <v>48.7518119812012</v>
      </c>
      <c r="I3115" s="6">
        <v>48.7862739562988</v>
      </c>
      <c r="J3115" s="6">
        <v>48.773124694824197</v>
      </c>
      <c r="K3115" s="6">
        <v>48.8200874328613</v>
      </c>
      <c r="L3115" s="6">
        <v>35.133480072021499</v>
      </c>
    </row>
    <row r="3116" spans="1:12" x14ac:dyDescent="0.25">
      <c r="A3116">
        <v>5108105</v>
      </c>
      <c r="B3116" t="str">
        <f t="shared" si="48"/>
        <v>TESOURO, MT, Brasil</v>
      </c>
      <c r="C3116" s="4" t="str">
        <f>_xlfn.XLOOKUP(A3116,[1]!DadosGHD[CD_GEOCMU],[1]!DadosGHD[Região])</f>
        <v>CO</v>
      </c>
      <c r="D3116" s="4" t="str">
        <f>_xlfn.XLOOKUP(A3116,[1]!DadosGHD[CD_GEOCMU],[1]!DadosGHD[uf])</f>
        <v>MT</v>
      </c>
      <c r="E3116" s="5" t="str">
        <f>_xlfn.XLOOKUP(A3116,[1]!DadosGHD[CD_GEOCMU],[1]!DadosGHD[MUNICIPIO])</f>
        <v>TESOURO</v>
      </c>
      <c r="F3116" s="6">
        <v>43.5915336608887</v>
      </c>
      <c r="G3116" s="6">
        <v>38.765327453613303</v>
      </c>
      <c r="H3116" s="6">
        <v>38.814323425292997</v>
      </c>
      <c r="I3116" s="6">
        <v>38.808837890625</v>
      </c>
      <c r="J3116" s="6">
        <v>38.823478698730497</v>
      </c>
      <c r="K3116" s="6">
        <v>48.789501190185597</v>
      </c>
      <c r="L3116" s="6">
        <v>44.018733978271499</v>
      </c>
    </row>
    <row r="3117" spans="1:12" x14ac:dyDescent="0.25">
      <c r="A3117">
        <v>5209705</v>
      </c>
      <c r="B3117" t="str">
        <f t="shared" si="48"/>
        <v>HIDROLANDIA, GO, Brasil</v>
      </c>
      <c r="C3117" s="4" t="str">
        <f>_xlfn.XLOOKUP(A3117,[1]!DadosGHD[CD_GEOCMU],[1]!DadosGHD[Região])</f>
        <v>CO</v>
      </c>
      <c r="D3117" s="4" t="str">
        <f>_xlfn.XLOOKUP(A3117,[1]!DadosGHD[CD_GEOCMU],[1]!DadosGHD[uf])</f>
        <v>GO</v>
      </c>
      <c r="E3117" s="5" t="str">
        <f>_xlfn.XLOOKUP(A3117,[1]!DadosGHD[CD_GEOCMU],[1]!DadosGHD[MUNICIPIO])</f>
        <v>HIDROLANDIA</v>
      </c>
      <c r="F3117" s="6">
        <v>43.591537475585902</v>
      </c>
      <c r="G3117" s="6">
        <v>43.672367095947301</v>
      </c>
      <c r="H3117" s="6">
        <v>38.847084045410199</v>
      </c>
      <c r="I3117" s="6">
        <v>38.796131134033203</v>
      </c>
      <c r="J3117" s="6">
        <v>38.7698364257813</v>
      </c>
      <c r="K3117" s="6">
        <v>38.802780151367202</v>
      </c>
      <c r="L3117" s="6">
        <v>30.710323333740199</v>
      </c>
    </row>
    <row r="3118" spans="1:12" x14ac:dyDescent="0.25">
      <c r="A3118">
        <v>2414209</v>
      </c>
      <c r="B3118" t="str">
        <f t="shared" si="48"/>
        <v>TIBAU DO SUL, RN, Brasil</v>
      </c>
      <c r="C3118" s="4" t="str">
        <f>_xlfn.XLOOKUP(A3118,[1]!DadosGHD[CD_GEOCMU],[1]!DadosGHD[Região])</f>
        <v>NE</v>
      </c>
      <c r="D3118" s="4" t="str">
        <f>_xlfn.XLOOKUP(A3118,[1]!DadosGHD[CD_GEOCMU],[1]!DadosGHD[uf])</f>
        <v>RN</v>
      </c>
      <c r="E3118" s="5" t="str">
        <f>_xlfn.XLOOKUP(A3118,[1]!DadosGHD[CD_GEOCMU],[1]!DadosGHD[MUNICIPIO])</f>
        <v>TIBAU DO SUL</v>
      </c>
      <c r="F3118" s="6">
        <v>43.591651916503899</v>
      </c>
      <c r="G3118" s="6">
        <v>43.645053863525398</v>
      </c>
      <c r="H3118" s="6">
        <v>38.8432426452637</v>
      </c>
      <c r="I3118" s="6">
        <v>43.680797576904297</v>
      </c>
      <c r="J3118" s="6">
        <v>48.739627838134801</v>
      </c>
      <c r="K3118" s="6">
        <v>48.776439666748097</v>
      </c>
      <c r="L3118" s="6">
        <v>57.492053985595703</v>
      </c>
    </row>
    <row r="3119" spans="1:12" x14ac:dyDescent="0.25">
      <c r="A3119">
        <v>5005103</v>
      </c>
      <c r="B3119" t="str">
        <f t="shared" si="48"/>
        <v>JATEI, MS, Brasil</v>
      </c>
      <c r="C3119" s="4" t="str">
        <f>_xlfn.XLOOKUP(A3119,[1]!DadosGHD[CD_GEOCMU],[1]!DadosGHD[Região])</f>
        <v>CO</v>
      </c>
      <c r="D3119" s="4" t="str">
        <f>_xlfn.XLOOKUP(A3119,[1]!DadosGHD[CD_GEOCMU],[1]!DadosGHD[uf])</f>
        <v>MS</v>
      </c>
      <c r="E3119" s="5" t="str">
        <f>_xlfn.XLOOKUP(A3119,[1]!DadosGHD[CD_GEOCMU],[1]!DadosGHD[MUNICIPIO])</f>
        <v>JATEI</v>
      </c>
      <c r="F3119" s="6">
        <v>43.591907501220703</v>
      </c>
      <c r="G3119" s="6">
        <v>43.642486572265597</v>
      </c>
      <c r="H3119" s="6">
        <v>43.757942199707003</v>
      </c>
      <c r="I3119" s="6">
        <v>43.741706848144503</v>
      </c>
      <c r="J3119" s="6">
        <v>43.739093780517599</v>
      </c>
      <c r="K3119" s="6">
        <v>43.773956298828097</v>
      </c>
      <c r="L3119" s="6">
        <v>48.555801391601598</v>
      </c>
    </row>
    <row r="3120" spans="1:12" x14ac:dyDescent="0.25">
      <c r="A3120">
        <v>3305208</v>
      </c>
      <c r="B3120" t="str">
        <f t="shared" si="48"/>
        <v>SAO PEDRO DA ALDEIA, RJ, Brasil</v>
      </c>
      <c r="C3120" s="4" t="str">
        <f>_xlfn.XLOOKUP(A3120,[1]!DadosGHD[CD_GEOCMU],[1]!DadosGHD[Região])</f>
        <v>SD</v>
      </c>
      <c r="D3120" s="4" t="str">
        <f>_xlfn.XLOOKUP(A3120,[1]!DadosGHD[CD_GEOCMU],[1]!DadosGHD[uf])</f>
        <v>RJ</v>
      </c>
      <c r="E3120" s="5" t="str">
        <f>_xlfn.XLOOKUP(A3120,[1]!DadosGHD[CD_GEOCMU],[1]!DadosGHD[MUNICIPIO])</f>
        <v>SAO PEDRO DA ALDEIA</v>
      </c>
      <c r="F3120" s="6">
        <v>43.592067718505902</v>
      </c>
      <c r="G3120" s="6">
        <v>43.673561096191399</v>
      </c>
      <c r="H3120" s="6">
        <v>43.756870269775398</v>
      </c>
      <c r="I3120" s="6">
        <v>43.773166656494098</v>
      </c>
      <c r="J3120" s="6">
        <v>43.801918029785199</v>
      </c>
      <c r="K3120" s="6">
        <v>43.849300384521499</v>
      </c>
      <c r="L3120" s="6">
        <v>52.9849243164063</v>
      </c>
    </row>
    <row r="3121" spans="1:12" x14ac:dyDescent="0.25">
      <c r="A3121">
        <v>3125200</v>
      </c>
      <c r="B3121" t="str">
        <f t="shared" si="48"/>
        <v>FAMA, MG, Brasil</v>
      </c>
      <c r="C3121" s="4" t="str">
        <f>_xlfn.XLOOKUP(A3121,[1]!DadosGHD[CD_GEOCMU],[1]!DadosGHD[Região])</f>
        <v>SD</v>
      </c>
      <c r="D3121" s="4" t="str">
        <f>_xlfn.XLOOKUP(A3121,[1]!DadosGHD[CD_GEOCMU],[1]!DadosGHD[uf])</f>
        <v>MG</v>
      </c>
      <c r="E3121" s="5" t="str">
        <f>_xlfn.XLOOKUP(A3121,[1]!DadosGHD[CD_GEOCMU],[1]!DadosGHD[MUNICIPIO])</f>
        <v>FAMA</v>
      </c>
      <c r="F3121" s="6">
        <v>43.592105865478501</v>
      </c>
      <c r="G3121" s="6">
        <v>43.686290740966797</v>
      </c>
      <c r="H3121" s="6">
        <v>43.732921600341797</v>
      </c>
      <c r="I3121" s="6">
        <v>43.698005676269503</v>
      </c>
      <c r="J3121" s="6">
        <v>33.828060150146499</v>
      </c>
      <c r="K3121" s="6">
        <v>33.904533386230497</v>
      </c>
      <c r="L3121" s="6">
        <v>48.4875297546387</v>
      </c>
    </row>
    <row r="3122" spans="1:12" x14ac:dyDescent="0.25">
      <c r="A3122">
        <v>3142304</v>
      </c>
      <c r="B3122" t="str">
        <f t="shared" si="48"/>
        <v>MOEDA, MG, Brasil</v>
      </c>
      <c r="C3122" s="4" t="str">
        <f>_xlfn.XLOOKUP(A3122,[1]!DadosGHD[CD_GEOCMU],[1]!DadosGHD[Região])</f>
        <v>SD</v>
      </c>
      <c r="D3122" s="4" t="str">
        <f>_xlfn.XLOOKUP(A3122,[1]!DadosGHD[CD_GEOCMU],[1]!DadosGHD[uf])</f>
        <v>MG</v>
      </c>
      <c r="E3122" s="5" t="str">
        <f>_xlfn.XLOOKUP(A3122,[1]!DadosGHD[CD_GEOCMU],[1]!DadosGHD[MUNICIPIO])</f>
        <v>MOEDA</v>
      </c>
      <c r="F3122" s="6">
        <v>43.592166900634801</v>
      </c>
      <c r="G3122" s="6">
        <v>43.646171569824197</v>
      </c>
      <c r="H3122" s="6">
        <v>43.761283874511697</v>
      </c>
      <c r="I3122" s="6">
        <v>43.758838653564503</v>
      </c>
      <c r="J3122" s="6">
        <v>43.778263092041001</v>
      </c>
      <c r="K3122" s="6">
        <v>43.884319305419901</v>
      </c>
      <c r="L3122" s="6">
        <v>48.487907409667997</v>
      </c>
    </row>
    <row r="3123" spans="1:12" x14ac:dyDescent="0.25">
      <c r="A3123">
        <v>5200050</v>
      </c>
      <c r="B3123" t="str">
        <f t="shared" si="48"/>
        <v>ABADIA DE GOIAS, GO, Brasil</v>
      </c>
      <c r="C3123" s="4" t="str">
        <f>_xlfn.XLOOKUP(A3123,[1]!DadosGHD[CD_GEOCMU],[1]!DadosGHD[Região])</f>
        <v>CO</v>
      </c>
      <c r="D3123" s="4" t="str">
        <f>_xlfn.XLOOKUP(A3123,[1]!DadosGHD[CD_GEOCMU],[1]!DadosGHD[uf])</f>
        <v>GO</v>
      </c>
      <c r="E3123" s="5" t="str">
        <f>_xlfn.XLOOKUP(A3123,[1]!DadosGHD[CD_GEOCMU],[1]!DadosGHD[MUNICIPIO])</f>
        <v>ABADIA DE GOIAS</v>
      </c>
      <c r="F3123" s="6">
        <v>43.592254638671903</v>
      </c>
      <c r="G3123" s="6">
        <v>43.692436218261697</v>
      </c>
      <c r="H3123" s="6">
        <v>43.757484436035199</v>
      </c>
      <c r="I3123" s="6">
        <v>38.819160461425803</v>
      </c>
      <c r="J3123" s="6">
        <v>38.778213500976598</v>
      </c>
      <c r="K3123" s="6">
        <v>38.799346923828097</v>
      </c>
      <c r="L3123" s="6">
        <v>35.114612579345703</v>
      </c>
    </row>
    <row r="3124" spans="1:12" x14ac:dyDescent="0.25">
      <c r="A3124">
        <v>3520202</v>
      </c>
      <c r="B3124" t="str">
        <f t="shared" si="48"/>
        <v>IGARATA, SP, Brasil</v>
      </c>
      <c r="C3124" s="4" t="str">
        <f>_xlfn.XLOOKUP(A3124,[1]!DadosGHD[CD_GEOCMU],[1]!DadosGHD[Região])</f>
        <v>SD</v>
      </c>
      <c r="D3124" s="4" t="str">
        <f>_xlfn.XLOOKUP(A3124,[1]!DadosGHD[CD_GEOCMU],[1]!DadosGHD[uf])</f>
        <v>SP</v>
      </c>
      <c r="E3124" s="5" t="str">
        <f>_xlfn.XLOOKUP(A3124,[1]!DadosGHD[CD_GEOCMU],[1]!DadosGHD[MUNICIPIO])</f>
        <v>IGARATA</v>
      </c>
      <c r="F3124" s="6">
        <v>43.592315673828097</v>
      </c>
      <c r="G3124" s="6">
        <v>43.6419677734375</v>
      </c>
      <c r="H3124" s="6">
        <v>38.828422546386697</v>
      </c>
      <c r="I3124" s="6">
        <v>38.719451904296903</v>
      </c>
      <c r="J3124" s="6">
        <v>43.719261169433601</v>
      </c>
      <c r="K3124" s="6">
        <v>43.818305969238303</v>
      </c>
      <c r="L3124" s="6">
        <v>48.498699188232401</v>
      </c>
    </row>
    <row r="3125" spans="1:12" x14ac:dyDescent="0.25">
      <c r="A3125">
        <v>3140209</v>
      </c>
      <c r="B3125" t="str">
        <f t="shared" si="48"/>
        <v>MARIPA DE MINAS, MG, Brasil</v>
      </c>
      <c r="C3125" s="4" t="str">
        <f>_xlfn.XLOOKUP(A3125,[1]!DadosGHD[CD_GEOCMU],[1]!DadosGHD[Região])</f>
        <v>SD</v>
      </c>
      <c r="D3125" s="4" t="str">
        <f>_xlfn.XLOOKUP(A3125,[1]!DadosGHD[CD_GEOCMU],[1]!DadosGHD[uf])</f>
        <v>MG</v>
      </c>
      <c r="E3125" s="5" t="str">
        <f>_xlfn.XLOOKUP(A3125,[1]!DadosGHD[CD_GEOCMU],[1]!DadosGHD[MUNICIPIO])</f>
        <v>MARIPA DE MINAS</v>
      </c>
      <c r="F3125" s="6">
        <v>43.5923881530762</v>
      </c>
      <c r="G3125" s="6">
        <v>48.680686950683601</v>
      </c>
      <c r="H3125" s="6">
        <v>48.756942749023402</v>
      </c>
      <c r="I3125" s="6">
        <v>48.792057037353501</v>
      </c>
      <c r="J3125" s="6">
        <v>53.728237152099602</v>
      </c>
      <c r="K3125" s="6">
        <v>48.806442260742202</v>
      </c>
      <c r="L3125" s="6">
        <v>39.592327117919901</v>
      </c>
    </row>
    <row r="3126" spans="1:12" x14ac:dyDescent="0.25">
      <c r="A3126">
        <v>5105101</v>
      </c>
      <c r="B3126" t="str">
        <f t="shared" si="48"/>
        <v>JUARA, MT, Brasil</v>
      </c>
      <c r="C3126" s="4" t="str">
        <f>_xlfn.XLOOKUP(A3126,[1]!DadosGHD[CD_GEOCMU],[1]!DadosGHD[Região])</f>
        <v>CO</v>
      </c>
      <c r="D3126" s="4" t="str">
        <f>_xlfn.XLOOKUP(A3126,[1]!DadosGHD[CD_GEOCMU],[1]!DadosGHD[uf])</f>
        <v>MT</v>
      </c>
      <c r="E3126" s="5" t="str">
        <f>_xlfn.XLOOKUP(A3126,[1]!DadosGHD[CD_GEOCMU],[1]!DadosGHD[MUNICIPIO])</f>
        <v>JUARA</v>
      </c>
      <c r="F3126" s="6">
        <v>43.592414855957003</v>
      </c>
      <c r="G3126" s="6">
        <v>43.684986114502003</v>
      </c>
      <c r="H3126" s="6">
        <v>43.781219482421903</v>
      </c>
      <c r="I3126" s="6">
        <v>43.763885498046903</v>
      </c>
      <c r="J3126" s="6">
        <v>43.808570861816399</v>
      </c>
      <c r="K3126" s="6">
        <v>48.852516174316399</v>
      </c>
      <c r="L3126" s="6">
        <v>44.015922546386697</v>
      </c>
    </row>
    <row r="3127" spans="1:12" x14ac:dyDescent="0.25">
      <c r="A3127">
        <v>5107305</v>
      </c>
      <c r="B3127" t="str">
        <f t="shared" si="48"/>
        <v>SAO JOSE DO RIO CLARO, MT, Brasil</v>
      </c>
      <c r="C3127" s="4" t="str">
        <f>_xlfn.XLOOKUP(A3127,[1]!DadosGHD[CD_GEOCMU],[1]!DadosGHD[Região])</f>
        <v>CO</v>
      </c>
      <c r="D3127" s="4" t="str">
        <f>_xlfn.XLOOKUP(A3127,[1]!DadosGHD[CD_GEOCMU],[1]!DadosGHD[uf])</f>
        <v>MT</v>
      </c>
      <c r="E3127" s="5" t="str">
        <f>_xlfn.XLOOKUP(A3127,[1]!DadosGHD[CD_GEOCMU],[1]!DadosGHD[MUNICIPIO])</f>
        <v>SAO JOSE DO RIO CLARO</v>
      </c>
      <c r="F3127" s="6">
        <v>43.592472076416001</v>
      </c>
      <c r="G3127" s="6">
        <v>43.692218780517599</v>
      </c>
      <c r="H3127" s="6">
        <v>38.850288391113303</v>
      </c>
      <c r="I3127" s="6">
        <v>43.714645385742202</v>
      </c>
      <c r="J3127" s="6">
        <v>43.737018585205099</v>
      </c>
      <c r="K3127" s="6">
        <v>43.842376708984403</v>
      </c>
      <c r="L3127" s="6">
        <v>53.040138244628899</v>
      </c>
    </row>
    <row r="3128" spans="1:12" x14ac:dyDescent="0.25">
      <c r="A3128">
        <v>3112406</v>
      </c>
      <c r="B3128" t="str">
        <f t="shared" si="48"/>
        <v>CAPETINGA, MG, Brasil</v>
      </c>
      <c r="C3128" s="4" t="str">
        <f>_xlfn.XLOOKUP(A3128,[1]!DadosGHD[CD_GEOCMU],[1]!DadosGHD[Região])</f>
        <v>SD</v>
      </c>
      <c r="D3128" s="4" t="str">
        <f>_xlfn.XLOOKUP(A3128,[1]!DadosGHD[CD_GEOCMU],[1]!DadosGHD[uf])</f>
        <v>MG</v>
      </c>
      <c r="E3128" s="5" t="str">
        <f>_xlfn.XLOOKUP(A3128,[1]!DadosGHD[CD_GEOCMU],[1]!DadosGHD[MUNICIPIO])</f>
        <v>CAPETINGA</v>
      </c>
      <c r="F3128" s="6">
        <v>43.593002319335902</v>
      </c>
      <c r="G3128" s="6">
        <v>43.764228820800803</v>
      </c>
      <c r="H3128" s="6">
        <v>48.730861663818402</v>
      </c>
      <c r="I3128" s="6">
        <v>48.728965759277301</v>
      </c>
      <c r="J3128" s="6">
        <v>43.767105102539098</v>
      </c>
      <c r="K3128" s="6">
        <v>43.770378112792997</v>
      </c>
      <c r="L3128" s="6">
        <v>30.719123840331999</v>
      </c>
    </row>
    <row r="3129" spans="1:12" x14ac:dyDescent="0.25">
      <c r="A3129">
        <v>5102603</v>
      </c>
      <c r="B3129" t="str">
        <f t="shared" si="48"/>
        <v>CAMPINAPOLIS, MT, Brasil</v>
      </c>
      <c r="C3129" s="4" t="str">
        <f>_xlfn.XLOOKUP(A3129,[1]!DadosGHD[CD_GEOCMU],[1]!DadosGHD[Região])</f>
        <v>CO</v>
      </c>
      <c r="D3129" s="4" t="str">
        <f>_xlfn.XLOOKUP(A3129,[1]!DadosGHD[CD_GEOCMU],[1]!DadosGHD[uf])</f>
        <v>MT</v>
      </c>
      <c r="E3129" s="5" t="str">
        <f>_xlfn.XLOOKUP(A3129,[1]!DadosGHD[CD_GEOCMU],[1]!DadosGHD[MUNICIPIO])</f>
        <v>CAMPINAPOLIS</v>
      </c>
      <c r="F3129" s="6">
        <v>43.593215942382798</v>
      </c>
      <c r="G3129" s="6">
        <v>43.688709259033203</v>
      </c>
      <c r="H3129" s="6">
        <v>43.727809906005902</v>
      </c>
      <c r="I3129" s="6">
        <v>43.769134521484403</v>
      </c>
      <c r="J3129" s="6">
        <v>43.815536499023402</v>
      </c>
      <c r="K3129" s="6">
        <v>48.792465209960902</v>
      </c>
      <c r="L3129" s="6">
        <v>30.721330642700199</v>
      </c>
    </row>
    <row r="3130" spans="1:12" x14ac:dyDescent="0.25">
      <c r="A3130">
        <v>4128807</v>
      </c>
      <c r="B3130" t="str">
        <f t="shared" si="48"/>
        <v>XAMBRE, PR, Brasil</v>
      </c>
      <c r="C3130" s="4" t="str">
        <f>_xlfn.XLOOKUP(A3130,[1]!DadosGHD[CD_GEOCMU],[1]!DadosGHD[Região])</f>
        <v>SL</v>
      </c>
      <c r="D3130" s="4" t="str">
        <f>_xlfn.XLOOKUP(A3130,[1]!DadosGHD[CD_GEOCMU],[1]!DadosGHD[uf])</f>
        <v>PR</v>
      </c>
      <c r="E3130" s="5" t="str">
        <f>_xlfn.XLOOKUP(A3130,[1]!DadosGHD[CD_GEOCMU],[1]!DadosGHD[MUNICIPIO])</f>
        <v>XAMBRE</v>
      </c>
      <c r="F3130" s="6">
        <v>43.593376159667997</v>
      </c>
      <c r="G3130" s="6">
        <v>43.660087585449197</v>
      </c>
      <c r="H3130" s="6">
        <v>43.756237030029297</v>
      </c>
      <c r="I3130" s="6">
        <v>48.740039825439503</v>
      </c>
      <c r="J3130" s="6">
        <v>48.7808837890625</v>
      </c>
      <c r="K3130" s="6">
        <v>48.810230255127003</v>
      </c>
      <c r="L3130" s="6">
        <v>39.585338592529297</v>
      </c>
    </row>
    <row r="3131" spans="1:12" x14ac:dyDescent="0.25">
      <c r="A3131">
        <v>5203203</v>
      </c>
      <c r="B3131" t="str">
        <f t="shared" si="48"/>
        <v>BARRO ALTO, GO, Brasil</v>
      </c>
      <c r="C3131" s="4" t="str">
        <f>_xlfn.XLOOKUP(A3131,[1]!DadosGHD[CD_GEOCMU],[1]!DadosGHD[Região])</f>
        <v>CO</v>
      </c>
      <c r="D3131" s="4" t="str">
        <f>_xlfn.XLOOKUP(A3131,[1]!DadosGHD[CD_GEOCMU],[1]!DadosGHD[uf])</f>
        <v>GO</v>
      </c>
      <c r="E3131" s="5" t="str">
        <f>_xlfn.XLOOKUP(A3131,[1]!DadosGHD[CD_GEOCMU],[1]!DadosGHD[MUNICIPIO])</f>
        <v>BARRO ALTO</v>
      </c>
      <c r="F3131" s="6">
        <v>43.593513488769503</v>
      </c>
      <c r="G3131" s="6">
        <v>38.788414001464801</v>
      </c>
      <c r="H3131" s="6">
        <v>38.845512390136697</v>
      </c>
      <c r="I3131" s="6">
        <v>38.765739440917997</v>
      </c>
      <c r="J3131" s="6">
        <v>38.829227447509801</v>
      </c>
      <c r="K3131" s="6">
        <v>43.778713226318402</v>
      </c>
      <c r="L3131" s="6">
        <v>35.151599884033203</v>
      </c>
    </row>
    <row r="3132" spans="1:12" x14ac:dyDescent="0.25">
      <c r="A3132">
        <v>3508009</v>
      </c>
      <c r="B3132" t="str">
        <f t="shared" si="48"/>
        <v>BURI, SP, Brasil</v>
      </c>
      <c r="C3132" s="4" t="str">
        <f>_xlfn.XLOOKUP(A3132,[1]!DadosGHD[CD_GEOCMU],[1]!DadosGHD[Região])</f>
        <v>SD</v>
      </c>
      <c r="D3132" s="4" t="str">
        <f>_xlfn.XLOOKUP(A3132,[1]!DadosGHD[CD_GEOCMU],[1]!DadosGHD[uf])</f>
        <v>SP</v>
      </c>
      <c r="E3132" s="5" t="str">
        <f>_xlfn.XLOOKUP(A3132,[1]!DadosGHD[CD_GEOCMU],[1]!DadosGHD[MUNICIPIO])</f>
        <v>BURI</v>
      </c>
      <c r="F3132" s="6">
        <v>43.594020843505902</v>
      </c>
      <c r="G3132" s="6">
        <v>43.671463012695298</v>
      </c>
      <c r="H3132" s="6">
        <v>38.828384399414098</v>
      </c>
      <c r="I3132" s="6">
        <v>43.684543609619098</v>
      </c>
      <c r="J3132" s="6">
        <v>43.791660308837898</v>
      </c>
      <c r="K3132" s="6">
        <v>43.830501556396499</v>
      </c>
      <c r="L3132" s="6">
        <v>44.0771484375</v>
      </c>
    </row>
    <row r="3133" spans="1:12" x14ac:dyDescent="0.25">
      <c r="A3133">
        <v>4202438</v>
      </c>
      <c r="B3133" t="str">
        <f t="shared" si="48"/>
        <v>BOCAINA DO SUL, SC, Brasil</v>
      </c>
      <c r="C3133" s="4" t="str">
        <f>_xlfn.XLOOKUP(A3133,[1]!DadosGHD[CD_GEOCMU],[1]!DadosGHD[Região])</f>
        <v>SL</v>
      </c>
      <c r="D3133" s="4" t="str">
        <f>_xlfn.XLOOKUP(A3133,[1]!DadosGHD[CD_GEOCMU],[1]!DadosGHD[uf])</f>
        <v>SC</v>
      </c>
      <c r="E3133" s="5" t="str">
        <f>_xlfn.XLOOKUP(A3133,[1]!DadosGHD[CD_GEOCMU],[1]!DadosGHD[MUNICIPIO])</f>
        <v>BOCAINA DO SUL</v>
      </c>
      <c r="F3133" s="6">
        <v>43.594928741455099</v>
      </c>
      <c r="G3133" s="6">
        <v>33.8438911437988</v>
      </c>
      <c r="H3133" s="6">
        <v>33.8854789733887</v>
      </c>
      <c r="I3133" s="6">
        <v>38.803066253662102</v>
      </c>
      <c r="J3133" s="6">
        <v>43.765071868896499</v>
      </c>
      <c r="K3133" s="6">
        <v>43.787288665771499</v>
      </c>
      <c r="L3133" s="6">
        <v>39.601840972900398</v>
      </c>
    </row>
    <row r="3134" spans="1:12" x14ac:dyDescent="0.25">
      <c r="A3134">
        <v>4103040</v>
      </c>
      <c r="B3134" t="str">
        <f t="shared" si="48"/>
        <v>BOA VENTURA DE SAO ROQUE, PR, Brasil</v>
      </c>
      <c r="C3134" s="4" t="str">
        <f>_xlfn.XLOOKUP(A3134,[1]!DadosGHD[CD_GEOCMU],[1]!DadosGHD[Região])</f>
        <v>SL</v>
      </c>
      <c r="D3134" s="4" t="str">
        <f>_xlfn.XLOOKUP(A3134,[1]!DadosGHD[CD_GEOCMU],[1]!DadosGHD[uf])</f>
        <v>PR</v>
      </c>
      <c r="E3134" s="5" t="str">
        <f>_xlfn.XLOOKUP(A3134,[1]!DadosGHD[CD_GEOCMU],[1]!DadosGHD[MUNICIPIO])</f>
        <v>BOA VENTURA DE SAO ROQUE</v>
      </c>
      <c r="F3134" s="6">
        <v>43.594955444335902</v>
      </c>
      <c r="G3134" s="6">
        <v>43.755863189697301</v>
      </c>
      <c r="H3134" s="6">
        <v>43.8195991516113</v>
      </c>
      <c r="I3134" s="6">
        <v>43.799407958984403</v>
      </c>
      <c r="J3134" s="6">
        <v>48.701316833496101</v>
      </c>
      <c r="K3134" s="6">
        <v>43.862850189208999</v>
      </c>
      <c r="L3134" s="6">
        <v>35.119636535644503</v>
      </c>
    </row>
    <row r="3135" spans="1:12" x14ac:dyDescent="0.25">
      <c r="A3135">
        <v>5219803</v>
      </c>
      <c r="B3135" t="str">
        <f t="shared" si="48"/>
        <v>SAO DOMINGOS, GO, Brasil</v>
      </c>
      <c r="C3135" s="4" t="str">
        <f>_xlfn.XLOOKUP(A3135,[1]!DadosGHD[CD_GEOCMU],[1]!DadosGHD[Região])</f>
        <v>CO</v>
      </c>
      <c r="D3135" s="4" t="str">
        <f>_xlfn.XLOOKUP(A3135,[1]!DadosGHD[CD_GEOCMU],[1]!DadosGHD[uf])</f>
        <v>GO</v>
      </c>
      <c r="E3135" s="5" t="str">
        <f>_xlfn.XLOOKUP(A3135,[1]!DadosGHD[CD_GEOCMU],[1]!DadosGHD[MUNICIPIO])</f>
        <v>SAO DOMINGOS</v>
      </c>
      <c r="F3135" s="6">
        <v>43.595180511474602</v>
      </c>
      <c r="G3135" s="6">
        <v>38.784130096435597</v>
      </c>
      <c r="H3135" s="6">
        <v>38.815364837646499</v>
      </c>
      <c r="I3135" s="6">
        <v>38.801948547363303</v>
      </c>
      <c r="J3135" s="6">
        <v>38.822536468505902</v>
      </c>
      <c r="K3135" s="6">
        <v>38.834842681884801</v>
      </c>
      <c r="L3135" s="6">
        <v>35.132038116455099</v>
      </c>
    </row>
    <row r="3136" spans="1:12" x14ac:dyDescent="0.25">
      <c r="A3136">
        <v>3542701</v>
      </c>
      <c r="B3136" t="str">
        <f t="shared" si="48"/>
        <v>RESTINGA, SP, Brasil</v>
      </c>
      <c r="C3136" s="4" t="str">
        <f>_xlfn.XLOOKUP(A3136,[1]!DadosGHD[CD_GEOCMU],[1]!DadosGHD[Região])</f>
        <v>SD</v>
      </c>
      <c r="D3136" s="4" t="str">
        <f>_xlfn.XLOOKUP(A3136,[1]!DadosGHD[CD_GEOCMU],[1]!DadosGHD[uf])</f>
        <v>SP</v>
      </c>
      <c r="E3136" s="5" t="str">
        <f>_xlfn.XLOOKUP(A3136,[1]!DadosGHD[CD_GEOCMU],[1]!DadosGHD[MUNICIPIO])</f>
        <v>RESTINGA</v>
      </c>
      <c r="F3136" s="6">
        <v>43.595378875732401</v>
      </c>
      <c r="G3136" s="6">
        <v>43.651504516601598</v>
      </c>
      <c r="H3136" s="6">
        <v>38.841537475585902</v>
      </c>
      <c r="I3136" s="6">
        <v>38.802764892578097</v>
      </c>
      <c r="J3136" s="6">
        <v>38.7953491210938</v>
      </c>
      <c r="K3136" s="6">
        <v>43.856460571289098</v>
      </c>
      <c r="L3136" s="6">
        <v>53.0304565429688</v>
      </c>
    </row>
    <row r="3137" spans="1:12" x14ac:dyDescent="0.25">
      <c r="A3137">
        <v>5205513</v>
      </c>
      <c r="B3137" t="str">
        <f t="shared" si="48"/>
        <v>COCALZINHO DE GOIAS, GO, Brasil</v>
      </c>
      <c r="C3137" s="4" t="str">
        <f>_xlfn.XLOOKUP(A3137,[1]!DadosGHD[CD_GEOCMU],[1]!DadosGHD[Região])</f>
        <v>CO</v>
      </c>
      <c r="D3137" s="4" t="str">
        <f>_xlfn.XLOOKUP(A3137,[1]!DadosGHD[CD_GEOCMU],[1]!DadosGHD[uf])</f>
        <v>GO</v>
      </c>
      <c r="E3137" s="5" t="str">
        <f>_xlfn.XLOOKUP(A3137,[1]!DadosGHD[CD_GEOCMU],[1]!DadosGHD[MUNICIPIO])</f>
        <v>COCALZINHO DE GOIAS</v>
      </c>
      <c r="F3137" s="6">
        <v>43.595596313476598</v>
      </c>
      <c r="G3137" s="6">
        <v>43.650032043457003</v>
      </c>
      <c r="H3137" s="6">
        <v>38.841266632080099</v>
      </c>
      <c r="I3137" s="6">
        <v>43.686439514160199</v>
      </c>
      <c r="J3137" s="6">
        <v>38.817539215087898</v>
      </c>
      <c r="K3137" s="6">
        <v>43.783237457275398</v>
      </c>
      <c r="L3137" s="6">
        <v>35.141040802002003</v>
      </c>
    </row>
    <row r="3138" spans="1:12" x14ac:dyDescent="0.25">
      <c r="A3138">
        <v>4127965</v>
      </c>
      <c r="B3138" t="str">
        <f t="shared" si="48"/>
        <v>TURVO, PR, Brasil</v>
      </c>
      <c r="C3138" s="4" t="str">
        <f>_xlfn.XLOOKUP(A3138,[1]!DadosGHD[CD_GEOCMU],[1]!DadosGHD[Região])</f>
        <v>SL</v>
      </c>
      <c r="D3138" s="4" t="str">
        <f>_xlfn.XLOOKUP(A3138,[1]!DadosGHD[CD_GEOCMU],[1]!DadosGHD[uf])</f>
        <v>PR</v>
      </c>
      <c r="E3138" s="5" t="str">
        <f>_xlfn.XLOOKUP(A3138,[1]!DadosGHD[CD_GEOCMU],[1]!DadosGHD[MUNICIPIO])</f>
        <v>TURVO</v>
      </c>
      <c r="F3138" s="6">
        <v>43.595695495605497</v>
      </c>
      <c r="G3138" s="6">
        <v>43.731861114502003</v>
      </c>
      <c r="H3138" s="6">
        <v>43.8408012390137</v>
      </c>
      <c r="I3138" s="6">
        <v>48.6944770812988</v>
      </c>
      <c r="J3138" s="6">
        <v>48.723300933837898</v>
      </c>
      <c r="K3138" s="6">
        <v>43.868949890136697</v>
      </c>
      <c r="L3138" s="6">
        <v>39.580692291259801</v>
      </c>
    </row>
    <row r="3139" spans="1:12" x14ac:dyDescent="0.25">
      <c r="A3139">
        <v>3149101</v>
      </c>
      <c r="B3139" t="str">
        <f t="shared" si="48"/>
        <v>PEDRALVA, MG, Brasil</v>
      </c>
      <c r="C3139" s="4" t="str">
        <f>_xlfn.XLOOKUP(A3139,[1]!DadosGHD[CD_GEOCMU],[1]!DadosGHD[Região])</f>
        <v>SD</v>
      </c>
      <c r="D3139" s="4" t="str">
        <f>_xlfn.XLOOKUP(A3139,[1]!DadosGHD[CD_GEOCMU],[1]!DadosGHD[uf])</f>
        <v>MG</v>
      </c>
      <c r="E3139" s="5" t="str">
        <f>_xlfn.XLOOKUP(A3139,[1]!DadosGHD[CD_GEOCMU],[1]!DadosGHD[MUNICIPIO])</f>
        <v>PEDRALVA</v>
      </c>
      <c r="F3139" s="6">
        <v>43.595729827880902</v>
      </c>
      <c r="G3139" s="6">
        <v>43.662139892578097</v>
      </c>
      <c r="H3139" s="6">
        <v>43.836883544921903</v>
      </c>
      <c r="I3139" s="6">
        <v>48.6771049499512</v>
      </c>
      <c r="J3139" s="6">
        <v>48.72412109375</v>
      </c>
      <c r="K3139" s="6">
        <v>53.968555450439503</v>
      </c>
      <c r="L3139" s="6">
        <v>48.540168762207003</v>
      </c>
    </row>
    <row r="3140" spans="1:12" x14ac:dyDescent="0.25">
      <c r="A3140">
        <v>5220264</v>
      </c>
      <c r="B3140" t="str">
        <f t="shared" ref="B3140:B3203" si="49">_xlfn.CONCAT(E3140, ", ", D3140, ", Brasil")</f>
        <v>SAO MIGUEL DO PASSA QUATRO, GO, Brasil</v>
      </c>
      <c r="C3140" s="4" t="str">
        <f>_xlfn.XLOOKUP(A3140,[1]!DadosGHD[CD_GEOCMU],[1]!DadosGHD[Região])</f>
        <v>CO</v>
      </c>
      <c r="D3140" s="4" t="str">
        <f>_xlfn.XLOOKUP(A3140,[1]!DadosGHD[CD_GEOCMU],[1]!DadosGHD[uf])</f>
        <v>GO</v>
      </c>
      <c r="E3140" s="5" t="str">
        <f>_xlfn.XLOOKUP(A3140,[1]!DadosGHD[CD_GEOCMU],[1]!DadosGHD[MUNICIPIO])</f>
        <v>SAO MIGUEL DO PASSA QUATRO</v>
      </c>
      <c r="F3140" s="6">
        <v>43.595779418945298</v>
      </c>
      <c r="G3140" s="6">
        <v>48.669952392578097</v>
      </c>
      <c r="H3140" s="6">
        <v>53.806667327880902</v>
      </c>
      <c r="I3140" s="6">
        <v>53.791126251220703</v>
      </c>
      <c r="J3140" s="6">
        <v>43.811695098877003</v>
      </c>
      <c r="K3140" s="6">
        <v>43.857940673828097</v>
      </c>
      <c r="L3140" s="6">
        <v>35.144218444824197</v>
      </c>
    </row>
    <row r="3141" spans="1:12" x14ac:dyDescent="0.25">
      <c r="A3141">
        <v>3300803</v>
      </c>
      <c r="B3141" t="str">
        <f t="shared" si="49"/>
        <v>CACHOEIRAS DE MACACU, RJ, Brasil</v>
      </c>
      <c r="C3141" s="4" t="str">
        <f>_xlfn.XLOOKUP(A3141,[1]!DadosGHD[CD_GEOCMU],[1]!DadosGHD[Região])</f>
        <v>SD</v>
      </c>
      <c r="D3141" s="4" t="str">
        <f>_xlfn.XLOOKUP(A3141,[1]!DadosGHD[CD_GEOCMU],[1]!DadosGHD[uf])</f>
        <v>RJ</v>
      </c>
      <c r="E3141" s="5" t="str">
        <f>_xlfn.XLOOKUP(A3141,[1]!DadosGHD[CD_GEOCMU],[1]!DadosGHD[MUNICIPIO])</f>
        <v>CACHOEIRAS DE MACACU</v>
      </c>
      <c r="F3141" s="6">
        <v>43.595829010009801</v>
      </c>
      <c r="G3141" s="6">
        <v>43.667396545410199</v>
      </c>
      <c r="H3141" s="6">
        <v>38.829704284667997</v>
      </c>
      <c r="I3141" s="6">
        <v>38.815830230712898</v>
      </c>
      <c r="J3141" s="6">
        <v>38.789546966552699</v>
      </c>
      <c r="K3141" s="6">
        <v>38.793056488037102</v>
      </c>
      <c r="L3141" s="6">
        <v>35.128471374511697</v>
      </c>
    </row>
    <row r="3142" spans="1:12" x14ac:dyDescent="0.25">
      <c r="A3142">
        <v>3136652</v>
      </c>
      <c r="B3142" t="str">
        <f t="shared" si="49"/>
        <v>JUATUBA, MG, Brasil</v>
      </c>
      <c r="C3142" s="4" t="str">
        <f>_xlfn.XLOOKUP(A3142,[1]!DadosGHD[CD_GEOCMU],[1]!DadosGHD[Região])</f>
        <v>SD</v>
      </c>
      <c r="D3142" s="4" t="str">
        <f>_xlfn.XLOOKUP(A3142,[1]!DadosGHD[CD_GEOCMU],[1]!DadosGHD[uf])</f>
        <v>MG</v>
      </c>
      <c r="E3142" s="5" t="str">
        <f>_xlfn.XLOOKUP(A3142,[1]!DadosGHD[CD_GEOCMU],[1]!DadosGHD[MUNICIPIO])</f>
        <v>JUATUBA</v>
      </c>
      <c r="F3142" s="6">
        <v>43.596031188964801</v>
      </c>
      <c r="G3142" s="6">
        <v>43.7180366516113</v>
      </c>
      <c r="H3142" s="6">
        <v>43.734020233154297</v>
      </c>
      <c r="I3142" s="6">
        <v>43.689990997314503</v>
      </c>
      <c r="J3142" s="6">
        <v>38.812648773193402</v>
      </c>
      <c r="K3142" s="6">
        <v>43.7668266296387</v>
      </c>
      <c r="L3142" s="6">
        <v>44.0327758789063</v>
      </c>
    </row>
    <row r="3143" spans="1:12" x14ac:dyDescent="0.25">
      <c r="A3143">
        <v>4126900</v>
      </c>
      <c r="B3143" t="str">
        <f t="shared" si="49"/>
        <v>TAPIRA, PR, Brasil</v>
      </c>
      <c r="C3143" s="4" t="str">
        <f>_xlfn.XLOOKUP(A3143,[1]!DadosGHD[CD_GEOCMU],[1]!DadosGHD[Região])</f>
        <v>SL</v>
      </c>
      <c r="D3143" s="4" t="str">
        <f>_xlfn.XLOOKUP(A3143,[1]!DadosGHD[CD_GEOCMU],[1]!DadosGHD[uf])</f>
        <v>PR</v>
      </c>
      <c r="E3143" s="5" t="str">
        <f>_xlfn.XLOOKUP(A3143,[1]!DadosGHD[CD_GEOCMU],[1]!DadosGHD[MUNICIPIO])</f>
        <v>TAPIRA</v>
      </c>
      <c r="F3143" s="6">
        <v>43.596096038818402</v>
      </c>
      <c r="G3143" s="6">
        <v>43.7525825500488</v>
      </c>
      <c r="H3143" s="6">
        <v>43.811073303222699</v>
      </c>
      <c r="I3143" s="6">
        <v>48.715484619140597</v>
      </c>
      <c r="J3143" s="6">
        <v>48.838836669921903</v>
      </c>
      <c r="K3143" s="6">
        <v>43.8574028015137</v>
      </c>
      <c r="L3143" s="6">
        <v>39.611892700195298</v>
      </c>
    </row>
    <row r="3144" spans="1:12" x14ac:dyDescent="0.25">
      <c r="A3144">
        <v>4210407</v>
      </c>
      <c r="B3144" t="str">
        <f t="shared" si="49"/>
        <v>MARACAJA, SC, Brasil</v>
      </c>
      <c r="C3144" s="4" t="str">
        <f>_xlfn.XLOOKUP(A3144,[1]!DadosGHD[CD_GEOCMU],[1]!DadosGHD[Região])</f>
        <v>SL</v>
      </c>
      <c r="D3144" s="4" t="str">
        <f>_xlfn.XLOOKUP(A3144,[1]!DadosGHD[CD_GEOCMU],[1]!DadosGHD[uf])</f>
        <v>SC</v>
      </c>
      <c r="E3144" s="5" t="str">
        <f>_xlfn.XLOOKUP(A3144,[1]!DadosGHD[CD_GEOCMU],[1]!DadosGHD[MUNICIPIO])</f>
        <v>MARACAJA</v>
      </c>
      <c r="F3144" s="6">
        <v>43.596103668212898</v>
      </c>
      <c r="G3144" s="6">
        <v>43.720203399658203</v>
      </c>
      <c r="H3144" s="6">
        <v>43.820564270019503</v>
      </c>
      <c r="I3144" s="6">
        <v>38.772514343261697</v>
      </c>
      <c r="J3144" s="6">
        <v>38.806816101074197</v>
      </c>
      <c r="K3144" s="6">
        <v>38.830966949462898</v>
      </c>
      <c r="L3144" s="6">
        <v>30.710748672485401</v>
      </c>
    </row>
    <row r="3145" spans="1:12" x14ac:dyDescent="0.25">
      <c r="A3145">
        <v>5214101</v>
      </c>
      <c r="B3145" t="str">
        <f t="shared" si="49"/>
        <v>MUTUNOPOLIS, GO, Brasil</v>
      </c>
      <c r="C3145" s="4" t="str">
        <f>_xlfn.XLOOKUP(A3145,[1]!DadosGHD[CD_GEOCMU],[1]!DadosGHD[Região])</f>
        <v>CO</v>
      </c>
      <c r="D3145" s="4" t="str">
        <f>_xlfn.XLOOKUP(A3145,[1]!DadosGHD[CD_GEOCMU],[1]!DadosGHD[uf])</f>
        <v>GO</v>
      </c>
      <c r="E3145" s="5" t="str">
        <f>_xlfn.XLOOKUP(A3145,[1]!DadosGHD[CD_GEOCMU],[1]!DadosGHD[MUNICIPIO])</f>
        <v>MUTUNOPOLIS</v>
      </c>
      <c r="F3145" s="6">
        <v>43.596107482910199</v>
      </c>
      <c r="G3145" s="6">
        <v>38.761741638183601</v>
      </c>
      <c r="H3145" s="6">
        <v>38.800331115722699</v>
      </c>
      <c r="I3145" s="6">
        <v>38.7734565734863</v>
      </c>
      <c r="J3145" s="6">
        <v>38.792533874511697</v>
      </c>
      <c r="K3145" s="6">
        <v>38.822418212890597</v>
      </c>
      <c r="L3145" s="6">
        <v>30.7190132141113</v>
      </c>
    </row>
    <row r="3146" spans="1:12" x14ac:dyDescent="0.25">
      <c r="A3146">
        <v>3115409</v>
      </c>
      <c r="B3146" t="str">
        <f t="shared" si="49"/>
        <v>CATAS ALTAS DA NORUEGA, MG, Brasil</v>
      </c>
      <c r="C3146" s="4" t="str">
        <f>_xlfn.XLOOKUP(A3146,[1]!DadosGHD[CD_GEOCMU],[1]!DadosGHD[Região])</f>
        <v>SD</v>
      </c>
      <c r="D3146" s="4" t="str">
        <f>_xlfn.XLOOKUP(A3146,[1]!DadosGHD[CD_GEOCMU],[1]!DadosGHD[uf])</f>
        <v>MG</v>
      </c>
      <c r="E3146" s="5" t="str">
        <f>_xlfn.XLOOKUP(A3146,[1]!DadosGHD[CD_GEOCMU],[1]!DadosGHD[MUNICIPIO])</f>
        <v>CATAS ALTAS DA NORUEGA</v>
      </c>
      <c r="F3146" s="6">
        <v>43.596168518066399</v>
      </c>
      <c r="G3146" s="6">
        <v>28.907878875732401</v>
      </c>
      <c r="H3146" s="6">
        <v>28.942651748657202</v>
      </c>
      <c r="I3146" s="6">
        <v>28.925045013427699</v>
      </c>
      <c r="J3146" s="6">
        <v>28.9409065246582</v>
      </c>
      <c r="K3146" s="6">
        <v>28.976600646972699</v>
      </c>
      <c r="L3146" s="6">
        <v>35.133388519287102</v>
      </c>
    </row>
    <row r="3147" spans="1:12" x14ac:dyDescent="0.25">
      <c r="A3147">
        <v>3162203</v>
      </c>
      <c r="B3147" t="str">
        <f t="shared" si="49"/>
        <v>SAO JOAO BATISTA DO GLORIA, MG, Brasil</v>
      </c>
      <c r="C3147" s="4" t="str">
        <f>_xlfn.XLOOKUP(A3147,[1]!DadosGHD[CD_GEOCMU],[1]!DadosGHD[Região])</f>
        <v>SD</v>
      </c>
      <c r="D3147" s="4" t="str">
        <f>_xlfn.XLOOKUP(A3147,[1]!DadosGHD[CD_GEOCMU],[1]!DadosGHD[uf])</f>
        <v>MG</v>
      </c>
      <c r="E3147" s="5" t="str">
        <f>_xlfn.XLOOKUP(A3147,[1]!DadosGHD[CD_GEOCMU],[1]!DadosGHD[MUNICIPIO])</f>
        <v>SAO JOAO BATISTA DO GLORIA</v>
      </c>
      <c r="F3147" s="6">
        <v>43.596511840820298</v>
      </c>
      <c r="G3147" s="6">
        <v>43.702114105224602</v>
      </c>
      <c r="H3147" s="6">
        <v>43.737892150878899</v>
      </c>
      <c r="I3147" s="6">
        <v>43.736709594726598</v>
      </c>
      <c r="J3147" s="6">
        <v>38.777790069580099</v>
      </c>
      <c r="K3147" s="6">
        <v>38.823123931884801</v>
      </c>
      <c r="L3147" s="6">
        <v>35.155982971191399</v>
      </c>
    </row>
    <row r="3148" spans="1:12" x14ac:dyDescent="0.25">
      <c r="A3148">
        <v>5214903</v>
      </c>
      <c r="B3148" t="str">
        <f t="shared" si="49"/>
        <v>NOVA ROMA, GO, Brasil</v>
      </c>
      <c r="C3148" s="4" t="str">
        <f>_xlfn.XLOOKUP(A3148,[1]!DadosGHD[CD_GEOCMU],[1]!DadosGHD[Região])</f>
        <v>CO</v>
      </c>
      <c r="D3148" s="4" t="str">
        <f>_xlfn.XLOOKUP(A3148,[1]!DadosGHD[CD_GEOCMU],[1]!DadosGHD[uf])</f>
        <v>GO</v>
      </c>
      <c r="E3148" s="5" t="str">
        <f>_xlfn.XLOOKUP(A3148,[1]!DadosGHD[CD_GEOCMU],[1]!DadosGHD[MUNICIPIO])</f>
        <v>NOVA ROMA</v>
      </c>
      <c r="F3148" s="6">
        <v>43.596542358398402</v>
      </c>
      <c r="G3148" s="6">
        <v>38.770011901855497</v>
      </c>
      <c r="H3148" s="6">
        <v>38.820362091064503</v>
      </c>
      <c r="I3148" s="6">
        <v>38.802280426025398</v>
      </c>
      <c r="J3148" s="6">
        <v>38.837501525878899</v>
      </c>
      <c r="K3148" s="6">
        <v>38.859718322753899</v>
      </c>
      <c r="L3148" s="6">
        <v>30.717084884643601</v>
      </c>
    </row>
    <row r="3149" spans="1:12" x14ac:dyDescent="0.25">
      <c r="A3149">
        <v>2202901</v>
      </c>
      <c r="B3149" t="str">
        <f t="shared" si="49"/>
        <v>CORRENTE, PI, Brasil</v>
      </c>
      <c r="C3149" s="4" t="str">
        <f>_xlfn.XLOOKUP(A3149,[1]!DadosGHD[CD_GEOCMU],[1]!DadosGHD[Região])</f>
        <v>NE</v>
      </c>
      <c r="D3149" s="4" t="str">
        <f>_xlfn.XLOOKUP(A3149,[1]!DadosGHD[CD_GEOCMU],[1]!DadosGHD[uf])</f>
        <v>PI</v>
      </c>
      <c r="E3149" s="5" t="str">
        <f>_xlfn.XLOOKUP(A3149,[1]!DadosGHD[CD_GEOCMU],[1]!DadosGHD[MUNICIPIO])</f>
        <v>CORRENTE</v>
      </c>
      <c r="F3149" s="6">
        <v>43.596664428710902</v>
      </c>
      <c r="G3149" s="6">
        <v>43.6705322265625</v>
      </c>
      <c r="H3149" s="6">
        <v>38.846260070800803</v>
      </c>
      <c r="I3149" s="6">
        <v>38.818382263183601</v>
      </c>
      <c r="J3149" s="6">
        <v>38.845100402832003</v>
      </c>
      <c r="K3149" s="6">
        <v>43.762405395507798</v>
      </c>
      <c r="L3149" s="6">
        <v>30.7197780609131</v>
      </c>
    </row>
    <row r="3150" spans="1:12" x14ac:dyDescent="0.25">
      <c r="A3150">
        <v>3555356</v>
      </c>
      <c r="B3150" t="str">
        <f t="shared" si="49"/>
        <v>UBARANA, SP, Brasil</v>
      </c>
      <c r="C3150" s="4" t="str">
        <f>_xlfn.XLOOKUP(A3150,[1]!DadosGHD[CD_GEOCMU],[1]!DadosGHD[Região])</f>
        <v>SD</v>
      </c>
      <c r="D3150" s="4" t="str">
        <f>_xlfn.XLOOKUP(A3150,[1]!DadosGHD[CD_GEOCMU],[1]!DadosGHD[uf])</f>
        <v>SP</v>
      </c>
      <c r="E3150" s="5" t="str">
        <f>_xlfn.XLOOKUP(A3150,[1]!DadosGHD[CD_GEOCMU],[1]!DadosGHD[MUNICIPIO])</f>
        <v>UBARANA</v>
      </c>
      <c r="F3150" s="6">
        <v>43.596717834472699</v>
      </c>
      <c r="G3150" s="6">
        <v>38.756629943847699</v>
      </c>
      <c r="H3150" s="6">
        <v>48.747390747070298</v>
      </c>
      <c r="I3150" s="6">
        <v>48.806995391845703</v>
      </c>
      <c r="J3150" s="6">
        <v>48.824745178222699</v>
      </c>
      <c r="K3150" s="6">
        <v>38.861778259277301</v>
      </c>
      <c r="L3150" s="6">
        <v>53.027557373046903</v>
      </c>
    </row>
    <row r="3151" spans="1:12" x14ac:dyDescent="0.25">
      <c r="A3151">
        <v>5107008</v>
      </c>
      <c r="B3151" t="str">
        <f t="shared" si="49"/>
        <v>POXOREU, MT, Brasil</v>
      </c>
      <c r="C3151" s="4" t="str">
        <f>_xlfn.XLOOKUP(A3151,[1]!DadosGHD[CD_GEOCMU],[1]!DadosGHD[Região])</f>
        <v>CO</v>
      </c>
      <c r="D3151" s="4" t="str">
        <f>_xlfn.XLOOKUP(A3151,[1]!DadosGHD[CD_GEOCMU],[1]!DadosGHD[uf])</f>
        <v>MT</v>
      </c>
      <c r="E3151" s="5" t="str">
        <f>_xlfn.XLOOKUP(A3151,[1]!DadosGHD[CD_GEOCMU],[1]!DadosGHD[MUNICIPIO])</f>
        <v>POXOREU</v>
      </c>
      <c r="F3151" s="6">
        <v>43.596744537353501</v>
      </c>
      <c r="G3151" s="6">
        <v>43.741657257080099</v>
      </c>
      <c r="H3151" s="6">
        <v>43.781566619873097</v>
      </c>
      <c r="I3151" s="6">
        <v>43.742015838623097</v>
      </c>
      <c r="J3151" s="6">
        <v>43.741336822509801</v>
      </c>
      <c r="K3151" s="6">
        <v>43.788192749023402</v>
      </c>
      <c r="L3151" s="6">
        <v>35.150367736816399</v>
      </c>
    </row>
    <row r="3152" spans="1:12" x14ac:dyDescent="0.25">
      <c r="A3152">
        <v>5215652</v>
      </c>
      <c r="B3152" t="str">
        <f t="shared" si="49"/>
        <v>PALESTINA DE GOIAS, GO, Brasil</v>
      </c>
      <c r="C3152" s="4" t="str">
        <f>_xlfn.XLOOKUP(A3152,[1]!DadosGHD[CD_GEOCMU],[1]!DadosGHD[Região])</f>
        <v>CO</v>
      </c>
      <c r="D3152" s="4" t="str">
        <f>_xlfn.XLOOKUP(A3152,[1]!DadosGHD[CD_GEOCMU],[1]!DadosGHD[uf])</f>
        <v>GO</v>
      </c>
      <c r="E3152" s="5" t="str">
        <f>_xlfn.XLOOKUP(A3152,[1]!DadosGHD[CD_GEOCMU],[1]!DadosGHD[MUNICIPIO])</f>
        <v>PALESTINA DE GOIAS</v>
      </c>
      <c r="F3152" s="6">
        <v>43.597171783447301</v>
      </c>
      <c r="G3152" s="6">
        <v>38.757644653320298</v>
      </c>
      <c r="H3152" s="6">
        <v>38.798503875732401</v>
      </c>
      <c r="I3152" s="6">
        <v>38.772624969482401</v>
      </c>
      <c r="J3152" s="6">
        <v>38.792564392089801</v>
      </c>
      <c r="K3152" s="6">
        <v>38.826633453369098</v>
      </c>
      <c r="L3152" s="6">
        <v>26.284553527831999</v>
      </c>
    </row>
    <row r="3153" spans="1:12" x14ac:dyDescent="0.25">
      <c r="A3153">
        <v>4308805</v>
      </c>
      <c r="B3153" t="str">
        <f t="shared" si="49"/>
        <v>GENERAL CAMARA, RS, Brasil</v>
      </c>
      <c r="C3153" s="4" t="str">
        <f>_xlfn.XLOOKUP(A3153,[1]!DadosGHD[CD_GEOCMU],[1]!DadosGHD[Região])</f>
        <v>SL</v>
      </c>
      <c r="D3153" s="4" t="str">
        <f>_xlfn.XLOOKUP(A3153,[1]!DadosGHD[CD_GEOCMU],[1]!DadosGHD[uf])</f>
        <v>RS</v>
      </c>
      <c r="E3153" s="5" t="str">
        <f>_xlfn.XLOOKUP(A3153,[1]!DadosGHD[CD_GEOCMU],[1]!DadosGHD[MUNICIPIO])</f>
        <v>GENERAL CAMARA</v>
      </c>
      <c r="F3153" s="6">
        <v>43.597343444824197</v>
      </c>
      <c r="G3153" s="6">
        <v>43.746623992919901</v>
      </c>
      <c r="H3153" s="6">
        <v>43.755714416503899</v>
      </c>
      <c r="I3153" s="6">
        <v>43.751857757568402</v>
      </c>
      <c r="J3153" s="6">
        <v>48.737537384033203</v>
      </c>
      <c r="K3153" s="6">
        <v>48.843410491943402</v>
      </c>
      <c r="L3153" s="6">
        <v>48.557186126708999</v>
      </c>
    </row>
    <row r="3154" spans="1:12" x14ac:dyDescent="0.25">
      <c r="A3154">
        <v>3132503</v>
      </c>
      <c r="B3154" t="str">
        <f t="shared" si="49"/>
        <v>ITAMARANDIBA, MG, Brasil</v>
      </c>
      <c r="C3154" s="4" t="str">
        <f>_xlfn.XLOOKUP(A3154,[1]!DadosGHD[CD_GEOCMU],[1]!DadosGHD[Região])</f>
        <v>SD</v>
      </c>
      <c r="D3154" s="4" t="str">
        <f>_xlfn.XLOOKUP(A3154,[1]!DadosGHD[CD_GEOCMU],[1]!DadosGHD[uf])</f>
        <v>MG</v>
      </c>
      <c r="E3154" s="5" t="str">
        <f>_xlfn.XLOOKUP(A3154,[1]!DadosGHD[CD_GEOCMU],[1]!DadosGHD[MUNICIPIO])</f>
        <v>ITAMARANDIBA</v>
      </c>
      <c r="F3154" s="6">
        <v>43.597732543945298</v>
      </c>
      <c r="G3154" s="6">
        <v>43.701705932617202</v>
      </c>
      <c r="H3154" s="6">
        <v>43.743209838867202</v>
      </c>
      <c r="I3154" s="6">
        <v>43.710140228271499</v>
      </c>
      <c r="J3154" s="6">
        <v>43.713134765625</v>
      </c>
      <c r="K3154" s="6">
        <v>38.889572143554702</v>
      </c>
      <c r="L3154" s="6">
        <v>35.136226654052699</v>
      </c>
    </row>
    <row r="3155" spans="1:12" x14ac:dyDescent="0.25">
      <c r="A3155">
        <v>3143005</v>
      </c>
      <c r="B3155" t="str">
        <f t="shared" si="49"/>
        <v>MONTE BELO, MG, Brasil</v>
      </c>
      <c r="C3155" s="4" t="str">
        <f>_xlfn.XLOOKUP(A3155,[1]!DadosGHD[CD_GEOCMU],[1]!DadosGHD[Região])</f>
        <v>SD</v>
      </c>
      <c r="D3155" s="4" t="str">
        <f>_xlfn.XLOOKUP(A3155,[1]!DadosGHD[CD_GEOCMU],[1]!DadosGHD[uf])</f>
        <v>MG</v>
      </c>
      <c r="E3155" s="5" t="str">
        <f>_xlfn.XLOOKUP(A3155,[1]!DadosGHD[CD_GEOCMU],[1]!DadosGHD[MUNICIPIO])</f>
        <v>MONTE BELO</v>
      </c>
      <c r="F3155" s="6">
        <v>43.597743988037102</v>
      </c>
      <c r="G3155" s="6">
        <v>43.655563354492202</v>
      </c>
      <c r="H3155" s="6">
        <v>43.764690399169901</v>
      </c>
      <c r="I3155" s="6">
        <v>43.793785095214801</v>
      </c>
      <c r="J3155" s="6">
        <v>43.7870903015137</v>
      </c>
      <c r="K3155" s="6">
        <v>43.862762451171903</v>
      </c>
      <c r="L3155" s="6">
        <v>44.076698303222699</v>
      </c>
    </row>
    <row r="3156" spans="1:12" x14ac:dyDescent="0.25">
      <c r="A3156">
        <v>4115002</v>
      </c>
      <c r="B3156" t="str">
        <f t="shared" si="49"/>
        <v>MARILENA, PR, Brasil</v>
      </c>
      <c r="C3156" s="4" t="str">
        <f>_xlfn.XLOOKUP(A3156,[1]!DadosGHD[CD_GEOCMU],[1]!DadosGHD[Região])</f>
        <v>SL</v>
      </c>
      <c r="D3156" s="4" t="str">
        <f>_xlfn.XLOOKUP(A3156,[1]!DadosGHD[CD_GEOCMU],[1]!DadosGHD[uf])</f>
        <v>PR</v>
      </c>
      <c r="E3156" s="5" t="str">
        <f>_xlfn.XLOOKUP(A3156,[1]!DadosGHD[CD_GEOCMU],[1]!DadosGHD[MUNICIPIO])</f>
        <v>MARILENA</v>
      </c>
      <c r="F3156" s="6">
        <v>43.597808837890597</v>
      </c>
      <c r="G3156" s="6">
        <v>48.658668518066399</v>
      </c>
      <c r="H3156" s="6">
        <v>43.829071044921903</v>
      </c>
      <c r="I3156" s="6">
        <v>43.739437103271499</v>
      </c>
      <c r="J3156" s="6">
        <v>43.788337707519503</v>
      </c>
      <c r="K3156" s="6">
        <v>43.794910430908203</v>
      </c>
      <c r="L3156" s="6">
        <v>39.566749572753899</v>
      </c>
    </row>
    <row r="3157" spans="1:12" x14ac:dyDescent="0.25">
      <c r="A3157">
        <v>4305173</v>
      </c>
      <c r="B3157" t="str">
        <f t="shared" si="49"/>
        <v>CERRO GRANDE DO SUL, RS, Brasil</v>
      </c>
      <c r="C3157" s="4" t="str">
        <f>_xlfn.XLOOKUP(A3157,[1]!DadosGHD[CD_GEOCMU],[1]!DadosGHD[Região])</f>
        <v>SL</v>
      </c>
      <c r="D3157" s="4" t="str">
        <f>_xlfn.XLOOKUP(A3157,[1]!DadosGHD[CD_GEOCMU],[1]!DadosGHD[uf])</f>
        <v>RS</v>
      </c>
      <c r="E3157" s="5" t="str">
        <f>_xlfn.XLOOKUP(A3157,[1]!DadosGHD[CD_GEOCMU],[1]!DadosGHD[MUNICIPIO])</f>
        <v>CERRO GRANDE DO SUL</v>
      </c>
      <c r="F3157" s="6">
        <v>43.598052978515597</v>
      </c>
      <c r="G3157" s="6">
        <v>43.649024963378899</v>
      </c>
      <c r="H3157" s="6">
        <v>38.838569641113303</v>
      </c>
      <c r="I3157" s="6">
        <v>38.719841003417997</v>
      </c>
      <c r="J3157" s="6">
        <v>38.773147583007798</v>
      </c>
      <c r="K3157" s="6">
        <v>38.804191589355497</v>
      </c>
      <c r="L3157" s="6">
        <v>35.139045715332003</v>
      </c>
    </row>
    <row r="3158" spans="1:12" x14ac:dyDescent="0.25">
      <c r="A3158">
        <v>5220454</v>
      </c>
      <c r="B3158" t="str">
        <f t="shared" si="49"/>
        <v>SENADOR CANEDO, GO, Brasil</v>
      </c>
      <c r="C3158" s="4" t="str">
        <f>_xlfn.XLOOKUP(A3158,[1]!DadosGHD[CD_GEOCMU],[1]!DadosGHD[Região])</f>
        <v>CO</v>
      </c>
      <c r="D3158" s="4" t="str">
        <f>_xlfn.XLOOKUP(A3158,[1]!DadosGHD[CD_GEOCMU],[1]!DadosGHD[uf])</f>
        <v>GO</v>
      </c>
      <c r="E3158" s="5" t="str">
        <f>_xlfn.XLOOKUP(A3158,[1]!DadosGHD[CD_GEOCMU],[1]!DadosGHD[MUNICIPIO])</f>
        <v>SENADOR CANEDO</v>
      </c>
      <c r="F3158" s="6">
        <v>43.598281860351598</v>
      </c>
      <c r="G3158" s="6">
        <v>43.717258453369098</v>
      </c>
      <c r="H3158" s="6">
        <v>43.757839202880902</v>
      </c>
      <c r="I3158" s="6">
        <v>43.735801696777301</v>
      </c>
      <c r="J3158" s="6">
        <v>43.804515838623097</v>
      </c>
      <c r="K3158" s="6">
        <v>43.862209320068402</v>
      </c>
      <c r="L3158" s="6">
        <v>44.069881439208999</v>
      </c>
    </row>
    <row r="3159" spans="1:12" x14ac:dyDescent="0.25">
      <c r="A3159">
        <v>3302858</v>
      </c>
      <c r="B3159" t="str">
        <f t="shared" si="49"/>
        <v>MESQUITA, RJ, Brasil</v>
      </c>
      <c r="C3159" s="4" t="str">
        <f>_xlfn.XLOOKUP(A3159,[1]!DadosGHD[CD_GEOCMU],[1]!DadosGHD[Região])</f>
        <v>SD</v>
      </c>
      <c r="D3159" s="4" t="str">
        <f>_xlfn.XLOOKUP(A3159,[1]!DadosGHD[CD_GEOCMU],[1]!DadosGHD[uf])</f>
        <v>RJ</v>
      </c>
      <c r="E3159" s="5" t="str">
        <f>_xlfn.XLOOKUP(A3159,[1]!DadosGHD[CD_GEOCMU],[1]!DadosGHD[MUNICIPIO])</f>
        <v>MESQUITA</v>
      </c>
      <c r="F3159" s="6">
        <v>43.598289489746101</v>
      </c>
      <c r="G3159" s="6">
        <v>43.683891296386697</v>
      </c>
      <c r="H3159" s="6">
        <v>43.710010528564503</v>
      </c>
      <c r="I3159" s="6">
        <v>38.816249847412102</v>
      </c>
      <c r="J3159" s="6">
        <v>38.799484252929702</v>
      </c>
      <c r="K3159" s="6">
        <v>38.826969146728501</v>
      </c>
      <c r="L3159" s="6">
        <v>44.023563385009801</v>
      </c>
    </row>
    <row r="3160" spans="1:12" x14ac:dyDescent="0.25">
      <c r="A3160">
        <v>1100288</v>
      </c>
      <c r="B3160" t="str">
        <f t="shared" si="49"/>
        <v>ROLIM DE MOURA, RO, Brasil</v>
      </c>
      <c r="C3160" s="4" t="str">
        <f>_xlfn.XLOOKUP(A3160,[1]!DadosGHD[CD_GEOCMU],[1]!DadosGHD[Região])</f>
        <v>NO</v>
      </c>
      <c r="D3160" s="4" t="str">
        <f>_xlfn.XLOOKUP(A3160,[1]!DadosGHD[CD_GEOCMU],[1]!DadosGHD[uf])</f>
        <v>RO</v>
      </c>
      <c r="E3160" s="5" t="str">
        <f>_xlfn.XLOOKUP(A3160,[1]!DadosGHD[CD_GEOCMU],[1]!DadosGHD[MUNICIPIO])</f>
        <v>ROLIM DE MOURA</v>
      </c>
      <c r="F3160" s="6">
        <v>43.598392486572301</v>
      </c>
      <c r="G3160" s="6">
        <v>43.679527282714801</v>
      </c>
      <c r="H3160" s="6">
        <v>43.727912902832003</v>
      </c>
      <c r="I3160" s="6">
        <v>43.686386108398402</v>
      </c>
      <c r="J3160" s="6">
        <v>43.705615997314503</v>
      </c>
      <c r="K3160" s="6">
        <v>43.8087768554688</v>
      </c>
      <c r="L3160" s="6">
        <v>39.578441619873097</v>
      </c>
    </row>
    <row r="3161" spans="1:12" x14ac:dyDescent="0.25">
      <c r="A3161">
        <v>5204656</v>
      </c>
      <c r="B3161" t="str">
        <f t="shared" si="49"/>
        <v>CAMPINACU, GO, Brasil</v>
      </c>
      <c r="C3161" s="4" t="str">
        <f>_xlfn.XLOOKUP(A3161,[1]!DadosGHD[CD_GEOCMU],[1]!DadosGHD[Região])</f>
        <v>CO</v>
      </c>
      <c r="D3161" s="4" t="str">
        <f>_xlfn.XLOOKUP(A3161,[1]!DadosGHD[CD_GEOCMU],[1]!DadosGHD[uf])</f>
        <v>GO</v>
      </c>
      <c r="E3161" s="5" t="str">
        <f>_xlfn.XLOOKUP(A3161,[1]!DadosGHD[CD_GEOCMU],[1]!DadosGHD[MUNICIPIO])</f>
        <v>CAMPINACU</v>
      </c>
      <c r="F3161" s="6">
        <v>43.598545074462898</v>
      </c>
      <c r="G3161" s="6">
        <v>38.778270721435597</v>
      </c>
      <c r="H3161" s="6">
        <v>43.715236663818402</v>
      </c>
      <c r="I3161" s="6">
        <v>43.7009086608887</v>
      </c>
      <c r="J3161" s="6">
        <v>43.725265502929702</v>
      </c>
      <c r="K3161" s="6">
        <v>43.770687103271499</v>
      </c>
      <c r="L3161" s="6">
        <v>39.589473724365199</v>
      </c>
    </row>
    <row r="3162" spans="1:12" x14ac:dyDescent="0.25">
      <c r="A3162">
        <v>3551900</v>
      </c>
      <c r="B3162" t="str">
        <f t="shared" si="49"/>
        <v>SEVERINIA, SP, Brasil</v>
      </c>
      <c r="C3162" s="4" t="str">
        <f>_xlfn.XLOOKUP(A3162,[1]!DadosGHD[CD_GEOCMU],[1]!DadosGHD[Região])</f>
        <v>SD</v>
      </c>
      <c r="D3162" s="4" t="str">
        <f>_xlfn.XLOOKUP(A3162,[1]!DadosGHD[CD_GEOCMU],[1]!DadosGHD[uf])</f>
        <v>SP</v>
      </c>
      <c r="E3162" s="5" t="str">
        <f>_xlfn.XLOOKUP(A3162,[1]!DadosGHD[CD_GEOCMU],[1]!DadosGHD[MUNICIPIO])</f>
        <v>SEVERINIA</v>
      </c>
      <c r="F3162" s="6">
        <v>43.598972320556598</v>
      </c>
      <c r="G3162" s="6">
        <v>38.773002624511697</v>
      </c>
      <c r="H3162" s="6">
        <v>38.800773620605497</v>
      </c>
      <c r="I3162" s="6">
        <v>38.777755737304702</v>
      </c>
      <c r="J3162" s="6">
        <v>43.735385894775398</v>
      </c>
      <c r="K3162" s="6">
        <v>38.890415191650398</v>
      </c>
      <c r="L3162" s="6">
        <v>39.604080200195298</v>
      </c>
    </row>
    <row r="3163" spans="1:12" x14ac:dyDescent="0.25">
      <c r="A3163">
        <v>4123857</v>
      </c>
      <c r="B3163" t="str">
        <f t="shared" si="49"/>
        <v>SANTA MARIA DO OESTE, PR, Brasil</v>
      </c>
      <c r="C3163" s="4" t="str">
        <f>_xlfn.XLOOKUP(A3163,[1]!DadosGHD[CD_GEOCMU],[1]!DadosGHD[Região])</f>
        <v>SL</v>
      </c>
      <c r="D3163" s="4" t="str">
        <f>_xlfn.XLOOKUP(A3163,[1]!DadosGHD[CD_GEOCMU],[1]!DadosGHD[uf])</f>
        <v>PR</v>
      </c>
      <c r="E3163" s="5" t="str">
        <f>_xlfn.XLOOKUP(A3163,[1]!DadosGHD[CD_GEOCMU],[1]!DadosGHD[MUNICIPIO])</f>
        <v>SANTA MARIA DO OESTE</v>
      </c>
      <c r="F3163" s="6">
        <v>43.599040985107401</v>
      </c>
      <c r="G3163" s="6">
        <v>43.719970703125</v>
      </c>
      <c r="H3163" s="6">
        <v>38.844192504882798</v>
      </c>
      <c r="I3163" s="6">
        <v>43.683700561523402</v>
      </c>
      <c r="J3163" s="6">
        <v>43.729648590087898</v>
      </c>
      <c r="K3163" s="6">
        <v>43.778274536132798</v>
      </c>
      <c r="L3163" s="6">
        <v>30.710517883300799</v>
      </c>
    </row>
    <row r="3164" spans="1:12" x14ac:dyDescent="0.25">
      <c r="A3164">
        <v>3203320</v>
      </c>
      <c r="B3164" t="str">
        <f t="shared" si="49"/>
        <v>MARATAIZES, ES, Brasil</v>
      </c>
      <c r="C3164" s="4" t="str">
        <f>_xlfn.XLOOKUP(A3164,[1]!DadosGHD[CD_GEOCMU],[1]!DadosGHD[Região])</f>
        <v>SD</v>
      </c>
      <c r="D3164" s="4" t="str">
        <f>_xlfn.XLOOKUP(A3164,[1]!DadosGHD[CD_GEOCMU],[1]!DadosGHD[uf])</f>
        <v>ES</v>
      </c>
      <c r="E3164" s="5" t="str">
        <f>_xlfn.XLOOKUP(A3164,[1]!DadosGHD[CD_GEOCMU],[1]!DadosGHD[MUNICIPIO])</f>
        <v>MARATAIZES</v>
      </c>
      <c r="F3164" s="6">
        <v>43.599155426025398</v>
      </c>
      <c r="G3164" s="6">
        <v>43.709522247314503</v>
      </c>
      <c r="H3164" s="6">
        <v>43.757186889648402</v>
      </c>
      <c r="I3164" s="6">
        <v>43.679225921630902</v>
      </c>
      <c r="J3164" s="6">
        <v>43.707473754882798</v>
      </c>
      <c r="K3164" s="6">
        <v>48.8194580078125</v>
      </c>
      <c r="L3164" s="6">
        <v>48.534286499023402</v>
      </c>
    </row>
    <row r="3165" spans="1:12" x14ac:dyDescent="0.25">
      <c r="A3165">
        <v>4210308</v>
      </c>
      <c r="B3165" t="str">
        <f t="shared" si="49"/>
        <v>MAJOR VIEIRA, SC, Brasil</v>
      </c>
      <c r="C3165" s="4" t="str">
        <f>_xlfn.XLOOKUP(A3165,[1]!DadosGHD[CD_GEOCMU],[1]!DadosGHD[Região])</f>
        <v>SL</v>
      </c>
      <c r="D3165" s="4" t="str">
        <f>_xlfn.XLOOKUP(A3165,[1]!DadosGHD[CD_GEOCMU],[1]!DadosGHD[uf])</f>
        <v>SC</v>
      </c>
      <c r="E3165" s="5" t="str">
        <f>_xlfn.XLOOKUP(A3165,[1]!DadosGHD[CD_GEOCMU],[1]!DadosGHD[MUNICIPIO])</f>
        <v>MAJOR VIEIRA</v>
      </c>
      <c r="F3165" s="6">
        <v>43.599315643310597</v>
      </c>
      <c r="G3165" s="6">
        <v>43.755168914794901</v>
      </c>
      <c r="H3165" s="6">
        <v>43.814605712890597</v>
      </c>
      <c r="I3165" s="6">
        <v>48.770023345947301</v>
      </c>
      <c r="J3165" s="6">
        <v>48.814018249511697</v>
      </c>
      <c r="K3165" s="6">
        <v>48.897258758544901</v>
      </c>
      <c r="L3165" s="6">
        <v>48.517398834228501</v>
      </c>
    </row>
    <row r="3166" spans="1:12" x14ac:dyDescent="0.25">
      <c r="A3166">
        <v>3519204</v>
      </c>
      <c r="B3166" t="str">
        <f t="shared" si="49"/>
        <v>IACRI, SP, Brasil</v>
      </c>
      <c r="C3166" s="4" t="str">
        <f>_xlfn.XLOOKUP(A3166,[1]!DadosGHD[CD_GEOCMU],[1]!DadosGHD[Região])</f>
        <v>SD</v>
      </c>
      <c r="D3166" s="4" t="str">
        <f>_xlfn.XLOOKUP(A3166,[1]!DadosGHD[CD_GEOCMU],[1]!DadosGHD[uf])</f>
        <v>SP</v>
      </c>
      <c r="E3166" s="5" t="str">
        <f>_xlfn.XLOOKUP(A3166,[1]!DadosGHD[CD_GEOCMU],[1]!DadosGHD[MUNICIPIO])</f>
        <v>IACRI</v>
      </c>
      <c r="F3166" s="6">
        <v>43.599338531494098</v>
      </c>
      <c r="G3166" s="6">
        <v>43.689014434814503</v>
      </c>
      <c r="H3166" s="6">
        <v>43.751144409179702</v>
      </c>
      <c r="I3166" s="6">
        <v>43.7367973327637</v>
      </c>
      <c r="J3166" s="6">
        <v>43.750286102294901</v>
      </c>
      <c r="K3166" s="6">
        <v>43.786964416503899</v>
      </c>
      <c r="L3166" s="6">
        <v>44.049812316894503</v>
      </c>
    </row>
    <row r="3167" spans="1:12" x14ac:dyDescent="0.25">
      <c r="A3167">
        <v>3131802</v>
      </c>
      <c r="B3167" t="str">
        <f t="shared" si="49"/>
        <v>ITABIRINHA, MG, Brasil</v>
      </c>
      <c r="C3167" s="4" t="str">
        <f>_xlfn.XLOOKUP(A3167,[1]!DadosGHD[CD_GEOCMU],[1]!DadosGHD[Região])</f>
        <v>SD</v>
      </c>
      <c r="D3167" s="4" t="str">
        <f>_xlfn.XLOOKUP(A3167,[1]!DadosGHD[CD_GEOCMU],[1]!DadosGHD[uf])</f>
        <v>MG</v>
      </c>
      <c r="E3167" s="5" t="str">
        <f>_xlfn.XLOOKUP(A3167,[1]!DadosGHD[CD_GEOCMU],[1]!DadosGHD[MUNICIPIO])</f>
        <v>ITABIRINHA</v>
      </c>
      <c r="F3167" s="6">
        <v>43.599636077880902</v>
      </c>
      <c r="G3167" s="6">
        <v>43.681976318359403</v>
      </c>
      <c r="H3167" s="6">
        <v>43.752853393554702</v>
      </c>
      <c r="I3167" s="6">
        <v>43.722457885742202</v>
      </c>
      <c r="J3167" s="6">
        <v>43.751018524169901</v>
      </c>
      <c r="K3167" s="6">
        <v>43.769065856933601</v>
      </c>
      <c r="L3167" s="6">
        <v>35.135650634765597</v>
      </c>
    </row>
    <row r="3168" spans="1:12" x14ac:dyDescent="0.25">
      <c r="A3168">
        <v>1100601</v>
      </c>
      <c r="B3168" t="str">
        <f t="shared" si="49"/>
        <v>CACAULANDIA, RO, Brasil</v>
      </c>
      <c r="C3168" s="4" t="str">
        <f>_xlfn.XLOOKUP(A3168,[1]!DadosGHD[CD_GEOCMU],[1]!DadosGHD[Região])</f>
        <v>NO</v>
      </c>
      <c r="D3168" s="4" t="str">
        <f>_xlfn.XLOOKUP(A3168,[1]!DadosGHD[CD_GEOCMU],[1]!DadosGHD[uf])</f>
        <v>RO</v>
      </c>
      <c r="E3168" s="5" t="str">
        <f>_xlfn.XLOOKUP(A3168,[1]!DadosGHD[CD_GEOCMU],[1]!DadosGHD[MUNICIPIO])</f>
        <v>CACAULANDIA</v>
      </c>
      <c r="F3168" s="6">
        <v>43.599697113037102</v>
      </c>
      <c r="G3168" s="6">
        <v>48.645641326904297</v>
      </c>
      <c r="H3168" s="6">
        <v>48.762279510498097</v>
      </c>
      <c r="I3168" s="6">
        <v>48.7346000671387</v>
      </c>
      <c r="J3168" s="6">
        <v>48.744331359863303</v>
      </c>
      <c r="K3168" s="6">
        <v>48.832248687744098</v>
      </c>
      <c r="L3168" s="6">
        <v>48.553775787353501</v>
      </c>
    </row>
    <row r="3169" spans="1:12" x14ac:dyDescent="0.25">
      <c r="A3169">
        <v>4306908</v>
      </c>
      <c r="B3169" t="str">
        <f t="shared" si="49"/>
        <v>ENCRUZILHADA DO SUL, RS, Brasil</v>
      </c>
      <c r="C3169" s="4" t="str">
        <f>_xlfn.XLOOKUP(A3169,[1]!DadosGHD[CD_GEOCMU],[1]!DadosGHD[Região])</f>
        <v>SL</v>
      </c>
      <c r="D3169" s="4" t="str">
        <f>_xlfn.XLOOKUP(A3169,[1]!DadosGHD[CD_GEOCMU],[1]!DadosGHD[uf])</f>
        <v>RS</v>
      </c>
      <c r="E3169" s="5" t="str">
        <f>_xlfn.XLOOKUP(A3169,[1]!DadosGHD[CD_GEOCMU],[1]!DadosGHD[MUNICIPIO])</f>
        <v>ENCRUZILHADA DO SUL</v>
      </c>
      <c r="F3169" s="6">
        <v>43.599842071533203</v>
      </c>
      <c r="G3169" s="6">
        <v>43.692104339599602</v>
      </c>
      <c r="H3169" s="6">
        <v>43.728347778320298</v>
      </c>
      <c r="I3169" s="6">
        <v>43.686622619628899</v>
      </c>
      <c r="J3169" s="6">
        <v>38.812202453613303</v>
      </c>
      <c r="K3169" s="6">
        <v>43.766220092773402</v>
      </c>
      <c r="L3169" s="6">
        <v>39.5795707702637</v>
      </c>
    </row>
    <row r="3170" spans="1:12" x14ac:dyDescent="0.25">
      <c r="A3170">
        <v>1502152</v>
      </c>
      <c r="B3170" t="str">
        <f t="shared" si="49"/>
        <v>CANAA DOS CARAJAS, PA, Brasil</v>
      </c>
      <c r="C3170" s="4" t="str">
        <f>_xlfn.XLOOKUP(A3170,[1]!DadosGHD[CD_GEOCMU],[1]!DadosGHD[Região])</f>
        <v>NO</v>
      </c>
      <c r="D3170" s="4" t="str">
        <f>_xlfn.XLOOKUP(A3170,[1]!DadosGHD[CD_GEOCMU],[1]!DadosGHD[uf])</f>
        <v>PA</v>
      </c>
      <c r="E3170" s="5" t="str">
        <f>_xlfn.XLOOKUP(A3170,[1]!DadosGHD[CD_GEOCMU],[1]!DadosGHD[MUNICIPIO])</f>
        <v>CANAA DOS CARAJAS</v>
      </c>
      <c r="F3170" s="6">
        <v>43.5999755859375</v>
      </c>
      <c r="G3170" s="6">
        <v>43.660350799560597</v>
      </c>
      <c r="H3170" s="6">
        <v>43.750137329101598</v>
      </c>
      <c r="I3170" s="6">
        <v>43.750694274902301</v>
      </c>
      <c r="J3170" s="6">
        <v>48.725070953369098</v>
      </c>
      <c r="K3170" s="6">
        <v>48.874698638916001</v>
      </c>
      <c r="L3170" s="6">
        <v>44.027740478515597</v>
      </c>
    </row>
    <row r="3171" spans="1:12" x14ac:dyDescent="0.25">
      <c r="A3171">
        <v>2913606</v>
      </c>
      <c r="B3171" t="str">
        <f t="shared" si="49"/>
        <v>ILHEUS, BA, Brasil</v>
      </c>
      <c r="C3171" s="4" t="str">
        <f>_xlfn.XLOOKUP(A3171,[1]!DadosGHD[CD_GEOCMU],[1]!DadosGHD[Região])</f>
        <v>NE</v>
      </c>
      <c r="D3171" s="4" t="str">
        <f>_xlfn.XLOOKUP(A3171,[1]!DadosGHD[CD_GEOCMU],[1]!DadosGHD[uf])</f>
        <v>BA</v>
      </c>
      <c r="E3171" s="5" t="str">
        <f>_xlfn.XLOOKUP(A3171,[1]!DadosGHD[CD_GEOCMU],[1]!DadosGHD[MUNICIPIO])</f>
        <v>ILHEUS</v>
      </c>
      <c r="F3171" s="6">
        <v>43.600196838378899</v>
      </c>
      <c r="G3171" s="6">
        <v>43.658641815185597</v>
      </c>
      <c r="H3171" s="6">
        <v>43.731796264648402</v>
      </c>
      <c r="I3171" s="6">
        <v>43.720470428466797</v>
      </c>
      <c r="J3171" s="6">
        <v>43.738288879394503</v>
      </c>
      <c r="K3171" s="6">
        <v>43.8246879577637</v>
      </c>
      <c r="L3171" s="6">
        <v>39.602970123291001</v>
      </c>
    </row>
    <row r="3172" spans="1:12" x14ac:dyDescent="0.25">
      <c r="A3172">
        <v>3170438</v>
      </c>
      <c r="B3172" t="str">
        <f t="shared" si="49"/>
        <v>UNIAO DE MINAS, MG, Brasil</v>
      </c>
      <c r="C3172" s="4" t="str">
        <f>_xlfn.XLOOKUP(A3172,[1]!DadosGHD[CD_GEOCMU],[1]!DadosGHD[Região])</f>
        <v>SD</v>
      </c>
      <c r="D3172" s="4" t="str">
        <f>_xlfn.XLOOKUP(A3172,[1]!DadosGHD[CD_GEOCMU],[1]!DadosGHD[uf])</f>
        <v>MG</v>
      </c>
      <c r="E3172" s="5" t="str">
        <f>_xlfn.XLOOKUP(A3172,[1]!DadosGHD[CD_GEOCMU],[1]!DadosGHD[MUNICIPIO])</f>
        <v>UNIAO DE MINAS</v>
      </c>
      <c r="F3172" s="6">
        <v>43.6002197265625</v>
      </c>
      <c r="G3172" s="6">
        <v>43.737018585205099</v>
      </c>
      <c r="H3172" s="6">
        <v>43.830856323242202</v>
      </c>
      <c r="I3172" s="6">
        <v>43.786369323730497</v>
      </c>
      <c r="J3172" s="6">
        <v>43.799095153808601</v>
      </c>
      <c r="K3172" s="6">
        <v>43.856128692627003</v>
      </c>
      <c r="L3172" s="6">
        <v>44.0713920593262</v>
      </c>
    </row>
    <row r="3173" spans="1:12" x14ac:dyDescent="0.25">
      <c r="A3173">
        <v>1101500</v>
      </c>
      <c r="B3173" t="str">
        <f t="shared" si="49"/>
        <v>SERINGUEIRAS, RO, Brasil</v>
      </c>
      <c r="C3173" s="4" t="str">
        <f>_xlfn.XLOOKUP(A3173,[1]!DadosGHD[CD_GEOCMU],[1]!DadosGHD[Região])</f>
        <v>NO</v>
      </c>
      <c r="D3173" s="4" t="str">
        <f>_xlfn.XLOOKUP(A3173,[1]!DadosGHD[CD_GEOCMU],[1]!DadosGHD[uf])</f>
        <v>RO</v>
      </c>
      <c r="E3173" s="5" t="str">
        <f>_xlfn.XLOOKUP(A3173,[1]!DadosGHD[CD_GEOCMU],[1]!DadosGHD[MUNICIPIO])</f>
        <v>SERINGUEIRAS</v>
      </c>
      <c r="F3173" s="6">
        <v>43.600494384765597</v>
      </c>
      <c r="G3173" s="6">
        <v>43.715297698974602</v>
      </c>
      <c r="H3173" s="6">
        <v>43.791725158691399</v>
      </c>
      <c r="I3173" s="6">
        <v>43.789016723632798</v>
      </c>
      <c r="J3173" s="6">
        <v>48.734706878662102</v>
      </c>
      <c r="K3173" s="6">
        <v>48.822437286377003</v>
      </c>
      <c r="L3173" s="6">
        <v>44.038780212402301</v>
      </c>
    </row>
    <row r="3174" spans="1:12" x14ac:dyDescent="0.25">
      <c r="A3174">
        <v>4117602</v>
      </c>
      <c r="B3174" t="str">
        <f t="shared" si="49"/>
        <v>PALMAS, PR, Brasil</v>
      </c>
      <c r="C3174" s="4" t="str">
        <f>_xlfn.XLOOKUP(A3174,[1]!DadosGHD[CD_GEOCMU],[1]!DadosGHD[Região])</f>
        <v>SL</v>
      </c>
      <c r="D3174" s="4" t="str">
        <f>_xlfn.XLOOKUP(A3174,[1]!DadosGHD[CD_GEOCMU],[1]!DadosGHD[uf])</f>
        <v>PR</v>
      </c>
      <c r="E3174" s="5" t="str">
        <f>_xlfn.XLOOKUP(A3174,[1]!DadosGHD[CD_GEOCMU],[1]!DadosGHD[MUNICIPIO])</f>
        <v>PALMAS</v>
      </c>
      <c r="F3174" s="6">
        <v>43.600784301757798</v>
      </c>
      <c r="G3174" s="6">
        <v>43.730716705322301</v>
      </c>
      <c r="H3174" s="6">
        <v>43.7866821289063</v>
      </c>
      <c r="I3174" s="6">
        <v>43.742374420166001</v>
      </c>
      <c r="J3174" s="6">
        <v>43.779808044433601</v>
      </c>
      <c r="K3174" s="6">
        <v>48.763423919677699</v>
      </c>
      <c r="L3174" s="6">
        <v>44.073970794677699</v>
      </c>
    </row>
    <row r="3175" spans="1:12" x14ac:dyDescent="0.25">
      <c r="A3175">
        <v>3519709</v>
      </c>
      <c r="B3175" t="str">
        <f t="shared" si="49"/>
        <v>IBIUNA, SP, Brasil</v>
      </c>
      <c r="C3175" s="4" t="str">
        <f>_xlfn.XLOOKUP(A3175,[1]!DadosGHD[CD_GEOCMU],[1]!DadosGHD[Região])</f>
        <v>SD</v>
      </c>
      <c r="D3175" s="4" t="str">
        <f>_xlfn.XLOOKUP(A3175,[1]!DadosGHD[CD_GEOCMU],[1]!DadosGHD[uf])</f>
        <v>SP</v>
      </c>
      <c r="E3175" s="5" t="str">
        <f>_xlfn.XLOOKUP(A3175,[1]!DadosGHD[CD_GEOCMU],[1]!DadosGHD[MUNICIPIO])</f>
        <v>IBIUNA</v>
      </c>
      <c r="F3175" s="6">
        <v>43.600868225097699</v>
      </c>
      <c r="G3175" s="6">
        <v>43.6846923828125</v>
      </c>
      <c r="H3175" s="6">
        <v>43.720039367675803</v>
      </c>
      <c r="I3175" s="6">
        <v>43.697822570800803</v>
      </c>
      <c r="J3175" s="6">
        <v>43.750137329101598</v>
      </c>
      <c r="K3175" s="6">
        <v>43.842220306396499</v>
      </c>
      <c r="L3175" s="6">
        <v>48.541461944580099</v>
      </c>
    </row>
    <row r="3176" spans="1:12" x14ac:dyDescent="0.25">
      <c r="A3176">
        <v>4119400</v>
      </c>
      <c r="B3176" t="str">
        <f t="shared" si="49"/>
        <v>PIRAI DO SUL, PR, Brasil</v>
      </c>
      <c r="C3176" s="4" t="str">
        <f>_xlfn.XLOOKUP(A3176,[1]!DadosGHD[CD_GEOCMU],[1]!DadosGHD[Região])</f>
        <v>SL</v>
      </c>
      <c r="D3176" s="4" t="str">
        <f>_xlfn.XLOOKUP(A3176,[1]!DadosGHD[CD_GEOCMU],[1]!DadosGHD[uf])</f>
        <v>PR</v>
      </c>
      <c r="E3176" s="5" t="str">
        <f>_xlfn.XLOOKUP(A3176,[1]!DadosGHD[CD_GEOCMU],[1]!DadosGHD[MUNICIPIO])</f>
        <v>PIRAI DO SUL</v>
      </c>
      <c r="F3176" s="6">
        <v>43.601123809814503</v>
      </c>
      <c r="G3176" s="6">
        <v>43.686794281005902</v>
      </c>
      <c r="H3176" s="6">
        <v>43.724056243896499</v>
      </c>
      <c r="I3176" s="6">
        <v>43.7033882141113</v>
      </c>
      <c r="J3176" s="6">
        <v>43.710231781005902</v>
      </c>
      <c r="K3176" s="6">
        <v>43.812789916992202</v>
      </c>
      <c r="L3176" s="6">
        <v>39.609386444091797</v>
      </c>
    </row>
    <row r="3177" spans="1:12" x14ac:dyDescent="0.25">
      <c r="A3177">
        <v>1400506</v>
      </c>
      <c r="B3177" t="str">
        <f t="shared" si="49"/>
        <v>SAO JOAO DA BALIZA, RR, Brasil</v>
      </c>
      <c r="C3177" s="4" t="str">
        <f>_xlfn.XLOOKUP(A3177,[1]!DadosGHD[CD_GEOCMU],[1]!DadosGHD[Região])</f>
        <v>NO</v>
      </c>
      <c r="D3177" s="4" t="str">
        <f>_xlfn.XLOOKUP(A3177,[1]!DadosGHD[CD_GEOCMU],[1]!DadosGHD[uf])</f>
        <v>RR</v>
      </c>
      <c r="E3177" s="5" t="str">
        <f>_xlfn.XLOOKUP(A3177,[1]!DadosGHD[CD_GEOCMU],[1]!DadosGHD[MUNICIPIO])</f>
        <v>SAO JOAO DA BALIZA</v>
      </c>
      <c r="F3177" s="6">
        <v>43.601165771484403</v>
      </c>
      <c r="G3177" s="6">
        <v>43.6537895202637</v>
      </c>
      <c r="H3177" s="6">
        <v>38.837776184082003</v>
      </c>
      <c r="I3177" s="6">
        <v>43.696952819824197</v>
      </c>
      <c r="J3177" s="6">
        <v>43.710773468017599</v>
      </c>
      <c r="K3177" s="6">
        <v>43.759101867675803</v>
      </c>
      <c r="L3177" s="6">
        <v>30.687961578369102</v>
      </c>
    </row>
    <row r="3178" spans="1:12" x14ac:dyDescent="0.25">
      <c r="A3178">
        <v>4300604</v>
      </c>
      <c r="B3178" t="str">
        <f t="shared" si="49"/>
        <v>ALVORADA, RS, Brasil</v>
      </c>
      <c r="C3178" s="4" t="str">
        <f>_xlfn.XLOOKUP(A3178,[1]!DadosGHD[CD_GEOCMU],[1]!DadosGHD[Região])</f>
        <v>SL</v>
      </c>
      <c r="D3178" s="4" t="str">
        <f>_xlfn.XLOOKUP(A3178,[1]!DadosGHD[CD_GEOCMU],[1]!DadosGHD[uf])</f>
        <v>RS</v>
      </c>
      <c r="E3178" s="5" t="str">
        <f>_xlfn.XLOOKUP(A3178,[1]!DadosGHD[CD_GEOCMU],[1]!DadosGHD[MUNICIPIO])</f>
        <v>ALVORADA</v>
      </c>
      <c r="F3178" s="6">
        <v>43.601360321044901</v>
      </c>
      <c r="G3178" s="6">
        <v>43.706851959228501</v>
      </c>
      <c r="H3178" s="6">
        <v>43.730091094970703</v>
      </c>
      <c r="I3178" s="6">
        <v>43.717948913574197</v>
      </c>
      <c r="J3178" s="6">
        <v>43.807216644287102</v>
      </c>
      <c r="K3178" s="6">
        <v>43.845474243164098</v>
      </c>
      <c r="L3178" s="6">
        <v>53.018905639648402</v>
      </c>
    </row>
    <row r="3179" spans="1:12" x14ac:dyDescent="0.25">
      <c r="A3179">
        <v>3150406</v>
      </c>
      <c r="B3179" t="str">
        <f t="shared" si="49"/>
        <v>PIEDADE DOS GERAIS, MG, Brasil</v>
      </c>
      <c r="C3179" s="4" t="str">
        <f>_xlfn.XLOOKUP(A3179,[1]!DadosGHD[CD_GEOCMU],[1]!DadosGHD[Região])</f>
        <v>SD</v>
      </c>
      <c r="D3179" s="4" t="str">
        <f>_xlfn.XLOOKUP(A3179,[1]!DadosGHD[CD_GEOCMU],[1]!DadosGHD[uf])</f>
        <v>MG</v>
      </c>
      <c r="E3179" s="5" t="str">
        <f>_xlfn.XLOOKUP(A3179,[1]!DadosGHD[CD_GEOCMU],[1]!DadosGHD[MUNICIPIO])</f>
        <v>PIEDADE DOS GERAIS</v>
      </c>
      <c r="F3179" s="6">
        <v>43.601394653320298</v>
      </c>
      <c r="G3179" s="6">
        <v>43.7092895507813</v>
      </c>
      <c r="H3179" s="6">
        <v>43.765987396240199</v>
      </c>
      <c r="I3179" s="6">
        <v>43.743728637695298</v>
      </c>
      <c r="J3179" s="6">
        <v>43.769855499267599</v>
      </c>
      <c r="K3179" s="6">
        <v>43.844749450683601</v>
      </c>
      <c r="L3179" s="6">
        <v>35.155849456787102</v>
      </c>
    </row>
    <row r="3180" spans="1:12" x14ac:dyDescent="0.25">
      <c r="A3180">
        <v>3135704</v>
      </c>
      <c r="B3180" t="str">
        <f t="shared" si="49"/>
        <v>JEQUITIBA, MG, Brasil</v>
      </c>
      <c r="C3180" s="4" t="str">
        <f>_xlfn.XLOOKUP(A3180,[1]!DadosGHD[CD_GEOCMU],[1]!DadosGHD[Região])</f>
        <v>SD</v>
      </c>
      <c r="D3180" s="4" t="str">
        <f>_xlfn.XLOOKUP(A3180,[1]!DadosGHD[CD_GEOCMU],[1]!DadosGHD[uf])</f>
        <v>MG</v>
      </c>
      <c r="E3180" s="5" t="str">
        <f>_xlfn.XLOOKUP(A3180,[1]!DadosGHD[CD_GEOCMU],[1]!DadosGHD[MUNICIPIO])</f>
        <v>JEQUITIBA</v>
      </c>
      <c r="F3180" s="6">
        <v>43.601436614990199</v>
      </c>
      <c r="G3180" s="6">
        <v>48.651660919189503</v>
      </c>
      <c r="H3180" s="6">
        <v>43.803928375244098</v>
      </c>
      <c r="I3180" s="6">
        <v>43.764308929443402</v>
      </c>
      <c r="J3180" s="6">
        <v>43.813407897949197</v>
      </c>
      <c r="K3180" s="6">
        <v>43.840099334716797</v>
      </c>
      <c r="L3180" s="6">
        <v>44.058914184570298</v>
      </c>
    </row>
    <row r="3181" spans="1:12" x14ac:dyDescent="0.25">
      <c r="A3181">
        <v>3103405</v>
      </c>
      <c r="B3181" t="str">
        <f t="shared" si="49"/>
        <v>ARACUAI, MG, Brasil</v>
      </c>
      <c r="C3181" s="4" t="str">
        <f>_xlfn.XLOOKUP(A3181,[1]!DadosGHD[CD_GEOCMU],[1]!DadosGHD[Região])</f>
        <v>SD</v>
      </c>
      <c r="D3181" s="4" t="str">
        <f>_xlfn.XLOOKUP(A3181,[1]!DadosGHD[CD_GEOCMU],[1]!DadosGHD[uf])</f>
        <v>MG</v>
      </c>
      <c r="E3181" s="5" t="str">
        <f>_xlfn.XLOOKUP(A3181,[1]!DadosGHD[CD_GEOCMU],[1]!DadosGHD[MUNICIPIO])</f>
        <v>ARACUAI</v>
      </c>
      <c r="F3181" s="6">
        <v>43.601455688476598</v>
      </c>
      <c r="G3181" s="6">
        <v>43.743011474609403</v>
      </c>
      <c r="H3181" s="6">
        <v>43.792449951171903</v>
      </c>
      <c r="I3181" s="6">
        <v>43.772647857666001</v>
      </c>
      <c r="J3181" s="6">
        <v>48.697746276855497</v>
      </c>
      <c r="K3181" s="6">
        <v>43.843456268310597</v>
      </c>
      <c r="L3181" s="6">
        <v>39.561611175537102</v>
      </c>
    </row>
    <row r="3182" spans="1:12" x14ac:dyDescent="0.25">
      <c r="A3182">
        <v>5103353</v>
      </c>
      <c r="B3182" t="str">
        <f t="shared" si="49"/>
        <v>CONFRESA, MT, Brasil</v>
      </c>
      <c r="C3182" s="4" t="str">
        <f>_xlfn.XLOOKUP(A3182,[1]!DadosGHD[CD_GEOCMU],[1]!DadosGHD[Região])</f>
        <v>CO</v>
      </c>
      <c r="D3182" s="4" t="str">
        <f>_xlfn.XLOOKUP(A3182,[1]!DadosGHD[CD_GEOCMU],[1]!DadosGHD[uf])</f>
        <v>MT</v>
      </c>
      <c r="E3182" s="5" t="str">
        <f>_xlfn.XLOOKUP(A3182,[1]!DadosGHD[CD_GEOCMU],[1]!DadosGHD[MUNICIPIO])</f>
        <v>CONFRESA</v>
      </c>
      <c r="F3182" s="6">
        <v>43.601497650146499</v>
      </c>
      <c r="G3182" s="6">
        <v>43.679164886474602</v>
      </c>
      <c r="H3182" s="6">
        <v>43.755218505859403</v>
      </c>
      <c r="I3182" s="6">
        <v>43.772636413574197</v>
      </c>
      <c r="J3182" s="6">
        <v>43.792034149169901</v>
      </c>
      <c r="K3182" s="6">
        <v>53.851009368896499</v>
      </c>
      <c r="L3182" s="6">
        <v>44.079376220703097</v>
      </c>
    </row>
    <row r="3183" spans="1:12" x14ac:dyDescent="0.25">
      <c r="A3183">
        <v>4322855</v>
      </c>
      <c r="B3183" t="str">
        <f t="shared" si="49"/>
        <v>VESPASIANO CORREA, RS, Brasil</v>
      </c>
      <c r="C3183" s="4" t="str">
        <f>_xlfn.XLOOKUP(A3183,[1]!DadosGHD[CD_GEOCMU],[1]!DadosGHD[Região])</f>
        <v>SL</v>
      </c>
      <c r="D3183" s="4" t="str">
        <f>_xlfn.XLOOKUP(A3183,[1]!DadosGHD[CD_GEOCMU],[1]!DadosGHD[uf])</f>
        <v>RS</v>
      </c>
      <c r="E3183" s="5" t="str">
        <f>_xlfn.XLOOKUP(A3183,[1]!DadosGHD[CD_GEOCMU],[1]!DadosGHD[MUNICIPIO])</f>
        <v>VESPASIANO CORREA</v>
      </c>
      <c r="F3183" s="6">
        <v>43.601589202880902</v>
      </c>
      <c r="G3183" s="6">
        <v>53.715888977050803</v>
      </c>
      <c r="H3183" s="6">
        <v>53.8594779968262</v>
      </c>
      <c r="I3183" s="6">
        <v>53.860912322998097</v>
      </c>
      <c r="J3183" s="6">
        <v>58.862136840820298</v>
      </c>
      <c r="K3183" s="6">
        <v>48.898399353027301</v>
      </c>
      <c r="L3183" s="6">
        <v>39.6090087890625</v>
      </c>
    </row>
    <row r="3184" spans="1:12" x14ac:dyDescent="0.25">
      <c r="A3184">
        <v>3134301</v>
      </c>
      <c r="B3184" t="str">
        <f t="shared" si="49"/>
        <v>ITUMIRIM, MG, Brasil</v>
      </c>
      <c r="C3184" s="4" t="str">
        <f>_xlfn.XLOOKUP(A3184,[1]!DadosGHD[CD_GEOCMU],[1]!DadosGHD[Região])</f>
        <v>SD</v>
      </c>
      <c r="D3184" s="4" t="str">
        <f>_xlfn.XLOOKUP(A3184,[1]!DadosGHD[CD_GEOCMU],[1]!DadosGHD[uf])</f>
        <v>MG</v>
      </c>
      <c r="E3184" s="5" t="str">
        <f>_xlfn.XLOOKUP(A3184,[1]!DadosGHD[CD_GEOCMU],[1]!DadosGHD[MUNICIPIO])</f>
        <v>ITUMIRIM</v>
      </c>
      <c r="F3184" s="6">
        <v>43.601749420166001</v>
      </c>
      <c r="G3184" s="6">
        <v>43.648708343505902</v>
      </c>
      <c r="H3184" s="6">
        <v>33.8893432617188</v>
      </c>
      <c r="I3184" s="6">
        <v>33.860641479492202</v>
      </c>
      <c r="J3184" s="6">
        <v>38.741752624511697</v>
      </c>
      <c r="K3184" s="6">
        <v>43.861873626708999</v>
      </c>
      <c r="L3184" s="6">
        <v>48.554294586181598</v>
      </c>
    </row>
    <row r="3185" spans="1:12" x14ac:dyDescent="0.25">
      <c r="A3185">
        <v>4103800</v>
      </c>
      <c r="B3185" t="str">
        <f t="shared" si="49"/>
        <v>CAMBIRA, PR, Brasil</v>
      </c>
      <c r="C3185" s="4" t="str">
        <f>_xlfn.XLOOKUP(A3185,[1]!DadosGHD[CD_GEOCMU],[1]!DadosGHD[Região])</f>
        <v>SL</v>
      </c>
      <c r="D3185" s="4" t="str">
        <f>_xlfn.XLOOKUP(A3185,[1]!DadosGHD[CD_GEOCMU],[1]!DadosGHD[uf])</f>
        <v>PR</v>
      </c>
      <c r="E3185" s="5" t="str">
        <f>_xlfn.XLOOKUP(A3185,[1]!DadosGHD[CD_GEOCMU],[1]!DadosGHD[MUNICIPIO])</f>
        <v>CAMBIRA</v>
      </c>
      <c r="F3185" s="6">
        <v>43.601848602294901</v>
      </c>
      <c r="G3185" s="6">
        <v>48.686088562011697</v>
      </c>
      <c r="H3185" s="6">
        <v>48.725105285644503</v>
      </c>
      <c r="I3185" s="6">
        <v>48.7041206359863</v>
      </c>
      <c r="J3185" s="6">
        <v>43.760627746582003</v>
      </c>
      <c r="K3185" s="6">
        <v>38.883358001708999</v>
      </c>
      <c r="L3185" s="6">
        <v>35.1319770812988</v>
      </c>
    </row>
    <row r="3186" spans="1:12" x14ac:dyDescent="0.25">
      <c r="A3186">
        <v>2414456</v>
      </c>
      <c r="B3186" t="str">
        <f t="shared" si="49"/>
        <v>TRIUNFO POTIGUAR, RN, Brasil</v>
      </c>
      <c r="C3186" s="4" t="str">
        <f>_xlfn.XLOOKUP(A3186,[1]!DadosGHD[CD_GEOCMU],[1]!DadosGHD[Região])</f>
        <v>NE</v>
      </c>
      <c r="D3186" s="4" t="str">
        <f>_xlfn.XLOOKUP(A3186,[1]!DadosGHD[CD_GEOCMU],[1]!DadosGHD[uf])</f>
        <v>RN</v>
      </c>
      <c r="E3186" s="5" t="str">
        <f>_xlfn.XLOOKUP(A3186,[1]!DadosGHD[CD_GEOCMU],[1]!DadosGHD[MUNICIPIO])</f>
        <v>TRIUNFO POTIGUAR</v>
      </c>
      <c r="F3186" s="6">
        <v>43.6019096374512</v>
      </c>
      <c r="G3186" s="6">
        <v>43.650310516357401</v>
      </c>
      <c r="H3186" s="6">
        <v>43.7126274108887</v>
      </c>
      <c r="I3186" s="6">
        <v>43.678844451904297</v>
      </c>
      <c r="J3186" s="6">
        <v>43.7070121765137</v>
      </c>
      <c r="K3186" s="6">
        <v>38.878391265869098</v>
      </c>
      <c r="L3186" s="6">
        <v>35.155078887939503</v>
      </c>
    </row>
    <row r="3187" spans="1:12" x14ac:dyDescent="0.25">
      <c r="A3187">
        <v>3108909</v>
      </c>
      <c r="B3187" t="str">
        <f t="shared" si="49"/>
        <v>BRAZOPOLIS, MG, Brasil</v>
      </c>
      <c r="C3187" s="4" t="str">
        <f>_xlfn.XLOOKUP(A3187,[1]!DadosGHD[CD_GEOCMU],[1]!DadosGHD[Região])</f>
        <v>SD</v>
      </c>
      <c r="D3187" s="4" t="str">
        <f>_xlfn.XLOOKUP(A3187,[1]!DadosGHD[CD_GEOCMU],[1]!DadosGHD[uf])</f>
        <v>MG</v>
      </c>
      <c r="E3187" s="5" t="str">
        <f>_xlfn.XLOOKUP(A3187,[1]!DadosGHD[CD_GEOCMU],[1]!DadosGHD[MUNICIPIO])</f>
        <v>BRAZOPOLIS</v>
      </c>
      <c r="F3187" s="6">
        <v>43.602123260498097</v>
      </c>
      <c r="G3187" s="6">
        <v>43.650039672851598</v>
      </c>
      <c r="H3187" s="6">
        <v>43.776615142822301</v>
      </c>
      <c r="I3187" s="6">
        <v>43.773059844970703</v>
      </c>
      <c r="J3187" s="6">
        <v>48.728549957275398</v>
      </c>
      <c r="K3187" s="6">
        <v>48.804824829101598</v>
      </c>
      <c r="L3187" s="6">
        <v>53.046207427978501</v>
      </c>
    </row>
    <row r="3188" spans="1:12" x14ac:dyDescent="0.25">
      <c r="A3188">
        <v>2919926</v>
      </c>
      <c r="B3188" t="str">
        <f t="shared" si="49"/>
        <v>MADRE DE DEUS, BA, Brasil</v>
      </c>
      <c r="C3188" s="4" t="str">
        <f>_xlfn.XLOOKUP(A3188,[1]!DadosGHD[CD_GEOCMU],[1]!DadosGHD[Região])</f>
        <v>NE</v>
      </c>
      <c r="D3188" s="4" t="str">
        <f>_xlfn.XLOOKUP(A3188,[1]!DadosGHD[CD_GEOCMU],[1]!DadosGHD[uf])</f>
        <v>BA</v>
      </c>
      <c r="E3188" s="5" t="str">
        <f>_xlfn.XLOOKUP(A3188,[1]!DadosGHD[CD_GEOCMU],[1]!DadosGHD[MUNICIPIO])</f>
        <v>MADRE DE DEUS</v>
      </c>
      <c r="F3188" s="6">
        <v>43.602256774902301</v>
      </c>
      <c r="G3188" s="6">
        <v>38.768062591552699</v>
      </c>
      <c r="H3188" s="6">
        <v>38.8276176452637</v>
      </c>
      <c r="I3188" s="6">
        <v>38.806507110595703</v>
      </c>
      <c r="J3188" s="6">
        <v>38.779464721679702</v>
      </c>
      <c r="K3188" s="6">
        <v>33.923439025878899</v>
      </c>
      <c r="L3188" s="6">
        <v>35.119998931884801</v>
      </c>
    </row>
    <row r="3189" spans="1:12" x14ac:dyDescent="0.25">
      <c r="A3189">
        <v>4121000</v>
      </c>
      <c r="B3189" t="str">
        <f t="shared" si="49"/>
        <v>QUERENCIA DO NORTE, PR, Brasil</v>
      </c>
      <c r="C3189" s="4" t="str">
        <f>_xlfn.XLOOKUP(A3189,[1]!DadosGHD[CD_GEOCMU],[1]!DadosGHD[Região])</f>
        <v>SL</v>
      </c>
      <c r="D3189" s="4" t="str">
        <f>_xlfn.XLOOKUP(A3189,[1]!DadosGHD[CD_GEOCMU],[1]!DadosGHD[uf])</f>
        <v>PR</v>
      </c>
      <c r="E3189" s="5" t="str">
        <f>_xlfn.XLOOKUP(A3189,[1]!DadosGHD[CD_GEOCMU],[1]!DadosGHD[MUNICIPIO])</f>
        <v>QUERENCIA DO NORTE</v>
      </c>
      <c r="F3189" s="6">
        <v>43.602584838867202</v>
      </c>
      <c r="G3189" s="6">
        <v>43.708934783935597</v>
      </c>
      <c r="H3189" s="6">
        <v>38.810165405273402</v>
      </c>
      <c r="I3189" s="6">
        <v>38.794143676757798</v>
      </c>
      <c r="J3189" s="6">
        <v>38.820178985595703</v>
      </c>
      <c r="K3189" s="6">
        <v>38.849311828613303</v>
      </c>
      <c r="L3189" s="6">
        <v>39.574520111083999</v>
      </c>
    </row>
    <row r="3190" spans="1:12" x14ac:dyDescent="0.25">
      <c r="A3190">
        <v>3305109</v>
      </c>
      <c r="B3190" t="str">
        <f t="shared" si="49"/>
        <v>SAO JOAO DE MERITI, RJ, Brasil</v>
      </c>
      <c r="C3190" s="4" t="str">
        <f>_xlfn.XLOOKUP(A3190,[1]!DadosGHD[CD_GEOCMU],[1]!DadosGHD[Região])</f>
        <v>SD</v>
      </c>
      <c r="D3190" s="4" t="str">
        <f>_xlfn.XLOOKUP(A3190,[1]!DadosGHD[CD_GEOCMU],[1]!DadosGHD[uf])</f>
        <v>RJ</v>
      </c>
      <c r="E3190" s="5" t="str">
        <f>_xlfn.XLOOKUP(A3190,[1]!DadosGHD[CD_GEOCMU],[1]!DadosGHD[MUNICIPIO])</f>
        <v>SAO JOAO DE MERITI</v>
      </c>
      <c r="F3190" s="6">
        <v>43.6026420593262</v>
      </c>
      <c r="G3190" s="6">
        <v>43.680442810058601</v>
      </c>
      <c r="H3190" s="6">
        <v>43.709568023681598</v>
      </c>
      <c r="I3190" s="6">
        <v>43.703178405761697</v>
      </c>
      <c r="J3190" s="6">
        <v>43.710460662841797</v>
      </c>
      <c r="K3190" s="6">
        <v>38.865837097167997</v>
      </c>
      <c r="L3190" s="6">
        <v>44.067695617675803</v>
      </c>
    </row>
    <row r="3191" spans="1:12" x14ac:dyDescent="0.25">
      <c r="A3191">
        <v>1100908</v>
      </c>
      <c r="B3191" t="str">
        <f t="shared" si="49"/>
        <v>CASTANHEIRAS, RO, Brasil</v>
      </c>
      <c r="C3191" s="4" t="str">
        <f>_xlfn.XLOOKUP(A3191,[1]!DadosGHD[CD_GEOCMU],[1]!DadosGHD[Região])</f>
        <v>NO</v>
      </c>
      <c r="D3191" s="4" t="str">
        <f>_xlfn.XLOOKUP(A3191,[1]!DadosGHD[CD_GEOCMU],[1]!DadosGHD[uf])</f>
        <v>RO</v>
      </c>
      <c r="E3191" s="5" t="str">
        <f>_xlfn.XLOOKUP(A3191,[1]!DadosGHD[CD_GEOCMU],[1]!DadosGHD[MUNICIPIO])</f>
        <v>CASTANHEIRAS</v>
      </c>
      <c r="F3191" s="6">
        <v>43.60302734375</v>
      </c>
      <c r="G3191" s="6">
        <v>48.667980194091797</v>
      </c>
      <c r="H3191" s="6">
        <v>38.750194549560597</v>
      </c>
      <c r="I3191" s="6">
        <v>38.768608093261697</v>
      </c>
      <c r="J3191" s="6">
        <v>38.779144287109403</v>
      </c>
      <c r="K3191" s="6">
        <v>38.860260009765597</v>
      </c>
      <c r="L3191" s="6">
        <v>39.562835693359403</v>
      </c>
    </row>
    <row r="3192" spans="1:12" x14ac:dyDescent="0.25">
      <c r="A3192">
        <v>3159100</v>
      </c>
      <c r="B3192" t="str">
        <f t="shared" si="49"/>
        <v>SANTANA DOS MONTES, MG, Brasil</v>
      </c>
      <c r="C3192" s="4" t="str">
        <f>_xlfn.XLOOKUP(A3192,[1]!DadosGHD[CD_GEOCMU],[1]!DadosGHD[Região])</f>
        <v>SD</v>
      </c>
      <c r="D3192" s="4" t="str">
        <f>_xlfn.XLOOKUP(A3192,[1]!DadosGHD[CD_GEOCMU],[1]!DadosGHD[uf])</f>
        <v>MG</v>
      </c>
      <c r="E3192" s="5" t="str">
        <f>_xlfn.XLOOKUP(A3192,[1]!DadosGHD[CD_GEOCMU],[1]!DadosGHD[MUNICIPIO])</f>
        <v>SANTANA DOS MONTES</v>
      </c>
      <c r="F3192" s="6">
        <v>43.603038787841797</v>
      </c>
      <c r="G3192" s="6">
        <v>38.774013519287102</v>
      </c>
      <c r="H3192" s="6">
        <v>38.821018218994098</v>
      </c>
      <c r="I3192" s="6">
        <v>43.706211090087898</v>
      </c>
      <c r="J3192" s="6">
        <v>43.794055938720703</v>
      </c>
      <c r="K3192" s="6">
        <v>43.867435455322301</v>
      </c>
      <c r="L3192" s="6">
        <v>44.073047637939503</v>
      </c>
    </row>
    <row r="3193" spans="1:12" x14ac:dyDescent="0.25">
      <c r="A3193">
        <v>2505808</v>
      </c>
      <c r="B3193" t="str">
        <f t="shared" si="49"/>
        <v>DUAS ESTRADAS, PB, Brasil</v>
      </c>
      <c r="C3193" s="4" t="str">
        <f>_xlfn.XLOOKUP(A3193,[1]!DadosGHD[CD_GEOCMU],[1]!DadosGHD[Região])</f>
        <v>NE</v>
      </c>
      <c r="D3193" s="4" t="str">
        <f>_xlfn.XLOOKUP(A3193,[1]!DadosGHD[CD_GEOCMU],[1]!DadosGHD[uf])</f>
        <v>PB</v>
      </c>
      <c r="E3193" s="5" t="str">
        <f>_xlfn.XLOOKUP(A3193,[1]!DadosGHD[CD_GEOCMU],[1]!DadosGHD[MUNICIPIO])</f>
        <v>DUAS ESTRADAS</v>
      </c>
      <c r="F3193" s="6">
        <v>43.603206634521499</v>
      </c>
      <c r="G3193" s="6">
        <v>38.783958435058601</v>
      </c>
      <c r="H3193" s="6">
        <v>38.808460235595703</v>
      </c>
      <c r="I3193" s="6">
        <v>38.762611389160199</v>
      </c>
      <c r="J3193" s="6">
        <v>38.782169342041001</v>
      </c>
      <c r="K3193" s="6">
        <v>38.819038391113303</v>
      </c>
      <c r="L3193" s="6">
        <v>30.7028484344482</v>
      </c>
    </row>
    <row r="3194" spans="1:12" x14ac:dyDescent="0.25">
      <c r="A3194">
        <v>5103056</v>
      </c>
      <c r="B3194" t="str">
        <f t="shared" si="49"/>
        <v>CLAUDIA, MT, Brasil</v>
      </c>
      <c r="C3194" s="4" t="str">
        <f>_xlfn.XLOOKUP(A3194,[1]!DadosGHD[CD_GEOCMU],[1]!DadosGHD[Região])</f>
        <v>CO</v>
      </c>
      <c r="D3194" s="4" t="str">
        <f>_xlfn.XLOOKUP(A3194,[1]!DadosGHD[CD_GEOCMU],[1]!DadosGHD[uf])</f>
        <v>MT</v>
      </c>
      <c r="E3194" s="5" t="str">
        <f>_xlfn.XLOOKUP(A3194,[1]!DadosGHD[CD_GEOCMU],[1]!DadosGHD[MUNICIPIO])</f>
        <v>CLAUDIA</v>
      </c>
      <c r="F3194" s="6">
        <v>43.6034126281738</v>
      </c>
      <c r="G3194" s="6">
        <v>43.701034545898402</v>
      </c>
      <c r="H3194" s="6">
        <v>43.725147247314503</v>
      </c>
      <c r="I3194" s="6">
        <v>43.728286743164098</v>
      </c>
      <c r="J3194" s="6">
        <v>43.730216979980497</v>
      </c>
      <c r="K3194" s="6">
        <v>43.883968353271499</v>
      </c>
      <c r="L3194" s="6">
        <v>44.066917419433601</v>
      </c>
    </row>
    <row r="3195" spans="1:12" x14ac:dyDescent="0.25">
      <c r="A3195">
        <v>3304300</v>
      </c>
      <c r="B3195" t="str">
        <f t="shared" si="49"/>
        <v>RIO BONITO, RJ, Brasil</v>
      </c>
      <c r="C3195" s="4" t="str">
        <f>_xlfn.XLOOKUP(A3195,[1]!DadosGHD[CD_GEOCMU],[1]!DadosGHD[Região])</f>
        <v>SD</v>
      </c>
      <c r="D3195" s="4" t="str">
        <f>_xlfn.XLOOKUP(A3195,[1]!DadosGHD[CD_GEOCMU],[1]!DadosGHD[uf])</f>
        <v>RJ</v>
      </c>
      <c r="E3195" s="5" t="str">
        <f>_xlfn.XLOOKUP(A3195,[1]!DadosGHD[CD_GEOCMU],[1]!DadosGHD[MUNICIPIO])</f>
        <v>RIO BONITO</v>
      </c>
      <c r="F3195" s="6">
        <v>43.603450775146499</v>
      </c>
      <c r="G3195" s="6">
        <v>43.637882232666001</v>
      </c>
      <c r="H3195" s="6">
        <v>38.827987670898402</v>
      </c>
      <c r="I3195" s="6">
        <v>38.803524017333999</v>
      </c>
      <c r="J3195" s="6">
        <v>43.752742767333999</v>
      </c>
      <c r="K3195" s="6">
        <v>43.802871704101598</v>
      </c>
      <c r="L3195" s="6">
        <v>44.039493560791001</v>
      </c>
    </row>
    <row r="3196" spans="1:12" x14ac:dyDescent="0.25">
      <c r="A3196">
        <v>4323002</v>
      </c>
      <c r="B3196" t="str">
        <f t="shared" si="49"/>
        <v>VIAMAO, RS, Brasil</v>
      </c>
      <c r="C3196" s="4" t="str">
        <f>_xlfn.XLOOKUP(A3196,[1]!DadosGHD[CD_GEOCMU],[1]!DadosGHD[Região])</f>
        <v>SL</v>
      </c>
      <c r="D3196" s="4" t="str">
        <f>_xlfn.XLOOKUP(A3196,[1]!DadosGHD[CD_GEOCMU],[1]!DadosGHD[uf])</f>
        <v>RS</v>
      </c>
      <c r="E3196" s="5" t="str">
        <f>_xlfn.XLOOKUP(A3196,[1]!DadosGHD[CD_GEOCMU],[1]!DadosGHD[MUNICIPIO])</f>
        <v>VIAMAO</v>
      </c>
      <c r="F3196" s="6">
        <v>43.603469848632798</v>
      </c>
      <c r="G3196" s="6">
        <v>43.688137054443402</v>
      </c>
      <c r="H3196" s="6">
        <v>43.725749969482401</v>
      </c>
      <c r="I3196" s="6">
        <v>43.786937713623097</v>
      </c>
      <c r="J3196" s="6">
        <v>48.729454040527301</v>
      </c>
      <c r="K3196" s="6">
        <v>48.7909965515137</v>
      </c>
      <c r="L3196" s="6">
        <v>57.494071960449197</v>
      </c>
    </row>
    <row r="3197" spans="1:12" x14ac:dyDescent="0.25">
      <c r="A3197">
        <v>4304101</v>
      </c>
      <c r="B3197" t="str">
        <f t="shared" si="49"/>
        <v>CAMPOS BORGES, RS, Brasil</v>
      </c>
      <c r="C3197" s="4" t="str">
        <f>_xlfn.XLOOKUP(A3197,[1]!DadosGHD[CD_GEOCMU],[1]!DadosGHD[Região])</f>
        <v>SL</v>
      </c>
      <c r="D3197" s="4" t="str">
        <f>_xlfn.XLOOKUP(A3197,[1]!DadosGHD[CD_GEOCMU],[1]!DadosGHD[uf])</f>
        <v>RS</v>
      </c>
      <c r="E3197" s="5" t="str">
        <f>_xlfn.XLOOKUP(A3197,[1]!DadosGHD[CD_GEOCMU],[1]!DadosGHD[MUNICIPIO])</f>
        <v>CAMPOS BORGES</v>
      </c>
      <c r="F3197" s="6">
        <v>43.603507995605497</v>
      </c>
      <c r="G3197" s="6">
        <v>53.725749969482401</v>
      </c>
      <c r="H3197" s="6">
        <v>53.873870849609403</v>
      </c>
      <c r="I3197" s="6">
        <v>58.813652038574197</v>
      </c>
      <c r="J3197" s="6">
        <v>58.913291931152301</v>
      </c>
      <c r="K3197" s="6">
        <v>48.764289855957003</v>
      </c>
      <c r="L3197" s="6">
        <v>35.139804840087898</v>
      </c>
    </row>
    <row r="3198" spans="1:12" x14ac:dyDescent="0.25">
      <c r="A3198">
        <v>3305505</v>
      </c>
      <c r="B3198" t="str">
        <f t="shared" si="49"/>
        <v>SAQUAREMA, RJ, Brasil</v>
      </c>
      <c r="C3198" s="4" t="str">
        <f>_xlfn.XLOOKUP(A3198,[1]!DadosGHD[CD_GEOCMU],[1]!DadosGHD[Região])</f>
        <v>SD</v>
      </c>
      <c r="D3198" s="4" t="str">
        <f>_xlfn.XLOOKUP(A3198,[1]!DadosGHD[CD_GEOCMU],[1]!DadosGHD[uf])</f>
        <v>RJ</v>
      </c>
      <c r="E3198" s="5" t="str">
        <f>_xlfn.XLOOKUP(A3198,[1]!DadosGHD[CD_GEOCMU],[1]!DadosGHD[MUNICIPIO])</f>
        <v>SAQUAREMA</v>
      </c>
      <c r="F3198" s="6">
        <v>43.603687286377003</v>
      </c>
      <c r="G3198" s="6">
        <v>43.719078063964801</v>
      </c>
      <c r="H3198" s="6">
        <v>43.771160125732401</v>
      </c>
      <c r="I3198" s="6">
        <v>48.698207855224602</v>
      </c>
      <c r="J3198" s="6">
        <v>48.732719421386697</v>
      </c>
      <c r="K3198" s="6">
        <v>43.855106353759801</v>
      </c>
      <c r="L3198" s="6">
        <v>44.06396484375</v>
      </c>
    </row>
    <row r="3199" spans="1:12" x14ac:dyDescent="0.25">
      <c r="A3199">
        <v>2409407</v>
      </c>
      <c r="B3199" t="str">
        <f t="shared" si="49"/>
        <v>PAU DOS FERROS, RN, Brasil</v>
      </c>
      <c r="C3199" s="4" t="str">
        <f>_xlfn.XLOOKUP(A3199,[1]!DadosGHD[CD_GEOCMU],[1]!DadosGHD[Região])</f>
        <v>NE</v>
      </c>
      <c r="D3199" s="4" t="str">
        <f>_xlfn.XLOOKUP(A3199,[1]!DadosGHD[CD_GEOCMU],[1]!DadosGHD[uf])</f>
        <v>RN</v>
      </c>
      <c r="E3199" s="5" t="str">
        <f>_xlfn.XLOOKUP(A3199,[1]!DadosGHD[CD_GEOCMU],[1]!DadosGHD[MUNICIPIO])</f>
        <v>PAU DOS FERROS</v>
      </c>
      <c r="F3199" s="6">
        <v>43.604118347167997</v>
      </c>
      <c r="G3199" s="6">
        <v>48.7623100280762</v>
      </c>
      <c r="H3199" s="6">
        <v>58.846736907958999</v>
      </c>
      <c r="I3199" s="6">
        <v>53.869617462158203</v>
      </c>
      <c r="J3199" s="6">
        <v>58.891700744628899</v>
      </c>
      <c r="K3199" s="6">
        <v>53.943458557128899</v>
      </c>
      <c r="L3199" s="6">
        <v>53.045646667480497</v>
      </c>
    </row>
    <row r="3200" spans="1:12" x14ac:dyDescent="0.25">
      <c r="A3200">
        <v>4313391</v>
      </c>
      <c r="B3200" t="str">
        <f t="shared" si="49"/>
        <v>NOVO CABRAIS, RS, Brasil</v>
      </c>
      <c r="C3200" s="4" t="str">
        <f>_xlfn.XLOOKUP(A3200,[1]!DadosGHD[CD_GEOCMU],[1]!DadosGHD[Região])</f>
        <v>SL</v>
      </c>
      <c r="D3200" s="4" t="str">
        <f>_xlfn.XLOOKUP(A3200,[1]!DadosGHD[CD_GEOCMU],[1]!DadosGHD[uf])</f>
        <v>RS</v>
      </c>
      <c r="E3200" s="5" t="str">
        <f>_xlfn.XLOOKUP(A3200,[1]!DadosGHD[CD_GEOCMU],[1]!DadosGHD[MUNICIPIO])</f>
        <v>NOVO CABRAIS</v>
      </c>
      <c r="F3200" s="6">
        <v>43.604156494140597</v>
      </c>
      <c r="G3200" s="6">
        <v>48.693347930908203</v>
      </c>
      <c r="H3200" s="6">
        <v>43.743003845214801</v>
      </c>
      <c r="I3200" s="6">
        <v>43.754070281982401</v>
      </c>
      <c r="J3200" s="6">
        <v>43.7726020812988</v>
      </c>
      <c r="K3200" s="6">
        <v>43.815471649169901</v>
      </c>
      <c r="L3200" s="6">
        <v>48.523307800292997</v>
      </c>
    </row>
    <row r="3201" spans="1:12" x14ac:dyDescent="0.25">
      <c r="A3201">
        <v>5105200</v>
      </c>
      <c r="B3201" t="str">
        <f t="shared" si="49"/>
        <v>JUSCIMEIRA, MT, Brasil</v>
      </c>
      <c r="C3201" s="4" t="str">
        <f>_xlfn.XLOOKUP(A3201,[1]!DadosGHD[CD_GEOCMU],[1]!DadosGHD[Região])</f>
        <v>CO</v>
      </c>
      <c r="D3201" s="4" t="str">
        <f>_xlfn.XLOOKUP(A3201,[1]!DadosGHD[CD_GEOCMU],[1]!DadosGHD[uf])</f>
        <v>MT</v>
      </c>
      <c r="E3201" s="5" t="str">
        <f>_xlfn.XLOOKUP(A3201,[1]!DadosGHD[CD_GEOCMU],[1]!DadosGHD[MUNICIPIO])</f>
        <v>JUSCIMEIRA</v>
      </c>
      <c r="F3201" s="6">
        <v>43.604290008544901</v>
      </c>
      <c r="G3201" s="6">
        <v>43.7047309875488</v>
      </c>
      <c r="H3201" s="6">
        <v>43.722949981689503</v>
      </c>
      <c r="I3201" s="6">
        <v>43.710166931152301</v>
      </c>
      <c r="J3201" s="6">
        <v>43.777782440185597</v>
      </c>
      <c r="K3201" s="6">
        <v>43.763282775878899</v>
      </c>
      <c r="L3201" s="6">
        <v>44.042007446289098</v>
      </c>
    </row>
    <row r="3202" spans="1:12" x14ac:dyDescent="0.25">
      <c r="A3202">
        <v>3534203</v>
      </c>
      <c r="B3202" t="str">
        <f t="shared" si="49"/>
        <v>ORINDIUVA, SP, Brasil</v>
      </c>
      <c r="C3202" s="4" t="str">
        <f>_xlfn.XLOOKUP(A3202,[1]!DadosGHD[CD_GEOCMU],[1]!DadosGHD[Região])</f>
        <v>SD</v>
      </c>
      <c r="D3202" s="4" t="str">
        <f>_xlfn.XLOOKUP(A3202,[1]!DadosGHD[CD_GEOCMU],[1]!DadosGHD[uf])</f>
        <v>SP</v>
      </c>
      <c r="E3202" s="5" t="str">
        <f>_xlfn.XLOOKUP(A3202,[1]!DadosGHD[CD_GEOCMU],[1]!DadosGHD[MUNICIPIO])</f>
        <v>ORINDIUVA</v>
      </c>
      <c r="F3202" s="6">
        <v>43.604579925537102</v>
      </c>
      <c r="G3202" s="6">
        <v>43.664375305175803</v>
      </c>
      <c r="H3202" s="6">
        <v>38.849788665771499</v>
      </c>
      <c r="I3202" s="6">
        <v>38.805309295654297</v>
      </c>
      <c r="J3202" s="6">
        <v>43.7441215515137</v>
      </c>
      <c r="K3202" s="6">
        <v>43.804119110107401</v>
      </c>
      <c r="L3202" s="6">
        <v>48.500984191894503</v>
      </c>
    </row>
    <row r="3203" spans="1:12" x14ac:dyDescent="0.25">
      <c r="A3203">
        <v>5212303</v>
      </c>
      <c r="B3203" t="str">
        <f t="shared" si="49"/>
        <v>LEOPOLDO DE BULHOES, GO, Brasil</v>
      </c>
      <c r="C3203" s="4" t="str">
        <f>_xlfn.XLOOKUP(A3203,[1]!DadosGHD[CD_GEOCMU],[1]!DadosGHD[Região])</f>
        <v>CO</v>
      </c>
      <c r="D3203" s="4" t="str">
        <f>_xlfn.XLOOKUP(A3203,[1]!DadosGHD[CD_GEOCMU],[1]!DadosGHD[uf])</f>
        <v>GO</v>
      </c>
      <c r="E3203" s="5" t="str">
        <f>_xlfn.XLOOKUP(A3203,[1]!DadosGHD[CD_GEOCMU],[1]!DadosGHD[MUNICIPIO])</f>
        <v>LEOPOLDO DE BULHOES</v>
      </c>
      <c r="F3203" s="6">
        <v>43.604610443115199</v>
      </c>
      <c r="G3203" s="6">
        <v>43.642311096191399</v>
      </c>
      <c r="H3203" s="6">
        <v>43.729930877685597</v>
      </c>
      <c r="I3203" s="6">
        <v>43.702083587646499</v>
      </c>
      <c r="J3203" s="6">
        <v>43.759433746337898</v>
      </c>
      <c r="K3203" s="6">
        <v>43.764251708984403</v>
      </c>
      <c r="L3203" s="6">
        <v>39.568126678466797</v>
      </c>
    </row>
    <row r="3204" spans="1:12" x14ac:dyDescent="0.25">
      <c r="A3204">
        <v>2802205</v>
      </c>
      <c r="B3204" t="str">
        <f t="shared" ref="B3204:B3267" si="50">_xlfn.CONCAT(E3204, ", ", D3204, ", Brasil")</f>
        <v>FEIRA NOVA, SE, Brasil</v>
      </c>
      <c r="C3204" s="4" t="str">
        <f>_xlfn.XLOOKUP(A3204,[1]!DadosGHD[CD_GEOCMU],[1]!DadosGHD[Região])</f>
        <v>NE</v>
      </c>
      <c r="D3204" s="4" t="str">
        <f>_xlfn.XLOOKUP(A3204,[1]!DadosGHD[CD_GEOCMU],[1]!DadosGHD[uf])</f>
        <v>SE</v>
      </c>
      <c r="E3204" s="5" t="str">
        <f>_xlfn.XLOOKUP(A3204,[1]!DadosGHD[CD_GEOCMU],[1]!DadosGHD[MUNICIPIO])</f>
        <v>FEIRA NOVA</v>
      </c>
      <c r="F3204" s="6">
        <v>43.604732513427699</v>
      </c>
      <c r="G3204" s="6">
        <v>38.728809356689503</v>
      </c>
      <c r="H3204" s="6">
        <v>38.762027740478501</v>
      </c>
      <c r="I3204" s="6">
        <v>38.733978271484403</v>
      </c>
      <c r="J3204" s="6">
        <v>38.744270324707003</v>
      </c>
      <c r="K3204" s="6">
        <v>33.9295654296875</v>
      </c>
      <c r="L3204" s="6">
        <v>26.2985744476318</v>
      </c>
    </row>
    <row r="3205" spans="1:12" x14ac:dyDescent="0.25">
      <c r="A3205">
        <v>3137536</v>
      </c>
      <c r="B3205" t="str">
        <f t="shared" si="50"/>
        <v>LAGOA GRANDE, MG, Brasil</v>
      </c>
      <c r="C3205" s="4" t="str">
        <f>_xlfn.XLOOKUP(A3205,[1]!DadosGHD[CD_GEOCMU],[1]!DadosGHD[Região])</f>
        <v>SD</v>
      </c>
      <c r="D3205" s="4" t="str">
        <f>_xlfn.XLOOKUP(A3205,[1]!DadosGHD[CD_GEOCMU],[1]!DadosGHD[uf])</f>
        <v>MG</v>
      </c>
      <c r="E3205" s="5" t="str">
        <f>_xlfn.XLOOKUP(A3205,[1]!DadosGHD[CD_GEOCMU],[1]!DadosGHD[MUNICIPIO])</f>
        <v>LAGOA GRANDE</v>
      </c>
      <c r="F3205" s="6">
        <v>43.6047973632813</v>
      </c>
      <c r="G3205" s="6">
        <v>43.739833831787102</v>
      </c>
      <c r="H3205" s="6">
        <v>43.799030303955099</v>
      </c>
      <c r="I3205" s="6">
        <v>43.742359161377003</v>
      </c>
      <c r="J3205" s="6">
        <v>43.722511291503899</v>
      </c>
      <c r="K3205" s="6">
        <v>43.8160591125488</v>
      </c>
      <c r="L3205" s="6">
        <v>35.135284423828097</v>
      </c>
    </row>
    <row r="3206" spans="1:12" x14ac:dyDescent="0.25">
      <c r="A3206">
        <v>3104502</v>
      </c>
      <c r="B3206" t="str">
        <f t="shared" si="50"/>
        <v>ARINOS, MG, Brasil</v>
      </c>
      <c r="C3206" s="4" t="str">
        <f>_xlfn.XLOOKUP(A3206,[1]!DadosGHD[CD_GEOCMU],[1]!DadosGHD[Região])</f>
        <v>SD</v>
      </c>
      <c r="D3206" s="4" t="str">
        <f>_xlfn.XLOOKUP(A3206,[1]!DadosGHD[CD_GEOCMU],[1]!DadosGHD[uf])</f>
        <v>MG</v>
      </c>
      <c r="E3206" s="5" t="str">
        <f>_xlfn.XLOOKUP(A3206,[1]!DadosGHD[CD_GEOCMU],[1]!DadosGHD[MUNICIPIO])</f>
        <v>ARINOS</v>
      </c>
      <c r="F3206" s="6">
        <v>43.604949951171903</v>
      </c>
      <c r="G3206" s="6">
        <v>43.672855377197301</v>
      </c>
      <c r="H3206" s="6">
        <v>43.717350006103501</v>
      </c>
      <c r="I3206" s="6">
        <v>38.816139221191399</v>
      </c>
      <c r="J3206" s="6">
        <v>43.746421813964801</v>
      </c>
      <c r="K3206" s="6">
        <v>43.853515625</v>
      </c>
      <c r="L3206" s="6">
        <v>39.576095581054702</v>
      </c>
    </row>
    <row r="3207" spans="1:12" x14ac:dyDescent="0.25">
      <c r="A3207">
        <v>3200607</v>
      </c>
      <c r="B3207" t="str">
        <f t="shared" si="50"/>
        <v>ARACRUZ, ES, Brasil</v>
      </c>
      <c r="C3207" s="4" t="str">
        <f>_xlfn.XLOOKUP(A3207,[1]!DadosGHD[CD_GEOCMU],[1]!DadosGHD[Região])</f>
        <v>SD</v>
      </c>
      <c r="D3207" s="4" t="str">
        <f>_xlfn.XLOOKUP(A3207,[1]!DadosGHD[CD_GEOCMU],[1]!DadosGHD[uf])</f>
        <v>ES</v>
      </c>
      <c r="E3207" s="5" t="str">
        <f>_xlfn.XLOOKUP(A3207,[1]!DadosGHD[CD_GEOCMU],[1]!DadosGHD[MUNICIPIO])</f>
        <v>ARACRUZ</v>
      </c>
      <c r="F3207" s="6">
        <v>43.604991912841797</v>
      </c>
      <c r="G3207" s="6">
        <v>48.704818725585902</v>
      </c>
      <c r="H3207" s="6">
        <v>43.793460845947301</v>
      </c>
      <c r="I3207" s="6">
        <v>43.732124328613303</v>
      </c>
      <c r="J3207" s="6">
        <v>43.732963562011697</v>
      </c>
      <c r="K3207" s="6">
        <v>48.856090545654297</v>
      </c>
      <c r="L3207" s="6">
        <v>39.611373901367202</v>
      </c>
    </row>
    <row r="3208" spans="1:12" x14ac:dyDescent="0.25">
      <c r="A3208">
        <v>3160009</v>
      </c>
      <c r="B3208" t="str">
        <f t="shared" si="50"/>
        <v>SANTO ANTONIO DO AVENTUREIRO, MG, Brasil</v>
      </c>
      <c r="C3208" s="4" t="str">
        <f>_xlfn.XLOOKUP(A3208,[1]!DadosGHD[CD_GEOCMU],[1]!DadosGHD[Região])</f>
        <v>SD</v>
      </c>
      <c r="D3208" s="4" t="str">
        <f>_xlfn.XLOOKUP(A3208,[1]!DadosGHD[CD_GEOCMU],[1]!DadosGHD[uf])</f>
        <v>MG</v>
      </c>
      <c r="E3208" s="5" t="str">
        <f>_xlfn.XLOOKUP(A3208,[1]!DadosGHD[CD_GEOCMU],[1]!DadosGHD[MUNICIPIO])</f>
        <v>SANTO ANTONIO DO AVENTUREIRO</v>
      </c>
      <c r="F3208" s="6">
        <v>43.604995727539098</v>
      </c>
      <c r="G3208" s="6">
        <v>38.684619903564503</v>
      </c>
      <c r="H3208" s="6">
        <v>33.881038665771499</v>
      </c>
      <c r="I3208" s="6">
        <v>33.852294921875</v>
      </c>
      <c r="J3208" s="6">
        <v>33.865760803222699</v>
      </c>
      <c r="K3208" s="6">
        <v>33.924942016601598</v>
      </c>
      <c r="L3208" s="6">
        <v>39.569423675537102</v>
      </c>
    </row>
    <row r="3209" spans="1:12" x14ac:dyDescent="0.25">
      <c r="A3209">
        <v>4310504</v>
      </c>
      <c r="B3209" t="str">
        <f t="shared" si="50"/>
        <v>IRAI, RS, Brasil</v>
      </c>
      <c r="C3209" s="4" t="str">
        <f>_xlfn.XLOOKUP(A3209,[1]!DadosGHD[CD_GEOCMU],[1]!DadosGHD[Região])</f>
        <v>SL</v>
      </c>
      <c r="D3209" s="4" t="str">
        <f>_xlfn.XLOOKUP(A3209,[1]!DadosGHD[CD_GEOCMU],[1]!DadosGHD[uf])</f>
        <v>RS</v>
      </c>
      <c r="E3209" s="5" t="str">
        <f>_xlfn.XLOOKUP(A3209,[1]!DadosGHD[CD_GEOCMU],[1]!DadosGHD[MUNICIPIO])</f>
        <v>IRAI</v>
      </c>
      <c r="F3209" s="6">
        <v>43.605876922607401</v>
      </c>
      <c r="G3209" s="6">
        <v>43.7604789733887</v>
      </c>
      <c r="H3209" s="6">
        <v>48.728897094726598</v>
      </c>
      <c r="I3209" s="6">
        <v>48.737236022949197</v>
      </c>
      <c r="J3209" s="6">
        <v>53.728324890136697</v>
      </c>
      <c r="K3209" s="6">
        <v>53.919700622558601</v>
      </c>
      <c r="L3209" s="6">
        <v>48.558418273925803</v>
      </c>
    </row>
    <row r="3210" spans="1:12" x14ac:dyDescent="0.25">
      <c r="A3210">
        <v>5106299</v>
      </c>
      <c r="B3210" t="str">
        <f t="shared" si="50"/>
        <v>PARANAITA, MT, Brasil</v>
      </c>
      <c r="C3210" s="4" t="str">
        <f>_xlfn.XLOOKUP(A3210,[1]!DadosGHD[CD_GEOCMU],[1]!DadosGHD[Região])</f>
        <v>CO</v>
      </c>
      <c r="D3210" s="4" t="str">
        <f>_xlfn.XLOOKUP(A3210,[1]!DadosGHD[CD_GEOCMU],[1]!DadosGHD[uf])</f>
        <v>MT</v>
      </c>
      <c r="E3210" s="5" t="str">
        <f>_xlfn.XLOOKUP(A3210,[1]!DadosGHD[CD_GEOCMU],[1]!DadosGHD[MUNICIPIO])</f>
        <v>PARANAITA</v>
      </c>
      <c r="F3210" s="6">
        <v>43.606056213378899</v>
      </c>
      <c r="G3210" s="6">
        <v>43.707454681396499</v>
      </c>
      <c r="H3210" s="6">
        <v>43.737827301025398</v>
      </c>
      <c r="I3210" s="6">
        <v>43.740768432617202</v>
      </c>
      <c r="J3210" s="6">
        <v>43.775997161865199</v>
      </c>
      <c r="K3210" s="6">
        <v>43.822940826416001</v>
      </c>
      <c r="L3210" s="6">
        <v>39.600662231445298</v>
      </c>
    </row>
    <row r="3211" spans="1:12" x14ac:dyDescent="0.25">
      <c r="A3211">
        <v>3154457</v>
      </c>
      <c r="B3211" t="str">
        <f t="shared" si="50"/>
        <v>RIACHINHO, MG, Brasil</v>
      </c>
      <c r="C3211" s="4" t="str">
        <f>_xlfn.XLOOKUP(A3211,[1]!DadosGHD[CD_GEOCMU],[1]!DadosGHD[Região])</f>
        <v>SD</v>
      </c>
      <c r="D3211" s="4" t="str">
        <f>_xlfn.XLOOKUP(A3211,[1]!DadosGHD[CD_GEOCMU],[1]!DadosGHD[uf])</f>
        <v>MG</v>
      </c>
      <c r="E3211" s="5" t="str">
        <f>_xlfn.XLOOKUP(A3211,[1]!DadosGHD[CD_GEOCMU],[1]!DadosGHD[MUNICIPIO])</f>
        <v>RIACHINHO</v>
      </c>
      <c r="F3211" s="6">
        <v>43.606216430664098</v>
      </c>
      <c r="G3211" s="6">
        <v>43.716274261474602</v>
      </c>
      <c r="H3211" s="6">
        <v>43.750560760498097</v>
      </c>
      <c r="I3211" s="6">
        <v>43.711090087890597</v>
      </c>
      <c r="J3211" s="6">
        <v>43.736244201660199</v>
      </c>
      <c r="K3211" s="6">
        <v>43.79248046875</v>
      </c>
      <c r="L3211" s="6">
        <v>30.703762054443398</v>
      </c>
    </row>
    <row r="3212" spans="1:12" x14ac:dyDescent="0.25">
      <c r="A3212">
        <v>2408003</v>
      </c>
      <c r="B3212" t="str">
        <f t="shared" si="50"/>
        <v>MOSSORO, RN, Brasil</v>
      </c>
      <c r="C3212" s="4" t="str">
        <f>_xlfn.XLOOKUP(A3212,[1]!DadosGHD[CD_GEOCMU],[1]!DadosGHD[Região])</f>
        <v>NE</v>
      </c>
      <c r="D3212" s="4" t="str">
        <f>_xlfn.XLOOKUP(A3212,[1]!DadosGHD[CD_GEOCMU],[1]!DadosGHD[uf])</f>
        <v>RN</v>
      </c>
      <c r="E3212" s="5" t="str">
        <f>_xlfn.XLOOKUP(A3212,[1]!DadosGHD[CD_GEOCMU],[1]!DadosGHD[MUNICIPIO])</f>
        <v>MOSSORO</v>
      </c>
      <c r="F3212" s="6">
        <v>43.606472015380902</v>
      </c>
      <c r="G3212" s="6">
        <v>43.695346832275398</v>
      </c>
      <c r="H3212" s="6">
        <v>43.772796630859403</v>
      </c>
      <c r="I3212" s="6">
        <v>43.770137786865199</v>
      </c>
      <c r="J3212" s="6">
        <v>48.702907562255902</v>
      </c>
      <c r="K3212" s="6">
        <v>48.767482757568402</v>
      </c>
      <c r="L3212" s="6">
        <v>48.541065216064503</v>
      </c>
    </row>
    <row r="3213" spans="1:12" x14ac:dyDescent="0.25">
      <c r="A3213">
        <v>3540754</v>
      </c>
      <c r="B3213" t="str">
        <f t="shared" si="50"/>
        <v>POTIM, SP, Brasil</v>
      </c>
      <c r="C3213" s="4" t="str">
        <f>_xlfn.XLOOKUP(A3213,[1]!DadosGHD[CD_GEOCMU],[1]!DadosGHD[Região])</f>
        <v>SD</v>
      </c>
      <c r="D3213" s="4" t="str">
        <f>_xlfn.XLOOKUP(A3213,[1]!DadosGHD[CD_GEOCMU],[1]!DadosGHD[uf])</f>
        <v>SP</v>
      </c>
      <c r="E3213" s="5" t="str">
        <f>_xlfn.XLOOKUP(A3213,[1]!DadosGHD[CD_GEOCMU],[1]!DadosGHD[MUNICIPIO])</f>
        <v>POTIM</v>
      </c>
      <c r="F3213" s="6">
        <v>43.606491088867202</v>
      </c>
      <c r="G3213" s="6">
        <v>43.680797576904297</v>
      </c>
      <c r="H3213" s="6">
        <v>38.835010528564503</v>
      </c>
      <c r="I3213" s="6">
        <v>38.783519744873097</v>
      </c>
      <c r="J3213" s="6">
        <v>33.890590667724602</v>
      </c>
      <c r="K3213" s="6">
        <v>33.906429290771499</v>
      </c>
      <c r="L3213" s="6">
        <v>35.1422309875488</v>
      </c>
    </row>
    <row r="3214" spans="1:12" x14ac:dyDescent="0.25">
      <c r="A3214">
        <v>3150109</v>
      </c>
      <c r="B3214" t="str">
        <f t="shared" si="50"/>
        <v>PIAU, MG, Brasil</v>
      </c>
      <c r="C3214" s="4" t="str">
        <f>_xlfn.XLOOKUP(A3214,[1]!DadosGHD[CD_GEOCMU],[1]!DadosGHD[Região])</f>
        <v>SD</v>
      </c>
      <c r="D3214" s="4" t="str">
        <f>_xlfn.XLOOKUP(A3214,[1]!DadosGHD[CD_GEOCMU],[1]!DadosGHD[uf])</f>
        <v>MG</v>
      </c>
      <c r="E3214" s="5" t="str">
        <f>_xlfn.XLOOKUP(A3214,[1]!DadosGHD[CD_GEOCMU],[1]!DadosGHD[MUNICIPIO])</f>
        <v>PIAU</v>
      </c>
      <c r="F3214" s="6">
        <v>43.606578826904297</v>
      </c>
      <c r="G3214" s="6">
        <v>38.73193359375</v>
      </c>
      <c r="H3214" s="6">
        <v>38.792373657226598</v>
      </c>
      <c r="I3214" s="6">
        <v>38.809333801269503</v>
      </c>
      <c r="J3214" s="6">
        <v>33.8755073547363</v>
      </c>
      <c r="K3214" s="6">
        <v>33.9124755859375</v>
      </c>
      <c r="L3214" s="6">
        <v>35.157100677490199</v>
      </c>
    </row>
    <row r="3215" spans="1:12" x14ac:dyDescent="0.25">
      <c r="A3215">
        <v>4304507</v>
      </c>
      <c r="B3215" t="str">
        <f t="shared" si="50"/>
        <v>CANGUCU, RS, Brasil</v>
      </c>
      <c r="C3215" s="4" t="str">
        <f>_xlfn.XLOOKUP(A3215,[1]!DadosGHD[CD_GEOCMU],[1]!DadosGHD[Região])</f>
        <v>SL</v>
      </c>
      <c r="D3215" s="4" t="str">
        <f>_xlfn.XLOOKUP(A3215,[1]!DadosGHD[CD_GEOCMU],[1]!DadosGHD[uf])</f>
        <v>RS</v>
      </c>
      <c r="E3215" s="5" t="str">
        <f>_xlfn.XLOOKUP(A3215,[1]!DadosGHD[CD_GEOCMU],[1]!DadosGHD[MUNICIPIO])</f>
        <v>CANGUCU</v>
      </c>
      <c r="F3215" s="6">
        <v>43.606731414794901</v>
      </c>
      <c r="G3215" s="6">
        <v>43.731643676757798</v>
      </c>
      <c r="H3215" s="6">
        <v>43.795543670654297</v>
      </c>
      <c r="I3215" s="6">
        <v>43.792633056640597</v>
      </c>
      <c r="J3215" s="6">
        <v>48.704799652099602</v>
      </c>
      <c r="K3215" s="6">
        <v>43.842960357666001</v>
      </c>
      <c r="L3215" s="6">
        <v>39.612663269042997</v>
      </c>
    </row>
    <row r="3216" spans="1:12" x14ac:dyDescent="0.25">
      <c r="A3216">
        <v>3148202</v>
      </c>
      <c r="B3216" t="str">
        <f t="shared" si="50"/>
        <v>PATROCINIO DO MURIAE, MG, Brasil</v>
      </c>
      <c r="C3216" s="4" t="str">
        <f>_xlfn.XLOOKUP(A3216,[1]!DadosGHD[CD_GEOCMU],[1]!DadosGHD[Região])</f>
        <v>SD</v>
      </c>
      <c r="D3216" s="4" t="str">
        <f>_xlfn.XLOOKUP(A3216,[1]!DadosGHD[CD_GEOCMU],[1]!DadosGHD[uf])</f>
        <v>MG</v>
      </c>
      <c r="E3216" s="5" t="str">
        <f>_xlfn.XLOOKUP(A3216,[1]!DadosGHD[CD_GEOCMU],[1]!DadosGHD[MUNICIPIO])</f>
        <v>PATROCINIO DO MURIAE</v>
      </c>
      <c r="F3216" s="6">
        <v>43.606746673583999</v>
      </c>
      <c r="G3216" s="6">
        <v>43.6945991516113</v>
      </c>
      <c r="H3216" s="6">
        <v>43.766647338867202</v>
      </c>
      <c r="I3216" s="6">
        <v>43.746505737304702</v>
      </c>
      <c r="J3216" s="6">
        <v>43.753486633300803</v>
      </c>
      <c r="K3216" s="6">
        <v>48.784587860107401</v>
      </c>
      <c r="L3216" s="6">
        <v>35.123756408691399</v>
      </c>
    </row>
    <row r="3217" spans="1:12" x14ac:dyDescent="0.25">
      <c r="A3217">
        <v>5209606</v>
      </c>
      <c r="B3217" t="str">
        <f t="shared" si="50"/>
        <v>HEITORAI, GO, Brasil</v>
      </c>
      <c r="C3217" s="4" t="str">
        <f>_xlfn.XLOOKUP(A3217,[1]!DadosGHD[CD_GEOCMU],[1]!DadosGHD[Região])</f>
        <v>CO</v>
      </c>
      <c r="D3217" s="4" t="str">
        <f>_xlfn.XLOOKUP(A3217,[1]!DadosGHD[CD_GEOCMU],[1]!DadosGHD[uf])</f>
        <v>GO</v>
      </c>
      <c r="E3217" s="5" t="str">
        <f>_xlfn.XLOOKUP(A3217,[1]!DadosGHD[CD_GEOCMU],[1]!DadosGHD[MUNICIPIO])</f>
        <v>HEITORAI</v>
      </c>
      <c r="F3217" s="6">
        <v>43.606842041015597</v>
      </c>
      <c r="G3217" s="6">
        <v>38.7703666687012</v>
      </c>
      <c r="H3217" s="6">
        <v>38.8292427062988</v>
      </c>
      <c r="I3217" s="6">
        <v>38.8223266601563</v>
      </c>
      <c r="J3217" s="6">
        <v>38.840690612792997</v>
      </c>
      <c r="K3217" s="6">
        <v>38.866184234619098</v>
      </c>
      <c r="L3217" s="6">
        <v>35.157951354980497</v>
      </c>
    </row>
    <row r="3218" spans="1:12" x14ac:dyDescent="0.25">
      <c r="A3218">
        <v>2924009</v>
      </c>
      <c r="B3218" t="str">
        <f t="shared" si="50"/>
        <v>PAULO AFONSO, BA, Brasil</v>
      </c>
      <c r="C3218" s="4" t="str">
        <f>_xlfn.XLOOKUP(A3218,[1]!DadosGHD[CD_GEOCMU],[1]!DadosGHD[Região])</f>
        <v>NE</v>
      </c>
      <c r="D3218" s="4" t="str">
        <f>_xlfn.XLOOKUP(A3218,[1]!DadosGHD[CD_GEOCMU],[1]!DadosGHD[uf])</f>
        <v>BA</v>
      </c>
      <c r="E3218" s="5" t="str">
        <f>_xlfn.XLOOKUP(A3218,[1]!DadosGHD[CD_GEOCMU],[1]!DadosGHD[MUNICIPIO])</f>
        <v>PAULO AFONSO</v>
      </c>
      <c r="F3218" s="6">
        <v>43.607006072998097</v>
      </c>
      <c r="G3218" s="6">
        <v>43.642448425292997</v>
      </c>
      <c r="H3218" s="6">
        <v>38.821556091308601</v>
      </c>
      <c r="I3218" s="6">
        <v>38.7817573547363</v>
      </c>
      <c r="J3218" s="6">
        <v>38.794223785400398</v>
      </c>
      <c r="K3218" s="6">
        <v>38.865028381347699</v>
      </c>
      <c r="L3218" s="6">
        <v>39.609474182128899</v>
      </c>
    </row>
    <row r="3219" spans="1:12" x14ac:dyDescent="0.25">
      <c r="A3219">
        <v>3204252</v>
      </c>
      <c r="B3219" t="str">
        <f t="shared" si="50"/>
        <v>PONTO BELO, ES, Brasil</v>
      </c>
      <c r="C3219" s="4" t="str">
        <f>_xlfn.XLOOKUP(A3219,[1]!DadosGHD[CD_GEOCMU],[1]!DadosGHD[Região])</f>
        <v>SD</v>
      </c>
      <c r="D3219" s="4" t="str">
        <f>_xlfn.XLOOKUP(A3219,[1]!DadosGHD[CD_GEOCMU],[1]!DadosGHD[uf])</f>
        <v>ES</v>
      </c>
      <c r="E3219" s="5" t="str">
        <f>_xlfn.XLOOKUP(A3219,[1]!DadosGHD[CD_GEOCMU],[1]!DadosGHD[MUNICIPIO])</f>
        <v>PONTO BELO</v>
      </c>
      <c r="F3219" s="6">
        <v>43.607109069824197</v>
      </c>
      <c r="G3219" s="6">
        <v>38.780185699462898</v>
      </c>
      <c r="H3219" s="6">
        <v>38.834346771240199</v>
      </c>
      <c r="I3219" s="6">
        <v>38.804557800292997</v>
      </c>
      <c r="J3219" s="6">
        <v>38.819862365722699</v>
      </c>
      <c r="K3219" s="6">
        <v>38.867973327636697</v>
      </c>
      <c r="L3219" s="6">
        <v>39.581153869628899</v>
      </c>
    </row>
    <row r="3220" spans="1:12" x14ac:dyDescent="0.25">
      <c r="A3220">
        <v>5005608</v>
      </c>
      <c r="B3220" t="str">
        <f t="shared" si="50"/>
        <v>MIRANDA, MS, Brasil</v>
      </c>
      <c r="C3220" s="4" t="str">
        <f>_xlfn.XLOOKUP(A3220,[1]!DadosGHD[CD_GEOCMU],[1]!DadosGHD[Região])</f>
        <v>CO</v>
      </c>
      <c r="D3220" s="4" t="str">
        <f>_xlfn.XLOOKUP(A3220,[1]!DadosGHD[CD_GEOCMU],[1]!DadosGHD[uf])</f>
        <v>MS</v>
      </c>
      <c r="E3220" s="5" t="str">
        <f>_xlfn.XLOOKUP(A3220,[1]!DadosGHD[CD_GEOCMU],[1]!DadosGHD[MUNICIPIO])</f>
        <v>MIRANDA</v>
      </c>
      <c r="F3220" s="6">
        <v>43.607112884521499</v>
      </c>
      <c r="G3220" s="6">
        <v>43.675464630127003</v>
      </c>
      <c r="H3220" s="6">
        <v>43.718677520752003</v>
      </c>
      <c r="I3220" s="6">
        <v>43.708358764648402</v>
      </c>
      <c r="J3220" s="6">
        <v>43.718193054199197</v>
      </c>
      <c r="K3220" s="6">
        <v>38.875297546386697</v>
      </c>
      <c r="L3220" s="6">
        <v>35.115470886230497</v>
      </c>
    </row>
    <row r="3221" spans="1:12" x14ac:dyDescent="0.25">
      <c r="A3221">
        <v>3522653</v>
      </c>
      <c r="B3221" t="str">
        <f t="shared" si="50"/>
        <v>ITAPIRAPUA PAULISTA, SP, Brasil</v>
      </c>
      <c r="C3221" s="4" t="str">
        <f>_xlfn.XLOOKUP(A3221,[1]!DadosGHD[CD_GEOCMU],[1]!DadosGHD[Região])</f>
        <v>SD</v>
      </c>
      <c r="D3221" s="4" t="str">
        <f>_xlfn.XLOOKUP(A3221,[1]!DadosGHD[CD_GEOCMU],[1]!DadosGHD[uf])</f>
        <v>SP</v>
      </c>
      <c r="E3221" s="5" t="str">
        <f>_xlfn.XLOOKUP(A3221,[1]!DadosGHD[CD_GEOCMU],[1]!DadosGHD[MUNICIPIO])</f>
        <v>ITAPIRAPUA PAULISTA</v>
      </c>
      <c r="F3221" s="6">
        <v>43.607189178466797</v>
      </c>
      <c r="G3221" s="6">
        <v>38.764957427978501</v>
      </c>
      <c r="H3221" s="6">
        <v>38.801277160644503</v>
      </c>
      <c r="I3221" s="6">
        <v>38.787631988525398</v>
      </c>
      <c r="J3221" s="6">
        <v>38.804306030273402</v>
      </c>
      <c r="K3221" s="6">
        <v>38.8400688171387</v>
      </c>
      <c r="L3221" s="6">
        <v>35.132240295410199</v>
      </c>
    </row>
    <row r="3222" spans="1:12" x14ac:dyDescent="0.25">
      <c r="A3222">
        <v>3552007</v>
      </c>
      <c r="B3222" t="str">
        <f t="shared" si="50"/>
        <v>SILVEIRAS, SP, Brasil</v>
      </c>
      <c r="C3222" s="4" t="str">
        <f>_xlfn.XLOOKUP(A3222,[1]!DadosGHD[CD_GEOCMU],[1]!DadosGHD[Região])</f>
        <v>SD</v>
      </c>
      <c r="D3222" s="4" t="str">
        <f>_xlfn.XLOOKUP(A3222,[1]!DadosGHD[CD_GEOCMU],[1]!DadosGHD[uf])</f>
        <v>SP</v>
      </c>
      <c r="E3222" s="5" t="str">
        <f>_xlfn.XLOOKUP(A3222,[1]!DadosGHD[CD_GEOCMU],[1]!DadosGHD[MUNICIPIO])</f>
        <v>SILVEIRAS</v>
      </c>
      <c r="F3222" s="6">
        <v>43.607624053955099</v>
      </c>
      <c r="G3222" s="6">
        <v>43.680130004882798</v>
      </c>
      <c r="H3222" s="6">
        <v>43.768051147460902</v>
      </c>
      <c r="I3222" s="6">
        <v>43.731639862060597</v>
      </c>
      <c r="J3222" s="6">
        <v>43.708446502685597</v>
      </c>
      <c r="K3222" s="6">
        <v>43.799678802490199</v>
      </c>
      <c r="L3222" s="6">
        <v>39.604972839355497</v>
      </c>
    </row>
    <row r="3223" spans="1:12" x14ac:dyDescent="0.25">
      <c r="A3223">
        <v>4204194</v>
      </c>
      <c r="B3223" t="str">
        <f t="shared" si="50"/>
        <v>CHAPADAO DO LAGEADO, SC, Brasil</v>
      </c>
      <c r="C3223" s="4" t="str">
        <f>_xlfn.XLOOKUP(A3223,[1]!DadosGHD[CD_GEOCMU],[1]!DadosGHD[Região])</f>
        <v>SL</v>
      </c>
      <c r="D3223" s="4" t="str">
        <f>_xlfn.XLOOKUP(A3223,[1]!DadosGHD[CD_GEOCMU],[1]!DadosGHD[uf])</f>
        <v>SC</v>
      </c>
      <c r="E3223" s="5" t="str">
        <f>_xlfn.XLOOKUP(A3223,[1]!DadosGHD[CD_GEOCMU],[1]!DadosGHD[MUNICIPIO])</f>
        <v>CHAPADAO DO LAGEADO</v>
      </c>
      <c r="F3223" s="6">
        <v>43.607795715332003</v>
      </c>
      <c r="G3223" s="6">
        <v>53.705535888671903</v>
      </c>
      <c r="H3223" s="6">
        <v>43.769870758056598</v>
      </c>
      <c r="I3223" s="6">
        <v>48.722019195556598</v>
      </c>
      <c r="J3223" s="6">
        <v>53.837577819824197</v>
      </c>
      <c r="K3223" s="6">
        <v>59.025932312011697</v>
      </c>
      <c r="L3223" s="6">
        <v>48.496963500976598</v>
      </c>
    </row>
    <row r="3224" spans="1:12" x14ac:dyDescent="0.25">
      <c r="A3224">
        <v>5206503</v>
      </c>
      <c r="B3224" t="str">
        <f t="shared" si="50"/>
        <v>CROMINIA, GO, Brasil</v>
      </c>
      <c r="C3224" s="4" t="str">
        <f>_xlfn.XLOOKUP(A3224,[1]!DadosGHD[CD_GEOCMU],[1]!DadosGHD[Região])</f>
        <v>CO</v>
      </c>
      <c r="D3224" s="4" t="str">
        <f>_xlfn.XLOOKUP(A3224,[1]!DadosGHD[CD_GEOCMU],[1]!DadosGHD[uf])</f>
        <v>GO</v>
      </c>
      <c r="E3224" s="5" t="str">
        <f>_xlfn.XLOOKUP(A3224,[1]!DadosGHD[CD_GEOCMU],[1]!DadosGHD[MUNICIPIO])</f>
        <v>CROMINIA</v>
      </c>
      <c r="F3224" s="6">
        <v>43.607841491699197</v>
      </c>
      <c r="G3224" s="6">
        <v>48.674873352050803</v>
      </c>
      <c r="H3224" s="6">
        <v>48.787956237792997</v>
      </c>
      <c r="I3224" s="6">
        <v>48.759605407714801</v>
      </c>
      <c r="J3224" s="6">
        <v>48.780998229980497</v>
      </c>
      <c r="K3224" s="6">
        <v>43.884819030761697</v>
      </c>
      <c r="L3224" s="6">
        <v>39.566249847412102</v>
      </c>
    </row>
    <row r="3225" spans="1:12" x14ac:dyDescent="0.25">
      <c r="A3225">
        <v>5103700</v>
      </c>
      <c r="B3225" t="str">
        <f t="shared" si="50"/>
        <v>FELIZ NATAL, MT, Brasil</v>
      </c>
      <c r="C3225" s="4" t="str">
        <f>_xlfn.XLOOKUP(A3225,[1]!DadosGHD[CD_GEOCMU],[1]!DadosGHD[Região])</f>
        <v>CO</v>
      </c>
      <c r="D3225" s="4" t="str">
        <f>_xlfn.XLOOKUP(A3225,[1]!DadosGHD[CD_GEOCMU],[1]!DadosGHD[uf])</f>
        <v>MT</v>
      </c>
      <c r="E3225" s="5" t="str">
        <f>_xlfn.XLOOKUP(A3225,[1]!DadosGHD[CD_GEOCMU],[1]!DadosGHD[MUNICIPIO])</f>
        <v>FELIZ NATAL</v>
      </c>
      <c r="F3225" s="6">
        <v>43.608028411865199</v>
      </c>
      <c r="G3225" s="6">
        <v>43.671886444091797</v>
      </c>
      <c r="H3225" s="6">
        <v>38.823879241943402</v>
      </c>
      <c r="I3225" s="6">
        <v>38.790542602539098</v>
      </c>
      <c r="J3225" s="6">
        <v>38.813793182373097</v>
      </c>
      <c r="K3225" s="6">
        <v>43.764606475830099</v>
      </c>
      <c r="L3225" s="6">
        <v>48.508945465087898</v>
      </c>
    </row>
    <row r="3226" spans="1:12" x14ac:dyDescent="0.25">
      <c r="A3226">
        <v>3104809</v>
      </c>
      <c r="B3226" t="str">
        <f t="shared" si="50"/>
        <v>AUGUSTO DE LIMA, MG, Brasil</v>
      </c>
      <c r="C3226" s="4" t="str">
        <f>_xlfn.XLOOKUP(A3226,[1]!DadosGHD[CD_GEOCMU],[1]!DadosGHD[Região])</f>
        <v>SD</v>
      </c>
      <c r="D3226" s="4" t="str">
        <f>_xlfn.XLOOKUP(A3226,[1]!DadosGHD[CD_GEOCMU],[1]!DadosGHD[uf])</f>
        <v>MG</v>
      </c>
      <c r="E3226" s="5" t="str">
        <f>_xlfn.XLOOKUP(A3226,[1]!DadosGHD[CD_GEOCMU],[1]!DadosGHD[MUNICIPIO])</f>
        <v>AUGUSTO DE LIMA</v>
      </c>
      <c r="F3226" s="6">
        <v>43.608253479003899</v>
      </c>
      <c r="G3226" s="6">
        <v>43.723480224609403</v>
      </c>
      <c r="H3226" s="6">
        <v>43.778106689453097</v>
      </c>
      <c r="I3226" s="6">
        <v>43.784355163574197</v>
      </c>
      <c r="J3226" s="6">
        <v>48.795272827148402</v>
      </c>
      <c r="K3226" s="6">
        <v>48.880138397216797</v>
      </c>
      <c r="L3226" s="6">
        <v>48.528007507324197</v>
      </c>
    </row>
    <row r="3227" spans="1:12" x14ac:dyDescent="0.25">
      <c r="A3227">
        <v>3123007</v>
      </c>
      <c r="B3227" t="str">
        <f t="shared" si="50"/>
        <v>DORES DE CAMPOS, MG, Brasil</v>
      </c>
      <c r="C3227" s="4" t="str">
        <f>_xlfn.XLOOKUP(A3227,[1]!DadosGHD[CD_GEOCMU],[1]!DadosGHD[Região])</f>
        <v>SD</v>
      </c>
      <c r="D3227" s="4" t="str">
        <f>_xlfn.XLOOKUP(A3227,[1]!DadosGHD[CD_GEOCMU],[1]!DadosGHD[uf])</f>
        <v>MG</v>
      </c>
      <c r="E3227" s="5" t="str">
        <f>_xlfn.XLOOKUP(A3227,[1]!DadosGHD[CD_GEOCMU],[1]!DadosGHD[MUNICIPIO])</f>
        <v>DORES DE CAMPOS</v>
      </c>
      <c r="F3227" s="6">
        <v>43.608486175537102</v>
      </c>
      <c r="G3227" s="6">
        <v>38.7752876281738</v>
      </c>
      <c r="H3227" s="6">
        <v>43.807487487792997</v>
      </c>
      <c r="I3227" s="6">
        <v>48.697402954101598</v>
      </c>
      <c r="J3227" s="6">
        <v>48.794723510742202</v>
      </c>
      <c r="K3227" s="6">
        <v>48.849197387695298</v>
      </c>
      <c r="L3227" s="6">
        <v>53.004508972167997</v>
      </c>
    </row>
    <row r="3228" spans="1:12" x14ac:dyDescent="0.25">
      <c r="A3228">
        <v>1720499</v>
      </c>
      <c r="B3228" t="str">
        <f t="shared" si="50"/>
        <v>SAO VALERIO, TO, Brasil</v>
      </c>
      <c r="C3228" s="4" t="str">
        <f>_xlfn.XLOOKUP(A3228,[1]!DadosGHD[CD_GEOCMU],[1]!DadosGHD[Região])</f>
        <v>NO</v>
      </c>
      <c r="D3228" s="4" t="str">
        <f>_xlfn.XLOOKUP(A3228,[1]!DadosGHD[CD_GEOCMU],[1]!DadosGHD[uf])</f>
        <v>TO</v>
      </c>
      <c r="E3228" s="5" t="str">
        <f>_xlfn.XLOOKUP(A3228,[1]!DadosGHD[CD_GEOCMU],[1]!DadosGHD[MUNICIPIO])</f>
        <v>SAO VALERIO</v>
      </c>
      <c r="F3228" s="6">
        <v>43.608524322509801</v>
      </c>
      <c r="G3228" s="6">
        <v>38.782623291015597</v>
      </c>
      <c r="H3228" s="6">
        <v>38.817626953125</v>
      </c>
      <c r="I3228" s="6">
        <v>38.805873870849602</v>
      </c>
      <c r="J3228" s="6">
        <v>38.832298278808601</v>
      </c>
      <c r="K3228" s="6">
        <v>38.828887939453097</v>
      </c>
      <c r="L3228" s="6">
        <v>30.695549011230501</v>
      </c>
    </row>
    <row r="3229" spans="1:12" x14ac:dyDescent="0.25">
      <c r="A3229">
        <v>3130200</v>
      </c>
      <c r="B3229" t="str">
        <f t="shared" si="50"/>
        <v>IGARATINGA, MG, Brasil</v>
      </c>
      <c r="C3229" s="4" t="str">
        <f>_xlfn.XLOOKUP(A3229,[1]!DadosGHD[CD_GEOCMU],[1]!DadosGHD[Região])</f>
        <v>SD</v>
      </c>
      <c r="D3229" s="4" t="str">
        <f>_xlfn.XLOOKUP(A3229,[1]!DadosGHD[CD_GEOCMU],[1]!DadosGHD[uf])</f>
        <v>MG</v>
      </c>
      <c r="E3229" s="5" t="str">
        <f>_xlfn.XLOOKUP(A3229,[1]!DadosGHD[CD_GEOCMU],[1]!DadosGHD[MUNICIPIO])</f>
        <v>IGARATINGA</v>
      </c>
      <c r="F3229" s="6">
        <v>43.608642578125</v>
      </c>
      <c r="G3229" s="6">
        <v>43.741359710693402</v>
      </c>
      <c r="H3229" s="6">
        <v>43.775020599365199</v>
      </c>
      <c r="I3229" s="6">
        <v>43.772720336914098</v>
      </c>
      <c r="J3229" s="6">
        <v>43.7815132141113</v>
      </c>
      <c r="K3229" s="6">
        <v>48.823909759521499</v>
      </c>
      <c r="L3229" s="6">
        <v>48.540256500244098</v>
      </c>
    </row>
    <row r="3230" spans="1:12" x14ac:dyDescent="0.25">
      <c r="A3230">
        <v>4209904</v>
      </c>
      <c r="B3230" t="str">
        <f t="shared" si="50"/>
        <v>LONTRAS, SC, Brasil</v>
      </c>
      <c r="C3230" s="4" t="str">
        <f>_xlfn.XLOOKUP(A3230,[1]!DadosGHD[CD_GEOCMU],[1]!DadosGHD[Região])</f>
        <v>SL</v>
      </c>
      <c r="D3230" s="4" t="str">
        <f>_xlfn.XLOOKUP(A3230,[1]!DadosGHD[CD_GEOCMU],[1]!DadosGHD[uf])</f>
        <v>SC</v>
      </c>
      <c r="E3230" s="5" t="str">
        <f>_xlfn.XLOOKUP(A3230,[1]!DadosGHD[CD_GEOCMU],[1]!DadosGHD[MUNICIPIO])</f>
        <v>LONTRAS</v>
      </c>
      <c r="F3230" s="6">
        <v>43.608707427978501</v>
      </c>
      <c r="G3230" s="6">
        <v>43.738639831542997</v>
      </c>
      <c r="H3230" s="6">
        <v>43.813426971435597</v>
      </c>
      <c r="I3230" s="6">
        <v>48.686325073242202</v>
      </c>
      <c r="J3230" s="6">
        <v>48.782585144042997</v>
      </c>
      <c r="K3230" s="6">
        <v>53.813030242919901</v>
      </c>
      <c r="L3230" s="6">
        <v>48.507240295410199</v>
      </c>
    </row>
    <row r="3231" spans="1:12" x14ac:dyDescent="0.25">
      <c r="A3231">
        <v>3160801</v>
      </c>
      <c r="B3231" t="str">
        <f t="shared" si="50"/>
        <v>SAO BENTO ABADE, MG, Brasil</v>
      </c>
      <c r="C3231" s="4" t="str">
        <f>_xlfn.XLOOKUP(A3231,[1]!DadosGHD[CD_GEOCMU],[1]!DadosGHD[Região])</f>
        <v>SD</v>
      </c>
      <c r="D3231" s="4" t="str">
        <f>_xlfn.XLOOKUP(A3231,[1]!DadosGHD[CD_GEOCMU],[1]!DadosGHD[uf])</f>
        <v>MG</v>
      </c>
      <c r="E3231" s="5" t="str">
        <f>_xlfn.XLOOKUP(A3231,[1]!DadosGHD[CD_GEOCMU],[1]!DadosGHD[MUNICIPIO])</f>
        <v>SAO BENTO ABADE</v>
      </c>
      <c r="F3231" s="6">
        <v>43.608890533447301</v>
      </c>
      <c r="G3231" s="6">
        <v>48.635944366455099</v>
      </c>
      <c r="H3231" s="6">
        <v>43.805999755859403</v>
      </c>
      <c r="I3231" s="6">
        <v>43.7520942687988</v>
      </c>
      <c r="J3231" s="6">
        <v>43.732765197753899</v>
      </c>
      <c r="K3231" s="6">
        <v>43.820304870605497</v>
      </c>
      <c r="L3231" s="6">
        <v>44.070133209228501</v>
      </c>
    </row>
    <row r="3232" spans="1:12" x14ac:dyDescent="0.25">
      <c r="A3232">
        <v>3553104</v>
      </c>
      <c r="B3232" t="str">
        <f t="shared" si="50"/>
        <v>TAIACU, SP, Brasil</v>
      </c>
      <c r="C3232" s="4" t="str">
        <f>_xlfn.XLOOKUP(A3232,[1]!DadosGHD[CD_GEOCMU],[1]!DadosGHD[Região])</f>
        <v>SD</v>
      </c>
      <c r="D3232" s="4" t="str">
        <f>_xlfn.XLOOKUP(A3232,[1]!DadosGHD[CD_GEOCMU],[1]!DadosGHD[uf])</f>
        <v>SP</v>
      </c>
      <c r="E3232" s="5" t="str">
        <f>_xlfn.XLOOKUP(A3232,[1]!DadosGHD[CD_GEOCMU],[1]!DadosGHD[MUNICIPIO])</f>
        <v>TAIACU</v>
      </c>
      <c r="F3232" s="6">
        <v>43.609210968017599</v>
      </c>
      <c r="G3232" s="6">
        <v>43.673965454101598</v>
      </c>
      <c r="H3232" s="6">
        <v>43.722042083740199</v>
      </c>
      <c r="I3232" s="6">
        <v>43.678016662597699</v>
      </c>
      <c r="J3232" s="6">
        <v>38.810234069824197</v>
      </c>
      <c r="K3232" s="6">
        <v>38.831325531005902</v>
      </c>
      <c r="L3232" s="6">
        <v>30.721391677856399</v>
      </c>
    </row>
    <row r="3233" spans="1:12" x14ac:dyDescent="0.25">
      <c r="A3233">
        <v>4125902</v>
      </c>
      <c r="B3233" t="str">
        <f t="shared" si="50"/>
        <v>SAO PEDRO DO PARANA, PR, Brasil</v>
      </c>
      <c r="C3233" s="4" t="str">
        <f>_xlfn.XLOOKUP(A3233,[1]!DadosGHD[CD_GEOCMU],[1]!DadosGHD[Região])</f>
        <v>SL</v>
      </c>
      <c r="D3233" s="4" t="str">
        <f>_xlfn.XLOOKUP(A3233,[1]!DadosGHD[CD_GEOCMU],[1]!DadosGHD[uf])</f>
        <v>PR</v>
      </c>
      <c r="E3233" s="5" t="str">
        <f>_xlfn.XLOOKUP(A3233,[1]!DadosGHD[CD_GEOCMU],[1]!DadosGHD[MUNICIPIO])</f>
        <v>SAO PEDRO DO PARANA</v>
      </c>
      <c r="F3233" s="6">
        <v>43.609439849853501</v>
      </c>
      <c r="G3233" s="6">
        <v>43.6951293945313</v>
      </c>
      <c r="H3233" s="6">
        <v>43.735355377197301</v>
      </c>
      <c r="I3233" s="6">
        <v>43.7169380187988</v>
      </c>
      <c r="J3233" s="6">
        <v>43.773872375488303</v>
      </c>
      <c r="K3233" s="6">
        <v>43.796077728271499</v>
      </c>
      <c r="L3233" s="6">
        <v>39.593025207519503</v>
      </c>
    </row>
    <row r="3234" spans="1:12" x14ac:dyDescent="0.25">
      <c r="A3234">
        <v>4301958</v>
      </c>
      <c r="B3234" t="str">
        <f t="shared" si="50"/>
        <v>BARRA FUNDA, RS, Brasil</v>
      </c>
      <c r="C3234" s="4" t="str">
        <f>_xlfn.XLOOKUP(A3234,[1]!DadosGHD[CD_GEOCMU],[1]!DadosGHD[Região])</f>
        <v>SL</v>
      </c>
      <c r="D3234" s="4" t="str">
        <f>_xlfn.XLOOKUP(A3234,[1]!DadosGHD[CD_GEOCMU],[1]!DadosGHD[uf])</f>
        <v>RS</v>
      </c>
      <c r="E3234" s="5" t="str">
        <f>_xlfn.XLOOKUP(A3234,[1]!DadosGHD[CD_GEOCMU],[1]!DadosGHD[MUNICIPIO])</f>
        <v>BARRA FUNDA</v>
      </c>
      <c r="F3234" s="6">
        <v>43.609996795654297</v>
      </c>
      <c r="G3234" s="6">
        <v>53.788829803466797</v>
      </c>
      <c r="H3234" s="6">
        <v>58.825794219970703</v>
      </c>
      <c r="I3234" s="6">
        <v>53.846755981445298</v>
      </c>
      <c r="J3234" s="6">
        <v>53.790927886962898</v>
      </c>
      <c r="K3234" s="6">
        <v>48.894134521484403</v>
      </c>
      <c r="L3234" s="6">
        <v>39.559139251708999</v>
      </c>
    </row>
    <row r="3235" spans="1:12" x14ac:dyDescent="0.25">
      <c r="A3235">
        <v>3166105</v>
      </c>
      <c r="B3235" t="str">
        <f t="shared" si="50"/>
        <v>SENHORA DO PORTO, MG, Brasil</v>
      </c>
      <c r="C3235" s="4" t="str">
        <f>_xlfn.XLOOKUP(A3235,[1]!DadosGHD[CD_GEOCMU],[1]!DadosGHD[Região])</f>
        <v>SD</v>
      </c>
      <c r="D3235" s="4" t="str">
        <f>_xlfn.XLOOKUP(A3235,[1]!DadosGHD[CD_GEOCMU],[1]!DadosGHD[uf])</f>
        <v>MG</v>
      </c>
      <c r="E3235" s="5" t="str">
        <f>_xlfn.XLOOKUP(A3235,[1]!DadosGHD[CD_GEOCMU],[1]!DadosGHD[MUNICIPIO])</f>
        <v>SENHORA DO PORTO</v>
      </c>
      <c r="F3235" s="6">
        <v>43.610054016113303</v>
      </c>
      <c r="G3235" s="6">
        <v>43.643680572509801</v>
      </c>
      <c r="H3235" s="6">
        <v>43.712532043457003</v>
      </c>
      <c r="I3235" s="6">
        <v>43.697029113769503</v>
      </c>
      <c r="J3235" s="6">
        <v>33.862247467041001</v>
      </c>
      <c r="K3235" s="6">
        <v>33.879772186279297</v>
      </c>
      <c r="L3235" s="6">
        <v>35.119197845458999</v>
      </c>
    </row>
    <row r="3236" spans="1:12" x14ac:dyDescent="0.25">
      <c r="A3236">
        <v>3302205</v>
      </c>
      <c r="B3236" t="str">
        <f t="shared" si="50"/>
        <v>ITAPERUNA, RJ, Brasil</v>
      </c>
      <c r="C3236" s="4" t="str">
        <f>_xlfn.XLOOKUP(A3236,[1]!DadosGHD[CD_GEOCMU],[1]!DadosGHD[Região])</f>
        <v>SD</v>
      </c>
      <c r="D3236" s="4" t="str">
        <f>_xlfn.XLOOKUP(A3236,[1]!DadosGHD[CD_GEOCMU],[1]!DadosGHD[uf])</f>
        <v>RJ</v>
      </c>
      <c r="E3236" s="5" t="str">
        <f>_xlfn.XLOOKUP(A3236,[1]!DadosGHD[CD_GEOCMU],[1]!DadosGHD[MUNICIPIO])</f>
        <v>ITAPERUNA</v>
      </c>
      <c r="F3236" s="6">
        <v>43.610099792480497</v>
      </c>
      <c r="G3236" s="6">
        <v>43.658718109130902</v>
      </c>
      <c r="H3236" s="6">
        <v>38.827590942382798</v>
      </c>
      <c r="I3236" s="6">
        <v>43.728549957275398</v>
      </c>
      <c r="J3236" s="6">
        <v>48.803188323974602</v>
      </c>
      <c r="K3236" s="6">
        <v>48.770336151123097</v>
      </c>
      <c r="L3236" s="6">
        <v>48.510223388671903</v>
      </c>
    </row>
    <row r="3237" spans="1:12" x14ac:dyDescent="0.25">
      <c r="A3237">
        <v>4115457</v>
      </c>
      <c r="B3237" t="str">
        <f t="shared" si="50"/>
        <v>MARQUINHO, PR, Brasil</v>
      </c>
      <c r="C3237" s="4" t="str">
        <f>_xlfn.XLOOKUP(A3237,[1]!DadosGHD[CD_GEOCMU],[1]!DadosGHD[Região])</f>
        <v>SL</v>
      </c>
      <c r="D3237" s="4" t="str">
        <f>_xlfn.XLOOKUP(A3237,[1]!DadosGHD[CD_GEOCMU],[1]!DadosGHD[uf])</f>
        <v>PR</v>
      </c>
      <c r="E3237" s="5" t="str">
        <f>_xlfn.XLOOKUP(A3237,[1]!DadosGHD[CD_GEOCMU],[1]!DadosGHD[MUNICIPIO])</f>
        <v>MARQUINHO</v>
      </c>
      <c r="F3237" s="6">
        <v>43.610149383544901</v>
      </c>
      <c r="G3237" s="6">
        <v>48.662620544433601</v>
      </c>
      <c r="H3237" s="6">
        <v>48.749862670898402</v>
      </c>
      <c r="I3237" s="6">
        <v>48.727523803710902</v>
      </c>
      <c r="J3237" s="6">
        <v>48.7554931640625</v>
      </c>
      <c r="K3237" s="6">
        <v>48.815685272216797</v>
      </c>
      <c r="L3237" s="6">
        <v>30.717161178588899</v>
      </c>
    </row>
    <row r="3238" spans="1:12" x14ac:dyDescent="0.25">
      <c r="A3238">
        <v>5107248</v>
      </c>
      <c r="B3238" t="str">
        <f t="shared" si="50"/>
        <v>SANTA CARMEM, MT, Brasil</v>
      </c>
      <c r="C3238" s="4" t="str">
        <f>_xlfn.XLOOKUP(A3238,[1]!DadosGHD[CD_GEOCMU],[1]!DadosGHD[Região])</f>
        <v>CO</v>
      </c>
      <c r="D3238" s="4" t="str">
        <f>_xlfn.XLOOKUP(A3238,[1]!DadosGHD[CD_GEOCMU],[1]!DadosGHD[uf])</f>
        <v>MT</v>
      </c>
      <c r="E3238" s="5" t="str">
        <f>_xlfn.XLOOKUP(A3238,[1]!DadosGHD[CD_GEOCMU],[1]!DadosGHD[MUNICIPIO])</f>
        <v>SANTA CARMEM</v>
      </c>
      <c r="F3238" s="6">
        <v>43.610202789306598</v>
      </c>
      <c r="G3238" s="6">
        <v>48.652305603027301</v>
      </c>
      <c r="H3238" s="6">
        <v>43.798923492431598</v>
      </c>
      <c r="I3238" s="6">
        <v>43.695899963378899</v>
      </c>
      <c r="J3238" s="6">
        <v>38.829826354980497</v>
      </c>
      <c r="K3238" s="6">
        <v>38.876838684082003</v>
      </c>
      <c r="L3238" s="6">
        <v>57.491527557373097</v>
      </c>
    </row>
    <row r="3239" spans="1:12" x14ac:dyDescent="0.25">
      <c r="A3239">
        <v>3120904</v>
      </c>
      <c r="B3239" t="str">
        <f t="shared" si="50"/>
        <v>CURVELO, MG, Brasil</v>
      </c>
      <c r="C3239" s="4" t="str">
        <f>_xlfn.XLOOKUP(A3239,[1]!DadosGHD[CD_GEOCMU],[1]!DadosGHD[Região])</f>
        <v>SD</v>
      </c>
      <c r="D3239" s="4" t="str">
        <f>_xlfn.XLOOKUP(A3239,[1]!DadosGHD[CD_GEOCMU],[1]!DadosGHD[uf])</f>
        <v>MG</v>
      </c>
      <c r="E3239" s="5" t="str">
        <f>_xlfn.XLOOKUP(A3239,[1]!DadosGHD[CD_GEOCMU],[1]!DadosGHD[MUNICIPIO])</f>
        <v>CURVELO</v>
      </c>
      <c r="F3239" s="6">
        <v>43.610244750976598</v>
      </c>
      <c r="G3239" s="6">
        <v>43.667472839355497</v>
      </c>
      <c r="H3239" s="6">
        <v>38.845108032226598</v>
      </c>
      <c r="I3239" s="6">
        <v>38.822654724121101</v>
      </c>
      <c r="J3239" s="6">
        <v>43.713996887207003</v>
      </c>
      <c r="K3239" s="6">
        <v>38.879493713378899</v>
      </c>
      <c r="L3239" s="6">
        <v>39.556446075439503</v>
      </c>
    </row>
    <row r="3240" spans="1:12" x14ac:dyDescent="0.25">
      <c r="A3240">
        <v>4103156</v>
      </c>
      <c r="B3240" t="str">
        <f t="shared" si="50"/>
        <v>BOM JESUS DO SUL, PR, Brasil</v>
      </c>
      <c r="C3240" s="4" t="str">
        <f>_xlfn.XLOOKUP(A3240,[1]!DadosGHD[CD_GEOCMU],[1]!DadosGHD[Região])</f>
        <v>SL</v>
      </c>
      <c r="D3240" s="4" t="str">
        <f>_xlfn.XLOOKUP(A3240,[1]!DadosGHD[CD_GEOCMU],[1]!DadosGHD[uf])</f>
        <v>PR</v>
      </c>
      <c r="E3240" s="5" t="str">
        <f>_xlfn.XLOOKUP(A3240,[1]!DadosGHD[CD_GEOCMU],[1]!DadosGHD[MUNICIPIO])</f>
        <v>BOM JESUS DO SUL</v>
      </c>
      <c r="F3240" s="6">
        <v>43.610313415527301</v>
      </c>
      <c r="G3240" s="6">
        <v>48.690540313720703</v>
      </c>
      <c r="H3240" s="6">
        <v>48.7369995117188</v>
      </c>
      <c r="I3240" s="6">
        <v>48.736228942871101</v>
      </c>
      <c r="J3240" s="6">
        <v>48.809688568115199</v>
      </c>
      <c r="K3240" s="6">
        <v>48.870433807373097</v>
      </c>
      <c r="L3240" s="6">
        <v>44.052410125732401</v>
      </c>
    </row>
    <row r="3241" spans="1:12" x14ac:dyDescent="0.25">
      <c r="A3241">
        <v>3300902</v>
      </c>
      <c r="B3241" t="str">
        <f t="shared" si="50"/>
        <v>CAMBUCI, RJ, Brasil</v>
      </c>
      <c r="C3241" s="4" t="str">
        <f>_xlfn.XLOOKUP(A3241,[1]!DadosGHD[CD_GEOCMU],[1]!DadosGHD[Região])</f>
        <v>SD</v>
      </c>
      <c r="D3241" s="4" t="str">
        <f>_xlfn.XLOOKUP(A3241,[1]!DadosGHD[CD_GEOCMU],[1]!DadosGHD[uf])</f>
        <v>RJ</v>
      </c>
      <c r="E3241" s="5" t="str">
        <f>_xlfn.XLOOKUP(A3241,[1]!DadosGHD[CD_GEOCMU],[1]!DadosGHD[MUNICIPIO])</f>
        <v>CAMBUCI</v>
      </c>
      <c r="F3241" s="6">
        <v>43.610340118408203</v>
      </c>
      <c r="G3241" s="6">
        <v>43.693607330322301</v>
      </c>
      <c r="H3241" s="6">
        <v>43.756916046142599</v>
      </c>
      <c r="I3241" s="6">
        <v>43.742351531982401</v>
      </c>
      <c r="J3241" s="6">
        <v>43.813949584960902</v>
      </c>
      <c r="K3241" s="6">
        <v>43.812812805175803</v>
      </c>
      <c r="L3241" s="6">
        <v>39.583595275878899</v>
      </c>
    </row>
    <row r="3242" spans="1:12" x14ac:dyDescent="0.25">
      <c r="A3242">
        <v>3506706</v>
      </c>
      <c r="B3242" t="str">
        <f t="shared" si="50"/>
        <v>BOA ESPERANCA DO SUL, SP, Brasil</v>
      </c>
      <c r="C3242" s="4" t="str">
        <f>_xlfn.XLOOKUP(A3242,[1]!DadosGHD[CD_GEOCMU],[1]!DadosGHD[Região])</f>
        <v>SD</v>
      </c>
      <c r="D3242" s="4" t="str">
        <f>_xlfn.XLOOKUP(A3242,[1]!DadosGHD[CD_GEOCMU],[1]!DadosGHD[uf])</f>
        <v>SP</v>
      </c>
      <c r="E3242" s="5" t="str">
        <f>_xlfn.XLOOKUP(A3242,[1]!DadosGHD[CD_GEOCMU],[1]!DadosGHD[MUNICIPIO])</f>
        <v>BOA ESPERANCA DO SUL</v>
      </c>
      <c r="F3242" s="6">
        <v>43.6106567382813</v>
      </c>
      <c r="G3242" s="6">
        <v>43.7532348632813</v>
      </c>
      <c r="H3242" s="6">
        <v>43.767696380615199</v>
      </c>
      <c r="I3242" s="6">
        <v>43.730960845947301</v>
      </c>
      <c r="J3242" s="6">
        <v>43.825859069824197</v>
      </c>
      <c r="K3242" s="6">
        <v>43.833335876464801</v>
      </c>
      <c r="L3242" s="6">
        <v>48.513671875</v>
      </c>
    </row>
    <row r="3243" spans="1:12" x14ac:dyDescent="0.25">
      <c r="A3243">
        <v>5107792</v>
      </c>
      <c r="B3243" t="str">
        <f t="shared" si="50"/>
        <v>SANTO ANTONIO DO LESTE, MT, Brasil</v>
      </c>
      <c r="C3243" s="4" t="str">
        <f>_xlfn.XLOOKUP(A3243,[1]!DadosGHD[CD_GEOCMU],[1]!DadosGHD[Região])</f>
        <v>CO</v>
      </c>
      <c r="D3243" s="4" t="str">
        <f>_xlfn.XLOOKUP(A3243,[1]!DadosGHD[CD_GEOCMU],[1]!DadosGHD[uf])</f>
        <v>MT</v>
      </c>
      <c r="E3243" s="5" t="str">
        <f>_xlfn.XLOOKUP(A3243,[1]!DadosGHD[CD_GEOCMU],[1]!DadosGHD[MUNICIPIO])</f>
        <v>SANTO ANTONIO DO LESTE</v>
      </c>
      <c r="F3243" s="6">
        <v>43.610679626464801</v>
      </c>
      <c r="G3243" s="6">
        <v>38.710765838623097</v>
      </c>
      <c r="H3243" s="6">
        <v>33.879684448242202</v>
      </c>
      <c r="I3243" s="6">
        <v>33.8613090515137</v>
      </c>
      <c r="J3243" s="6">
        <v>38.744682312011697</v>
      </c>
      <c r="K3243" s="6">
        <v>38.824813842773402</v>
      </c>
      <c r="L3243" s="6">
        <v>35.142299652099602</v>
      </c>
    </row>
    <row r="3244" spans="1:12" x14ac:dyDescent="0.25">
      <c r="A3244">
        <v>4125605</v>
      </c>
      <c r="B3244" t="str">
        <f t="shared" si="50"/>
        <v>SAO MATEUS DO SUL, PR, Brasil</v>
      </c>
      <c r="C3244" s="4" t="str">
        <f>_xlfn.XLOOKUP(A3244,[1]!DadosGHD[CD_GEOCMU],[1]!DadosGHD[Região])</f>
        <v>SL</v>
      </c>
      <c r="D3244" s="4" t="str">
        <f>_xlfn.XLOOKUP(A3244,[1]!DadosGHD[CD_GEOCMU],[1]!DadosGHD[uf])</f>
        <v>PR</v>
      </c>
      <c r="E3244" s="5" t="str">
        <f>_xlfn.XLOOKUP(A3244,[1]!DadosGHD[CD_GEOCMU],[1]!DadosGHD[MUNICIPIO])</f>
        <v>SAO MATEUS DO SUL</v>
      </c>
      <c r="F3244" s="6">
        <v>43.610851287841797</v>
      </c>
      <c r="G3244" s="6">
        <v>43.742366790771499</v>
      </c>
      <c r="H3244" s="6">
        <v>43.809040069580099</v>
      </c>
      <c r="I3244" s="6">
        <v>43.765979766845703</v>
      </c>
      <c r="J3244" s="6">
        <v>43.8095092773438</v>
      </c>
      <c r="K3244" s="6">
        <v>43.830421447753899</v>
      </c>
      <c r="L3244" s="6">
        <v>44.030082702636697</v>
      </c>
    </row>
    <row r="3245" spans="1:12" x14ac:dyDescent="0.25">
      <c r="A3245">
        <v>3165701</v>
      </c>
      <c r="B3245" t="str">
        <f t="shared" si="50"/>
        <v>SENADOR FIRMINO, MG, Brasil</v>
      </c>
      <c r="C3245" s="4" t="str">
        <f>_xlfn.XLOOKUP(A3245,[1]!DadosGHD[CD_GEOCMU],[1]!DadosGHD[Região])</f>
        <v>SD</v>
      </c>
      <c r="D3245" s="4" t="str">
        <f>_xlfn.XLOOKUP(A3245,[1]!DadosGHD[CD_GEOCMU],[1]!DadosGHD[uf])</f>
        <v>MG</v>
      </c>
      <c r="E3245" s="5" t="str">
        <f>_xlfn.XLOOKUP(A3245,[1]!DadosGHD[CD_GEOCMU],[1]!DadosGHD[MUNICIPIO])</f>
        <v>SENADOR FIRMINO</v>
      </c>
      <c r="F3245" s="6">
        <v>43.610965728759801</v>
      </c>
      <c r="G3245" s="6">
        <v>38.782024383544901</v>
      </c>
      <c r="H3245" s="6">
        <v>38.824203491210902</v>
      </c>
      <c r="I3245" s="6">
        <v>38.803443908691399</v>
      </c>
      <c r="J3245" s="6">
        <v>38.821689605712898</v>
      </c>
      <c r="K3245" s="6">
        <v>38.862754821777301</v>
      </c>
      <c r="L3245" s="6">
        <v>35.120693206787102</v>
      </c>
    </row>
    <row r="3246" spans="1:12" x14ac:dyDescent="0.25">
      <c r="A3246">
        <v>3521705</v>
      </c>
      <c r="B3246" t="str">
        <f t="shared" si="50"/>
        <v>ITABERA, SP, Brasil</v>
      </c>
      <c r="C3246" s="4" t="str">
        <f>_xlfn.XLOOKUP(A3246,[1]!DadosGHD[CD_GEOCMU],[1]!DadosGHD[Região])</f>
        <v>SD</v>
      </c>
      <c r="D3246" s="4" t="str">
        <f>_xlfn.XLOOKUP(A3246,[1]!DadosGHD[CD_GEOCMU],[1]!DadosGHD[uf])</f>
        <v>SP</v>
      </c>
      <c r="E3246" s="5" t="str">
        <f>_xlfn.XLOOKUP(A3246,[1]!DadosGHD[CD_GEOCMU],[1]!DadosGHD[MUNICIPIO])</f>
        <v>ITABERA</v>
      </c>
      <c r="F3246" s="6">
        <v>43.611095428466797</v>
      </c>
      <c r="G3246" s="6">
        <v>43.714809417724602</v>
      </c>
      <c r="H3246" s="6">
        <v>43.7575874328613</v>
      </c>
      <c r="I3246" s="6">
        <v>43.715518951416001</v>
      </c>
      <c r="J3246" s="6">
        <v>43.728199005127003</v>
      </c>
      <c r="K3246" s="6">
        <v>43.815837860107401</v>
      </c>
      <c r="L3246" s="6">
        <v>39.570178985595703</v>
      </c>
    </row>
    <row r="3247" spans="1:12" x14ac:dyDescent="0.25">
      <c r="A3247">
        <v>3544806</v>
      </c>
      <c r="B3247" t="str">
        <f t="shared" si="50"/>
        <v>SALES, SP, Brasil</v>
      </c>
      <c r="C3247" s="4" t="str">
        <f>_xlfn.XLOOKUP(A3247,[1]!DadosGHD[CD_GEOCMU],[1]!DadosGHD[Região])</f>
        <v>SD</v>
      </c>
      <c r="D3247" s="4" t="str">
        <f>_xlfn.XLOOKUP(A3247,[1]!DadosGHD[CD_GEOCMU],[1]!DadosGHD[uf])</f>
        <v>SP</v>
      </c>
      <c r="E3247" s="5" t="str">
        <f>_xlfn.XLOOKUP(A3247,[1]!DadosGHD[CD_GEOCMU],[1]!DadosGHD[MUNICIPIO])</f>
        <v>SALES</v>
      </c>
      <c r="F3247" s="6">
        <v>43.611484527587898</v>
      </c>
      <c r="G3247" s="6">
        <v>43.710411071777301</v>
      </c>
      <c r="H3247" s="6">
        <v>43.731639862060597</v>
      </c>
      <c r="I3247" s="6">
        <v>53.840843200683601</v>
      </c>
      <c r="J3247" s="6">
        <v>53.859733581542997</v>
      </c>
      <c r="K3247" s="6">
        <v>43.7811088562012</v>
      </c>
      <c r="L3247" s="6">
        <v>39.560428619384801</v>
      </c>
    </row>
    <row r="3248" spans="1:12" x14ac:dyDescent="0.25">
      <c r="A3248">
        <v>1715101</v>
      </c>
      <c r="B3248" t="str">
        <f t="shared" si="50"/>
        <v>NOVO ACORDO, TO, Brasil</v>
      </c>
      <c r="C3248" s="4" t="str">
        <f>_xlfn.XLOOKUP(A3248,[1]!DadosGHD[CD_GEOCMU],[1]!DadosGHD[Região])</f>
        <v>NO</v>
      </c>
      <c r="D3248" s="4" t="str">
        <f>_xlfn.XLOOKUP(A3248,[1]!DadosGHD[CD_GEOCMU],[1]!DadosGHD[uf])</f>
        <v>TO</v>
      </c>
      <c r="E3248" s="5" t="str">
        <f>_xlfn.XLOOKUP(A3248,[1]!DadosGHD[CD_GEOCMU],[1]!DadosGHD[MUNICIPIO])</f>
        <v>NOVO ACORDO</v>
      </c>
      <c r="F3248" s="6">
        <v>43.611549377441399</v>
      </c>
      <c r="G3248" s="6">
        <v>38.7171821594238</v>
      </c>
      <c r="H3248" s="6">
        <v>38.754341125488303</v>
      </c>
      <c r="I3248" s="6">
        <v>38.7228813171387</v>
      </c>
      <c r="J3248" s="6">
        <v>33.895664215087898</v>
      </c>
      <c r="K3248" s="6">
        <v>33.9205131530762</v>
      </c>
      <c r="L3248" s="6">
        <v>30.693222045898398</v>
      </c>
    </row>
    <row r="3249" spans="1:12" x14ac:dyDescent="0.25">
      <c r="A3249">
        <v>3170503</v>
      </c>
      <c r="B3249" t="str">
        <f t="shared" si="50"/>
        <v>URUCANIA, MG, Brasil</v>
      </c>
      <c r="C3249" s="4" t="str">
        <f>_xlfn.XLOOKUP(A3249,[1]!DadosGHD[CD_GEOCMU],[1]!DadosGHD[Região])</f>
        <v>SD</v>
      </c>
      <c r="D3249" s="4" t="str">
        <f>_xlfn.XLOOKUP(A3249,[1]!DadosGHD[CD_GEOCMU],[1]!DadosGHD[uf])</f>
        <v>MG</v>
      </c>
      <c r="E3249" s="5" t="str">
        <f>_xlfn.XLOOKUP(A3249,[1]!DadosGHD[CD_GEOCMU],[1]!DadosGHD[MUNICIPIO])</f>
        <v>URUCANIA</v>
      </c>
      <c r="F3249" s="6">
        <v>43.611618041992202</v>
      </c>
      <c r="G3249" s="6">
        <v>38.788169860839801</v>
      </c>
      <c r="H3249" s="6">
        <v>38.807197570800803</v>
      </c>
      <c r="I3249" s="6">
        <v>38.813987731933601</v>
      </c>
      <c r="J3249" s="6">
        <v>43.726528167724602</v>
      </c>
      <c r="K3249" s="6">
        <v>43.885669708252003</v>
      </c>
      <c r="L3249" s="6">
        <v>48.515445709228501</v>
      </c>
    </row>
    <row r="3250" spans="1:12" x14ac:dyDescent="0.25">
      <c r="A3250">
        <v>4101655</v>
      </c>
      <c r="B3250" t="str">
        <f t="shared" si="50"/>
        <v>ARAPUA, PR, Brasil</v>
      </c>
      <c r="C3250" s="4" t="str">
        <f>_xlfn.XLOOKUP(A3250,[1]!DadosGHD[CD_GEOCMU],[1]!DadosGHD[Região])</f>
        <v>SL</v>
      </c>
      <c r="D3250" s="4" t="str">
        <f>_xlfn.XLOOKUP(A3250,[1]!DadosGHD[CD_GEOCMU],[1]!DadosGHD[uf])</f>
        <v>PR</v>
      </c>
      <c r="E3250" s="5" t="str">
        <f>_xlfn.XLOOKUP(A3250,[1]!DadosGHD[CD_GEOCMU],[1]!DadosGHD[MUNICIPIO])</f>
        <v>ARAPUA</v>
      </c>
      <c r="F3250" s="6">
        <v>43.611885070800803</v>
      </c>
      <c r="G3250" s="6">
        <v>48.693923950195298</v>
      </c>
      <c r="H3250" s="6">
        <v>48.780830383300803</v>
      </c>
      <c r="I3250" s="6">
        <v>48.775535583496101</v>
      </c>
      <c r="J3250" s="6">
        <v>53.871551513671903</v>
      </c>
      <c r="K3250" s="6">
        <v>58.929283142089801</v>
      </c>
      <c r="L3250" s="6">
        <v>48.513450622558601</v>
      </c>
    </row>
    <row r="3251" spans="1:12" x14ac:dyDescent="0.25">
      <c r="A3251">
        <v>3105707</v>
      </c>
      <c r="B3251" t="str">
        <f t="shared" si="50"/>
        <v>BARRA LONGA, MG, Brasil</v>
      </c>
      <c r="C3251" s="4" t="str">
        <f>_xlfn.XLOOKUP(A3251,[1]!DadosGHD[CD_GEOCMU],[1]!DadosGHD[Região])</f>
        <v>SD</v>
      </c>
      <c r="D3251" s="4" t="str">
        <f>_xlfn.XLOOKUP(A3251,[1]!DadosGHD[CD_GEOCMU],[1]!DadosGHD[uf])</f>
        <v>MG</v>
      </c>
      <c r="E3251" s="5" t="str">
        <f>_xlfn.XLOOKUP(A3251,[1]!DadosGHD[CD_GEOCMU],[1]!DadosGHD[MUNICIPIO])</f>
        <v>BARRA LONGA</v>
      </c>
      <c r="F3251" s="6">
        <v>43.612136840820298</v>
      </c>
      <c r="G3251" s="6">
        <v>43.674312591552699</v>
      </c>
      <c r="H3251" s="6">
        <v>38.763084411621101</v>
      </c>
      <c r="I3251" s="6">
        <v>33.853523254394503</v>
      </c>
      <c r="J3251" s="6">
        <v>48.701793670654297</v>
      </c>
      <c r="K3251" s="6">
        <v>38.785133361816399</v>
      </c>
      <c r="L3251" s="6">
        <v>39.574142456054702</v>
      </c>
    </row>
    <row r="3252" spans="1:12" x14ac:dyDescent="0.25">
      <c r="A3252">
        <v>1501253</v>
      </c>
      <c r="B3252" t="str">
        <f t="shared" si="50"/>
        <v>BANNACH, PA, Brasil</v>
      </c>
      <c r="C3252" s="4" t="str">
        <f>_xlfn.XLOOKUP(A3252,[1]!DadosGHD[CD_GEOCMU],[1]!DadosGHD[Região])</f>
        <v>NO</v>
      </c>
      <c r="D3252" s="4" t="str">
        <f>_xlfn.XLOOKUP(A3252,[1]!DadosGHD[CD_GEOCMU],[1]!DadosGHD[uf])</f>
        <v>PA</v>
      </c>
      <c r="E3252" s="5" t="str">
        <f>_xlfn.XLOOKUP(A3252,[1]!DadosGHD[CD_GEOCMU],[1]!DadosGHD[MUNICIPIO])</f>
        <v>BANNACH</v>
      </c>
      <c r="F3252" s="6">
        <v>43.612373352050803</v>
      </c>
      <c r="G3252" s="6">
        <v>38.777801513671903</v>
      </c>
      <c r="H3252" s="6">
        <v>38.810863494873097</v>
      </c>
      <c r="I3252" s="6">
        <v>38.787399291992202</v>
      </c>
      <c r="J3252" s="6">
        <v>48.752521514892599</v>
      </c>
      <c r="K3252" s="6">
        <v>48.804855346679702</v>
      </c>
      <c r="L3252" s="6">
        <v>35.118152618408203</v>
      </c>
    </row>
    <row r="3253" spans="1:12" x14ac:dyDescent="0.25">
      <c r="A3253">
        <v>3302007</v>
      </c>
      <c r="B3253" t="str">
        <f t="shared" si="50"/>
        <v>ITAGUAI, RJ, Brasil</v>
      </c>
      <c r="C3253" s="4" t="str">
        <f>_xlfn.XLOOKUP(A3253,[1]!DadosGHD[CD_GEOCMU],[1]!DadosGHD[Região])</f>
        <v>SD</v>
      </c>
      <c r="D3253" s="4" t="str">
        <f>_xlfn.XLOOKUP(A3253,[1]!DadosGHD[CD_GEOCMU],[1]!DadosGHD[uf])</f>
        <v>RJ</v>
      </c>
      <c r="E3253" s="5" t="str">
        <f>_xlfn.XLOOKUP(A3253,[1]!DadosGHD[CD_GEOCMU],[1]!DadosGHD[MUNICIPIO])</f>
        <v>ITAGUAI</v>
      </c>
      <c r="F3253" s="6">
        <v>43.612434387207003</v>
      </c>
      <c r="G3253" s="6">
        <v>43.668609619140597</v>
      </c>
      <c r="H3253" s="6">
        <v>38.839004516601598</v>
      </c>
      <c r="I3253" s="6">
        <v>38.801979064941399</v>
      </c>
      <c r="J3253" s="6">
        <v>43.712135314941399</v>
      </c>
      <c r="K3253" s="6">
        <v>38.864875793457003</v>
      </c>
      <c r="L3253" s="6">
        <v>39.602931976318402</v>
      </c>
    </row>
    <row r="3254" spans="1:12" x14ac:dyDescent="0.25">
      <c r="A3254">
        <v>5106174</v>
      </c>
      <c r="B3254" t="str">
        <f t="shared" si="50"/>
        <v>NOVA NAZARE, MT, Brasil</v>
      </c>
      <c r="C3254" s="4" t="str">
        <f>_xlfn.XLOOKUP(A3254,[1]!DadosGHD[CD_GEOCMU],[1]!DadosGHD[Região])</f>
        <v>CO</v>
      </c>
      <c r="D3254" s="4" t="str">
        <f>_xlfn.XLOOKUP(A3254,[1]!DadosGHD[CD_GEOCMU],[1]!DadosGHD[uf])</f>
        <v>MT</v>
      </c>
      <c r="E3254" s="5" t="str">
        <f>_xlfn.XLOOKUP(A3254,[1]!DadosGHD[CD_GEOCMU],[1]!DadosGHD[MUNICIPIO])</f>
        <v>NOVA NAZARE</v>
      </c>
      <c r="F3254" s="6">
        <v>43.612998962402301</v>
      </c>
      <c r="G3254" s="6">
        <v>38.773765563964801</v>
      </c>
      <c r="H3254" s="6">
        <v>38.805229187011697</v>
      </c>
      <c r="I3254" s="6">
        <v>38.765697479248097</v>
      </c>
      <c r="J3254" s="6">
        <v>38.794162750244098</v>
      </c>
      <c r="K3254" s="6">
        <v>38.840072631835902</v>
      </c>
      <c r="L3254" s="6">
        <v>30.711826324462901</v>
      </c>
    </row>
    <row r="3255" spans="1:12" x14ac:dyDescent="0.25">
      <c r="A3255">
        <v>2914802</v>
      </c>
      <c r="B3255" t="str">
        <f t="shared" si="50"/>
        <v>ITABUNA, BA, Brasil</v>
      </c>
      <c r="C3255" s="4" t="str">
        <f>_xlfn.XLOOKUP(A3255,[1]!DadosGHD[CD_GEOCMU],[1]!DadosGHD[Região])</f>
        <v>NE</v>
      </c>
      <c r="D3255" s="4" t="str">
        <f>_xlfn.XLOOKUP(A3255,[1]!DadosGHD[CD_GEOCMU],[1]!DadosGHD[uf])</f>
        <v>BA</v>
      </c>
      <c r="E3255" s="5" t="str">
        <f>_xlfn.XLOOKUP(A3255,[1]!DadosGHD[CD_GEOCMU],[1]!DadosGHD[MUNICIPIO])</f>
        <v>ITABUNA</v>
      </c>
      <c r="F3255" s="6">
        <v>43.613502502441399</v>
      </c>
      <c r="G3255" s="6">
        <v>43.684417724609403</v>
      </c>
      <c r="H3255" s="6">
        <v>43.757808685302699</v>
      </c>
      <c r="I3255" s="6">
        <v>43.750625610351598</v>
      </c>
      <c r="J3255" s="6">
        <v>43.776538848877003</v>
      </c>
      <c r="K3255" s="6">
        <v>43.798831939697301</v>
      </c>
      <c r="L3255" s="6">
        <v>44.045101165771499</v>
      </c>
    </row>
    <row r="3256" spans="1:12" x14ac:dyDescent="0.25">
      <c r="A3256">
        <v>4307450</v>
      </c>
      <c r="B3256" t="str">
        <f t="shared" si="50"/>
        <v>ESPERANCA DO SUL, RS, Brasil</v>
      </c>
      <c r="C3256" s="4" t="str">
        <f>_xlfn.XLOOKUP(A3256,[1]!DadosGHD[CD_GEOCMU],[1]!DadosGHD[Região])</f>
        <v>SL</v>
      </c>
      <c r="D3256" s="4" t="str">
        <f>_xlfn.XLOOKUP(A3256,[1]!DadosGHD[CD_GEOCMU],[1]!DadosGHD[uf])</f>
        <v>RS</v>
      </c>
      <c r="E3256" s="5" t="str">
        <f>_xlfn.XLOOKUP(A3256,[1]!DadosGHD[CD_GEOCMU],[1]!DadosGHD[MUNICIPIO])</f>
        <v>ESPERANCA DO SUL</v>
      </c>
      <c r="F3256" s="6">
        <v>43.613582611083999</v>
      </c>
      <c r="G3256" s="6">
        <v>53.694217681884801</v>
      </c>
      <c r="H3256" s="6">
        <v>53.829341888427699</v>
      </c>
      <c r="I3256" s="6">
        <v>53.860618591308601</v>
      </c>
      <c r="J3256" s="6">
        <v>58.819087982177699</v>
      </c>
      <c r="K3256" s="6">
        <v>48.884357452392599</v>
      </c>
      <c r="L3256" s="6">
        <v>39.605995178222699</v>
      </c>
    </row>
    <row r="3257" spans="1:12" x14ac:dyDescent="0.25">
      <c r="A3257">
        <v>4306767</v>
      </c>
      <c r="B3257" t="str">
        <f t="shared" si="50"/>
        <v>ELDORADO DO SUL, RS, Brasil</v>
      </c>
      <c r="C3257" s="4" t="str">
        <f>_xlfn.XLOOKUP(A3257,[1]!DadosGHD[CD_GEOCMU],[1]!DadosGHD[Região])</f>
        <v>SL</v>
      </c>
      <c r="D3257" s="4" t="str">
        <f>_xlfn.XLOOKUP(A3257,[1]!DadosGHD[CD_GEOCMU],[1]!DadosGHD[uf])</f>
        <v>RS</v>
      </c>
      <c r="E3257" s="5" t="str">
        <f>_xlfn.XLOOKUP(A3257,[1]!DadosGHD[CD_GEOCMU],[1]!DadosGHD[MUNICIPIO])</f>
        <v>ELDORADO DO SUL</v>
      </c>
      <c r="F3257" s="6">
        <v>43.613609313964801</v>
      </c>
      <c r="G3257" s="6">
        <v>43.678794860839801</v>
      </c>
      <c r="H3257" s="6">
        <v>43.719955444335902</v>
      </c>
      <c r="I3257" s="6">
        <v>43.6781616210938</v>
      </c>
      <c r="J3257" s="6">
        <v>43.713344573974602</v>
      </c>
      <c r="K3257" s="6">
        <v>48.795398712158203</v>
      </c>
      <c r="L3257" s="6">
        <v>52.990745544433601</v>
      </c>
    </row>
    <row r="3258" spans="1:12" x14ac:dyDescent="0.25">
      <c r="A3258">
        <v>3304904</v>
      </c>
      <c r="B3258" t="str">
        <f t="shared" si="50"/>
        <v>SAO GONCALO, RJ, Brasil</v>
      </c>
      <c r="C3258" s="4" t="str">
        <f>_xlfn.XLOOKUP(A3258,[1]!DadosGHD[CD_GEOCMU],[1]!DadosGHD[Região])</f>
        <v>SD</v>
      </c>
      <c r="D3258" s="4" t="str">
        <f>_xlfn.XLOOKUP(A3258,[1]!DadosGHD[CD_GEOCMU],[1]!DadosGHD[uf])</f>
        <v>RJ</v>
      </c>
      <c r="E3258" s="5" t="str">
        <f>_xlfn.XLOOKUP(A3258,[1]!DadosGHD[CD_GEOCMU],[1]!DadosGHD[MUNICIPIO])</f>
        <v>SAO GONCALO</v>
      </c>
      <c r="F3258" s="6">
        <v>43.613723754882798</v>
      </c>
      <c r="G3258" s="6">
        <v>43.685455322265597</v>
      </c>
      <c r="H3258" s="6">
        <v>43.719371795654297</v>
      </c>
      <c r="I3258" s="6">
        <v>43.6884765625</v>
      </c>
      <c r="J3258" s="6">
        <v>38.834831237792997</v>
      </c>
      <c r="K3258" s="6">
        <v>38.8516235351563</v>
      </c>
      <c r="L3258" s="6">
        <v>39.559173583984403</v>
      </c>
    </row>
    <row r="3259" spans="1:12" x14ac:dyDescent="0.25">
      <c r="A3259">
        <v>3519253</v>
      </c>
      <c r="B3259" t="str">
        <f t="shared" si="50"/>
        <v>IARAS, SP, Brasil</v>
      </c>
      <c r="C3259" s="4" t="str">
        <f>_xlfn.XLOOKUP(A3259,[1]!DadosGHD[CD_GEOCMU],[1]!DadosGHD[Região])</f>
        <v>SD</v>
      </c>
      <c r="D3259" s="4" t="str">
        <f>_xlfn.XLOOKUP(A3259,[1]!DadosGHD[CD_GEOCMU],[1]!DadosGHD[uf])</f>
        <v>SP</v>
      </c>
      <c r="E3259" s="5" t="str">
        <f>_xlfn.XLOOKUP(A3259,[1]!DadosGHD[CD_GEOCMU],[1]!DadosGHD[MUNICIPIO])</f>
        <v>IARAS</v>
      </c>
      <c r="F3259" s="6">
        <v>43.613819122314503</v>
      </c>
      <c r="G3259" s="6">
        <v>43.642543792724602</v>
      </c>
      <c r="H3259" s="6">
        <v>38.814002990722699</v>
      </c>
      <c r="I3259" s="6">
        <v>38.7723999023438</v>
      </c>
      <c r="J3259" s="6">
        <v>38.7766304016113</v>
      </c>
      <c r="K3259" s="6">
        <v>38.840930938720703</v>
      </c>
      <c r="L3259" s="6">
        <v>35.152694702148402</v>
      </c>
    </row>
    <row r="3260" spans="1:12" x14ac:dyDescent="0.25">
      <c r="A3260">
        <v>4320354</v>
      </c>
      <c r="B3260" t="str">
        <f t="shared" si="50"/>
        <v>SENTINELA DO SUL, RS, Brasil</v>
      </c>
      <c r="C3260" s="4" t="str">
        <f>_xlfn.XLOOKUP(A3260,[1]!DadosGHD[CD_GEOCMU],[1]!DadosGHD[Região])</f>
        <v>SL</v>
      </c>
      <c r="D3260" s="4" t="str">
        <f>_xlfn.XLOOKUP(A3260,[1]!DadosGHD[CD_GEOCMU],[1]!DadosGHD[uf])</f>
        <v>RS</v>
      </c>
      <c r="E3260" s="5" t="str">
        <f>_xlfn.XLOOKUP(A3260,[1]!DadosGHD[CD_GEOCMU],[1]!DadosGHD[MUNICIPIO])</f>
        <v>SENTINELA DO SUL</v>
      </c>
      <c r="F3260" s="6">
        <v>43.6139526367188</v>
      </c>
      <c r="G3260" s="6">
        <v>48.650676727294901</v>
      </c>
      <c r="H3260" s="6">
        <v>48.745628356933601</v>
      </c>
      <c r="I3260" s="6">
        <v>48.711151123046903</v>
      </c>
      <c r="J3260" s="6">
        <v>48.759342193603501</v>
      </c>
      <c r="K3260" s="6">
        <v>48.796863555908203</v>
      </c>
      <c r="L3260" s="6">
        <v>39.578418731689503</v>
      </c>
    </row>
    <row r="3261" spans="1:12" x14ac:dyDescent="0.25">
      <c r="A3261">
        <v>3304607</v>
      </c>
      <c r="B3261" t="str">
        <f t="shared" si="50"/>
        <v>SANTA MARIA MADALENA, RJ, Brasil</v>
      </c>
      <c r="C3261" s="4" t="str">
        <f>_xlfn.XLOOKUP(A3261,[1]!DadosGHD[CD_GEOCMU],[1]!DadosGHD[Região])</f>
        <v>SD</v>
      </c>
      <c r="D3261" s="4" t="str">
        <f>_xlfn.XLOOKUP(A3261,[1]!DadosGHD[CD_GEOCMU],[1]!DadosGHD[uf])</f>
        <v>RJ</v>
      </c>
      <c r="E3261" s="5" t="str">
        <f>_xlfn.XLOOKUP(A3261,[1]!DadosGHD[CD_GEOCMU],[1]!DadosGHD[MUNICIPIO])</f>
        <v>SANTA MARIA MADALENA</v>
      </c>
      <c r="F3261" s="6">
        <v>43.614131927490199</v>
      </c>
      <c r="G3261" s="6">
        <v>43.647544860839801</v>
      </c>
      <c r="H3261" s="6">
        <v>43.734836578369098</v>
      </c>
      <c r="I3261" s="6">
        <v>43.713687896728501</v>
      </c>
      <c r="J3261" s="6">
        <v>43.804897308349602</v>
      </c>
      <c r="K3261" s="6">
        <v>43.848621368408203</v>
      </c>
      <c r="L3261" s="6">
        <v>35.138362884521499</v>
      </c>
    </row>
    <row r="3262" spans="1:12" x14ac:dyDescent="0.25">
      <c r="A3262">
        <v>4306502</v>
      </c>
      <c r="B3262" t="str">
        <f t="shared" si="50"/>
        <v>DOM FELICIANO, RS, Brasil</v>
      </c>
      <c r="C3262" s="4" t="str">
        <f>_xlfn.XLOOKUP(A3262,[1]!DadosGHD[CD_GEOCMU],[1]!DadosGHD[Região])</f>
        <v>SL</v>
      </c>
      <c r="D3262" s="4" t="str">
        <f>_xlfn.XLOOKUP(A3262,[1]!DadosGHD[CD_GEOCMU],[1]!DadosGHD[uf])</f>
        <v>RS</v>
      </c>
      <c r="E3262" s="5" t="str">
        <f>_xlfn.XLOOKUP(A3262,[1]!DadosGHD[CD_GEOCMU],[1]!DadosGHD[MUNICIPIO])</f>
        <v>DOM FELICIANO</v>
      </c>
      <c r="F3262" s="6">
        <v>43.614166259765597</v>
      </c>
      <c r="G3262" s="6">
        <v>48.6966552734375</v>
      </c>
      <c r="H3262" s="6">
        <v>48.751720428466797</v>
      </c>
      <c r="I3262" s="6">
        <v>43.804298400878899</v>
      </c>
      <c r="J3262" s="6">
        <v>43.796360015869098</v>
      </c>
      <c r="K3262" s="6">
        <v>43.831432342529297</v>
      </c>
      <c r="L3262" s="6">
        <v>39.562023162841797</v>
      </c>
    </row>
    <row r="3263" spans="1:12" x14ac:dyDescent="0.25">
      <c r="A3263">
        <v>5200902</v>
      </c>
      <c r="B3263" t="str">
        <f t="shared" si="50"/>
        <v>AMORINOPOLIS, GO, Brasil</v>
      </c>
      <c r="C3263" s="4" t="str">
        <f>_xlfn.XLOOKUP(A3263,[1]!DadosGHD[CD_GEOCMU],[1]!DadosGHD[Região])</f>
        <v>CO</v>
      </c>
      <c r="D3263" s="4" t="str">
        <f>_xlfn.XLOOKUP(A3263,[1]!DadosGHD[CD_GEOCMU],[1]!DadosGHD[uf])</f>
        <v>GO</v>
      </c>
      <c r="E3263" s="5" t="str">
        <f>_xlfn.XLOOKUP(A3263,[1]!DadosGHD[CD_GEOCMU],[1]!DadosGHD[MUNICIPIO])</f>
        <v>AMORINOPOLIS</v>
      </c>
      <c r="F3263" s="6">
        <v>43.614227294921903</v>
      </c>
      <c r="G3263" s="6">
        <v>38.777946472167997</v>
      </c>
      <c r="H3263" s="6">
        <v>38.833198547363303</v>
      </c>
      <c r="I3263" s="6">
        <v>38.810577392578097</v>
      </c>
      <c r="J3263" s="6">
        <v>38.830680847167997</v>
      </c>
      <c r="K3263" s="6">
        <v>43.778732299804702</v>
      </c>
      <c r="L3263" s="6">
        <v>35.125164031982401</v>
      </c>
    </row>
    <row r="3264" spans="1:12" x14ac:dyDescent="0.25">
      <c r="A3264">
        <v>1100262</v>
      </c>
      <c r="B3264" t="str">
        <f t="shared" si="50"/>
        <v>RIO CRESPO, RO, Brasil</v>
      </c>
      <c r="C3264" s="4" t="str">
        <f>_xlfn.XLOOKUP(A3264,[1]!DadosGHD[CD_GEOCMU],[1]!DadosGHD[Região])</f>
        <v>NO</v>
      </c>
      <c r="D3264" s="4" t="str">
        <f>_xlfn.XLOOKUP(A3264,[1]!DadosGHD[CD_GEOCMU],[1]!DadosGHD[uf])</f>
        <v>RO</v>
      </c>
      <c r="E3264" s="5" t="str">
        <f>_xlfn.XLOOKUP(A3264,[1]!DadosGHD[CD_GEOCMU],[1]!DadosGHD[MUNICIPIO])</f>
        <v>RIO CRESPO</v>
      </c>
      <c r="F3264" s="6">
        <v>43.614269256591797</v>
      </c>
      <c r="G3264" s="6">
        <v>48.676116943359403</v>
      </c>
      <c r="H3264" s="6">
        <v>48.730495452880902</v>
      </c>
      <c r="I3264" s="6">
        <v>48.684371948242202</v>
      </c>
      <c r="J3264" s="6">
        <v>48.735939025878899</v>
      </c>
      <c r="K3264" s="6">
        <v>48.805538177490199</v>
      </c>
      <c r="L3264" s="6">
        <v>39.596340179443402</v>
      </c>
    </row>
    <row r="3265" spans="1:12" x14ac:dyDescent="0.25">
      <c r="A3265">
        <v>3554409</v>
      </c>
      <c r="B3265" t="str">
        <f t="shared" si="50"/>
        <v>TERRA ROXA, SP, Brasil</v>
      </c>
      <c r="C3265" s="4" t="str">
        <f>_xlfn.XLOOKUP(A3265,[1]!DadosGHD[CD_GEOCMU],[1]!DadosGHD[Região])</f>
        <v>SD</v>
      </c>
      <c r="D3265" s="4" t="str">
        <f>_xlfn.XLOOKUP(A3265,[1]!DadosGHD[CD_GEOCMU],[1]!DadosGHD[uf])</f>
        <v>SP</v>
      </c>
      <c r="E3265" s="5" t="str">
        <f>_xlfn.XLOOKUP(A3265,[1]!DadosGHD[CD_GEOCMU],[1]!DadosGHD[MUNICIPIO])</f>
        <v>TERRA ROXA</v>
      </c>
      <c r="F3265" s="6">
        <v>43.614284515380902</v>
      </c>
      <c r="G3265" s="6">
        <v>43.729835510253899</v>
      </c>
      <c r="H3265" s="6">
        <v>43.764087677002003</v>
      </c>
      <c r="I3265" s="6">
        <v>43.715065002441399</v>
      </c>
      <c r="J3265" s="6">
        <v>43.719924926757798</v>
      </c>
      <c r="K3265" s="6">
        <v>38.887336730957003</v>
      </c>
      <c r="L3265" s="6">
        <v>39.598175048828097</v>
      </c>
    </row>
    <row r="3266" spans="1:12" x14ac:dyDescent="0.25">
      <c r="A3266">
        <v>4117214</v>
      </c>
      <c r="B3266" t="str">
        <f t="shared" si="50"/>
        <v>NOVA SANTA BARBARA, PR, Brasil</v>
      </c>
      <c r="C3266" s="4" t="str">
        <f>_xlfn.XLOOKUP(A3266,[1]!DadosGHD[CD_GEOCMU],[1]!DadosGHD[Região])</f>
        <v>SL</v>
      </c>
      <c r="D3266" s="4" t="str">
        <f>_xlfn.XLOOKUP(A3266,[1]!DadosGHD[CD_GEOCMU],[1]!DadosGHD[uf])</f>
        <v>PR</v>
      </c>
      <c r="E3266" s="5" t="str">
        <f>_xlfn.XLOOKUP(A3266,[1]!DadosGHD[CD_GEOCMU],[1]!DadosGHD[MUNICIPIO])</f>
        <v>NOVA SANTA BARBARA</v>
      </c>
      <c r="F3266" s="6">
        <v>43.614467620849602</v>
      </c>
      <c r="G3266" s="6">
        <v>53.7282905578613</v>
      </c>
      <c r="H3266" s="6">
        <v>53.7725639343262</v>
      </c>
      <c r="I3266" s="6">
        <v>53.7193412780762</v>
      </c>
      <c r="J3266" s="6">
        <v>53.730499267578097</v>
      </c>
      <c r="K3266" s="6">
        <v>43.796073913574197</v>
      </c>
      <c r="L3266" s="6">
        <v>35.126659393310597</v>
      </c>
    </row>
    <row r="3267" spans="1:12" x14ac:dyDescent="0.25">
      <c r="A3267">
        <v>1707108</v>
      </c>
      <c r="B3267" t="str">
        <f t="shared" si="50"/>
        <v>DIVINOPOLIS DO TOCANTINS, TO, Brasil</v>
      </c>
      <c r="C3267" s="4" t="str">
        <f>_xlfn.XLOOKUP(A3267,[1]!DadosGHD[CD_GEOCMU],[1]!DadosGHD[Região])</f>
        <v>NO</v>
      </c>
      <c r="D3267" s="4" t="str">
        <f>_xlfn.XLOOKUP(A3267,[1]!DadosGHD[CD_GEOCMU],[1]!DadosGHD[uf])</f>
        <v>TO</v>
      </c>
      <c r="E3267" s="5" t="str">
        <f>_xlfn.XLOOKUP(A3267,[1]!DadosGHD[CD_GEOCMU],[1]!DadosGHD[MUNICIPIO])</f>
        <v>DIVINOPOLIS DO TOCANTINS</v>
      </c>
      <c r="F3267" s="6">
        <v>43.614540100097699</v>
      </c>
      <c r="G3267" s="6">
        <v>43.638587951660199</v>
      </c>
      <c r="H3267" s="6">
        <v>38.813804626464801</v>
      </c>
      <c r="I3267" s="6">
        <v>38.821735382080099</v>
      </c>
      <c r="J3267" s="6">
        <v>38.827064514160199</v>
      </c>
      <c r="K3267" s="6">
        <v>38.791893005371101</v>
      </c>
      <c r="L3267" s="6">
        <v>30.688919067382798</v>
      </c>
    </row>
    <row r="3268" spans="1:12" x14ac:dyDescent="0.25">
      <c r="A3268">
        <v>4214706</v>
      </c>
      <c r="B3268" t="str">
        <f t="shared" ref="B3268:B3331" si="51">_xlfn.CONCAT(E3268, ", ", D3268, ", Brasil")</f>
        <v>RIO DOS CEDROS, SC, Brasil</v>
      </c>
      <c r="C3268" s="4" t="str">
        <f>_xlfn.XLOOKUP(A3268,[1]!DadosGHD[CD_GEOCMU],[1]!DadosGHD[Região])</f>
        <v>SL</v>
      </c>
      <c r="D3268" s="4" t="str">
        <f>_xlfn.XLOOKUP(A3268,[1]!DadosGHD[CD_GEOCMU],[1]!DadosGHD[uf])</f>
        <v>SC</v>
      </c>
      <c r="E3268" s="5" t="str">
        <f>_xlfn.XLOOKUP(A3268,[1]!DadosGHD[CD_GEOCMU],[1]!DadosGHD[MUNICIPIO])</f>
        <v>RIO DOS CEDROS</v>
      </c>
      <c r="F3268" s="6">
        <v>43.614742279052699</v>
      </c>
      <c r="G3268" s="6">
        <v>43.702823638916001</v>
      </c>
      <c r="H3268" s="6">
        <v>43.833045959472699</v>
      </c>
      <c r="I3268" s="6">
        <v>43.792938232421903</v>
      </c>
      <c r="J3268" s="6">
        <v>48.771541595458999</v>
      </c>
      <c r="K3268" s="6">
        <v>53.834922790527301</v>
      </c>
      <c r="L3268" s="6">
        <v>57.573741912841797</v>
      </c>
    </row>
    <row r="3269" spans="1:12" x14ac:dyDescent="0.25">
      <c r="A3269">
        <v>4302402</v>
      </c>
      <c r="B3269" t="str">
        <f t="shared" si="51"/>
        <v>BOM RETIRO DO SUL, RS, Brasil</v>
      </c>
      <c r="C3269" s="4" t="str">
        <f>_xlfn.XLOOKUP(A3269,[1]!DadosGHD[CD_GEOCMU],[1]!DadosGHD[Região])</f>
        <v>SL</v>
      </c>
      <c r="D3269" s="4" t="str">
        <f>_xlfn.XLOOKUP(A3269,[1]!DadosGHD[CD_GEOCMU],[1]!DadosGHD[uf])</f>
        <v>RS</v>
      </c>
      <c r="E3269" s="5" t="str">
        <f>_xlfn.XLOOKUP(A3269,[1]!DadosGHD[CD_GEOCMU],[1]!DadosGHD[MUNICIPIO])</f>
        <v>BOM RETIRO DO SUL</v>
      </c>
      <c r="F3269" s="6">
        <v>43.614788055419901</v>
      </c>
      <c r="G3269" s="6">
        <v>48.629299163818402</v>
      </c>
      <c r="H3269" s="6">
        <v>48.742252349853501</v>
      </c>
      <c r="I3269" s="6">
        <v>43.728679656982401</v>
      </c>
      <c r="J3269" s="6">
        <v>43.7319145202637</v>
      </c>
      <c r="K3269" s="6">
        <v>48.834526062011697</v>
      </c>
      <c r="L3269" s="6">
        <v>53.0302543640137</v>
      </c>
    </row>
    <row r="3270" spans="1:12" x14ac:dyDescent="0.25">
      <c r="A3270">
        <v>2409332</v>
      </c>
      <c r="B3270" t="str">
        <f t="shared" si="51"/>
        <v>SANTA MARIA, RN, Brasil</v>
      </c>
      <c r="C3270" s="4" t="str">
        <f>_xlfn.XLOOKUP(A3270,[1]!DadosGHD[CD_GEOCMU],[1]!DadosGHD[Região])</f>
        <v>NE</v>
      </c>
      <c r="D3270" s="4" t="str">
        <f>_xlfn.XLOOKUP(A3270,[1]!DadosGHD[CD_GEOCMU],[1]!DadosGHD[uf])</f>
        <v>RN</v>
      </c>
      <c r="E3270" s="5" t="str">
        <f>_xlfn.XLOOKUP(A3270,[1]!DadosGHD[CD_GEOCMU],[1]!DadosGHD[MUNICIPIO])</f>
        <v>SANTA MARIA</v>
      </c>
      <c r="F3270" s="6">
        <v>43.6150512695313</v>
      </c>
      <c r="G3270" s="6">
        <v>43.641510009765597</v>
      </c>
      <c r="H3270" s="6">
        <v>43.805667877197301</v>
      </c>
      <c r="I3270" s="6">
        <v>38.727794647216797</v>
      </c>
      <c r="J3270" s="6">
        <v>33.887683868408203</v>
      </c>
      <c r="K3270" s="6">
        <v>33.9161567687988</v>
      </c>
      <c r="L3270" s="6">
        <v>30.702800750732401</v>
      </c>
    </row>
    <row r="3271" spans="1:12" x14ac:dyDescent="0.25">
      <c r="A3271">
        <v>2801504</v>
      </c>
      <c r="B3271" t="str">
        <f t="shared" si="51"/>
        <v>CARMOPOLIS, SE, Brasil</v>
      </c>
      <c r="C3271" s="4" t="str">
        <f>_xlfn.XLOOKUP(A3271,[1]!DadosGHD[CD_GEOCMU],[1]!DadosGHD[Região])</f>
        <v>NE</v>
      </c>
      <c r="D3271" s="4" t="str">
        <f>_xlfn.XLOOKUP(A3271,[1]!DadosGHD[CD_GEOCMU],[1]!DadosGHD[uf])</f>
        <v>SE</v>
      </c>
      <c r="E3271" s="5" t="str">
        <f>_xlfn.XLOOKUP(A3271,[1]!DadosGHD[CD_GEOCMU],[1]!DadosGHD[MUNICIPIO])</f>
        <v>CARMOPOLIS</v>
      </c>
      <c r="F3271" s="6">
        <v>43.615203857421903</v>
      </c>
      <c r="G3271" s="6">
        <v>43.647243499755902</v>
      </c>
      <c r="H3271" s="6">
        <v>38.838996887207003</v>
      </c>
      <c r="I3271" s="6">
        <v>38.755153656005902</v>
      </c>
      <c r="J3271" s="6">
        <v>38.7655639648438</v>
      </c>
      <c r="K3271" s="6">
        <v>38.8043823242188</v>
      </c>
      <c r="L3271" s="6">
        <v>35.129631042480497</v>
      </c>
    </row>
    <row r="3272" spans="1:12" x14ac:dyDescent="0.25">
      <c r="A3272">
        <v>3154200</v>
      </c>
      <c r="B3272" t="str">
        <f t="shared" si="51"/>
        <v>RESENDE COSTA, MG, Brasil</v>
      </c>
      <c r="C3272" s="4" t="str">
        <f>_xlfn.XLOOKUP(A3272,[1]!DadosGHD[CD_GEOCMU],[1]!DadosGHD[Região])</f>
        <v>SD</v>
      </c>
      <c r="D3272" s="4" t="str">
        <f>_xlfn.XLOOKUP(A3272,[1]!DadosGHD[CD_GEOCMU],[1]!DadosGHD[uf])</f>
        <v>MG</v>
      </c>
      <c r="E3272" s="5" t="str">
        <f>_xlfn.XLOOKUP(A3272,[1]!DadosGHD[CD_GEOCMU],[1]!DadosGHD[MUNICIPIO])</f>
        <v>RESENDE COSTA</v>
      </c>
      <c r="F3272" s="6">
        <v>43.615222930908203</v>
      </c>
      <c r="G3272" s="6">
        <v>43.665412902832003</v>
      </c>
      <c r="H3272" s="6">
        <v>48.763572692871101</v>
      </c>
      <c r="I3272" s="6">
        <v>48.770729064941399</v>
      </c>
      <c r="J3272" s="6">
        <v>53.727260589599602</v>
      </c>
      <c r="K3272" s="6">
        <v>48.907588958740199</v>
      </c>
      <c r="L3272" s="6">
        <v>48.539169311523402</v>
      </c>
    </row>
    <row r="3273" spans="1:12" x14ac:dyDescent="0.25">
      <c r="A3273">
        <v>3303005</v>
      </c>
      <c r="B3273" t="str">
        <f t="shared" si="51"/>
        <v>MIRACEMA, RJ, Brasil</v>
      </c>
      <c r="C3273" s="4" t="str">
        <f>_xlfn.XLOOKUP(A3273,[1]!DadosGHD[CD_GEOCMU],[1]!DadosGHD[Região])</f>
        <v>SD</v>
      </c>
      <c r="D3273" s="4" t="str">
        <f>_xlfn.XLOOKUP(A3273,[1]!DadosGHD[CD_GEOCMU],[1]!DadosGHD[uf])</f>
        <v>RJ</v>
      </c>
      <c r="E3273" s="5" t="str">
        <f>_xlfn.XLOOKUP(A3273,[1]!DadosGHD[CD_GEOCMU],[1]!DadosGHD[MUNICIPIO])</f>
        <v>MIRACEMA</v>
      </c>
      <c r="F3273" s="6">
        <v>43.615303039550803</v>
      </c>
      <c r="G3273" s="6">
        <v>43.719215393066399</v>
      </c>
      <c r="H3273" s="6">
        <v>43.827945709228501</v>
      </c>
      <c r="I3273" s="6">
        <v>48.725532531738303</v>
      </c>
      <c r="J3273" s="6">
        <v>48.824234008789098</v>
      </c>
      <c r="K3273" s="6">
        <v>43.8577690124512</v>
      </c>
      <c r="L3273" s="6">
        <v>48.515460968017599</v>
      </c>
    </row>
    <row r="3274" spans="1:12" x14ac:dyDescent="0.25">
      <c r="A3274">
        <v>2102804</v>
      </c>
      <c r="B3274" t="str">
        <f t="shared" si="51"/>
        <v>CAROLINA, MA, Brasil</v>
      </c>
      <c r="C3274" s="4" t="str">
        <f>_xlfn.XLOOKUP(A3274,[1]!DadosGHD[CD_GEOCMU],[1]!DadosGHD[Região])</f>
        <v>NE</v>
      </c>
      <c r="D3274" s="4" t="str">
        <f>_xlfn.XLOOKUP(A3274,[1]!DadosGHD[CD_GEOCMU],[1]!DadosGHD[uf])</f>
        <v>MA</v>
      </c>
      <c r="E3274" s="5" t="str">
        <f>_xlfn.XLOOKUP(A3274,[1]!DadosGHD[CD_GEOCMU],[1]!DadosGHD[MUNICIPIO])</f>
        <v>CAROLINA</v>
      </c>
      <c r="F3274" s="6">
        <v>43.615348815917997</v>
      </c>
      <c r="G3274" s="6">
        <v>43.747894287109403</v>
      </c>
      <c r="H3274" s="6">
        <v>43.739330291748097</v>
      </c>
      <c r="I3274" s="6">
        <v>38.797534942627003</v>
      </c>
      <c r="J3274" s="6">
        <v>38.788482666015597</v>
      </c>
      <c r="K3274" s="6">
        <v>38.837047576904297</v>
      </c>
      <c r="L3274" s="6">
        <v>35.145942687988303</v>
      </c>
    </row>
    <row r="3275" spans="1:12" x14ac:dyDescent="0.25">
      <c r="A3275">
        <v>3205036</v>
      </c>
      <c r="B3275" t="str">
        <f t="shared" si="51"/>
        <v>VARGEM ALTA, ES, Brasil</v>
      </c>
      <c r="C3275" s="4" t="str">
        <f>_xlfn.XLOOKUP(A3275,[1]!DadosGHD[CD_GEOCMU],[1]!DadosGHD[Região])</f>
        <v>SD</v>
      </c>
      <c r="D3275" s="4" t="str">
        <f>_xlfn.XLOOKUP(A3275,[1]!DadosGHD[CD_GEOCMU],[1]!DadosGHD[uf])</f>
        <v>ES</v>
      </c>
      <c r="E3275" s="5" t="str">
        <f>_xlfn.XLOOKUP(A3275,[1]!DadosGHD[CD_GEOCMU],[1]!DadosGHD[MUNICIPIO])</f>
        <v>VARGEM ALTA</v>
      </c>
      <c r="F3275" s="6">
        <v>43.615367889404297</v>
      </c>
      <c r="G3275" s="6">
        <v>43.712112426757798</v>
      </c>
      <c r="H3275" s="6">
        <v>43.798313140869098</v>
      </c>
      <c r="I3275" s="6">
        <v>43.802165985107401</v>
      </c>
      <c r="J3275" s="6">
        <v>48.744632720947301</v>
      </c>
      <c r="K3275" s="6">
        <v>48.815196990966797</v>
      </c>
      <c r="L3275" s="6">
        <v>44.060890197753899</v>
      </c>
    </row>
    <row r="3276" spans="1:12" x14ac:dyDescent="0.25">
      <c r="A3276">
        <v>4216305</v>
      </c>
      <c r="B3276" t="str">
        <f t="shared" si="51"/>
        <v>SAO JOAO BATISTA, SC, Brasil</v>
      </c>
      <c r="C3276" s="4" t="str">
        <f>_xlfn.XLOOKUP(A3276,[1]!DadosGHD[CD_GEOCMU],[1]!DadosGHD[Região])</f>
        <v>SL</v>
      </c>
      <c r="D3276" s="4" t="str">
        <f>_xlfn.XLOOKUP(A3276,[1]!DadosGHD[CD_GEOCMU],[1]!DadosGHD[uf])</f>
        <v>SC</v>
      </c>
      <c r="E3276" s="5" t="str">
        <f>_xlfn.XLOOKUP(A3276,[1]!DadosGHD[CD_GEOCMU],[1]!DadosGHD[MUNICIPIO])</f>
        <v>SAO JOAO BATISTA</v>
      </c>
      <c r="F3276" s="6">
        <v>43.615489959716797</v>
      </c>
      <c r="G3276" s="6">
        <v>43.737136840820298</v>
      </c>
      <c r="H3276" s="6">
        <v>43.800918579101598</v>
      </c>
      <c r="I3276" s="6">
        <v>48.705997467041001</v>
      </c>
      <c r="J3276" s="6">
        <v>48.760219573974602</v>
      </c>
      <c r="K3276" s="6">
        <v>48.828361511230497</v>
      </c>
      <c r="L3276" s="6">
        <v>53.025711059570298</v>
      </c>
    </row>
    <row r="3277" spans="1:12" x14ac:dyDescent="0.25">
      <c r="A3277">
        <v>4205803</v>
      </c>
      <c r="B3277" t="str">
        <f t="shared" si="51"/>
        <v>GARUVA, SC, Brasil</v>
      </c>
      <c r="C3277" s="4" t="str">
        <f>_xlfn.XLOOKUP(A3277,[1]!DadosGHD[CD_GEOCMU],[1]!DadosGHD[Região])</f>
        <v>SL</v>
      </c>
      <c r="D3277" s="4" t="str">
        <f>_xlfn.XLOOKUP(A3277,[1]!DadosGHD[CD_GEOCMU],[1]!DadosGHD[uf])</f>
        <v>SC</v>
      </c>
      <c r="E3277" s="5" t="str">
        <f>_xlfn.XLOOKUP(A3277,[1]!DadosGHD[CD_GEOCMU],[1]!DadosGHD[MUNICIPIO])</f>
        <v>GARUVA</v>
      </c>
      <c r="F3277" s="6">
        <v>43.615501403808601</v>
      </c>
      <c r="G3277" s="6">
        <v>48.708724975585902</v>
      </c>
      <c r="H3277" s="6">
        <v>43.812801361083999</v>
      </c>
      <c r="I3277" s="6">
        <v>43.800819396972699</v>
      </c>
      <c r="J3277" s="6">
        <v>48.740177154541001</v>
      </c>
      <c r="K3277" s="6">
        <v>43.858299255371101</v>
      </c>
      <c r="L3277" s="6">
        <v>44.055881500244098</v>
      </c>
    </row>
    <row r="3278" spans="1:12" x14ac:dyDescent="0.25">
      <c r="A3278">
        <v>5204607</v>
      </c>
      <c r="B3278" t="str">
        <f t="shared" si="51"/>
        <v>CAMPESTRE DE GOIAS, GO, Brasil</v>
      </c>
      <c r="C3278" s="4" t="str">
        <f>_xlfn.XLOOKUP(A3278,[1]!DadosGHD[CD_GEOCMU],[1]!DadosGHD[Região])</f>
        <v>CO</v>
      </c>
      <c r="D3278" s="4" t="str">
        <f>_xlfn.XLOOKUP(A3278,[1]!DadosGHD[CD_GEOCMU],[1]!DadosGHD[uf])</f>
        <v>GO</v>
      </c>
      <c r="E3278" s="5" t="str">
        <f>_xlfn.XLOOKUP(A3278,[1]!DadosGHD[CD_GEOCMU],[1]!DadosGHD[MUNICIPIO])</f>
        <v>CAMPESTRE DE GOIAS</v>
      </c>
      <c r="F3278" s="6">
        <v>43.6159477233887</v>
      </c>
      <c r="G3278" s="6">
        <v>38.777137756347699</v>
      </c>
      <c r="H3278" s="6">
        <v>38.807960510253899</v>
      </c>
      <c r="I3278" s="6">
        <v>38.772148132324197</v>
      </c>
      <c r="J3278" s="6">
        <v>38.788063049316399</v>
      </c>
      <c r="K3278" s="6">
        <v>38.817844390869098</v>
      </c>
      <c r="L3278" s="6">
        <v>35.1481742858887</v>
      </c>
    </row>
    <row r="3279" spans="1:12" x14ac:dyDescent="0.25">
      <c r="A3279">
        <v>3543204</v>
      </c>
      <c r="B3279" t="str">
        <f t="shared" si="51"/>
        <v>RIBEIRAO DO SUL, SP, Brasil</v>
      </c>
      <c r="C3279" s="4" t="str">
        <f>_xlfn.XLOOKUP(A3279,[1]!DadosGHD[CD_GEOCMU],[1]!DadosGHD[Região])</f>
        <v>SD</v>
      </c>
      <c r="D3279" s="4" t="str">
        <f>_xlfn.XLOOKUP(A3279,[1]!DadosGHD[CD_GEOCMU],[1]!DadosGHD[uf])</f>
        <v>SP</v>
      </c>
      <c r="E3279" s="5" t="str">
        <f>_xlfn.XLOOKUP(A3279,[1]!DadosGHD[CD_GEOCMU],[1]!DadosGHD[MUNICIPIO])</f>
        <v>RIBEIRAO DO SUL</v>
      </c>
      <c r="F3279" s="6">
        <v>43.616077423095703</v>
      </c>
      <c r="G3279" s="6">
        <v>48.706367492675803</v>
      </c>
      <c r="H3279" s="6">
        <v>48.842609405517599</v>
      </c>
      <c r="I3279" s="6">
        <v>48.824169158935597</v>
      </c>
      <c r="J3279" s="6">
        <v>53.8202095031738</v>
      </c>
      <c r="K3279" s="6">
        <v>53.893852233886697</v>
      </c>
      <c r="L3279" s="6">
        <v>48.529850006103501</v>
      </c>
    </row>
    <row r="3280" spans="1:12" x14ac:dyDescent="0.25">
      <c r="A3280">
        <v>5206800</v>
      </c>
      <c r="B3280" t="str">
        <f t="shared" si="51"/>
        <v>DAMOLANDIA, GO, Brasil</v>
      </c>
      <c r="C3280" s="4" t="str">
        <f>_xlfn.XLOOKUP(A3280,[1]!DadosGHD[CD_GEOCMU],[1]!DadosGHD[Região])</f>
        <v>CO</v>
      </c>
      <c r="D3280" s="4" t="str">
        <f>_xlfn.XLOOKUP(A3280,[1]!DadosGHD[CD_GEOCMU],[1]!DadosGHD[uf])</f>
        <v>GO</v>
      </c>
      <c r="E3280" s="5" t="str">
        <f>_xlfn.XLOOKUP(A3280,[1]!DadosGHD[CD_GEOCMU],[1]!DadosGHD[MUNICIPIO])</f>
        <v>DAMOLANDIA</v>
      </c>
      <c r="F3280" s="6">
        <v>43.616306304931598</v>
      </c>
      <c r="G3280" s="6">
        <v>43.756622314453097</v>
      </c>
      <c r="H3280" s="6">
        <v>33.863876342773402</v>
      </c>
      <c r="I3280" s="6">
        <v>33.799671173095703</v>
      </c>
      <c r="J3280" s="6">
        <v>28.965208053588899</v>
      </c>
      <c r="K3280" s="6">
        <v>28.979118347168001</v>
      </c>
      <c r="L3280" s="6">
        <v>30.696464538574201</v>
      </c>
    </row>
    <row r="3281" spans="1:12" x14ac:dyDescent="0.25">
      <c r="A3281">
        <v>3526209</v>
      </c>
      <c r="B3281" t="str">
        <f t="shared" si="51"/>
        <v>JUQUITIBA, SP, Brasil</v>
      </c>
      <c r="C3281" s="4" t="str">
        <f>_xlfn.XLOOKUP(A3281,[1]!DadosGHD[CD_GEOCMU],[1]!DadosGHD[Região])</f>
        <v>SD</v>
      </c>
      <c r="D3281" s="4" t="str">
        <f>_xlfn.XLOOKUP(A3281,[1]!DadosGHD[CD_GEOCMU],[1]!DadosGHD[uf])</f>
        <v>SP</v>
      </c>
      <c r="E3281" s="5" t="str">
        <f>_xlfn.XLOOKUP(A3281,[1]!DadosGHD[CD_GEOCMU],[1]!DadosGHD[MUNICIPIO])</f>
        <v>JUQUITIBA</v>
      </c>
      <c r="F3281" s="6">
        <v>43.616382598877003</v>
      </c>
      <c r="G3281" s="6">
        <v>43.699920654296903</v>
      </c>
      <c r="H3281" s="6">
        <v>43.736625671386697</v>
      </c>
      <c r="I3281" s="6">
        <v>43.713542938232401</v>
      </c>
      <c r="J3281" s="6">
        <v>38.8378715515137</v>
      </c>
      <c r="K3281" s="6">
        <v>38.863716125488303</v>
      </c>
      <c r="L3281" s="6">
        <v>48.519218444824197</v>
      </c>
    </row>
    <row r="3282" spans="1:12" x14ac:dyDescent="0.25">
      <c r="A3282">
        <v>3135308</v>
      </c>
      <c r="B3282" t="str">
        <f t="shared" si="51"/>
        <v>JAPARAIBA, MG, Brasil</v>
      </c>
      <c r="C3282" s="4" t="str">
        <f>_xlfn.XLOOKUP(A3282,[1]!DadosGHD[CD_GEOCMU],[1]!DadosGHD[Região])</f>
        <v>SD</v>
      </c>
      <c r="D3282" s="4" t="str">
        <f>_xlfn.XLOOKUP(A3282,[1]!DadosGHD[CD_GEOCMU],[1]!DadosGHD[uf])</f>
        <v>MG</v>
      </c>
      <c r="E3282" s="5" t="str">
        <f>_xlfn.XLOOKUP(A3282,[1]!DadosGHD[CD_GEOCMU],[1]!DadosGHD[MUNICIPIO])</f>
        <v>JAPARAIBA</v>
      </c>
      <c r="F3282" s="6">
        <v>43.616600036621101</v>
      </c>
      <c r="G3282" s="6">
        <v>43.699260711669901</v>
      </c>
      <c r="H3282" s="6">
        <v>43.7444038391113</v>
      </c>
      <c r="I3282" s="6">
        <v>43.719966888427699</v>
      </c>
      <c r="J3282" s="6">
        <v>43.728176116943402</v>
      </c>
      <c r="K3282" s="6">
        <v>38.883853912353501</v>
      </c>
      <c r="L3282" s="6">
        <v>35.153312683105497</v>
      </c>
    </row>
    <row r="3283" spans="1:12" x14ac:dyDescent="0.25">
      <c r="A3283">
        <v>3136108</v>
      </c>
      <c r="B3283" t="str">
        <f t="shared" si="51"/>
        <v>JOANESIA, MG, Brasil</v>
      </c>
      <c r="C3283" s="4" t="str">
        <f>_xlfn.XLOOKUP(A3283,[1]!DadosGHD[CD_GEOCMU],[1]!DadosGHD[Região])</f>
        <v>SD</v>
      </c>
      <c r="D3283" s="4" t="str">
        <f>_xlfn.XLOOKUP(A3283,[1]!DadosGHD[CD_GEOCMU],[1]!DadosGHD[uf])</f>
        <v>MG</v>
      </c>
      <c r="E3283" s="5" t="str">
        <f>_xlfn.XLOOKUP(A3283,[1]!DadosGHD[CD_GEOCMU],[1]!DadosGHD[MUNICIPIO])</f>
        <v>JOANESIA</v>
      </c>
      <c r="F3283" s="6">
        <v>43.616641998291001</v>
      </c>
      <c r="G3283" s="6">
        <v>38.755287170410199</v>
      </c>
      <c r="H3283" s="6">
        <v>33.840255737304702</v>
      </c>
      <c r="I3283" s="6">
        <v>33.816017150878899</v>
      </c>
      <c r="J3283" s="6">
        <v>33.836921691894503</v>
      </c>
      <c r="K3283" s="6">
        <v>33.920173645019503</v>
      </c>
      <c r="L3283" s="6">
        <v>30.707593917846701</v>
      </c>
    </row>
    <row r="3284" spans="1:12" x14ac:dyDescent="0.25">
      <c r="A3284">
        <v>1100924</v>
      </c>
      <c r="B3284" t="str">
        <f t="shared" si="51"/>
        <v>CHUPINGUAIA, RO, Brasil</v>
      </c>
      <c r="C3284" s="4" t="str">
        <f>_xlfn.XLOOKUP(A3284,[1]!DadosGHD[CD_GEOCMU],[1]!DadosGHD[Região])</f>
        <v>NO</v>
      </c>
      <c r="D3284" s="4" t="str">
        <f>_xlfn.XLOOKUP(A3284,[1]!DadosGHD[CD_GEOCMU],[1]!DadosGHD[uf])</f>
        <v>RO</v>
      </c>
      <c r="E3284" s="5" t="str">
        <f>_xlfn.XLOOKUP(A3284,[1]!DadosGHD[CD_GEOCMU],[1]!DadosGHD[MUNICIPIO])</f>
        <v>CHUPINGUAIA</v>
      </c>
      <c r="F3284" s="6">
        <v>43.616786956787102</v>
      </c>
      <c r="G3284" s="6">
        <v>43.722984313964801</v>
      </c>
      <c r="H3284" s="6">
        <v>43.774215698242202</v>
      </c>
      <c r="I3284" s="6">
        <v>43.7272338867188</v>
      </c>
      <c r="J3284" s="6">
        <v>43.755012512207003</v>
      </c>
      <c r="K3284" s="6">
        <v>43.787384033203097</v>
      </c>
      <c r="L3284" s="6">
        <v>30.705488204956101</v>
      </c>
    </row>
    <row r="3285" spans="1:12" x14ac:dyDescent="0.25">
      <c r="A3285">
        <v>3303609</v>
      </c>
      <c r="B3285" t="str">
        <f t="shared" si="51"/>
        <v>PARACAMBI, RJ, Brasil</v>
      </c>
      <c r="C3285" s="4" t="str">
        <f>_xlfn.XLOOKUP(A3285,[1]!DadosGHD[CD_GEOCMU],[1]!DadosGHD[Região])</f>
        <v>SD</v>
      </c>
      <c r="D3285" s="4" t="str">
        <f>_xlfn.XLOOKUP(A3285,[1]!DadosGHD[CD_GEOCMU],[1]!DadosGHD[uf])</f>
        <v>RJ</v>
      </c>
      <c r="E3285" s="5" t="str">
        <f>_xlfn.XLOOKUP(A3285,[1]!DadosGHD[CD_GEOCMU],[1]!DadosGHD[MUNICIPIO])</f>
        <v>PARACAMBI</v>
      </c>
      <c r="F3285" s="6">
        <v>43.617374420166001</v>
      </c>
      <c r="G3285" s="6">
        <v>43.7379341125488</v>
      </c>
      <c r="H3285" s="6">
        <v>43.731315612792997</v>
      </c>
      <c r="I3285" s="6">
        <v>38.816928863525398</v>
      </c>
      <c r="J3285" s="6">
        <v>38.799598693847699</v>
      </c>
      <c r="K3285" s="6">
        <v>38.8191528320313</v>
      </c>
      <c r="L3285" s="6">
        <v>39.561676025390597</v>
      </c>
    </row>
    <row r="3286" spans="1:12" x14ac:dyDescent="0.25">
      <c r="A3286">
        <v>3158607</v>
      </c>
      <c r="B3286" t="str">
        <f t="shared" si="51"/>
        <v>SANTANA DO DESERTO, MG, Brasil</v>
      </c>
      <c r="C3286" s="4" t="str">
        <f>_xlfn.XLOOKUP(A3286,[1]!DadosGHD[CD_GEOCMU],[1]!DadosGHD[Região])</f>
        <v>SD</v>
      </c>
      <c r="D3286" s="4" t="str">
        <f>_xlfn.XLOOKUP(A3286,[1]!DadosGHD[CD_GEOCMU],[1]!DadosGHD[uf])</f>
        <v>MG</v>
      </c>
      <c r="E3286" s="5" t="str">
        <f>_xlfn.XLOOKUP(A3286,[1]!DadosGHD[CD_GEOCMU],[1]!DadosGHD[MUNICIPIO])</f>
        <v>SANTANA DO DESERTO</v>
      </c>
      <c r="F3286" s="6">
        <v>43.6175727844238</v>
      </c>
      <c r="G3286" s="6">
        <v>43.6399955749512</v>
      </c>
      <c r="H3286" s="6">
        <v>38.841709136962898</v>
      </c>
      <c r="I3286" s="6">
        <v>43.721244812011697</v>
      </c>
      <c r="J3286" s="6">
        <v>38.803176879882798</v>
      </c>
      <c r="K3286" s="6">
        <v>38.800483703613303</v>
      </c>
      <c r="L3286" s="6">
        <v>30.69358253479</v>
      </c>
    </row>
    <row r="3287" spans="1:12" x14ac:dyDescent="0.25">
      <c r="A3287">
        <v>2704807</v>
      </c>
      <c r="B3287" t="str">
        <f t="shared" si="51"/>
        <v>MARIBONDO, AL, Brasil</v>
      </c>
      <c r="C3287" s="4" t="str">
        <f>_xlfn.XLOOKUP(A3287,[1]!DadosGHD[CD_GEOCMU],[1]!DadosGHD[Região])</f>
        <v>NE</v>
      </c>
      <c r="D3287" s="4" t="str">
        <f>_xlfn.XLOOKUP(A3287,[1]!DadosGHD[CD_GEOCMU],[1]!DadosGHD[uf])</f>
        <v>AL</v>
      </c>
      <c r="E3287" s="5" t="str">
        <f>_xlfn.XLOOKUP(A3287,[1]!DadosGHD[CD_GEOCMU],[1]!DadosGHD[MUNICIPIO])</f>
        <v>MARIBONDO</v>
      </c>
      <c r="F3287" s="6">
        <v>43.617591857910199</v>
      </c>
      <c r="G3287" s="6">
        <v>43.663906097412102</v>
      </c>
      <c r="H3287" s="6">
        <v>38.844596862792997</v>
      </c>
      <c r="I3287" s="6">
        <v>43.684402465820298</v>
      </c>
      <c r="J3287" s="6">
        <v>43.729240417480497</v>
      </c>
      <c r="K3287" s="6">
        <v>38.821174621582003</v>
      </c>
      <c r="L3287" s="6">
        <v>30.687974929809599</v>
      </c>
    </row>
    <row r="3288" spans="1:12" x14ac:dyDescent="0.25">
      <c r="A3288">
        <v>3501806</v>
      </c>
      <c r="B3288" t="str">
        <f t="shared" si="51"/>
        <v>AMERICO DE CAMPOS, SP, Brasil</v>
      </c>
      <c r="C3288" s="4" t="str">
        <f>_xlfn.XLOOKUP(A3288,[1]!DadosGHD[CD_GEOCMU],[1]!DadosGHD[Região])</f>
        <v>SD</v>
      </c>
      <c r="D3288" s="4" t="str">
        <f>_xlfn.XLOOKUP(A3288,[1]!DadosGHD[CD_GEOCMU],[1]!DadosGHD[uf])</f>
        <v>SP</v>
      </c>
      <c r="E3288" s="5" t="str">
        <f>_xlfn.XLOOKUP(A3288,[1]!DadosGHD[CD_GEOCMU],[1]!DadosGHD[MUNICIPIO])</f>
        <v>AMERICO DE CAMPOS</v>
      </c>
      <c r="F3288" s="6">
        <v>43.617961883544901</v>
      </c>
      <c r="G3288" s="6">
        <v>43.764446258544901</v>
      </c>
      <c r="H3288" s="6">
        <v>43.754917144775398</v>
      </c>
      <c r="I3288" s="6">
        <v>48.720973968505902</v>
      </c>
      <c r="J3288" s="6">
        <v>48.712875366210902</v>
      </c>
      <c r="K3288" s="6">
        <v>48.902084350585902</v>
      </c>
      <c r="L3288" s="6">
        <v>53.000423431396499</v>
      </c>
    </row>
    <row r="3289" spans="1:12" x14ac:dyDescent="0.25">
      <c r="A3289">
        <v>3302601</v>
      </c>
      <c r="B3289" t="str">
        <f t="shared" si="51"/>
        <v>MANGARATIBA, RJ, Brasil</v>
      </c>
      <c r="C3289" s="4" t="str">
        <f>_xlfn.XLOOKUP(A3289,[1]!DadosGHD[CD_GEOCMU],[1]!DadosGHD[Região])</f>
        <v>SD</v>
      </c>
      <c r="D3289" s="4" t="str">
        <f>_xlfn.XLOOKUP(A3289,[1]!DadosGHD[CD_GEOCMU],[1]!DadosGHD[uf])</f>
        <v>RJ</v>
      </c>
      <c r="E3289" s="5" t="str">
        <f>_xlfn.XLOOKUP(A3289,[1]!DadosGHD[CD_GEOCMU],[1]!DadosGHD[MUNICIPIO])</f>
        <v>MANGARATIBA</v>
      </c>
      <c r="F3289" s="6">
        <v>43.618007659912102</v>
      </c>
      <c r="G3289" s="6">
        <v>38.756252288818402</v>
      </c>
      <c r="H3289" s="6">
        <v>38.773902893066399</v>
      </c>
      <c r="I3289" s="6">
        <v>38.7210083007813</v>
      </c>
      <c r="J3289" s="6">
        <v>38.756458282470703</v>
      </c>
      <c r="K3289" s="6">
        <v>43.852203369140597</v>
      </c>
      <c r="L3289" s="6">
        <v>53.0559692382813</v>
      </c>
    </row>
    <row r="3290" spans="1:12" x14ac:dyDescent="0.25">
      <c r="A3290">
        <v>4123105</v>
      </c>
      <c r="B3290" t="str">
        <f t="shared" si="51"/>
        <v>SANTA AMELIA, PR, Brasil</v>
      </c>
      <c r="C3290" s="4" t="str">
        <f>_xlfn.XLOOKUP(A3290,[1]!DadosGHD[CD_GEOCMU],[1]!DadosGHD[Região])</f>
        <v>SL</v>
      </c>
      <c r="D3290" s="4" t="str">
        <f>_xlfn.XLOOKUP(A3290,[1]!DadosGHD[CD_GEOCMU],[1]!DadosGHD[uf])</f>
        <v>PR</v>
      </c>
      <c r="E3290" s="5" t="str">
        <f>_xlfn.XLOOKUP(A3290,[1]!DadosGHD[CD_GEOCMU],[1]!DadosGHD[MUNICIPIO])</f>
        <v>SANTA AMELIA</v>
      </c>
      <c r="F3290" s="6">
        <v>43.618404388427699</v>
      </c>
      <c r="G3290" s="6">
        <v>48.690372467041001</v>
      </c>
      <c r="H3290" s="6">
        <v>48.775577545166001</v>
      </c>
      <c r="I3290" s="6">
        <v>48.756320953369098</v>
      </c>
      <c r="J3290" s="6">
        <v>48.783535003662102</v>
      </c>
      <c r="K3290" s="6">
        <v>53.894844055175803</v>
      </c>
      <c r="L3290" s="6">
        <v>52.984725952148402</v>
      </c>
    </row>
    <row r="3291" spans="1:12" x14ac:dyDescent="0.25">
      <c r="A3291">
        <v>1200138</v>
      </c>
      <c r="B3291" t="str">
        <f t="shared" si="51"/>
        <v>BUJARI, AC, Brasil</v>
      </c>
      <c r="C3291" s="4" t="str">
        <f>_xlfn.XLOOKUP(A3291,[1]!DadosGHD[CD_GEOCMU],[1]!DadosGHD[Região])</f>
        <v>NO</v>
      </c>
      <c r="D3291" s="4" t="str">
        <f>_xlfn.XLOOKUP(A3291,[1]!DadosGHD[CD_GEOCMU],[1]!DadosGHD[uf])</f>
        <v>AC</v>
      </c>
      <c r="E3291" s="5" t="str">
        <f>_xlfn.XLOOKUP(A3291,[1]!DadosGHD[CD_GEOCMU],[1]!DadosGHD[MUNICIPIO])</f>
        <v>BUJARI</v>
      </c>
      <c r="F3291" s="6">
        <v>43.618614196777301</v>
      </c>
      <c r="G3291" s="6">
        <v>38.751094818115199</v>
      </c>
      <c r="H3291" s="6">
        <v>38.78564453125</v>
      </c>
      <c r="I3291" s="6">
        <v>38.772804260253899</v>
      </c>
      <c r="J3291" s="6">
        <v>38.803989410400398</v>
      </c>
      <c r="K3291" s="6">
        <v>33.927543640136697</v>
      </c>
      <c r="L3291" s="6">
        <v>26.285211563110401</v>
      </c>
    </row>
    <row r="3292" spans="1:12" x14ac:dyDescent="0.25">
      <c r="A3292">
        <v>5205521</v>
      </c>
      <c r="B3292" t="str">
        <f t="shared" si="51"/>
        <v>COLINAS DO SUL, GO, Brasil</v>
      </c>
      <c r="C3292" s="4" t="str">
        <f>_xlfn.XLOOKUP(A3292,[1]!DadosGHD[CD_GEOCMU],[1]!DadosGHD[Região])</f>
        <v>CO</v>
      </c>
      <c r="D3292" s="4" t="str">
        <f>_xlfn.XLOOKUP(A3292,[1]!DadosGHD[CD_GEOCMU],[1]!DadosGHD[uf])</f>
        <v>GO</v>
      </c>
      <c r="E3292" s="5" t="str">
        <f>_xlfn.XLOOKUP(A3292,[1]!DadosGHD[CD_GEOCMU],[1]!DadosGHD[MUNICIPIO])</f>
        <v>COLINAS DO SUL</v>
      </c>
      <c r="F3292" s="6">
        <v>43.618858337402301</v>
      </c>
      <c r="G3292" s="6">
        <v>43.644748687744098</v>
      </c>
      <c r="H3292" s="6">
        <v>43.724430084228501</v>
      </c>
      <c r="I3292" s="6">
        <v>43.717063903808601</v>
      </c>
      <c r="J3292" s="6">
        <v>43.797904968261697</v>
      </c>
      <c r="K3292" s="6">
        <v>43.764228820800803</v>
      </c>
      <c r="L3292" s="6">
        <v>39.589683532714801</v>
      </c>
    </row>
    <row r="3293" spans="1:12" x14ac:dyDescent="0.25">
      <c r="A3293">
        <v>4204178</v>
      </c>
      <c r="B3293" t="str">
        <f t="shared" si="51"/>
        <v>CERRO NEGRO, SC, Brasil</v>
      </c>
      <c r="C3293" s="4" t="str">
        <f>_xlfn.XLOOKUP(A3293,[1]!DadosGHD[CD_GEOCMU],[1]!DadosGHD[Região])</f>
        <v>SL</v>
      </c>
      <c r="D3293" s="4" t="str">
        <f>_xlfn.XLOOKUP(A3293,[1]!DadosGHD[CD_GEOCMU],[1]!DadosGHD[uf])</f>
        <v>SC</v>
      </c>
      <c r="E3293" s="5" t="str">
        <f>_xlfn.XLOOKUP(A3293,[1]!DadosGHD[CD_GEOCMU],[1]!DadosGHD[MUNICIPIO])</f>
        <v>CERRO NEGRO</v>
      </c>
      <c r="F3293" s="6">
        <v>43.618911743164098</v>
      </c>
      <c r="G3293" s="6">
        <v>53.698265075683601</v>
      </c>
      <c r="H3293" s="6">
        <v>53.760353088378899</v>
      </c>
      <c r="I3293" s="6">
        <v>43.767002105712898</v>
      </c>
      <c r="J3293" s="6">
        <v>48.715324401855497</v>
      </c>
      <c r="K3293" s="6">
        <v>48.818199157714801</v>
      </c>
      <c r="L3293" s="6">
        <v>39.612453460693402</v>
      </c>
    </row>
    <row r="3294" spans="1:12" x14ac:dyDescent="0.25">
      <c r="A3294">
        <v>3515194</v>
      </c>
      <c r="B3294" t="str">
        <f t="shared" si="51"/>
        <v>ESPIRITO SANTO DO TURVO, SP, Brasil</v>
      </c>
      <c r="C3294" s="4" t="str">
        <f>_xlfn.XLOOKUP(A3294,[1]!DadosGHD[CD_GEOCMU],[1]!DadosGHD[Região])</f>
        <v>SD</v>
      </c>
      <c r="D3294" s="4" t="str">
        <f>_xlfn.XLOOKUP(A3294,[1]!DadosGHD[CD_GEOCMU],[1]!DadosGHD[uf])</f>
        <v>SP</v>
      </c>
      <c r="E3294" s="5" t="str">
        <f>_xlfn.XLOOKUP(A3294,[1]!DadosGHD[CD_GEOCMU],[1]!DadosGHD[MUNICIPIO])</f>
        <v>ESPIRITO SANTO DO TURVO</v>
      </c>
      <c r="F3294" s="6">
        <v>43.619148254394503</v>
      </c>
      <c r="G3294" s="6">
        <v>43.644542694091797</v>
      </c>
      <c r="H3294" s="6">
        <v>43.8195991516113</v>
      </c>
      <c r="I3294" s="6">
        <v>43.796932220458999</v>
      </c>
      <c r="J3294" s="6">
        <v>48.805591583252003</v>
      </c>
      <c r="K3294" s="6">
        <v>48.797920227050803</v>
      </c>
      <c r="L3294" s="6">
        <v>57.498012542724602</v>
      </c>
    </row>
    <row r="3295" spans="1:12" x14ac:dyDescent="0.25">
      <c r="A3295">
        <v>4219358</v>
      </c>
      <c r="B3295" t="str">
        <f t="shared" si="51"/>
        <v>VITOR MEIRELES, SC, Brasil</v>
      </c>
      <c r="C3295" s="4" t="str">
        <f>_xlfn.XLOOKUP(A3295,[1]!DadosGHD[CD_GEOCMU],[1]!DadosGHD[Região])</f>
        <v>SL</v>
      </c>
      <c r="D3295" s="4" t="str">
        <f>_xlfn.XLOOKUP(A3295,[1]!DadosGHD[CD_GEOCMU],[1]!DadosGHD[uf])</f>
        <v>SC</v>
      </c>
      <c r="E3295" s="5" t="str">
        <f>_xlfn.XLOOKUP(A3295,[1]!DadosGHD[CD_GEOCMU],[1]!DadosGHD[MUNICIPIO])</f>
        <v>VITOR MEIRELES</v>
      </c>
      <c r="F3295" s="6">
        <v>43.619857788085902</v>
      </c>
      <c r="G3295" s="6">
        <v>48.6640625</v>
      </c>
      <c r="H3295" s="6">
        <v>43.724651336669901</v>
      </c>
      <c r="I3295" s="6">
        <v>43.739517211914098</v>
      </c>
      <c r="J3295" s="6">
        <v>43.739265441894503</v>
      </c>
      <c r="K3295" s="6">
        <v>43.762054443359403</v>
      </c>
      <c r="L3295" s="6">
        <v>35.129478454589801</v>
      </c>
    </row>
    <row r="3296" spans="1:12" x14ac:dyDescent="0.25">
      <c r="A3296">
        <v>3159308</v>
      </c>
      <c r="B3296" t="str">
        <f t="shared" si="51"/>
        <v>SANTA RITA DE JACUTINGA, MG, Brasil</v>
      </c>
      <c r="C3296" s="4" t="str">
        <f>_xlfn.XLOOKUP(A3296,[1]!DadosGHD[CD_GEOCMU],[1]!DadosGHD[Região])</f>
        <v>SD</v>
      </c>
      <c r="D3296" s="4" t="str">
        <f>_xlfn.XLOOKUP(A3296,[1]!DadosGHD[CD_GEOCMU],[1]!DadosGHD[uf])</f>
        <v>MG</v>
      </c>
      <c r="E3296" s="5" t="str">
        <f>_xlfn.XLOOKUP(A3296,[1]!DadosGHD[CD_GEOCMU],[1]!DadosGHD[MUNICIPIO])</f>
        <v>SANTA RITA DE JACUTINGA</v>
      </c>
      <c r="F3296" s="6">
        <v>43.620212554931598</v>
      </c>
      <c r="G3296" s="6">
        <v>43.677356719970703</v>
      </c>
      <c r="H3296" s="6">
        <v>43.7330932617188</v>
      </c>
      <c r="I3296" s="6">
        <v>43.7352104187012</v>
      </c>
      <c r="J3296" s="6">
        <v>43.748023986816399</v>
      </c>
      <c r="K3296" s="6">
        <v>43.840744018554702</v>
      </c>
      <c r="L3296" s="6">
        <v>44.047283172607401</v>
      </c>
    </row>
    <row r="3297" spans="1:12" x14ac:dyDescent="0.25">
      <c r="A3297">
        <v>3521200</v>
      </c>
      <c r="B3297" t="str">
        <f t="shared" si="51"/>
        <v>IPORANGA, SP, Brasil</v>
      </c>
      <c r="C3297" s="4" t="str">
        <f>_xlfn.XLOOKUP(A3297,[1]!DadosGHD[CD_GEOCMU],[1]!DadosGHD[Região])</f>
        <v>SD</v>
      </c>
      <c r="D3297" s="4" t="str">
        <f>_xlfn.XLOOKUP(A3297,[1]!DadosGHD[CD_GEOCMU],[1]!DadosGHD[uf])</f>
        <v>SP</v>
      </c>
      <c r="E3297" s="5" t="str">
        <f>_xlfn.XLOOKUP(A3297,[1]!DadosGHD[CD_GEOCMU],[1]!DadosGHD[MUNICIPIO])</f>
        <v>IPORANGA</v>
      </c>
      <c r="F3297" s="6">
        <v>43.6206245422363</v>
      </c>
      <c r="G3297" s="6">
        <v>43.664810180664098</v>
      </c>
      <c r="H3297" s="6">
        <v>43.752639770507798</v>
      </c>
      <c r="I3297" s="6">
        <v>43.745082855224602</v>
      </c>
      <c r="J3297" s="6">
        <v>43.769054412841797</v>
      </c>
      <c r="K3297" s="6">
        <v>43.832504272460902</v>
      </c>
      <c r="L3297" s="6">
        <v>48.499027252197301</v>
      </c>
    </row>
    <row r="3298" spans="1:12" x14ac:dyDescent="0.25">
      <c r="A3298">
        <v>5221403</v>
      </c>
      <c r="B3298" t="str">
        <f t="shared" si="51"/>
        <v>TRINDADE, GO, Brasil</v>
      </c>
      <c r="C3298" s="4" t="str">
        <f>_xlfn.XLOOKUP(A3298,[1]!DadosGHD[CD_GEOCMU],[1]!DadosGHD[Região])</f>
        <v>CO</v>
      </c>
      <c r="D3298" s="4" t="str">
        <f>_xlfn.XLOOKUP(A3298,[1]!DadosGHD[CD_GEOCMU],[1]!DadosGHD[uf])</f>
        <v>GO</v>
      </c>
      <c r="E3298" s="5" t="str">
        <f>_xlfn.XLOOKUP(A3298,[1]!DadosGHD[CD_GEOCMU],[1]!DadosGHD[MUNICIPIO])</f>
        <v>TRINDADE</v>
      </c>
      <c r="F3298" s="6">
        <v>43.620849609375</v>
      </c>
      <c r="G3298" s="6">
        <v>43.715061187744098</v>
      </c>
      <c r="H3298" s="6">
        <v>43.757274627685597</v>
      </c>
      <c r="I3298" s="6">
        <v>43.686290740966797</v>
      </c>
      <c r="J3298" s="6">
        <v>38.820594787597699</v>
      </c>
      <c r="K3298" s="6">
        <v>38.844207763671903</v>
      </c>
      <c r="L3298" s="6">
        <v>35.119960784912102</v>
      </c>
    </row>
    <row r="3299" spans="1:12" x14ac:dyDescent="0.25">
      <c r="A3299">
        <v>4314803</v>
      </c>
      <c r="B3299" t="str">
        <f t="shared" si="51"/>
        <v>PORTAO, RS, Brasil</v>
      </c>
      <c r="C3299" s="4" t="str">
        <f>_xlfn.XLOOKUP(A3299,[1]!DadosGHD[CD_GEOCMU],[1]!DadosGHD[Região])</f>
        <v>SL</v>
      </c>
      <c r="D3299" s="4" t="str">
        <f>_xlfn.XLOOKUP(A3299,[1]!DadosGHD[CD_GEOCMU],[1]!DadosGHD[uf])</f>
        <v>RS</v>
      </c>
      <c r="E3299" s="5" t="str">
        <f>_xlfn.XLOOKUP(A3299,[1]!DadosGHD[CD_GEOCMU],[1]!DadosGHD[MUNICIPIO])</f>
        <v>PORTAO</v>
      </c>
      <c r="F3299" s="6">
        <v>43.620918273925803</v>
      </c>
      <c r="G3299" s="6">
        <v>43.679244995117202</v>
      </c>
      <c r="H3299" s="6">
        <v>43.756465911865199</v>
      </c>
      <c r="I3299" s="6">
        <v>43.727310180664098</v>
      </c>
      <c r="J3299" s="6">
        <v>43.770790100097699</v>
      </c>
      <c r="K3299" s="6">
        <v>43.799209594726598</v>
      </c>
      <c r="L3299" s="6">
        <v>44.0220947265625</v>
      </c>
    </row>
    <row r="3300" spans="1:12" x14ac:dyDescent="0.25">
      <c r="A3300">
        <v>3201704</v>
      </c>
      <c r="B3300" t="str">
        <f t="shared" si="51"/>
        <v>CONCEICAO DO CASTELO, ES, Brasil</v>
      </c>
      <c r="C3300" s="4" t="str">
        <f>_xlfn.XLOOKUP(A3300,[1]!DadosGHD[CD_GEOCMU],[1]!DadosGHD[Região])</f>
        <v>SD</v>
      </c>
      <c r="D3300" s="4" t="str">
        <f>_xlfn.XLOOKUP(A3300,[1]!DadosGHD[CD_GEOCMU],[1]!DadosGHD[uf])</f>
        <v>ES</v>
      </c>
      <c r="E3300" s="5" t="str">
        <f>_xlfn.XLOOKUP(A3300,[1]!DadosGHD[CD_GEOCMU],[1]!DadosGHD[MUNICIPIO])</f>
        <v>CONCEICAO DO CASTELO</v>
      </c>
      <c r="F3300" s="6">
        <v>43.6209907531738</v>
      </c>
      <c r="G3300" s="6">
        <v>43.7192192077637</v>
      </c>
      <c r="H3300" s="6">
        <v>43.778900146484403</v>
      </c>
      <c r="I3300" s="6">
        <v>43.738059997558601</v>
      </c>
      <c r="J3300" s="6">
        <v>43.757102966308601</v>
      </c>
      <c r="K3300" s="6">
        <v>43.819908142089801</v>
      </c>
      <c r="L3300" s="6">
        <v>35.131175994873097</v>
      </c>
    </row>
    <row r="3301" spans="1:12" x14ac:dyDescent="0.25">
      <c r="A3301">
        <v>2804409</v>
      </c>
      <c r="B3301" t="str">
        <f t="shared" si="51"/>
        <v>NEOPOLIS, SE, Brasil</v>
      </c>
      <c r="C3301" s="4" t="str">
        <f>_xlfn.XLOOKUP(A3301,[1]!DadosGHD[CD_GEOCMU],[1]!DadosGHD[Região])</f>
        <v>NE</v>
      </c>
      <c r="D3301" s="4" t="str">
        <f>_xlfn.XLOOKUP(A3301,[1]!DadosGHD[CD_GEOCMU],[1]!DadosGHD[uf])</f>
        <v>SE</v>
      </c>
      <c r="E3301" s="5" t="str">
        <f>_xlfn.XLOOKUP(A3301,[1]!DadosGHD[CD_GEOCMU],[1]!DadosGHD[MUNICIPIO])</f>
        <v>NEOPOLIS</v>
      </c>
      <c r="F3301" s="6">
        <v>43.621086120605497</v>
      </c>
      <c r="G3301" s="6">
        <v>38.787723541259801</v>
      </c>
      <c r="H3301" s="6">
        <v>38.830890655517599</v>
      </c>
      <c r="I3301" s="6">
        <v>38.805133819580099</v>
      </c>
      <c r="J3301" s="6">
        <v>38.825817108154297</v>
      </c>
      <c r="K3301" s="6">
        <v>38.889762878417997</v>
      </c>
      <c r="L3301" s="6">
        <v>30.708179473876999</v>
      </c>
    </row>
    <row r="3302" spans="1:12" x14ac:dyDescent="0.25">
      <c r="A3302">
        <v>3102902</v>
      </c>
      <c r="B3302" t="str">
        <f t="shared" si="51"/>
        <v>ANTONIO CARLOS, MG, Brasil</v>
      </c>
      <c r="C3302" s="4" t="str">
        <f>_xlfn.XLOOKUP(A3302,[1]!DadosGHD[CD_GEOCMU],[1]!DadosGHD[Região])</f>
        <v>SD</v>
      </c>
      <c r="D3302" s="4" t="str">
        <f>_xlfn.XLOOKUP(A3302,[1]!DadosGHD[CD_GEOCMU],[1]!DadosGHD[uf])</f>
        <v>MG</v>
      </c>
      <c r="E3302" s="5" t="str">
        <f>_xlfn.XLOOKUP(A3302,[1]!DadosGHD[CD_GEOCMU],[1]!DadosGHD[MUNICIPIO])</f>
        <v>ANTONIO CARLOS</v>
      </c>
      <c r="F3302" s="6">
        <v>43.621299743652301</v>
      </c>
      <c r="G3302" s="6">
        <v>43.751636505127003</v>
      </c>
      <c r="H3302" s="6">
        <v>48.723342895507798</v>
      </c>
      <c r="I3302" s="6">
        <v>48.801769256591797</v>
      </c>
      <c r="J3302" s="6">
        <v>53.740848541259801</v>
      </c>
      <c r="K3302" s="6">
        <v>53.834598541259801</v>
      </c>
      <c r="L3302" s="6">
        <v>53.059070587158203</v>
      </c>
    </row>
    <row r="3303" spans="1:12" x14ac:dyDescent="0.25">
      <c r="A3303">
        <v>4305405</v>
      </c>
      <c r="B3303" t="str">
        <f t="shared" si="51"/>
        <v>CHIAPETTA, RS, Brasil</v>
      </c>
      <c r="C3303" s="4" t="str">
        <f>_xlfn.XLOOKUP(A3303,[1]!DadosGHD[CD_GEOCMU],[1]!DadosGHD[Região])</f>
        <v>SL</v>
      </c>
      <c r="D3303" s="4" t="str">
        <f>_xlfn.XLOOKUP(A3303,[1]!DadosGHD[CD_GEOCMU],[1]!DadosGHD[uf])</f>
        <v>RS</v>
      </c>
      <c r="E3303" s="5" t="str">
        <f>_xlfn.XLOOKUP(A3303,[1]!DadosGHD[CD_GEOCMU],[1]!DadosGHD[MUNICIPIO])</f>
        <v>CHIAPETTA</v>
      </c>
      <c r="F3303" s="6">
        <v>43.621360778808601</v>
      </c>
      <c r="G3303" s="6">
        <v>53.662662506103501</v>
      </c>
      <c r="H3303" s="6">
        <v>53.7719917297363</v>
      </c>
      <c r="I3303" s="6">
        <v>64.000221252441406</v>
      </c>
      <c r="J3303" s="6">
        <v>64.039611816406307</v>
      </c>
      <c r="K3303" s="6">
        <v>59.007575988769503</v>
      </c>
      <c r="L3303" s="6">
        <v>52.990196228027301</v>
      </c>
    </row>
    <row r="3304" spans="1:12" x14ac:dyDescent="0.25">
      <c r="A3304">
        <v>5007505</v>
      </c>
      <c r="B3304" t="str">
        <f t="shared" si="51"/>
        <v>ROCHEDO, MS, Brasil</v>
      </c>
      <c r="C3304" s="4" t="str">
        <f>_xlfn.XLOOKUP(A3304,[1]!DadosGHD[CD_GEOCMU],[1]!DadosGHD[Região])</f>
        <v>CO</v>
      </c>
      <c r="D3304" s="4" t="str">
        <f>_xlfn.XLOOKUP(A3304,[1]!DadosGHD[CD_GEOCMU],[1]!DadosGHD[uf])</f>
        <v>MS</v>
      </c>
      <c r="E3304" s="5" t="str">
        <f>_xlfn.XLOOKUP(A3304,[1]!DadosGHD[CD_GEOCMU],[1]!DadosGHD[MUNICIPIO])</f>
        <v>ROCHEDO</v>
      </c>
      <c r="F3304" s="6">
        <v>43.621402740478501</v>
      </c>
      <c r="G3304" s="6">
        <v>43.729026794433601</v>
      </c>
      <c r="H3304" s="6">
        <v>43.775386810302699</v>
      </c>
      <c r="I3304" s="6">
        <v>43.753883361816399</v>
      </c>
      <c r="J3304" s="6">
        <v>43.812831878662102</v>
      </c>
      <c r="K3304" s="6">
        <v>43.829933166503899</v>
      </c>
      <c r="L3304" s="6">
        <v>35.156940460205099</v>
      </c>
    </row>
    <row r="3305" spans="1:12" x14ac:dyDescent="0.25">
      <c r="A3305">
        <v>3109006</v>
      </c>
      <c r="B3305" t="str">
        <f t="shared" si="51"/>
        <v>BRUMADINHO, MG, Brasil</v>
      </c>
      <c r="C3305" s="4" t="str">
        <f>_xlfn.XLOOKUP(A3305,[1]!DadosGHD[CD_GEOCMU],[1]!DadosGHD[Região])</f>
        <v>SD</v>
      </c>
      <c r="D3305" s="4" t="str">
        <f>_xlfn.XLOOKUP(A3305,[1]!DadosGHD[CD_GEOCMU],[1]!DadosGHD[uf])</f>
        <v>MG</v>
      </c>
      <c r="E3305" s="5" t="str">
        <f>_xlfn.XLOOKUP(A3305,[1]!DadosGHD[CD_GEOCMU],[1]!DadosGHD[MUNICIPIO])</f>
        <v>BRUMADINHO</v>
      </c>
      <c r="F3305" s="6">
        <v>43.621406555175803</v>
      </c>
      <c r="G3305" s="6">
        <v>43.7402153015137</v>
      </c>
      <c r="H3305" s="6">
        <v>48.736156463623097</v>
      </c>
      <c r="I3305" s="6">
        <v>48.803024291992202</v>
      </c>
      <c r="J3305" s="6">
        <v>48.839145660400398</v>
      </c>
      <c r="K3305" s="6">
        <v>53.875259399414098</v>
      </c>
      <c r="L3305" s="6">
        <v>57.521316528320298</v>
      </c>
    </row>
    <row r="3306" spans="1:12" x14ac:dyDescent="0.25">
      <c r="A3306">
        <v>4205175</v>
      </c>
      <c r="B3306" t="str">
        <f t="shared" si="51"/>
        <v>ENTRE RIOS, SC, Brasil</v>
      </c>
      <c r="C3306" s="4" t="str">
        <f>_xlfn.XLOOKUP(A3306,[1]!DadosGHD[CD_GEOCMU],[1]!DadosGHD[Região])</f>
        <v>SL</v>
      </c>
      <c r="D3306" s="4" t="str">
        <f>_xlfn.XLOOKUP(A3306,[1]!DadosGHD[CD_GEOCMU],[1]!DadosGHD[uf])</f>
        <v>SC</v>
      </c>
      <c r="E3306" s="5" t="str">
        <f>_xlfn.XLOOKUP(A3306,[1]!DadosGHD[CD_GEOCMU],[1]!DadosGHD[MUNICIPIO])</f>
        <v>ENTRE RIOS</v>
      </c>
      <c r="F3306" s="6">
        <v>43.621410369873097</v>
      </c>
      <c r="G3306" s="6">
        <v>53.704833984375</v>
      </c>
      <c r="H3306" s="6">
        <v>53.751537322998097</v>
      </c>
      <c r="I3306" s="6">
        <v>53.709808349609403</v>
      </c>
      <c r="J3306" s="6">
        <v>53.746768951416001</v>
      </c>
      <c r="K3306" s="6">
        <v>53.962360382080099</v>
      </c>
      <c r="L3306" s="6">
        <v>53.011398315429702</v>
      </c>
    </row>
    <row r="3307" spans="1:12" x14ac:dyDescent="0.25">
      <c r="A3307">
        <v>3201159</v>
      </c>
      <c r="B3307" t="str">
        <f t="shared" si="51"/>
        <v>BREJETUBA, ES, Brasil</v>
      </c>
      <c r="C3307" s="4" t="str">
        <f>_xlfn.XLOOKUP(A3307,[1]!DadosGHD[CD_GEOCMU],[1]!DadosGHD[Região])</f>
        <v>SD</v>
      </c>
      <c r="D3307" s="4" t="str">
        <f>_xlfn.XLOOKUP(A3307,[1]!DadosGHD[CD_GEOCMU],[1]!DadosGHD[uf])</f>
        <v>ES</v>
      </c>
      <c r="E3307" s="5" t="str">
        <f>_xlfn.XLOOKUP(A3307,[1]!DadosGHD[CD_GEOCMU],[1]!DadosGHD[MUNICIPIO])</f>
        <v>BREJETUBA</v>
      </c>
      <c r="F3307" s="6">
        <v>43.6216011047363</v>
      </c>
      <c r="G3307" s="6">
        <v>43.703861236572301</v>
      </c>
      <c r="H3307" s="6">
        <v>43.787914276123097</v>
      </c>
      <c r="I3307" s="6">
        <v>48.694419860839801</v>
      </c>
      <c r="J3307" s="6">
        <v>48.723014831542997</v>
      </c>
      <c r="K3307" s="6">
        <v>43.882621765136697</v>
      </c>
      <c r="L3307" s="6">
        <v>39.560379028320298</v>
      </c>
    </row>
    <row r="3308" spans="1:12" x14ac:dyDescent="0.25">
      <c r="A3308">
        <v>3137908</v>
      </c>
      <c r="B3308" t="str">
        <f t="shared" si="51"/>
        <v>LAMIM, MG, Brasil</v>
      </c>
      <c r="C3308" s="4" t="str">
        <f>_xlfn.XLOOKUP(A3308,[1]!DadosGHD[CD_GEOCMU],[1]!DadosGHD[Região])</f>
        <v>SD</v>
      </c>
      <c r="D3308" s="4" t="str">
        <f>_xlfn.XLOOKUP(A3308,[1]!DadosGHD[CD_GEOCMU],[1]!DadosGHD[uf])</f>
        <v>MG</v>
      </c>
      <c r="E3308" s="5" t="str">
        <f>_xlfn.XLOOKUP(A3308,[1]!DadosGHD[CD_GEOCMU],[1]!DadosGHD[MUNICIPIO])</f>
        <v>LAMIM</v>
      </c>
      <c r="F3308" s="6">
        <v>43.621700286865199</v>
      </c>
      <c r="G3308" s="6">
        <v>38.779254913330099</v>
      </c>
      <c r="H3308" s="6">
        <v>38.832099914550803</v>
      </c>
      <c r="I3308" s="6">
        <v>43.7140922546387</v>
      </c>
      <c r="J3308" s="6">
        <v>43.813758850097699</v>
      </c>
      <c r="K3308" s="6">
        <v>48.801784515380902</v>
      </c>
      <c r="L3308" s="6">
        <v>57.510540008544901</v>
      </c>
    </row>
    <row r="3309" spans="1:12" x14ac:dyDescent="0.25">
      <c r="A3309">
        <v>4302006</v>
      </c>
      <c r="B3309" t="str">
        <f t="shared" si="51"/>
        <v>BARROS CASSAL, RS, Brasil</v>
      </c>
      <c r="C3309" s="4" t="str">
        <f>_xlfn.XLOOKUP(A3309,[1]!DadosGHD[CD_GEOCMU],[1]!DadosGHD[Região])</f>
        <v>SL</v>
      </c>
      <c r="D3309" s="4" t="str">
        <f>_xlfn.XLOOKUP(A3309,[1]!DadosGHD[CD_GEOCMU],[1]!DadosGHD[uf])</f>
        <v>RS</v>
      </c>
      <c r="E3309" s="5" t="str">
        <f>_xlfn.XLOOKUP(A3309,[1]!DadosGHD[CD_GEOCMU],[1]!DadosGHD[MUNICIPIO])</f>
        <v>BARROS CASSAL</v>
      </c>
      <c r="F3309" s="6">
        <v>43.621707916259801</v>
      </c>
      <c r="G3309" s="6">
        <v>43.699008941650398</v>
      </c>
      <c r="H3309" s="6">
        <v>43.7883911132813</v>
      </c>
      <c r="I3309" s="6">
        <v>48.6757202148438</v>
      </c>
      <c r="J3309" s="6">
        <v>48.752895355224602</v>
      </c>
      <c r="K3309" s="6">
        <v>43.856197357177699</v>
      </c>
      <c r="L3309" s="6">
        <v>44.07861328125</v>
      </c>
    </row>
    <row r="3310" spans="1:12" x14ac:dyDescent="0.25">
      <c r="A3310">
        <v>3200904</v>
      </c>
      <c r="B3310" t="str">
        <f t="shared" si="51"/>
        <v>BARRA DE SAO FRANCISCO, ES, Brasil</v>
      </c>
      <c r="C3310" s="4" t="str">
        <f>_xlfn.XLOOKUP(A3310,[1]!DadosGHD[CD_GEOCMU],[1]!DadosGHD[Região])</f>
        <v>SD</v>
      </c>
      <c r="D3310" s="4" t="str">
        <f>_xlfn.XLOOKUP(A3310,[1]!DadosGHD[CD_GEOCMU],[1]!DadosGHD[uf])</f>
        <v>ES</v>
      </c>
      <c r="E3310" s="5" t="str">
        <f>_xlfn.XLOOKUP(A3310,[1]!DadosGHD[CD_GEOCMU],[1]!DadosGHD[MUNICIPIO])</f>
        <v>BARRA DE SAO FRANCISCO</v>
      </c>
      <c r="F3310" s="6">
        <v>43.6217231750488</v>
      </c>
      <c r="G3310" s="6">
        <v>43.727542877197301</v>
      </c>
      <c r="H3310" s="6">
        <v>43.777057647705099</v>
      </c>
      <c r="I3310" s="6">
        <v>43.7707328796387</v>
      </c>
      <c r="J3310" s="6">
        <v>43.721752166748097</v>
      </c>
      <c r="K3310" s="6">
        <v>38.861198425292997</v>
      </c>
      <c r="L3310" s="6">
        <v>35.130043029785199</v>
      </c>
    </row>
    <row r="3311" spans="1:12" x14ac:dyDescent="0.25">
      <c r="A3311">
        <v>3161205</v>
      </c>
      <c r="B3311" t="str">
        <f t="shared" si="51"/>
        <v>SAO FRANCISCO DE PAULA, MG, Brasil</v>
      </c>
      <c r="C3311" s="4" t="str">
        <f>_xlfn.XLOOKUP(A3311,[1]!DadosGHD[CD_GEOCMU],[1]!DadosGHD[Região])</f>
        <v>SD</v>
      </c>
      <c r="D3311" s="4" t="str">
        <f>_xlfn.XLOOKUP(A3311,[1]!DadosGHD[CD_GEOCMU],[1]!DadosGHD[uf])</f>
        <v>MG</v>
      </c>
      <c r="E3311" s="5" t="str">
        <f>_xlfn.XLOOKUP(A3311,[1]!DadosGHD[CD_GEOCMU],[1]!DadosGHD[MUNICIPIO])</f>
        <v>SAO FRANCISCO DE PAULA</v>
      </c>
      <c r="F3311" s="6">
        <v>43.622848510742202</v>
      </c>
      <c r="G3311" s="6">
        <v>48.6393852233887</v>
      </c>
      <c r="H3311" s="6">
        <v>43.836460113525398</v>
      </c>
      <c r="I3311" s="6">
        <v>48.800048828125</v>
      </c>
      <c r="J3311" s="6">
        <v>53.759998321533203</v>
      </c>
      <c r="K3311" s="6">
        <v>48.808155059814503</v>
      </c>
      <c r="L3311" s="6">
        <v>53.0006294250488</v>
      </c>
    </row>
    <row r="3312" spans="1:12" x14ac:dyDescent="0.25">
      <c r="A3312">
        <v>2905701</v>
      </c>
      <c r="B3312" t="str">
        <f t="shared" si="51"/>
        <v>CAMACARI, BA, Brasil</v>
      </c>
      <c r="C3312" s="4" t="str">
        <f>_xlfn.XLOOKUP(A3312,[1]!DadosGHD[CD_GEOCMU],[1]!DadosGHD[Região])</f>
        <v>NE</v>
      </c>
      <c r="D3312" s="4" t="str">
        <f>_xlfn.XLOOKUP(A3312,[1]!DadosGHD[CD_GEOCMU],[1]!DadosGHD[uf])</f>
        <v>BA</v>
      </c>
      <c r="E3312" s="5" t="str">
        <f>_xlfn.XLOOKUP(A3312,[1]!DadosGHD[CD_GEOCMU],[1]!DadosGHD[MUNICIPIO])</f>
        <v>CAMACARI</v>
      </c>
      <c r="F3312" s="6">
        <v>43.623016357421903</v>
      </c>
      <c r="G3312" s="6">
        <v>43.6763305664063</v>
      </c>
      <c r="H3312" s="6">
        <v>43.748359680175803</v>
      </c>
      <c r="I3312" s="6">
        <v>43.698612213134801</v>
      </c>
      <c r="J3312" s="6">
        <v>43.726890563964801</v>
      </c>
      <c r="K3312" s="6">
        <v>43.756980895996101</v>
      </c>
      <c r="L3312" s="6">
        <v>39.568675994873097</v>
      </c>
    </row>
    <row r="3313" spans="1:12" x14ac:dyDescent="0.25">
      <c r="A3313">
        <v>3544103</v>
      </c>
      <c r="B3313" t="str">
        <f t="shared" si="51"/>
        <v>RIO GRANDE DA SERRA, SP, Brasil</v>
      </c>
      <c r="C3313" s="4" t="str">
        <f>_xlfn.XLOOKUP(A3313,[1]!DadosGHD[CD_GEOCMU],[1]!DadosGHD[Região])</f>
        <v>SD</v>
      </c>
      <c r="D3313" s="4" t="str">
        <f>_xlfn.XLOOKUP(A3313,[1]!DadosGHD[CD_GEOCMU],[1]!DadosGHD[uf])</f>
        <v>SP</v>
      </c>
      <c r="E3313" s="5" t="str">
        <f>_xlfn.XLOOKUP(A3313,[1]!DadosGHD[CD_GEOCMU],[1]!DadosGHD[MUNICIPIO])</f>
        <v>RIO GRANDE DA SERRA</v>
      </c>
      <c r="F3313" s="6">
        <v>43.6233940124512</v>
      </c>
      <c r="G3313" s="6">
        <v>43.673377990722699</v>
      </c>
      <c r="H3313" s="6">
        <v>38.8182182312012</v>
      </c>
      <c r="I3313" s="6">
        <v>38.744785308837898</v>
      </c>
      <c r="J3313" s="6">
        <v>38.7426567077637</v>
      </c>
      <c r="K3313" s="6">
        <v>33.887973785400398</v>
      </c>
      <c r="L3313" s="6">
        <v>39.568515777587898</v>
      </c>
    </row>
    <row r="3314" spans="1:12" x14ac:dyDescent="0.25">
      <c r="A3314">
        <v>1508357</v>
      </c>
      <c r="B3314" t="str">
        <f t="shared" si="51"/>
        <v>VITORIA DO XINGU, PA, Brasil</v>
      </c>
      <c r="C3314" s="4" t="str">
        <f>_xlfn.XLOOKUP(A3314,[1]!DadosGHD[CD_GEOCMU],[1]!DadosGHD[Região])</f>
        <v>NO</v>
      </c>
      <c r="D3314" s="4" t="str">
        <f>_xlfn.XLOOKUP(A3314,[1]!DadosGHD[CD_GEOCMU],[1]!DadosGHD[uf])</f>
        <v>PA</v>
      </c>
      <c r="E3314" s="5" t="str">
        <f>_xlfn.XLOOKUP(A3314,[1]!DadosGHD[CD_GEOCMU],[1]!DadosGHD[MUNICIPIO])</f>
        <v>VITORIA DO XINGU</v>
      </c>
      <c r="F3314" s="6">
        <v>43.623615264892599</v>
      </c>
      <c r="G3314" s="6">
        <v>38.756923675537102</v>
      </c>
      <c r="H3314" s="6">
        <v>38.813591003417997</v>
      </c>
      <c r="I3314" s="6">
        <v>38.776756286621101</v>
      </c>
      <c r="J3314" s="6">
        <v>38.771156311035199</v>
      </c>
      <c r="K3314" s="6">
        <v>33.894767761230497</v>
      </c>
      <c r="L3314" s="6">
        <v>30.709863662719702</v>
      </c>
    </row>
    <row r="3315" spans="1:12" x14ac:dyDescent="0.25">
      <c r="A3315">
        <v>4207205</v>
      </c>
      <c r="B3315" t="str">
        <f t="shared" si="51"/>
        <v>IMARUI, SC, Brasil</v>
      </c>
      <c r="C3315" s="4" t="str">
        <f>_xlfn.XLOOKUP(A3315,[1]!DadosGHD[CD_GEOCMU],[1]!DadosGHD[Região])</f>
        <v>SL</v>
      </c>
      <c r="D3315" s="4" t="str">
        <f>_xlfn.XLOOKUP(A3315,[1]!DadosGHD[CD_GEOCMU],[1]!DadosGHD[uf])</f>
        <v>SC</v>
      </c>
      <c r="E3315" s="5" t="str">
        <f>_xlfn.XLOOKUP(A3315,[1]!DadosGHD[CD_GEOCMU],[1]!DadosGHD[MUNICIPIO])</f>
        <v>IMARUI</v>
      </c>
      <c r="F3315" s="6">
        <v>43.6237182617188</v>
      </c>
      <c r="G3315" s="6">
        <v>43.707653045654297</v>
      </c>
      <c r="H3315" s="6">
        <v>43.741958618164098</v>
      </c>
      <c r="I3315" s="6">
        <v>43.7263374328613</v>
      </c>
      <c r="J3315" s="6">
        <v>43.7803955078125</v>
      </c>
      <c r="K3315" s="6">
        <v>43.875877380371101</v>
      </c>
      <c r="L3315" s="6">
        <v>39.605968475341797</v>
      </c>
    </row>
    <row r="3316" spans="1:12" x14ac:dyDescent="0.25">
      <c r="A3316">
        <v>3106804</v>
      </c>
      <c r="B3316" t="str">
        <f t="shared" si="51"/>
        <v>BIAS FORTES, MG, Brasil</v>
      </c>
      <c r="C3316" s="4" t="str">
        <f>_xlfn.XLOOKUP(A3316,[1]!DadosGHD[CD_GEOCMU],[1]!DadosGHD[Região])</f>
        <v>SD</v>
      </c>
      <c r="D3316" s="4" t="str">
        <f>_xlfn.XLOOKUP(A3316,[1]!DadosGHD[CD_GEOCMU],[1]!DadosGHD[uf])</f>
        <v>MG</v>
      </c>
      <c r="E3316" s="5" t="str">
        <f>_xlfn.XLOOKUP(A3316,[1]!DadosGHD[CD_GEOCMU],[1]!DadosGHD[MUNICIPIO])</f>
        <v>BIAS FORTES</v>
      </c>
      <c r="F3316" s="6">
        <v>43.623756408691399</v>
      </c>
      <c r="G3316" s="6">
        <v>43.644943237304702</v>
      </c>
      <c r="H3316" s="6">
        <v>43.7094535827637</v>
      </c>
      <c r="I3316" s="6">
        <v>43.686809539794901</v>
      </c>
      <c r="J3316" s="6">
        <v>43.712253570556598</v>
      </c>
      <c r="K3316" s="6">
        <v>43.769889831542997</v>
      </c>
      <c r="L3316" s="6">
        <v>35.132770538330099</v>
      </c>
    </row>
    <row r="3317" spans="1:12" x14ac:dyDescent="0.25">
      <c r="A3317">
        <v>5203962</v>
      </c>
      <c r="B3317" t="str">
        <f t="shared" si="51"/>
        <v>BURITINOPOLIS, GO, Brasil</v>
      </c>
      <c r="C3317" s="4" t="str">
        <f>_xlfn.XLOOKUP(A3317,[1]!DadosGHD[CD_GEOCMU],[1]!DadosGHD[Região])</f>
        <v>CO</v>
      </c>
      <c r="D3317" s="4" t="str">
        <f>_xlfn.XLOOKUP(A3317,[1]!DadosGHD[CD_GEOCMU],[1]!DadosGHD[uf])</f>
        <v>GO</v>
      </c>
      <c r="E3317" s="5" t="str">
        <f>_xlfn.XLOOKUP(A3317,[1]!DadosGHD[CD_GEOCMU],[1]!DadosGHD[MUNICIPIO])</f>
        <v>BURITINOPOLIS</v>
      </c>
      <c r="F3317" s="6">
        <v>43.624088287353501</v>
      </c>
      <c r="G3317" s="6">
        <v>38.787559509277301</v>
      </c>
      <c r="H3317" s="6">
        <v>38.825740814208999</v>
      </c>
      <c r="I3317" s="6">
        <v>38.804904937744098</v>
      </c>
      <c r="J3317" s="6">
        <v>38.822372436523402</v>
      </c>
      <c r="K3317" s="6">
        <v>43.7985229492188</v>
      </c>
      <c r="L3317" s="6">
        <v>39.558494567871101</v>
      </c>
    </row>
    <row r="3318" spans="1:12" x14ac:dyDescent="0.25">
      <c r="A3318">
        <v>3144409</v>
      </c>
      <c r="B3318" t="str">
        <f t="shared" si="51"/>
        <v>NATERCIA, MG, Brasil</v>
      </c>
      <c r="C3318" s="4" t="str">
        <f>_xlfn.XLOOKUP(A3318,[1]!DadosGHD[CD_GEOCMU],[1]!DadosGHD[Região])</f>
        <v>SD</v>
      </c>
      <c r="D3318" s="4" t="str">
        <f>_xlfn.XLOOKUP(A3318,[1]!DadosGHD[CD_GEOCMU],[1]!DadosGHD[uf])</f>
        <v>MG</v>
      </c>
      <c r="E3318" s="5" t="str">
        <f>_xlfn.XLOOKUP(A3318,[1]!DadosGHD[CD_GEOCMU],[1]!DadosGHD[MUNICIPIO])</f>
        <v>NATERCIA</v>
      </c>
      <c r="F3318" s="6">
        <v>43.624191284179702</v>
      </c>
      <c r="G3318" s="6">
        <v>48.698081970214801</v>
      </c>
      <c r="H3318" s="6">
        <v>48.793739318847699</v>
      </c>
      <c r="I3318" s="6">
        <v>48.776088714599602</v>
      </c>
      <c r="J3318" s="6">
        <v>43.8230171203613</v>
      </c>
      <c r="K3318" s="6">
        <v>53.833282470703097</v>
      </c>
      <c r="L3318" s="6">
        <v>53.061119079589801</v>
      </c>
    </row>
    <row r="3319" spans="1:12" x14ac:dyDescent="0.25">
      <c r="A3319">
        <v>1506161</v>
      </c>
      <c r="B3319" t="str">
        <f t="shared" si="51"/>
        <v>RIO MARIA, PA, Brasil</v>
      </c>
      <c r="C3319" s="4" t="str">
        <f>_xlfn.XLOOKUP(A3319,[1]!DadosGHD[CD_GEOCMU],[1]!DadosGHD[Região])</f>
        <v>NO</v>
      </c>
      <c r="D3319" s="4" t="str">
        <f>_xlfn.XLOOKUP(A3319,[1]!DadosGHD[CD_GEOCMU],[1]!DadosGHD[uf])</f>
        <v>PA</v>
      </c>
      <c r="E3319" s="5" t="str">
        <f>_xlfn.XLOOKUP(A3319,[1]!DadosGHD[CD_GEOCMU],[1]!DadosGHD[MUNICIPIO])</f>
        <v>RIO MARIA</v>
      </c>
      <c r="F3319" s="6">
        <v>43.624660491943402</v>
      </c>
      <c r="G3319" s="6">
        <v>48.635662078857401</v>
      </c>
      <c r="H3319" s="6">
        <v>48.765541076660199</v>
      </c>
      <c r="I3319" s="6">
        <v>48.796222686767599</v>
      </c>
      <c r="J3319" s="6">
        <v>53.770534515380902</v>
      </c>
      <c r="K3319" s="6">
        <v>53.831264495849602</v>
      </c>
      <c r="L3319" s="6">
        <v>39.5989799499512</v>
      </c>
    </row>
    <row r="3320" spans="1:12" x14ac:dyDescent="0.25">
      <c r="A3320">
        <v>4312476</v>
      </c>
      <c r="B3320" t="str">
        <f t="shared" si="51"/>
        <v>MORRO REUTER, RS, Brasil</v>
      </c>
      <c r="C3320" s="4" t="str">
        <f>_xlfn.XLOOKUP(A3320,[1]!DadosGHD[CD_GEOCMU],[1]!DadosGHD[Região])</f>
        <v>SL</v>
      </c>
      <c r="D3320" s="4" t="str">
        <f>_xlfn.XLOOKUP(A3320,[1]!DadosGHD[CD_GEOCMU],[1]!DadosGHD[uf])</f>
        <v>RS</v>
      </c>
      <c r="E3320" s="5" t="str">
        <f>_xlfn.XLOOKUP(A3320,[1]!DadosGHD[CD_GEOCMU],[1]!DadosGHD[MUNICIPIO])</f>
        <v>MORRO REUTER</v>
      </c>
      <c r="F3320" s="6">
        <v>43.624671936035199</v>
      </c>
      <c r="G3320" s="6">
        <v>53.715511322021499</v>
      </c>
      <c r="H3320" s="6">
        <v>53.884357452392599</v>
      </c>
      <c r="I3320" s="6">
        <v>58.8369750976563</v>
      </c>
      <c r="J3320" s="6">
        <v>53.836235046386697</v>
      </c>
      <c r="K3320" s="6">
        <v>48.907794952392599</v>
      </c>
      <c r="L3320" s="6">
        <v>57.583164215087898</v>
      </c>
    </row>
    <row r="3321" spans="1:12" x14ac:dyDescent="0.25">
      <c r="A3321">
        <v>3303708</v>
      </c>
      <c r="B3321" t="str">
        <f t="shared" si="51"/>
        <v>PARAIBA DO SUL, RJ, Brasil</v>
      </c>
      <c r="C3321" s="4" t="str">
        <f>_xlfn.XLOOKUP(A3321,[1]!DadosGHD[CD_GEOCMU],[1]!DadosGHD[Região])</f>
        <v>SD</v>
      </c>
      <c r="D3321" s="4" t="str">
        <f>_xlfn.XLOOKUP(A3321,[1]!DadosGHD[CD_GEOCMU],[1]!DadosGHD[uf])</f>
        <v>RJ</v>
      </c>
      <c r="E3321" s="5" t="str">
        <f>_xlfn.XLOOKUP(A3321,[1]!DadosGHD[CD_GEOCMU],[1]!DadosGHD[MUNICIPIO])</f>
        <v>PARAIBA DO SUL</v>
      </c>
      <c r="F3321" s="6">
        <v>43.624698638916001</v>
      </c>
      <c r="G3321" s="6">
        <v>43.748809814453097</v>
      </c>
      <c r="H3321" s="6">
        <v>43.831310272216797</v>
      </c>
      <c r="I3321" s="6">
        <v>48.725864410400398</v>
      </c>
      <c r="J3321" s="6">
        <v>48.736618041992202</v>
      </c>
      <c r="K3321" s="6">
        <v>48.763633728027301</v>
      </c>
      <c r="L3321" s="6">
        <v>48.560138702392599</v>
      </c>
    </row>
    <row r="3322" spans="1:12" x14ac:dyDescent="0.25">
      <c r="A3322">
        <v>4114302</v>
      </c>
      <c r="B3322" t="str">
        <f t="shared" si="51"/>
        <v>MANDIRITUBA, PR, Brasil</v>
      </c>
      <c r="C3322" s="4" t="str">
        <f>_xlfn.XLOOKUP(A3322,[1]!DadosGHD[CD_GEOCMU],[1]!DadosGHD[Região])</f>
        <v>SL</v>
      </c>
      <c r="D3322" s="4" t="str">
        <f>_xlfn.XLOOKUP(A3322,[1]!DadosGHD[CD_GEOCMU],[1]!DadosGHD[uf])</f>
        <v>PR</v>
      </c>
      <c r="E3322" s="5" t="str">
        <f>_xlfn.XLOOKUP(A3322,[1]!DadosGHD[CD_GEOCMU],[1]!DadosGHD[MUNICIPIO])</f>
        <v>MANDIRITUBA</v>
      </c>
      <c r="F3322" s="6">
        <v>43.624710083007798</v>
      </c>
      <c r="G3322" s="6">
        <v>43.717842102050803</v>
      </c>
      <c r="H3322" s="6">
        <v>43.780776977539098</v>
      </c>
      <c r="I3322" s="6">
        <v>43.771800994873097</v>
      </c>
      <c r="J3322" s="6">
        <v>43.808540344238303</v>
      </c>
      <c r="K3322" s="6">
        <v>48.776500701904297</v>
      </c>
      <c r="L3322" s="6">
        <v>44.057624816894503</v>
      </c>
    </row>
    <row r="3323" spans="1:12" x14ac:dyDescent="0.25">
      <c r="A3323">
        <v>3515350</v>
      </c>
      <c r="B3323" t="str">
        <f t="shared" si="51"/>
        <v>EUCLIDES DA CUNHA PAULISTA, SP, Brasil</v>
      </c>
      <c r="C3323" s="4" t="str">
        <f>_xlfn.XLOOKUP(A3323,[1]!DadosGHD[CD_GEOCMU],[1]!DadosGHD[Região])</f>
        <v>SD</v>
      </c>
      <c r="D3323" s="4" t="str">
        <f>_xlfn.XLOOKUP(A3323,[1]!DadosGHD[CD_GEOCMU],[1]!DadosGHD[uf])</f>
        <v>SP</v>
      </c>
      <c r="E3323" s="5" t="str">
        <f>_xlfn.XLOOKUP(A3323,[1]!DadosGHD[CD_GEOCMU],[1]!DadosGHD[MUNICIPIO])</f>
        <v>EUCLIDES DA CUNHA PAULISTA</v>
      </c>
      <c r="F3323" s="6">
        <v>43.625213623046903</v>
      </c>
      <c r="G3323" s="6">
        <v>43.6748046875</v>
      </c>
      <c r="H3323" s="6">
        <v>43.720466613769503</v>
      </c>
      <c r="I3323" s="6">
        <v>43.684505462646499</v>
      </c>
      <c r="J3323" s="6">
        <v>43.705722808837898</v>
      </c>
      <c r="K3323" s="6">
        <v>43.770988464355497</v>
      </c>
      <c r="L3323" s="6">
        <v>39.607925415039098</v>
      </c>
    </row>
    <row r="3324" spans="1:12" x14ac:dyDescent="0.25">
      <c r="A3324">
        <v>3153905</v>
      </c>
      <c r="B3324" t="str">
        <f t="shared" si="51"/>
        <v>RAPOSOS, MG, Brasil</v>
      </c>
      <c r="C3324" s="4" t="str">
        <f>_xlfn.XLOOKUP(A3324,[1]!DadosGHD[CD_GEOCMU],[1]!DadosGHD[Região])</f>
        <v>SD</v>
      </c>
      <c r="D3324" s="4" t="str">
        <f>_xlfn.XLOOKUP(A3324,[1]!DadosGHD[CD_GEOCMU],[1]!DadosGHD[uf])</f>
        <v>MG</v>
      </c>
      <c r="E3324" s="5" t="str">
        <f>_xlfn.XLOOKUP(A3324,[1]!DadosGHD[CD_GEOCMU],[1]!DadosGHD[MUNICIPIO])</f>
        <v>RAPOSOS</v>
      </c>
      <c r="F3324" s="6">
        <v>43.625431060791001</v>
      </c>
      <c r="G3324" s="6">
        <v>38.782829284667997</v>
      </c>
      <c r="H3324" s="6">
        <v>38.829147338867202</v>
      </c>
      <c r="I3324" s="6">
        <v>38.776607513427699</v>
      </c>
      <c r="J3324" s="6">
        <v>33.8350639343262</v>
      </c>
      <c r="K3324" s="6">
        <v>33.875419616699197</v>
      </c>
      <c r="L3324" s="6">
        <v>30.7201023101807</v>
      </c>
    </row>
    <row r="3325" spans="1:12" x14ac:dyDescent="0.25">
      <c r="A3325">
        <v>3122009</v>
      </c>
      <c r="B3325" t="str">
        <f t="shared" si="51"/>
        <v>DIVINO, MG, Brasil</v>
      </c>
      <c r="C3325" s="4" t="str">
        <f>_xlfn.XLOOKUP(A3325,[1]!DadosGHD[CD_GEOCMU],[1]!DadosGHD[Região])</f>
        <v>SD</v>
      </c>
      <c r="D3325" s="4" t="str">
        <f>_xlfn.XLOOKUP(A3325,[1]!DadosGHD[CD_GEOCMU],[1]!DadosGHD[uf])</f>
        <v>MG</v>
      </c>
      <c r="E3325" s="5" t="str">
        <f>_xlfn.XLOOKUP(A3325,[1]!DadosGHD[CD_GEOCMU],[1]!DadosGHD[MUNICIPIO])</f>
        <v>DIVINO</v>
      </c>
      <c r="F3325" s="6">
        <v>43.625568389892599</v>
      </c>
      <c r="G3325" s="6">
        <v>43.703205108642599</v>
      </c>
      <c r="H3325" s="6">
        <v>43.759895324707003</v>
      </c>
      <c r="I3325" s="6">
        <v>43.746162414550803</v>
      </c>
      <c r="J3325" s="6">
        <v>43.807540893554702</v>
      </c>
      <c r="K3325" s="6">
        <v>43.867149353027301</v>
      </c>
      <c r="L3325" s="6">
        <v>44.029552459716797</v>
      </c>
    </row>
    <row r="3326" spans="1:12" x14ac:dyDescent="0.25">
      <c r="A3326">
        <v>3522208</v>
      </c>
      <c r="B3326" t="str">
        <f t="shared" si="51"/>
        <v>ITAPECERICA DA SERRA, SP, Brasil</v>
      </c>
      <c r="C3326" s="4" t="str">
        <f>_xlfn.XLOOKUP(A3326,[1]!DadosGHD[CD_GEOCMU],[1]!DadosGHD[Região])</f>
        <v>SD</v>
      </c>
      <c r="D3326" s="4" t="str">
        <f>_xlfn.XLOOKUP(A3326,[1]!DadosGHD[CD_GEOCMU],[1]!DadosGHD[uf])</f>
        <v>SP</v>
      </c>
      <c r="E3326" s="5" t="str">
        <f>_xlfn.XLOOKUP(A3326,[1]!DadosGHD[CD_GEOCMU],[1]!DadosGHD[MUNICIPIO])</f>
        <v>ITAPECERICA DA SERRA</v>
      </c>
      <c r="F3326" s="6">
        <v>43.625965118408203</v>
      </c>
      <c r="G3326" s="6">
        <v>43.701549530029297</v>
      </c>
      <c r="H3326" s="6">
        <v>43.728588104248097</v>
      </c>
      <c r="I3326" s="6">
        <v>38.814945220947301</v>
      </c>
      <c r="J3326" s="6">
        <v>38.791416168212898</v>
      </c>
      <c r="K3326" s="6">
        <v>38.804039001464801</v>
      </c>
      <c r="L3326" s="6">
        <v>39.558231353759801</v>
      </c>
    </row>
    <row r="3327" spans="1:12" x14ac:dyDescent="0.25">
      <c r="A3327">
        <v>5106208</v>
      </c>
      <c r="B3327" t="str">
        <f t="shared" si="51"/>
        <v>NOVA BRASILANDIA, MT, Brasil</v>
      </c>
      <c r="C3327" s="4" t="str">
        <f>_xlfn.XLOOKUP(A3327,[1]!DadosGHD[CD_GEOCMU],[1]!DadosGHD[Região])</f>
        <v>CO</v>
      </c>
      <c r="D3327" s="4" t="str">
        <f>_xlfn.XLOOKUP(A3327,[1]!DadosGHD[CD_GEOCMU],[1]!DadosGHD[uf])</f>
        <v>MT</v>
      </c>
      <c r="E3327" s="5" t="str">
        <f>_xlfn.XLOOKUP(A3327,[1]!DadosGHD[CD_GEOCMU],[1]!DadosGHD[MUNICIPIO])</f>
        <v>NOVA BRASILANDIA</v>
      </c>
      <c r="F3327" s="6">
        <v>43.626495361328097</v>
      </c>
      <c r="G3327" s="6">
        <v>43.6677856445313</v>
      </c>
      <c r="H3327" s="6">
        <v>43.715480804443402</v>
      </c>
      <c r="I3327" s="6">
        <v>43.698432922363303</v>
      </c>
      <c r="J3327" s="6">
        <v>48.768707275390597</v>
      </c>
      <c r="K3327" s="6">
        <v>48.8508911132813</v>
      </c>
      <c r="L3327" s="6">
        <v>44.071079254150398</v>
      </c>
    </row>
    <row r="3328" spans="1:12" x14ac:dyDescent="0.25">
      <c r="A3328">
        <v>3110103</v>
      </c>
      <c r="B3328" t="str">
        <f t="shared" si="51"/>
        <v>CAIANA, MG, Brasil</v>
      </c>
      <c r="C3328" s="4" t="str">
        <f>_xlfn.XLOOKUP(A3328,[1]!DadosGHD[CD_GEOCMU],[1]!DadosGHD[Região])</f>
        <v>SD</v>
      </c>
      <c r="D3328" s="4" t="str">
        <f>_xlfn.XLOOKUP(A3328,[1]!DadosGHD[CD_GEOCMU],[1]!DadosGHD[uf])</f>
        <v>MG</v>
      </c>
      <c r="E3328" s="5" t="str">
        <f>_xlfn.XLOOKUP(A3328,[1]!DadosGHD[CD_GEOCMU],[1]!DadosGHD[MUNICIPIO])</f>
        <v>CAIANA</v>
      </c>
      <c r="F3328" s="6">
        <v>43.626655578613303</v>
      </c>
      <c r="G3328" s="6">
        <v>43.714225769042997</v>
      </c>
      <c r="H3328" s="6">
        <v>43.759445190429702</v>
      </c>
      <c r="I3328" s="6">
        <v>43.741188049316399</v>
      </c>
      <c r="J3328" s="6">
        <v>43.795013427734403</v>
      </c>
      <c r="K3328" s="6">
        <v>48.7664604187012</v>
      </c>
      <c r="L3328" s="6">
        <v>44.033744812011697</v>
      </c>
    </row>
    <row r="3329" spans="1:12" x14ac:dyDescent="0.25">
      <c r="A3329">
        <v>3552304</v>
      </c>
      <c r="B3329" t="str">
        <f t="shared" si="51"/>
        <v>SUD MENNUCCI, SP, Brasil</v>
      </c>
      <c r="C3329" s="4" t="str">
        <f>_xlfn.XLOOKUP(A3329,[1]!DadosGHD[CD_GEOCMU],[1]!DadosGHD[Região])</f>
        <v>SD</v>
      </c>
      <c r="D3329" s="4" t="str">
        <f>_xlfn.XLOOKUP(A3329,[1]!DadosGHD[CD_GEOCMU],[1]!DadosGHD[uf])</f>
        <v>SP</v>
      </c>
      <c r="E3329" s="5" t="str">
        <f>_xlfn.XLOOKUP(A3329,[1]!DadosGHD[CD_GEOCMU],[1]!DadosGHD[MUNICIPIO])</f>
        <v>SUD MENNUCCI</v>
      </c>
      <c r="F3329" s="6">
        <v>43.627365112304702</v>
      </c>
      <c r="G3329" s="6">
        <v>43.671554565429702</v>
      </c>
      <c r="H3329" s="6">
        <v>43.7353515625</v>
      </c>
      <c r="I3329" s="6">
        <v>43.706634521484403</v>
      </c>
      <c r="J3329" s="6">
        <v>43.704067230224602</v>
      </c>
      <c r="K3329" s="6">
        <v>38.869808197021499</v>
      </c>
      <c r="L3329" s="6">
        <v>30.7131671905518</v>
      </c>
    </row>
    <row r="3330" spans="1:12" x14ac:dyDescent="0.25">
      <c r="A3330">
        <v>2400604</v>
      </c>
      <c r="B3330" t="str">
        <f t="shared" si="51"/>
        <v>ALMINO AFONSO, RN, Brasil</v>
      </c>
      <c r="C3330" s="4" t="str">
        <f>_xlfn.XLOOKUP(A3330,[1]!DadosGHD[CD_GEOCMU],[1]!DadosGHD[Região])</f>
        <v>NE</v>
      </c>
      <c r="D3330" s="4" t="str">
        <f>_xlfn.XLOOKUP(A3330,[1]!DadosGHD[CD_GEOCMU],[1]!DadosGHD[uf])</f>
        <v>RN</v>
      </c>
      <c r="E3330" s="5" t="str">
        <f>_xlfn.XLOOKUP(A3330,[1]!DadosGHD[CD_GEOCMU],[1]!DadosGHD[MUNICIPIO])</f>
        <v>ALMINO AFONSO</v>
      </c>
      <c r="F3330" s="6">
        <v>43.627368927002003</v>
      </c>
      <c r="G3330" s="6">
        <v>38.747299194335902</v>
      </c>
      <c r="H3330" s="6">
        <v>38.784816741943402</v>
      </c>
      <c r="I3330" s="6">
        <v>43.679679870605497</v>
      </c>
      <c r="J3330" s="6">
        <v>38.7970581054688</v>
      </c>
      <c r="K3330" s="6">
        <v>43.8547554016113</v>
      </c>
      <c r="L3330" s="6">
        <v>39.598026275634801</v>
      </c>
    </row>
    <row r="3331" spans="1:12" x14ac:dyDescent="0.25">
      <c r="A3331">
        <v>4107009</v>
      </c>
      <c r="B3331" t="str">
        <f t="shared" si="51"/>
        <v>CURIUVA, PR, Brasil</v>
      </c>
      <c r="C3331" s="4" t="str">
        <f>_xlfn.XLOOKUP(A3331,[1]!DadosGHD[CD_GEOCMU],[1]!DadosGHD[Região])</f>
        <v>SL</v>
      </c>
      <c r="D3331" s="4" t="str">
        <f>_xlfn.XLOOKUP(A3331,[1]!DadosGHD[CD_GEOCMU],[1]!DadosGHD[uf])</f>
        <v>PR</v>
      </c>
      <c r="E3331" s="5" t="str">
        <f>_xlfn.XLOOKUP(A3331,[1]!DadosGHD[CD_GEOCMU],[1]!DadosGHD[MUNICIPIO])</f>
        <v>CURIUVA</v>
      </c>
      <c r="F3331" s="6">
        <v>43.627513885498097</v>
      </c>
      <c r="G3331" s="6">
        <v>43.758338928222699</v>
      </c>
      <c r="H3331" s="6">
        <v>43.782539367675803</v>
      </c>
      <c r="I3331" s="6">
        <v>48.6859130859375</v>
      </c>
      <c r="J3331" s="6">
        <v>43.781742095947301</v>
      </c>
      <c r="K3331" s="6">
        <v>43.810703277587898</v>
      </c>
      <c r="L3331" s="6">
        <v>39.586761474609403</v>
      </c>
    </row>
    <row r="3332" spans="1:12" x14ac:dyDescent="0.25">
      <c r="A3332">
        <v>3104452</v>
      </c>
      <c r="B3332" t="str">
        <f t="shared" ref="B3332:B3395" si="52">_xlfn.CONCAT(E3332, ", ", D3332, ", Brasil")</f>
        <v>ARICANDUVA, MG, Brasil</v>
      </c>
      <c r="C3332" s="4" t="str">
        <f>_xlfn.XLOOKUP(A3332,[1]!DadosGHD[CD_GEOCMU],[1]!DadosGHD[Região])</f>
        <v>SD</v>
      </c>
      <c r="D3332" s="4" t="str">
        <f>_xlfn.XLOOKUP(A3332,[1]!DadosGHD[CD_GEOCMU],[1]!DadosGHD[uf])</f>
        <v>MG</v>
      </c>
      <c r="E3332" s="5" t="str">
        <f>_xlfn.XLOOKUP(A3332,[1]!DadosGHD[CD_GEOCMU],[1]!DadosGHD[MUNICIPIO])</f>
        <v>ARICANDUVA</v>
      </c>
      <c r="F3332" s="6">
        <v>43.627555847167997</v>
      </c>
      <c r="G3332" s="6">
        <v>38.7357788085938</v>
      </c>
      <c r="H3332" s="6">
        <v>38.782562255859403</v>
      </c>
      <c r="I3332" s="6">
        <v>38.754173278808601</v>
      </c>
      <c r="J3332" s="6">
        <v>38.762306213378899</v>
      </c>
      <c r="K3332" s="6">
        <v>33.8579292297363</v>
      </c>
      <c r="L3332" s="6">
        <v>26.293970108032202</v>
      </c>
    </row>
    <row r="3333" spans="1:12" x14ac:dyDescent="0.25">
      <c r="A3333">
        <v>4126652</v>
      </c>
      <c r="B3333" t="str">
        <f t="shared" si="52"/>
        <v>SULINA, PR, Brasil</v>
      </c>
      <c r="C3333" s="4" t="str">
        <f>_xlfn.XLOOKUP(A3333,[1]!DadosGHD[CD_GEOCMU],[1]!DadosGHD[Região])</f>
        <v>SL</v>
      </c>
      <c r="D3333" s="4" t="str">
        <f>_xlfn.XLOOKUP(A3333,[1]!DadosGHD[CD_GEOCMU],[1]!DadosGHD[uf])</f>
        <v>PR</v>
      </c>
      <c r="E3333" s="5" t="str">
        <f>_xlfn.XLOOKUP(A3333,[1]!DadosGHD[CD_GEOCMU],[1]!DadosGHD[MUNICIPIO])</f>
        <v>SULINA</v>
      </c>
      <c r="F3333" s="6">
        <v>43.627967834472699</v>
      </c>
      <c r="G3333" s="6">
        <v>43.749454498291001</v>
      </c>
      <c r="H3333" s="6">
        <v>38.763198852539098</v>
      </c>
      <c r="I3333" s="6">
        <v>43.800094604492202</v>
      </c>
      <c r="J3333" s="6">
        <v>48.7418212890625</v>
      </c>
      <c r="K3333" s="6">
        <v>48.798625946044901</v>
      </c>
      <c r="L3333" s="6">
        <v>35.158859252929702</v>
      </c>
    </row>
    <row r="3334" spans="1:12" x14ac:dyDescent="0.25">
      <c r="A3334">
        <v>1100304</v>
      </c>
      <c r="B3334" t="str">
        <f t="shared" si="52"/>
        <v>VILHENA, RO, Brasil</v>
      </c>
      <c r="C3334" s="4" t="str">
        <f>_xlfn.XLOOKUP(A3334,[1]!DadosGHD[CD_GEOCMU],[1]!DadosGHD[Região])</f>
        <v>NO</v>
      </c>
      <c r="D3334" s="4" t="str">
        <f>_xlfn.XLOOKUP(A3334,[1]!DadosGHD[CD_GEOCMU],[1]!DadosGHD[uf])</f>
        <v>RO</v>
      </c>
      <c r="E3334" s="5" t="str">
        <f>_xlfn.XLOOKUP(A3334,[1]!DadosGHD[CD_GEOCMU],[1]!DadosGHD[MUNICIPIO])</f>
        <v>VILHENA</v>
      </c>
      <c r="F3334" s="6">
        <v>43.628211975097699</v>
      </c>
      <c r="G3334" s="6">
        <v>43.691154479980497</v>
      </c>
      <c r="H3334" s="6">
        <v>43.765571594238303</v>
      </c>
      <c r="I3334" s="6">
        <v>43.735378265380902</v>
      </c>
      <c r="J3334" s="6">
        <v>43.790847778320298</v>
      </c>
      <c r="K3334" s="6">
        <v>48.820358276367202</v>
      </c>
      <c r="L3334" s="6">
        <v>48.534969329833999</v>
      </c>
    </row>
    <row r="3335" spans="1:12" x14ac:dyDescent="0.25">
      <c r="A3335">
        <v>3516408</v>
      </c>
      <c r="B3335" t="str">
        <f t="shared" si="52"/>
        <v>FRANCO DA ROCHA, SP, Brasil</v>
      </c>
      <c r="C3335" s="4" t="str">
        <f>_xlfn.XLOOKUP(A3335,[1]!DadosGHD[CD_GEOCMU],[1]!DadosGHD[Região])</f>
        <v>SD</v>
      </c>
      <c r="D3335" s="4" t="str">
        <f>_xlfn.XLOOKUP(A3335,[1]!DadosGHD[CD_GEOCMU],[1]!DadosGHD[uf])</f>
        <v>SP</v>
      </c>
      <c r="E3335" s="5" t="str">
        <f>_xlfn.XLOOKUP(A3335,[1]!DadosGHD[CD_GEOCMU],[1]!DadosGHD[MUNICIPIO])</f>
        <v>FRANCO DA ROCHA</v>
      </c>
      <c r="F3335" s="6">
        <v>43.628273010253899</v>
      </c>
      <c r="G3335" s="6">
        <v>43.700870513916001</v>
      </c>
      <c r="H3335" s="6">
        <v>43.746955871582003</v>
      </c>
      <c r="I3335" s="6">
        <v>43.719070434570298</v>
      </c>
      <c r="J3335" s="6">
        <v>43.736587524414098</v>
      </c>
      <c r="K3335" s="6">
        <v>43.794075012207003</v>
      </c>
      <c r="L3335" s="6">
        <v>44.035224914550803</v>
      </c>
    </row>
    <row r="3336" spans="1:12" x14ac:dyDescent="0.25">
      <c r="A3336">
        <v>5107180</v>
      </c>
      <c r="B3336" t="str">
        <f t="shared" si="52"/>
        <v>RIBEIRAO CASCALHEIRA, MT, Brasil</v>
      </c>
      <c r="C3336" s="4" t="str">
        <f>_xlfn.XLOOKUP(A3336,[1]!DadosGHD[CD_GEOCMU],[1]!DadosGHD[Região])</f>
        <v>CO</v>
      </c>
      <c r="D3336" s="4" t="str">
        <f>_xlfn.XLOOKUP(A3336,[1]!DadosGHD[CD_GEOCMU],[1]!DadosGHD[uf])</f>
        <v>MT</v>
      </c>
      <c r="E3336" s="5" t="str">
        <f>_xlfn.XLOOKUP(A3336,[1]!DadosGHD[CD_GEOCMU],[1]!DadosGHD[MUNICIPIO])</f>
        <v>RIBEIRAO CASCALHEIRA</v>
      </c>
      <c r="F3336" s="6">
        <v>43.628341674804702</v>
      </c>
      <c r="G3336" s="6">
        <v>43.709712982177699</v>
      </c>
      <c r="H3336" s="6">
        <v>43.723941802978501</v>
      </c>
      <c r="I3336" s="6">
        <v>38.820690155029297</v>
      </c>
      <c r="J3336" s="6">
        <v>38.78564453125</v>
      </c>
      <c r="K3336" s="6">
        <v>33.918037414550803</v>
      </c>
      <c r="L3336" s="6">
        <v>35.135261535644503</v>
      </c>
    </row>
    <row r="3337" spans="1:12" x14ac:dyDescent="0.25">
      <c r="A3337">
        <v>3169901</v>
      </c>
      <c r="B3337" t="str">
        <f t="shared" si="52"/>
        <v>UBA, MG, Brasil</v>
      </c>
      <c r="C3337" s="4" t="str">
        <f>_xlfn.XLOOKUP(A3337,[1]!DadosGHD[CD_GEOCMU],[1]!DadosGHD[Região])</f>
        <v>SD</v>
      </c>
      <c r="D3337" s="4" t="str">
        <f>_xlfn.XLOOKUP(A3337,[1]!DadosGHD[CD_GEOCMU],[1]!DadosGHD[uf])</f>
        <v>MG</v>
      </c>
      <c r="E3337" s="5" t="str">
        <f>_xlfn.XLOOKUP(A3337,[1]!DadosGHD[CD_GEOCMU],[1]!DadosGHD[MUNICIPIO])</f>
        <v>UBA</v>
      </c>
      <c r="F3337" s="6">
        <v>43.628421783447301</v>
      </c>
      <c r="G3337" s="6">
        <v>43.692283630371101</v>
      </c>
      <c r="H3337" s="6">
        <v>43.741615295410199</v>
      </c>
      <c r="I3337" s="6">
        <v>43.758495330810597</v>
      </c>
      <c r="J3337" s="6">
        <v>43.7704887390137</v>
      </c>
      <c r="K3337" s="6">
        <v>43.8277397155762</v>
      </c>
      <c r="L3337" s="6">
        <v>48.521495819091797</v>
      </c>
    </row>
    <row r="3338" spans="1:12" x14ac:dyDescent="0.25">
      <c r="A3338">
        <v>5007950</v>
      </c>
      <c r="B3338" t="str">
        <f t="shared" si="52"/>
        <v>TACURU, MS, Brasil</v>
      </c>
      <c r="C3338" s="4" t="str">
        <f>_xlfn.XLOOKUP(A3338,[1]!DadosGHD[CD_GEOCMU],[1]!DadosGHD[Região])</f>
        <v>CO</v>
      </c>
      <c r="D3338" s="4" t="str">
        <f>_xlfn.XLOOKUP(A3338,[1]!DadosGHD[CD_GEOCMU],[1]!DadosGHD[uf])</f>
        <v>MS</v>
      </c>
      <c r="E3338" s="5" t="str">
        <f>_xlfn.XLOOKUP(A3338,[1]!DadosGHD[CD_GEOCMU],[1]!DadosGHD[MUNICIPIO])</f>
        <v>TACURU</v>
      </c>
      <c r="F3338" s="6">
        <v>43.628623962402301</v>
      </c>
      <c r="G3338" s="6">
        <v>43.648597717285199</v>
      </c>
      <c r="H3338" s="6">
        <v>38.800323486328097</v>
      </c>
      <c r="I3338" s="6">
        <v>38.747615814208999</v>
      </c>
      <c r="J3338" s="6">
        <v>33.858005523681598</v>
      </c>
      <c r="K3338" s="6">
        <v>33.897106170654297</v>
      </c>
      <c r="L3338" s="6">
        <v>30.721212387085</v>
      </c>
    </row>
    <row r="3339" spans="1:12" x14ac:dyDescent="0.25">
      <c r="A3339">
        <v>1703057</v>
      </c>
      <c r="B3339" t="str">
        <f t="shared" si="52"/>
        <v>BANDEIRANTES DO TOCANTINS, TO, Brasil</v>
      </c>
      <c r="C3339" s="4" t="str">
        <f>_xlfn.XLOOKUP(A3339,[1]!DadosGHD[CD_GEOCMU],[1]!DadosGHD[Região])</f>
        <v>NO</v>
      </c>
      <c r="D3339" s="4" t="str">
        <f>_xlfn.XLOOKUP(A3339,[1]!DadosGHD[CD_GEOCMU],[1]!DadosGHD[uf])</f>
        <v>TO</v>
      </c>
      <c r="E3339" s="5" t="str">
        <f>_xlfn.XLOOKUP(A3339,[1]!DadosGHD[CD_GEOCMU],[1]!DadosGHD[MUNICIPIO])</f>
        <v>BANDEIRANTES DO TOCANTINS</v>
      </c>
      <c r="F3339" s="6">
        <v>43.629058837890597</v>
      </c>
      <c r="G3339" s="6">
        <v>38.779731750488303</v>
      </c>
      <c r="H3339" s="6">
        <v>38.812416076660199</v>
      </c>
      <c r="I3339" s="6">
        <v>38.7794799804688</v>
      </c>
      <c r="J3339" s="6">
        <v>38.805343627929702</v>
      </c>
      <c r="K3339" s="6">
        <v>38.827281951904297</v>
      </c>
      <c r="L3339" s="6">
        <v>30.702651977539102</v>
      </c>
    </row>
    <row r="3340" spans="1:12" x14ac:dyDescent="0.25">
      <c r="A3340">
        <v>4107124</v>
      </c>
      <c r="B3340" t="str">
        <f t="shared" si="52"/>
        <v>DIAMANTE DO SUL, PR, Brasil</v>
      </c>
      <c r="C3340" s="4" t="str">
        <f>_xlfn.XLOOKUP(A3340,[1]!DadosGHD[CD_GEOCMU],[1]!DadosGHD[Região])</f>
        <v>SL</v>
      </c>
      <c r="D3340" s="4" t="str">
        <f>_xlfn.XLOOKUP(A3340,[1]!DadosGHD[CD_GEOCMU],[1]!DadosGHD[uf])</f>
        <v>PR</v>
      </c>
      <c r="E3340" s="5" t="str">
        <f>_xlfn.XLOOKUP(A3340,[1]!DadosGHD[CD_GEOCMU],[1]!DadosGHD[MUNICIPIO])</f>
        <v>DIAMANTE DO SUL</v>
      </c>
      <c r="F3340" s="6">
        <v>43.629093170166001</v>
      </c>
      <c r="G3340" s="6">
        <v>48.692344665527301</v>
      </c>
      <c r="H3340" s="6">
        <v>48.748477935791001</v>
      </c>
      <c r="I3340" s="6">
        <v>43.695320129394503</v>
      </c>
      <c r="J3340" s="6">
        <v>53.7344360351563</v>
      </c>
      <c r="K3340" s="6">
        <v>48.844470977783203</v>
      </c>
      <c r="L3340" s="6">
        <v>44.028556823730497</v>
      </c>
    </row>
    <row r="3341" spans="1:12" x14ac:dyDescent="0.25">
      <c r="A3341">
        <v>3116001</v>
      </c>
      <c r="B3341" t="str">
        <f t="shared" si="52"/>
        <v>CHALE, MG, Brasil</v>
      </c>
      <c r="C3341" s="4" t="str">
        <f>_xlfn.XLOOKUP(A3341,[1]!DadosGHD[CD_GEOCMU],[1]!DadosGHD[Região])</f>
        <v>SD</v>
      </c>
      <c r="D3341" s="4" t="str">
        <f>_xlfn.XLOOKUP(A3341,[1]!DadosGHD[CD_GEOCMU],[1]!DadosGHD[uf])</f>
        <v>MG</v>
      </c>
      <c r="E3341" s="5" t="str">
        <f>_xlfn.XLOOKUP(A3341,[1]!DadosGHD[CD_GEOCMU],[1]!DadosGHD[MUNICIPIO])</f>
        <v>CHALE</v>
      </c>
      <c r="F3341" s="6">
        <v>43.629776000976598</v>
      </c>
      <c r="G3341" s="6">
        <v>43.732734680175803</v>
      </c>
      <c r="H3341" s="6">
        <v>43.786598205566399</v>
      </c>
      <c r="I3341" s="6">
        <v>43.771900177002003</v>
      </c>
      <c r="J3341" s="6">
        <v>43.805973052978501</v>
      </c>
      <c r="K3341" s="6">
        <v>43.836551666259801</v>
      </c>
      <c r="L3341" s="6">
        <v>39.562061309814503</v>
      </c>
    </row>
    <row r="3342" spans="1:12" x14ac:dyDescent="0.25">
      <c r="A3342">
        <v>4217402</v>
      </c>
      <c r="B3342" t="str">
        <f t="shared" si="52"/>
        <v>SCHROEDER, SC, Brasil</v>
      </c>
      <c r="C3342" s="4" t="str">
        <f>_xlfn.XLOOKUP(A3342,[1]!DadosGHD[CD_GEOCMU],[1]!DadosGHD[Região])</f>
        <v>SL</v>
      </c>
      <c r="D3342" s="4" t="str">
        <f>_xlfn.XLOOKUP(A3342,[1]!DadosGHD[CD_GEOCMU],[1]!DadosGHD[uf])</f>
        <v>SC</v>
      </c>
      <c r="E3342" s="5" t="str">
        <f>_xlfn.XLOOKUP(A3342,[1]!DadosGHD[CD_GEOCMU],[1]!DadosGHD[MUNICIPIO])</f>
        <v>SCHROEDER</v>
      </c>
      <c r="F3342" s="6">
        <v>43.629936218261697</v>
      </c>
      <c r="G3342" s="6">
        <v>48.743869781494098</v>
      </c>
      <c r="H3342" s="6">
        <v>53.776905059814503</v>
      </c>
      <c r="I3342" s="6">
        <v>48.700405120849602</v>
      </c>
      <c r="J3342" s="6">
        <v>48.840137481689503</v>
      </c>
      <c r="K3342" s="6">
        <v>48.887287139892599</v>
      </c>
      <c r="L3342" s="6">
        <v>53.066169738769503</v>
      </c>
    </row>
    <row r="3343" spans="1:12" x14ac:dyDescent="0.25">
      <c r="A3343">
        <v>4112009</v>
      </c>
      <c r="B3343" t="str">
        <f t="shared" si="52"/>
        <v>JAGUARIAIVA, PR, Brasil</v>
      </c>
      <c r="C3343" s="4" t="str">
        <f>_xlfn.XLOOKUP(A3343,[1]!DadosGHD[CD_GEOCMU],[1]!DadosGHD[Região])</f>
        <v>SL</v>
      </c>
      <c r="D3343" s="4" t="str">
        <f>_xlfn.XLOOKUP(A3343,[1]!DadosGHD[CD_GEOCMU],[1]!DadosGHD[uf])</f>
        <v>PR</v>
      </c>
      <c r="E3343" s="5" t="str">
        <f>_xlfn.XLOOKUP(A3343,[1]!DadosGHD[CD_GEOCMU],[1]!DadosGHD[MUNICIPIO])</f>
        <v>JAGUARIAIVA</v>
      </c>
      <c r="F3343" s="6">
        <v>43.630020141601598</v>
      </c>
      <c r="G3343" s="6">
        <v>43.731842041015597</v>
      </c>
      <c r="H3343" s="6">
        <v>43.748123168945298</v>
      </c>
      <c r="I3343" s="6">
        <v>43.718498229980497</v>
      </c>
      <c r="J3343" s="6">
        <v>43.7235298156738</v>
      </c>
      <c r="K3343" s="6">
        <v>43.810867309570298</v>
      </c>
      <c r="L3343" s="6">
        <v>39.6124458312988</v>
      </c>
    </row>
    <row r="3344" spans="1:12" x14ac:dyDescent="0.25">
      <c r="A3344">
        <v>1100346</v>
      </c>
      <c r="B3344" t="str">
        <f t="shared" si="52"/>
        <v>ALVORADA D'OESTE, RO, Brasil</v>
      </c>
      <c r="C3344" s="4" t="str">
        <f>_xlfn.XLOOKUP(A3344,[1]!DadosGHD[CD_GEOCMU],[1]!DadosGHD[Região])</f>
        <v>NO</v>
      </c>
      <c r="D3344" s="4" t="str">
        <f>_xlfn.XLOOKUP(A3344,[1]!DadosGHD[CD_GEOCMU],[1]!DadosGHD[uf])</f>
        <v>RO</v>
      </c>
      <c r="E3344" s="5" t="str">
        <f>_xlfn.XLOOKUP(A3344,[1]!DadosGHD[CD_GEOCMU],[1]!DadosGHD[MUNICIPIO])</f>
        <v>ALVORADA D'OESTE</v>
      </c>
      <c r="F3344" s="6">
        <v>43.630062103271499</v>
      </c>
      <c r="G3344" s="6">
        <v>48.693344116210902</v>
      </c>
      <c r="H3344" s="6">
        <v>53.750324249267599</v>
      </c>
      <c r="I3344" s="6">
        <v>53.775001525878899</v>
      </c>
      <c r="J3344" s="6">
        <v>53.851642608642599</v>
      </c>
      <c r="K3344" s="6">
        <v>53.907455444335902</v>
      </c>
      <c r="L3344" s="6">
        <v>48.489990234375</v>
      </c>
    </row>
    <row r="3345" spans="1:12" x14ac:dyDescent="0.25">
      <c r="A3345">
        <v>4113106</v>
      </c>
      <c r="B3345" t="str">
        <f t="shared" si="52"/>
        <v>KALORE, PR, Brasil</v>
      </c>
      <c r="C3345" s="4" t="str">
        <f>_xlfn.XLOOKUP(A3345,[1]!DadosGHD[CD_GEOCMU],[1]!DadosGHD[Região])</f>
        <v>SL</v>
      </c>
      <c r="D3345" s="4" t="str">
        <f>_xlfn.XLOOKUP(A3345,[1]!DadosGHD[CD_GEOCMU],[1]!DadosGHD[uf])</f>
        <v>PR</v>
      </c>
      <c r="E3345" s="5" t="str">
        <f>_xlfn.XLOOKUP(A3345,[1]!DadosGHD[CD_GEOCMU],[1]!DadosGHD[MUNICIPIO])</f>
        <v>KALORE</v>
      </c>
      <c r="F3345" s="6">
        <v>43.630260467529297</v>
      </c>
      <c r="G3345" s="6">
        <v>48.704875946044901</v>
      </c>
      <c r="H3345" s="6">
        <v>48.794471740722699</v>
      </c>
      <c r="I3345" s="6">
        <v>48.784774780273402</v>
      </c>
      <c r="J3345" s="6">
        <v>48.785564422607401</v>
      </c>
      <c r="K3345" s="6">
        <v>48.865890502929702</v>
      </c>
      <c r="L3345" s="6">
        <v>44.071811676025398</v>
      </c>
    </row>
    <row r="3346" spans="1:12" x14ac:dyDescent="0.25">
      <c r="A3346">
        <v>4122156</v>
      </c>
      <c r="B3346" t="str">
        <f t="shared" si="52"/>
        <v>RIO BONITO DO IGUACU, PR, Brasil</v>
      </c>
      <c r="C3346" s="4" t="str">
        <f>_xlfn.XLOOKUP(A3346,[1]!DadosGHD[CD_GEOCMU],[1]!DadosGHD[Região])</f>
        <v>SL</v>
      </c>
      <c r="D3346" s="4" t="str">
        <f>_xlfn.XLOOKUP(A3346,[1]!DadosGHD[CD_GEOCMU],[1]!DadosGHD[uf])</f>
        <v>PR</v>
      </c>
      <c r="E3346" s="5" t="str">
        <f>_xlfn.XLOOKUP(A3346,[1]!DadosGHD[CD_GEOCMU],[1]!DadosGHD[MUNICIPIO])</f>
        <v>RIO BONITO DO IGUACU</v>
      </c>
      <c r="F3346" s="6">
        <v>43.630771636962898</v>
      </c>
      <c r="G3346" s="6">
        <v>48.643058776855497</v>
      </c>
      <c r="H3346" s="6">
        <v>43.823379516601598</v>
      </c>
      <c r="I3346" s="6">
        <v>43.795581817627003</v>
      </c>
      <c r="J3346" s="6">
        <v>43.819023132324197</v>
      </c>
      <c r="K3346" s="6">
        <v>43.8633422851563</v>
      </c>
      <c r="L3346" s="6">
        <v>39.584804534912102</v>
      </c>
    </row>
    <row r="3347" spans="1:12" x14ac:dyDescent="0.25">
      <c r="A3347">
        <v>3543501</v>
      </c>
      <c r="B3347" t="str">
        <f t="shared" si="52"/>
        <v>RIVERSUL, SP, Brasil</v>
      </c>
      <c r="C3347" s="4" t="str">
        <f>_xlfn.XLOOKUP(A3347,[1]!DadosGHD[CD_GEOCMU],[1]!DadosGHD[Região])</f>
        <v>SD</v>
      </c>
      <c r="D3347" s="4" t="str">
        <f>_xlfn.XLOOKUP(A3347,[1]!DadosGHD[CD_GEOCMU],[1]!DadosGHD[uf])</f>
        <v>SP</v>
      </c>
      <c r="E3347" s="5" t="str">
        <f>_xlfn.XLOOKUP(A3347,[1]!DadosGHD[CD_GEOCMU],[1]!DadosGHD[MUNICIPIO])</f>
        <v>RIVERSUL</v>
      </c>
      <c r="F3347" s="6">
        <v>43.6309623718262</v>
      </c>
      <c r="G3347" s="6">
        <v>38.715358734130902</v>
      </c>
      <c r="H3347" s="6">
        <v>38.773075103759801</v>
      </c>
      <c r="I3347" s="6">
        <v>43.688255310058601</v>
      </c>
      <c r="J3347" s="6">
        <v>38.841690063476598</v>
      </c>
      <c r="K3347" s="6">
        <v>43.767692565917997</v>
      </c>
      <c r="L3347" s="6">
        <v>48.5029296875</v>
      </c>
    </row>
    <row r="3348" spans="1:12" x14ac:dyDescent="0.25">
      <c r="A3348">
        <v>3104106</v>
      </c>
      <c r="B3348" t="str">
        <f t="shared" si="52"/>
        <v>ARCEBURGO, MG, Brasil</v>
      </c>
      <c r="C3348" s="4" t="str">
        <f>_xlfn.XLOOKUP(A3348,[1]!DadosGHD[CD_GEOCMU],[1]!DadosGHD[Região])</f>
        <v>SD</v>
      </c>
      <c r="D3348" s="4" t="str">
        <f>_xlfn.XLOOKUP(A3348,[1]!DadosGHD[CD_GEOCMU],[1]!DadosGHD[uf])</f>
        <v>MG</v>
      </c>
      <c r="E3348" s="5" t="str">
        <f>_xlfn.XLOOKUP(A3348,[1]!DadosGHD[CD_GEOCMU],[1]!DadosGHD[MUNICIPIO])</f>
        <v>ARCEBURGO</v>
      </c>
      <c r="F3348" s="6">
        <v>43.630992889404297</v>
      </c>
      <c r="G3348" s="6">
        <v>43.765304565429702</v>
      </c>
      <c r="H3348" s="6">
        <v>53.788616180419901</v>
      </c>
      <c r="I3348" s="6">
        <v>53.728954315185597</v>
      </c>
      <c r="J3348" s="6">
        <v>53.746109008789098</v>
      </c>
      <c r="K3348" s="6">
        <v>48.8739013671875</v>
      </c>
      <c r="L3348" s="6">
        <v>53.049148559570298</v>
      </c>
    </row>
    <row r="3349" spans="1:12" x14ac:dyDescent="0.25">
      <c r="A3349">
        <v>2211308</v>
      </c>
      <c r="B3349" t="str">
        <f t="shared" si="52"/>
        <v>VALENCA DO PIAUI, PI, Brasil</v>
      </c>
      <c r="C3349" s="4" t="str">
        <f>_xlfn.XLOOKUP(A3349,[1]!DadosGHD[CD_GEOCMU],[1]!DadosGHD[Região])</f>
        <v>NE</v>
      </c>
      <c r="D3349" s="4" t="str">
        <f>_xlfn.XLOOKUP(A3349,[1]!DadosGHD[CD_GEOCMU],[1]!DadosGHD[uf])</f>
        <v>PI</v>
      </c>
      <c r="E3349" s="5" t="str">
        <f>_xlfn.XLOOKUP(A3349,[1]!DadosGHD[CD_GEOCMU],[1]!DadosGHD[MUNICIPIO])</f>
        <v>VALENCA DO PIAUI</v>
      </c>
      <c r="F3349" s="6">
        <v>43.631183624267599</v>
      </c>
      <c r="G3349" s="6">
        <v>43.721767425537102</v>
      </c>
      <c r="H3349" s="6">
        <v>43.759513854980497</v>
      </c>
      <c r="I3349" s="6">
        <v>43.754852294921903</v>
      </c>
      <c r="J3349" s="6">
        <v>43.7855033874512</v>
      </c>
      <c r="K3349" s="6">
        <v>48.773735046386697</v>
      </c>
      <c r="L3349" s="6">
        <v>44.026397705078097</v>
      </c>
    </row>
    <row r="3350" spans="1:12" x14ac:dyDescent="0.25">
      <c r="A3350">
        <v>3107505</v>
      </c>
      <c r="B3350" t="str">
        <f t="shared" si="52"/>
        <v>BOM JARDIM DE MINAS, MG, Brasil</v>
      </c>
      <c r="C3350" s="4" t="str">
        <f>_xlfn.XLOOKUP(A3350,[1]!DadosGHD[CD_GEOCMU],[1]!DadosGHD[Região])</f>
        <v>SD</v>
      </c>
      <c r="D3350" s="4" t="str">
        <f>_xlfn.XLOOKUP(A3350,[1]!DadosGHD[CD_GEOCMU],[1]!DadosGHD[uf])</f>
        <v>MG</v>
      </c>
      <c r="E3350" s="5" t="str">
        <f>_xlfn.XLOOKUP(A3350,[1]!DadosGHD[CD_GEOCMU],[1]!DadosGHD[MUNICIPIO])</f>
        <v>BOM JARDIM DE MINAS</v>
      </c>
      <c r="F3350" s="6">
        <v>43.631282806396499</v>
      </c>
      <c r="G3350" s="6">
        <v>43.698478698730497</v>
      </c>
      <c r="H3350" s="6">
        <v>43.715927124023402</v>
      </c>
      <c r="I3350" s="6">
        <v>43.704227447509801</v>
      </c>
      <c r="J3350" s="6">
        <v>43.731357574462898</v>
      </c>
      <c r="K3350" s="6">
        <v>43.805675506591797</v>
      </c>
      <c r="L3350" s="6">
        <v>44.078685760498097</v>
      </c>
    </row>
    <row r="3351" spans="1:12" x14ac:dyDescent="0.25">
      <c r="A3351">
        <v>3556503</v>
      </c>
      <c r="B3351" t="str">
        <f t="shared" si="52"/>
        <v>VARZEA PAULISTA, SP, Brasil</v>
      </c>
      <c r="C3351" s="4" t="str">
        <f>_xlfn.XLOOKUP(A3351,[1]!DadosGHD[CD_GEOCMU],[1]!DadosGHD[Região])</f>
        <v>SD</v>
      </c>
      <c r="D3351" s="4" t="str">
        <f>_xlfn.XLOOKUP(A3351,[1]!DadosGHD[CD_GEOCMU],[1]!DadosGHD[uf])</f>
        <v>SP</v>
      </c>
      <c r="E3351" s="5" t="str">
        <f>_xlfn.XLOOKUP(A3351,[1]!DadosGHD[CD_GEOCMU],[1]!DadosGHD[MUNICIPIO])</f>
        <v>VARZEA PAULISTA</v>
      </c>
      <c r="F3351" s="6">
        <v>43.631313323974602</v>
      </c>
      <c r="G3351" s="6">
        <v>43.703517913818402</v>
      </c>
      <c r="H3351" s="6">
        <v>43.747509002685597</v>
      </c>
      <c r="I3351" s="6">
        <v>38.817481994628899</v>
      </c>
      <c r="J3351" s="6">
        <v>38.814254760742202</v>
      </c>
      <c r="K3351" s="6">
        <v>38.8557319641113</v>
      </c>
      <c r="L3351" s="6">
        <v>39.5912055969238</v>
      </c>
    </row>
    <row r="3352" spans="1:12" x14ac:dyDescent="0.25">
      <c r="A3352">
        <v>3554904</v>
      </c>
      <c r="B3352" t="str">
        <f t="shared" si="52"/>
        <v>TRES FRONTEIRAS, SP, Brasil</v>
      </c>
      <c r="C3352" s="4" t="str">
        <f>_xlfn.XLOOKUP(A3352,[1]!DadosGHD[CD_GEOCMU],[1]!DadosGHD[Região])</f>
        <v>SD</v>
      </c>
      <c r="D3352" s="4" t="str">
        <f>_xlfn.XLOOKUP(A3352,[1]!DadosGHD[CD_GEOCMU],[1]!DadosGHD[uf])</f>
        <v>SP</v>
      </c>
      <c r="E3352" s="5" t="str">
        <f>_xlfn.XLOOKUP(A3352,[1]!DadosGHD[CD_GEOCMU],[1]!DadosGHD[MUNICIPIO])</f>
        <v>TRES FRONTEIRAS</v>
      </c>
      <c r="F3352" s="6">
        <v>43.631374359130902</v>
      </c>
      <c r="G3352" s="6">
        <v>43.701866149902301</v>
      </c>
      <c r="H3352" s="6">
        <v>43.783863067627003</v>
      </c>
      <c r="I3352" s="6">
        <v>43.737766265869098</v>
      </c>
      <c r="J3352" s="6">
        <v>38.808708190917997</v>
      </c>
      <c r="K3352" s="6">
        <v>38.879409790039098</v>
      </c>
      <c r="L3352" s="6">
        <v>35.117954254150398</v>
      </c>
    </row>
    <row r="3353" spans="1:12" x14ac:dyDescent="0.25">
      <c r="A3353">
        <v>3151701</v>
      </c>
      <c r="B3353" t="str">
        <f t="shared" si="52"/>
        <v>POCO FUNDO, MG, Brasil</v>
      </c>
      <c r="C3353" s="4" t="str">
        <f>_xlfn.XLOOKUP(A3353,[1]!DadosGHD[CD_GEOCMU],[1]!DadosGHD[Região])</f>
        <v>SD</v>
      </c>
      <c r="D3353" s="4" t="str">
        <f>_xlfn.XLOOKUP(A3353,[1]!DadosGHD[CD_GEOCMU],[1]!DadosGHD[uf])</f>
        <v>MG</v>
      </c>
      <c r="E3353" s="5" t="str">
        <f>_xlfn.XLOOKUP(A3353,[1]!DadosGHD[CD_GEOCMU],[1]!DadosGHD[MUNICIPIO])</f>
        <v>POCO FUNDO</v>
      </c>
      <c r="F3353" s="6">
        <v>43.631374359130902</v>
      </c>
      <c r="G3353" s="6">
        <v>43.719924926757798</v>
      </c>
      <c r="H3353" s="6">
        <v>43.779525756835902</v>
      </c>
      <c r="I3353" s="6">
        <v>43.746891021728501</v>
      </c>
      <c r="J3353" s="6">
        <v>43.766166687011697</v>
      </c>
      <c r="K3353" s="6">
        <v>43.774356842041001</v>
      </c>
      <c r="L3353" s="6">
        <v>35.158638000488303</v>
      </c>
    </row>
    <row r="3354" spans="1:12" x14ac:dyDescent="0.25">
      <c r="A3354">
        <v>3201605</v>
      </c>
      <c r="B3354" t="str">
        <f t="shared" si="52"/>
        <v>CONCEICAO DA BARRA, ES, Brasil</v>
      </c>
      <c r="C3354" s="4" t="str">
        <f>_xlfn.XLOOKUP(A3354,[1]!DadosGHD[CD_GEOCMU],[1]!DadosGHD[Região])</f>
        <v>SD</v>
      </c>
      <c r="D3354" s="4" t="str">
        <f>_xlfn.XLOOKUP(A3354,[1]!DadosGHD[CD_GEOCMU],[1]!DadosGHD[uf])</f>
        <v>ES</v>
      </c>
      <c r="E3354" s="5" t="str">
        <f>_xlfn.XLOOKUP(A3354,[1]!DadosGHD[CD_GEOCMU],[1]!DadosGHD[MUNICIPIO])</f>
        <v>CONCEICAO DA BARRA</v>
      </c>
      <c r="F3354" s="6">
        <v>43.631607055664098</v>
      </c>
      <c r="G3354" s="6">
        <v>43.650310516357401</v>
      </c>
      <c r="H3354" s="6">
        <v>38.840972900390597</v>
      </c>
      <c r="I3354" s="6">
        <v>38.806560516357401</v>
      </c>
      <c r="J3354" s="6">
        <v>38.825473785400398</v>
      </c>
      <c r="K3354" s="6">
        <v>38.867527008056598</v>
      </c>
      <c r="L3354" s="6">
        <v>35.144439697265597</v>
      </c>
    </row>
    <row r="3355" spans="1:12" x14ac:dyDescent="0.25">
      <c r="A3355">
        <v>4310553</v>
      </c>
      <c r="B3355" t="str">
        <f t="shared" si="52"/>
        <v>ITACURUBI, RS, Brasil</v>
      </c>
      <c r="C3355" s="4" t="str">
        <f>_xlfn.XLOOKUP(A3355,[1]!DadosGHD[CD_GEOCMU],[1]!DadosGHD[Região])</f>
        <v>SL</v>
      </c>
      <c r="D3355" s="4" t="str">
        <f>_xlfn.XLOOKUP(A3355,[1]!DadosGHD[CD_GEOCMU],[1]!DadosGHD[uf])</f>
        <v>RS</v>
      </c>
      <c r="E3355" s="5" t="str">
        <f>_xlfn.XLOOKUP(A3355,[1]!DadosGHD[CD_GEOCMU],[1]!DadosGHD[MUNICIPIO])</f>
        <v>ITACURUBI</v>
      </c>
      <c r="F3355" s="6">
        <v>43.631954193115199</v>
      </c>
      <c r="G3355" s="6">
        <v>43.7540283203125</v>
      </c>
      <c r="H3355" s="6">
        <v>43.808609008789098</v>
      </c>
      <c r="I3355" s="6">
        <v>43.782920837402301</v>
      </c>
      <c r="J3355" s="6">
        <v>43.825439453125</v>
      </c>
      <c r="K3355" s="6">
        <v>43.827915191650398</v>
      </c>
      <c r="L3355" s="6">
        <v>35.140056610107401</v>
      </c>
    </row>
    <row r="3356" spans="1:12" x14ac:dyDescent="0.25">
      <c r="A3356">
        <v>4127007</v>
      </c>
      <c r="B3356" t="str">
        <f t="shared" si="52"/>
        <v>TEIXEIRA SOARES, PR, Brasil</v>
      </c>
      <c r="C3356" s="4" t="str">
        <f>_xlfn.XLOOKUP(A3356,[1]!DadosGHD[CD_GEOCMU],[1]!DadosGHD[Região])</f>
        <v>SL</v>
      </c>
      <c r="D3356" s="4" t="str">
        <f>_xlfn.XLOOKUP(A3356,[1]!DadosGHD[CD_GEOCMU],[1]!DadosGHD[uf])</f>
        <v>PR</v>
      </c>
      <c r="E3356" s="5" t="str">
        <f>_xlfn.XLOOKUP(A3356,[1]!DadosGHD[CD_GEOCMU],[1]!DadosGHD[MUNICIPIO])</f>
        <v>TEIXEIRA SOARES</v>
      </c>
      <c r="F3356" s="6">
        <v>43.632236480712898</v>
      </c>
      <c r="G3356" s="6">
        <v>43.669528961181598</v>
      </c>
      <c r="H3356" s="6">
        <v>38.8443794250488</v>
      </c>
      <c r="I3356" s="6">
        <v>38.803058624267599</v>
      </c>
      <c r="J3356" s="6">
        <v>38.811759948730497</v>
      </c>
      <c r="K3356" s="6">
        <v>38.838054656982401</v>
      </c>
      <c r="L3356" s="6">
        <v>35.131107330322301</v>
      </c>
    </row>
    <row r="3357" spans="1:12" x14ac:dyDescent="0.25">
      <c r="A3357">
        <v>4111407</v>
      </c>
      <c r="B3357" t="str">
        <f t="shared" si="52"/>
        <v>IVAI, PR, Brasil</v>
      </c>
      <c r="C3357" s="4" t="str">
        <f>_xlfn.XLOOKUP(A3357,[1]!DadosGHD[CD_GEOCMU],[1]!DadosGHD[Região])</f>
        <v>SL</v>
      </c>
      <c r="D3357" s="4" t="str">
        <f>_xlfn.XLOOKUP(A3357,[1]!DadosGHD[CD_GEOCMU],[1]!DadosGHD[uf])</f>
        <v>PR</v>
      </c>
      <c r="E3357" s="5" t="str">
        <f>_xlfn.XLOOKUP(A3357,[1]!DadosGHD[CD_GEOCMU],[1]!DadosGHD[MUNICIPIO])</f>
        <v>IVAI</v>
      </c>
      <c r="F3357" s="6">
        <v>43.6325492858887</v>
      </c>
      <c r="G3357" s="6">
        <v>43.673439025878899</v>
      </c>
      <c r="H3357" s="6">
        <v>38.811855316162102</v>
      </c>
      <c r="I3357" s="6">
        <v>38.779621124267599</v>
      </c>
      <c r="J3357" s="6">
        <v>38.801307678222699</v>
      </c>
      <c r="K3357" s="6">
        <v>38.836799621582003</v>
      </c>
      <c r="L3357" s="6">
        <v>30.689048767089801</v>
      </c>
    </row>
    <row r="3358" spans="1:12" x14ac:dyDescent="0.25">
      <c r="A3358">
        <v>1705557</v>
      </c>
      <c r="B3358" t="str">
        <f t="shared" si="52"/>
        <v>COMBINADO, TO, Brasil</v>
      </c>
      <c r="C3358" s="4" t="str">
        <f>_xlfn.XLOOKUP(A3358,[1]!DadosGHD[CD_GEOCMU],[1]!DadosGHD[Região])</f>
        <v>NO</v>
      </c>
      <c r="D3358" s="4" t="str">
        <f>_xlfn.XLOOKUP(A3358,[1]!DadosGHD[CD_GEOCMU],[1]!DadosGHD[uf])</f>
        <v>TO</v>
      </c>
      <c r="E3358" s="5" t="str">
        <f>_xlfn.XLOOKUP(A3358,[1]!DadosGHD[CD_GEOCMU],[1]!DadosGHD[MUNICIPIO])</f>
        <v>COMBINADO</v>
      </c>
      <c r="F3358" s="6">
        <v>43.632595062255902</v>
      </c>
      <c r="G3358" s="6">
        <v>43.677707672119098</v>
      </c>
      <c r="H3358" s="6">
        <v>43.733787536621101</v>
      </c>
      <c r="I3358" s="6">
        <v>43.711460113525398</v>
      </c>
      <c r="J3358" s="6">
        <v>33.887649536132798</v>
      </c>
      <c r="K3358" s="6">
        <v>33.910800933837898</v>
      </c>
      <c r="L3358" s="6">
        <v>26.2975044250488</v>
      </c>
    </row>
    <row r="3359" spans="1:12" x14ac:dyDescent="0.25">
      <c r="A3359">
        <v>5206701</v>
      </c>
      <c r="B3359" t="str">
        <f t="shared" si="52"/>
        <v>DAMIANOPOLIS, GO, Brasil</v>
      </c>
      <c r="C3359" s="4" t="str">
        <f>_xlfn.XLOOKUP(A3359,[1]!DadosGHD[CD_GEOCMU],[1]!DadosGHD[Região])</f>
        <v>CO</v>
      </c>
      <c r="D3359" s="4" t="str">
        <f>_xlfn.XLOOKUP(A3359,[1]!DadosGHD[CD_GEOCMU],[1]!DadosGHD[uf])</f>
        <v>GO</v>
      </c>
      <c r="E3359" s="5" t="str">
        <f>_xlfn.XLOOKUP(A3359,[1]!DadosGHD[CD_GEOCMU],[1]!DadosGHD[MUNICIPIO])</f>
        <v>DAMIANOPOLIS</v>
      </c>
      <c r="F3359" s="6">
        <v>43.632900238037102</v>
      </c>
      <c r="G3359" s="6">
        <v>38.782321929931598</v>
      </c>
      <c r="H3359" s="6">
        <v>38.825279235839801</v>
      </c>
      <c r="I3359" s="6">
        <v>38.799079895019503</v>
      </c>
      <c r="J3359" s="6">
        <v>38.813156127929702</v>
      </c>
      <c r="K3359" s="6">
        <v>38.848079681396499</v>
      </c>
      <c r="L3359" s="6">
        <v>30.696609497070298</v>
      </c>
    </row>
    <row r="3360" spans="1:12" x14ac:dyDescent="0.25">
      <c r="A3360">
        <v>3138401</v>
      </c>
      <c r="B3360" t="str">
        <f t="shared" si="52"/>
        <v>LEOPOLDINA, MG, Brasil</v>
      </c>
      <c r="C3360" s="4" t="str">
        <f>_xlfn.XLOOKUP(A3360,[1]!DadosGHD[CD_GEOCMU],[1]!DadosGHD[Região])</f>
        <v>SD</v>
      </c>
      <c r="D3360" s="4" t="str">
        <f>_xlfn.XLOOKUP(A3360,[1]!DadosGHD[CD_GEOCMU],[1]!DadosGHD[uf])</f>
        <v>MG</v>
      </c>
      <c r="E3360" s="5" t="str">
        <f>_xlfn.XLOOKUP(A3360,[1]!DadosGHD[CD_GEOCMU],[1]!DadosGHD[MUNICIPIO])</f>
        <v>LEOPOLDINA</v>
      </c>
      <c r="F3360" s="6">
        <v>43.633270263671903</v>
      </c>
      <c r="G3360" s="6">
        <v>43.728759765625</v>
      </c>
      <c r="H3360" s="6">
        <v>43.772247314453097</v>
      </c>
      <c r="I3360" s="6">
        <v>43.740013122558601</v>
      </c>
      <c r="J3360" s="6">
        <v>43.7734565734863</v>
      </c>
      <c r="K3360" s="6">
        <v>43.802299499511697</v>
      </c>
      <c r="L3360" s="6">
        <v>39.594387054443402</v>
      </c>
    </row>
    <row r="3361" spans="1:12" x14ac:dyDescent="0.25">
      <c r="A3361">
        <v>4127809</v>
      </c>
      <c r="B3361" t="str">
        <f t="shared" si="52"/>
        <v>TOMAZINA, PR, Brasil</v>
      </c>
      <c r="C3361" s="4" t="str">
        <f>_xlfn.XLOOKUP(A3361,[1]!DadosGHD[CD_GEOCMU],[1]!DadosGHD[Região])</f>
        <v>SL</v>
      </c>
      <c r="D3361" s="4" t="str">
        <f>_xlfn.XLOOKUP(A3361,[1]!DadosGHD[CD_GEOCMU],[1]!DadosGHD[uf])</f>
        <v>PR</v>
      </c>
      <c r="E3361" s="5" t="str">
        <f>_xlfn.XLOOKUP(A3361,[1]!DadosGHD[CD_GEOCMU],[1]!DadosGHD[MUNICIPIO])</f>
        <v>TOMAZINA</v>
      </c>
      <c r="F3361" s="6">
        <v>43.633399963378899</v>
      </c>
      <c r="G3361" s="6">
        <v>48.6304740905762</v>
      </c>
      <c r="H3361" s="6">
        <v>48.720775604248097</v>
      </c>
      <c r="I3361" s="6">
        <v>48.692859649658203</v>
      </c>
      <c r="J3361" s="6">
        <v>48.7269096374512</v>
      </c>
      <c r="K3361" s="6">
        <v>48.8210639953613</v>
      </c>
      <c r="L3361" s="6">
        <v>39.571537017822301</v>
      </c>
    </row>
    <row r="3362" spans="1:12" x14ac:dyDescent="0.25">
      <c r="A3362">
        <v>3160702</v>
      </c>
      <c r="B3362" t="str">
        <f t="shared" si="52"/>
        <v>SANTOS DUMONT, MG, Brasil</v>
      </c>
      <c r="C3362" s="4" t="str">
        <f>_xlfn.XLOOKUP(A3362,[1]!DadosGHD[CD_GEOCMU],[1]!DadosGHD[Região])</f>
        <v>SD</v>
      </c>
      <c r="D3362" s="4" t="str">
        <f>_xlfn.XLOOKUP(A3362,[1]!DadosGHD[CD_GEOCMU],[1]!DadosGHD[uf])</f>
        <v>MG</v>
      </c>
      <c r="E3362" s="5" t="str">
        <f>_xlfn.XLOOKUP(A3362,[1]!DadosGHD[CD_GEOCMU],[1]!DadosGHD[MUNICIPIO])</f>
        <v>SANTOS DUMONT</v>
      </c>
      <c r="F3362" s="6">
        <v>43.633457183837898</v>
      </c>
      <c r="G3362" s="6">
        <v>48.677742004394503</v>
      </c>
      <c r="H3362" s="6">
        <v>48.745967864990199</v>
      </c>
      <c r="I3362" s="6">
        <v>48.729713439941399</v>
      </c>
      <c r="J3362" s="6">
        <v>48.770374298095703</v>
      </c>
      <c r="K3362" s="6">
        <v>48.818546295166001</v>
      </c>
      <c r="L3362" s="6">
        <v>53.0502738952637</v>
      </c>
    </row>
    <row r="3363" spans="1:12" x14ac:dyDescent="0.25">
      <c r="A3363">
        <v>4301909</v>
      </c>
      <c r="B3363" t="str">
        <f t="shared" si="52"/>
        <v>BARRA DO RIBEIRO, RS, Brasil</v>
      </c>
      <c r="C3363" s="4" t="str">
        <f>_xlfn.XLOOKUP(A3363,[1]!DadosGHD[CD_GEOCMU],[1]!DadosGHD[Região])</f>
        <v>SL</v>
      </c>
      <c r="D3363" s="4" t="str">
        <f>_xlfn.XLOOKUP(A3363,[1]!DadosGHD[CD_GEOCMU],[1]!DadosGHD[uf])</f>
        <v>RS</v>
      </c>
      <c r="E3363" s="5" t="str">
        <f>_xlfn.XLOOKUP(A3363,[1]!DadosGHD[CD_GEOCMU],[1]!DadosGHD[MUNICIPIO])</f>
        <v>BARRA DO RIBEIRO</v>
      </c>
      <c r="F3363" s="6">
        <v>43.633480072021499</v>
      </c>
      <c r="G3363" s="6">
        <v>43.658500671386697</v>
      </c>
      <c r="H3363" s="6">
        <v>43.711051940917997</v>
      </c>
      <c r="I3363" s="6">
        <v>48.695224761962898</v>
      </c>
      <c r="J3363" s="6">
        <v>48.743869781494098</v>
      </c>
      <c r="K3363" s="6">
        <v>48.785266876220703</v>
      </c>
      <c r="L3363" s="6">
        <v>53.056041717529297</v>
      </c>
    </row>
    <row r="3364" spans="1:12" x14ac:dyDescent="0.25">
      <c r="A3364">
        <v>3515004</v>
      </c>
      <c r="B3364" t="str">
        <f t="shared" si="52"/>
        <v>EMBU DAS ARTES, SP, Brasil</v>
      </c>
      <c r="C3364" s="4" t="str">
        <f>_xlfn.XLOOKUP(A3364,[1]!DadosGHD[CD_GEOCMU],[1]!DadosGHD[Região])</f>
        <v>SD</v>
      </c>
      <c r="D3364" s="4" t="str">
        <f>_xlfn.XLOOKUP(A3364,[1]!DadosGHD[CD_GEOCMU],[1]!DadosGHD[uf])</f>
        <v>SP</v>
      </c>
      <c r="E3364" s="5" t="str">
        <f>_xlfn.XLOOKUP(A3364,[1]!DadosGHD[CD_GEOCMU],[1]!DadosGHD[MUNICIPIO])</f>
        <v>EMBU DAS ARTES</v>
      </c>
      <c r="F3364" s="6">
        <v>43.633556365966797</v>
      </c>
      <c r="G3364" s="6">
        <v>43.704753875732401</v>
      </c>
      <c r="H3364" s="6">
        <v>43.739517211914098</v>
      </c>
      <c r="I3364" s="6">
        <v>43.704917907714801</v>
      </c>
      <c r="J3364" s="6">
        <v>38.8371391296387</v>
      </c>
      <c r="K3364" s="6">
        <v>38.839466094970703</v>
      </c>
      <c r="L3364" s="6">
        <v>39.5923042297363</v>
      </c>
    </row>
    <row r="3365" spans="1:12" x14ac:dyDescent="0.25">
      <c r="A3365">
        <v>3166956</v>
      </c>
      <c r="B3365" t="str">
        <f t="shared" si="52"/>
        <v>SERRANOPOLIS DE MINAS, MG, Brasil</v>
      </c>
      <c r="C3365" s="4" t="str">
        <f>_xlfn.XLOOKUP(A3365,[1]!DadosGHD[CD_GEOCMU],[1]!DadosGHD[Região])</f>
        <v>SD</v>
      </c>
      <c r="D3365" s="4" t="str">
        <f>_xlfn.XLOOKUP(A3365,[1]!DadosGHD[CD_GEOCMU],[1]!DadosGHD[uf])</f>
        <v>MG</v>
      </c>
      <c r="E3365" s="5" t="str">
        <f>_xlfn.XLOOKUP(A3365,[1]!DadosGHD[CD_GEOCMU],[1]!DadosGHD[MUNICIPIO])</f>
        <v>SERRANOPOLIS DE MINAS</v>
      </c>
      <c r="F3365" s="6">
        <v>43.6338500976563</v>
      </c>
      <c r="G3365" s="6">
        <v>38.774444580078097</v>
      </c>
      <c r="H3365" s="6">
        <v>38.805046081542997</v>
      </c>
      <c r="I3365" s="6">
        <v>38.773136138916001</v>
      </c>
      <c r="J3365" s="6">
        <v>33.881515502929702</v>
      </c>
      <c r="K3365" s="6">
        <v>33.905567169189503</v>
      </c>
      <c r="L3365" s="6">
        <v>30.720291137695298</v>
      </c>
    </row>
    <row r="3366" spans="1:12" x14ac:dyDescent="0.25">
      <c r="A3366">
        <v>2912806</v>
      </c>
      <c r="B3366" t="str">
        <f t="shared" si="52"/>
        <v>IBIRAPUA, BA, Brasil</v>
      </c>
      <c r="C3366" s="4" t="str">
        <f>_xlfn.XLOOKUP(A3366,[1]!DadosGHD[CD_GEOCMU],[1]!DadosGHD[Região])</f>
        <v>NE</v>
      </c>
      <c r="D3366" s="4" t="str">
        <f>_xlfn.XLOOKUP(A3366,[1]!DadosGHD[CD_GEOCMU],[1]!DadosGHD[uf])</f>
        <v>BA</v>
      </c>
      <c r="E3366" s="5" t="str">
        <f>_xlfn.XLOOKUP(A3366,[1]!DadosGHD[CD_GEOCMU],[1]!DadosGHD[MUNICIPIO])</f>
        <v>IBIRAPUA</v>
      </c>
      <c r="F3366" s="6">
        <v>43.633998870849602</v>
      </c>
      <c r="G3366" s="6">
        <v>48.652667999267599</v>
      </c>
      <c r="H3366" s="6">
        <v>48.787002563476598</v>
      </c>
      <c r="I3366" s="6">
        <v>48.792392730712898</v>
      </c>
      <c r="J3366" s="6">
        <v>48.779010772705099</v>
      </c>
      <c r="K3366" s="6">
        <v>38.878669738769503</v>
      </c>
      <c r="L3366" s="6">
        <v>35.151638031005902</v>
      </c>
    </row>
    <row r="3367" spans="1:12" x14ac:dyDescent="0.25">
      <c r="A3367">
        <v>3126901</v>
      </c>
      <c r="B3367" t="str">
        <f t="shared" si="52"/>
        <v>FREI INOCENCIO, MG, Brasil</v>
      </c>
      <c r="C3367" s="4" t="str">
        <f>_xlfn.XLOOKUP(A3367,[1]!DadosGHD[CD_GEOCMU],[1]!DadosGHD[Região])</f>
        <v>SD</v>
      </c>
      <c r="D3367" s="4" t="str">
        <f>_xlfn.XLOOKUP(A3367,[1]!DadosGHD[CD_GEOCMU],[1]!DadosGHD[uf])</f>
        <v>MG</v>
      </c>
      <c r="E3367" s="5" t="str">
        <f>_xlfn.XLOOKUP(A3367,[1]!DadosGHD[CD_GEOCMU],[1]!DadosGHD[MUNICIPIO])</f>
        <v>FREI INOCENCIO</v>
      </c>
      <c r="F3367" s="6">
        <v>43.634002685546903</v>
      </c>
      <c r="G3367" s="6">
        <v>38.7508544921875</v>
      </c>
      <c r="H3367" s="6">
        <v>38.815582275390597</v>
      </c>
      <c r="I3367" s="6">
        <v>38.775764465332003</v>
      </c>
      <c r="J3367" s="6">
        <v>38.843414306640597</v>
      </c>
      <c r="K3367" s="6">
        <v>43.766841888427699</v>
      </c>
      <c r="L3367" s="6">
        <v>44.0392456054688</v>
      </c>
    </row>
    <row r="3368" spans="1:12" x14ac:dyDescent="0.25">
      <c r="A3368">
        <v>4113429</v>
      </c>
      <c r="B3368" t="str">
        <f t="shared" si="52"/>
        <v>LIDIANOPOLIS, PR, Brasil</v>
      </c>
      <c r="C3368" s="4" t="str">
        <f>_xlfn.XLOOKUP(A3368,[1]!DadosGHD[CD_GEOCMU],[1]!DadosGHD[Região])</f>
        <v>SL</v>
      </c>
      <c r="D3368" s="4" t="str">
        <f>_xlfn.XLOOKUP(A3368,[1]!DadosGHD[CD_GEOCMU],[1]!DadosGHD[uf])</f>
        <v>PR</v>
      </c>
      <c r="E3368" s="5" t="str">
        <f>_xlfn.XLOOKUP(A3368,[1]!DadosGHD[CD_GEOCMU],[1]!DadosGHD[MUNICIPIO])</f>
        <v>LIDIANOPOLIS</v>
      </c>
      <c r="F3368" s="6">
        <v>43.634727478027301</v>
      </c>
      <c r="G3368" s="6">
        <v>38.720039367675803</v>
      </c>
      <c r="H3368" s="6">
        <v>38.778831481933601</v>
      </c>
      <c r="I3368" s="6">
        <v>38.755916595458999</v>
      </c>
      <c r="J3368" s="6">
        <v>38.765388488769503</v>
      </c>
      <c r="K3368" s="6">
        <v>38.809684753417997</v>
      </c>
      <c r="L3368" s="6">
        <v>35.155208587646499</v>
      </c>
    </row>
    <row r="3369" spans="1:12" x14ac:dyDescent="0.25">
      <c r="A3369">
        <v>4203956</v>
      </c>
      <c r="B3369" t="str">
        <f t="shared" si="52"/>
        <v>CAPIVARI DE BAIXO, SC, Brasil</v>
      </c>
      <c r="C3369" s="4" t="str">
        <f>_xlfn.XLOOKUP(A3369,[1]!DadosGHD[CD_GEOCMU],[1]!DadosGHD[Região])</f>
        <v>SL</v>
      </c>
      <c r="D3369" s="4" t="str">
        <f>_xlfn.XLOOKUP(A3369,[1]!DadosGHD[CD_GEOCMU],[1]!DadosGHD[uf])</f>
        <v>SC</v>
      </c>
      <c r="E3369" s="5" t="str">
        <f>_xlfn.XLOOKUP(A3369,[1]!DadosGHD[CD_GEOCMU],[1]!DadosGHD[MUNICIPIO])</f>
        <v>CAPIVARI DE BAIXO</v>
      </c>
      <c r="F3369" s="6">
        <v>43.634864807128899</v>
      </c>
      <c r="G3369" s="6">
        <v>43.7278022766113</v>
      </c>
      <c r="H3369" s="6">
        <v>43.747875213623097</v>
      </c>
      <c r="I3369" s="6">
        <v>43.700126647949197</v>
      </c>
      <c r="J3369" s="6">
        <v>38.842414855957003</v>
      </c>
      <c r="K3369" s="6">
        <v>43.842559814453097</v>
      </c>
      <c r="L3369" s="6">
        <v>48.518054962158203</v>
      </c>
    </row>
    <row r="3370" spans="1:12" x14ac:dyDescent="0.25">
      <c r="A3370">
        <v>5101704</v>
      </c>
      <c r="B3370" t="str">
        <f t="shared" si="52"/>
        <v>BARRA DO BUGRES, MT, Brasil</v>
      </c>
      <c r="C3370" s="4" t="str">
        <f>_xlfn.XLOOKUP(A3370,[1]!DadosGHD[CD_GEOCMU],[1]!DadosGHD[Região])</f>
        <v>CO</v>
      </c>
      <c r="D3370" s="4" t="str">
        <f>_xlfn.XLOOKUP(A3370,[1]!DadosGHD[CD_GEOCMU],[1]!DadosGHD[uf])</f>
        <v>MT</v>
      </c>
      <c r="E3370" s="5" t="str">
        <f>_xlfn.XLOOKUP(A3370,[1]!DadosGHD[CD_GEOCMU],[1]!DadosGHD[MUNICIPIO])</f>
        <v>BARRA DO BUGRES</v>
      </c>
      <c r="F3370" s="6">
        <v>43.634963989257798</v>
      </c>
      <c r="G3370" s="6">
        <v>43.695083618164098</v>
      </c>
      <c r="H3370" s="6">
        <v>43.747726440429702</v>
      </c>
      <c r="I3370" s="6">
        <v>43.727928161621101</v>
      </c>
      <c r="J3370" s="6">
        <v>43.726387023925803</v>
      </c>
      <c r="K3370" s="6">
        <v>43.815811157226598</v>
      </c>
      <c r="L3370" s="6">
        <v>48.536312103271499</v>
      </c>
    </row>
    <row r="3371" spans="1:12" x14ac:dyDescent="0.25">
      <c r="A3371">
        <v>5103452</v>
      </c>
      <c r="B3371" t="str">
        <f t="shared" si="52"/>
        <v>DENISE, MT, Brasil</v>
      </c>
      <c r="C3371" s="4" t="str">
        <f>_xlfn.XLOOKUP(A3371,[1]!DadosGHD[CD_GEOCMU],[1]!DadosGHD[Região])</f>
        <v>CO</v>
      </c>
      <c r="D3371" s="4" t="str">
        <f>_xlfn.XLOOKUP(A3371,[1]!DadosGHD[CD_GEOCMU],[1]!DadosGHD[uf])</f>
        <v>MT</v>
      </c>
      <c r="E3371" s="5" t="str">
        <f>_xlfn.XLOOKUP(A3371,[1]!DadosGHD[CD_GEOCMU],[1]!DadosGHD[MUNICIPIO])</f>
        <v>DENISE</v>
      </c>
      <c r="F3371" s="6">
        <v>43.634971618652301</v>
      </c>
      <c r="G3371" s="6">
        <v>43.739898681640597</v>
      </c>
      <c r="H3371" s="6">
        <v>43.767139434814503</v>
      </c>
      <c r="I3371" s="6">
        <v>43.725944519042997</v>
      </c>
      <c r="J3371" s="6">
        <v>43.7408447265625</v>
      </c>
      <c r="K3371" s="6">
        <v>43.773185729980497</v>
      </c>
      <c r="L3371" s="6">
        <v>39.581012725830099</v>
      </c>
    </row>
    <row r="3372" spans="1:12" x14ac:dyDescent="0.25">
      <c r="A3372">
        <v>3162609</v>
      </c>
      <c r="B3372" t="str">
        <f t="shared" si="52"/>
        <v>SAO JOAO DO ORIENTE, MG, Brasil</v>
      </c>
      <c r="C3372" s="4" t="str">
        <f>_xlfn.XLOOKUP(A3372,[1]!DadosGHD[CD_GEOCMU],[1]!DadosGHD[Região])</f>
        <v>SD</v>
      </c>
      <c r="D3372" s="4" t="str">
        <f>_xlfn.XLOOKUP(A3372,[1]!DadosGHD[CD_GEOCMU],[1]!DadosGHD[uf])</f>
        <v>MG</v>
      </c>
      <c r="E3372" s="5" t="str">
        <f>_xlfn.XLOOKUP(A3372,[1]!DadosGHD[CD_GEOCMU],[1]!DadosGHD[MUNICIPIO])</f>
        <v>SAO JOAO DO ORIENTE</v>
      </c>
      <c r="F3372" s="6">
        <v>43.635139465332003</v>
      </c>
      <c r="G3372" s="6">
        <v>43.667781829833999</v>
      </c>
      <c r="H3372" s="6">
        <v>43.725715637207003</v>
      </c>
      <c r="I3372" s="6">
        <v>43.782566070556598</v>
      </c>
      <c r="J3372" s="6">
        <v>43.724655151367202</v>
      </c>
      <c r="K3372" s="6">
        <v>38.8219604492188</v>
      </c>
      <c r="L3372" s="6">
        <v>30.697036743164102</v>
      </c>
    </row>
    <row r="3373" spans="1:12" x14ac:dyDescent="0.25">
      <c r="A3373">
        <v>4317707</v>
      </c>
      <c r="B3373" t="str">
        <f t="shared" si="52"/>
        <v>SANTO ANTONIO DAS MISSOES, RS, Brasil</v>
      </c>
      <c r="C3373" s="4" t="str">
        <f>_xlfn.XLOOKUP(A3373,[1]!DadosGHD[CD_GEOCMU],[1]!DadosGHD[Região])</f>
        <v>SL</v>
      </c>
      <c r="D3373" s="4" t="str">
        <f>_xlfn.XLOOKUP(A3373,[1]!DadosGHD[CD_GEOCMU],[1]!DadosGHD[uf])</f>
        <v>RS</v>
      </c>
      <c r="E3373" s="5" t="str">
        <f>_xlfn.XLOOKUP(A3373,[1]!DadosGHD[CD_GEOCMU],[1]!DadosGHD[MUNICIPIO])</f>
        <v>SANTO ANTONIO DAS MISSOES</v>
      </c>
      <c r="F3373" s="6">
        <v>43.635692596435597</v>
      </c>
      <c r="G3373" s="6">
        <v>43.747573852539098</v>
      </c>
      <c r="H3373" s="6">
        <v>43.837635040283203</v>
      </c>
      <c r="I3373" s="6">
        <v>48.747230529785199</v>
      </c>
      <c r="J3373" s="6">
        <v>48.833942413330099</v>
      </c>
      <c r="K3373" s="6">
        <v>48.8383598327637</v>
      </c>
      <c r="L3373" s="6">
        <v>44.0724906921387</v>
      </c>
    </row>
    <row r="3374" spans="1:12" x14ac:dyDescent="0.25">
      <c r="A3374">
        <v>5007554</v>
      </c>
      <c r="B3374" t="str">
        <f t="shared" si="52"/>
        <v>SANTA RITA DO PARDO, MS, Brasil</v>
      </c>
      <c r="C3374" s="4" t="str">
        <f>_xlfn.XLOOKUP(A3374,[1]!DadosGHD[CD_GEOCMU],[1]!DadosGHD[Região])</f>
        <v>CO</v>
      </c>
      <c r="D3374" s="4" t="str">
        <f>_xlfn.XLOOKUP(A3374,[1]!DadosGHD[CD_GEOCMU],[1]!DadosGHD[uf])</f>
        <v>MS</v>
      </c>
      <c r="E3374" s="5" t="str">
        <f>_xlfn.XLOOKUP(A3374,[1]!DadosGHD[CD_GEOCMU],[1]!DadosGHD[MUNICIPIO])</f>
        <v>SANTA RITA DO PARDO</v>
      </c>
      <c r="F3374" s="6">
        <v>43.635868072509801</v>
      </c>
      <c r="G3374" s="6">
        <v>43.659946441650398</v>
      </c>
      <c r="H3374" s="6">
        <v>43.723236083984403</v>
      </c>
      <c r="I3374" s="6">
        <v>43.703254699707003</v>
      </c>
      <c r="J3374" s="6">
        <v>43.7342529296875</v>
      </c>
      <c r="K3374" s="6">
        <v>43.755516052246101</v>
      </c>
      <c r="L3374" s="6">
        <v>39.583034515380902</v>
      </c>
    </row>
    <row r="3375" spans="1:12" x14ac:dyDescent="0.25">
      <c r="A3375">
        <v>3549953</v>
      </c>
      <c r="B3375" t="str">
        <f t="shared" si="52"/>
        <v>SAO LOURENCO DA SERRA, SP, Brasil</v>
      </c>
      <c r="C3375" s="4" t="str">
        <f>_xlfn.XLOOKUP(A3375,[1]!DadosGHD[CD_GEOCMU],[1]!DadosGHD[Região])</f>
        <v>SD</v>
      </c>
      <c r="D3375" s="4" t="str">
        <f>_xlfn.XLOOKUP(A3375,[1]!DadosGHD[CD_GEOCMU],[1]!DadosGHD[uf])</f>
        <v>SP</v>
      </c>
      <c r="E3375" s="5" t="str">
        <f>_xlfn.XLOOKUP(A3375,[1]!DadosGHD[CD_GEOCMU],[1]!DadosGHD[MUNICIPIO])</f>
        <v>SAO LOURENCO DA SERRA</v>
      </c>
      <c r="F3375" s="6">
        <v>43.635868072509801</v>
      </c>
      <c r="G3375" s="6">
        <v>43.673072814941399</v>
      </c>
      <c r="H3375" s="6">
        <v>43.717849731445298</v>
      </c>
      <c r="I3375" s="6">
        <v>43.685386657714801</v>
      </c>
      <c r="J3375" s="6">
        <v>38.826000213623097</v>
      </c>
      <c r="K3375" s="6">
        <v>38.8657836914063</v>
      </c>
      <c r="L3375" s="6">
        <v>39.579071044921903</v>
      </c>
    </row>
    <row r="3376" spans="1:12" x14ac:dyDescent="0.25">
      <c r="A3376">
        <v>3144375</v>
      </c>
      <c r="B3376" t="str">
        <f t="shared" si="52"/>
        <v>NATALANDIA, MG, Brasil</v>
      </c>
      <c r="C3376" s="4" t="str">
        <f>_xlfn.XLOOKUP(A3376,[1]!DadosGHD[CD_GEOCMU],[1]!DadosGHD[Região])</f>
        <v>SD</v>
      </c>
      <c r="D3376" s="4" t="str">
        <f>_xlfn.XLOOKUP(A3376,[1]!DadosGHD[CD_GEOCMU],[1]!DadosGHD[uf])</f>
        <v>MG</v>
      </c>
      <c r="E3376" s="5" t="str">
        <f>_xlfn.XLOOKUP(A3376,[1]!DadosGHD[CD_GEOCMU],[1]!DadosGHD[MUNICIPIO])</f>
        <v>NATALANDIA</v>
      </c>
      <c r="F3376" s="6">
        <v>43.636154174804702</v>
      </c>
      <c r="G3376" s="6">
        <v>38.787570953369098</v>
      </c>
      <c r="H3376" s="6">
        <v>38.821449279785199</v>
      </c>
      <c r="I3376" s="6">
        <v>38.787208557128899</v>
      </c>
      <c r="J3376" s="6">
        <v>38.8056831359863</v>
      </c>
      <c r="K3376" s="6">
        <v>43.779129028320298</v>
      </c>
      <c r="L3376" s="6">
        <v>44.045520782470703</v>
      </c>
    </row>
    <row r="3377" spans="1:12" x14ac:dyDescent="0.25">
      <c r="A3377">
        <v>2806503</v>
      </c>
      <c r="B3377" t="str">
        <f t="shared" si="52"/>
        <v>SANTA ROSA DE LIMA, SE, Brasil</v>
      </c>
      <c r="C3377" s="4" t="str">
        <f>_xlfn.XLOOKUP(A3377,[1]!DadosGHD[CD_GEOCMU],[1]!DadosGHD[Região])</f>
        <v>NE</v>
      </c>
      <c r="D3377" s="4" t="str">
        <f>_xlfn.XLOOKUP(A3377,[1]!DadosGHD[CD_GEOCMU],[1]!DadosGHD[uf])</f>
        <v>SE</v>
      </c>
      <c r="E3377" s="5" t="str">
        <f>_xlfn.XLOOKUP(A3377,[1]!DadosGHD[CD_GEOCMU],[1]!DadosGHD[MUNICIPIO])</f>
        <v>SANTA ROSA DE LIMA</v>
      </c>
      <c r="F3377" s="6">
        <v>43.636302947998097</v>
      </c>
      <c r="G3377" s="6">
        <v>43.653644561767599</v>
      </c>
      <c r="H3377" s="6">
        <v>43.751235961914098</v>
      </c>
      <c r="I3377" s="6">
        <v>43.7199897766113</v>
      </c>
      <c r="J3377" s="6">
        <v>43.722442626953097</v>
      </c>
      <c r="K3377" s="6">
        <v>43.791084289550803</v>
      </c>
      <c r="L3377" s="6">
        <v>30.702127456665</v>
      </c>
    </row>
    <row r="3378" spans="1:12" x14ac:dyDescent="0.25">
      <c r="A3378">
        <v>3554805</v>
      </c>
      <c r="B3378" t="str">
        <f t="shared" si="52"/>
        <v>TREMEMBE, SP, Brasil</v>
      </c>
      <c r="C3378" s="4" t="str">
        <f>_xlfn.XLOOKUP(A3378,[1]!DadosGHD[CD_GEOCMU],[1]!DadosGHD[Região])</f>
        <v>SD</v>
      </c>
      <c r="D3378" s="4" t="str">
        <f>_xlfn.XLOOKUP(A3378,[1]!DadosGHD[CD_GEOCMU],[1]!DadosGHD[uf])</f>
        <v>SP</v>
      </c>
      <c r="E3378" s="5" t="str">
        <f>_xlfn.XLOOKUP(A3378,[1]!DadosGHD[CD_GEOCMU],[1]!DadosGHD[MUNICIPIO])</f>
        <v>TREMEMBE</v>
      </c>
      <c r="F3378" s="6">
        <v>43.636470794677699</v>
      </c>
      <c r="G3378" s="6">
        <v>43.720382690429702</v>
      </c>
      <c r="H3378" s="6">
        <v>43.7423095703125</v>
      </c>
      <c r="I3378" s="6">
        <v>43.758689880371101</v>
      </c>
      <c r="J3378" s="6">
        <v>43.800861358642599</v>
      </c>
      <c r="K3378" s="6">
        <v>43.804454803466797</v>
      </c>
      <c r="L3378" s="6">
        <v>44.059772491455099</v>
      </c>
    </row>
    <row r="3379" spans="1:12" x14ac:dyDescent="0.25">
      <c r="A3379">
        <v>1718907</v>
      </c>
      <c r="B3379" t="str">
        <f t="shared" si="52"/>
        <v>SANTA ROSA DO TOCANTINS, TO, Brasil</v>
      </c>
      <c r="C3379" s="4" t="str">
        <f>_xlfn.XLOOKUP(A3379,[1]!DadosGHD[CD_GEOCMU],[1]!DadosGHD[Região])</f>
        <v>NO</v>
      </c>
      <c r="D3379" s="4" t="str">
        <f>_xlfn.XLOOKUP(A3379,[1]!DadosGHD[CD_GEOCMU],[1]!DadosGHD[uf])</f>
        <v>TO</v>
      </c>
      <c r="E3379" s="5" t="str">
        <f>_xlfn.XLOOKUP(A3379,[1]!DadosGHD[CD_GEOCMU],[1]!DadosGHD[MUNICIPIO])</f>
        <v>SANTA ROSA DO TOCANTINS</v>
      </c>
      <c r="F3379" s="6">
        <v>43.636558532714801</v>
      </c>
      <c r="G3379" s="6">
        <v>38.759727478027301</v>
      </c>
      <c r="H3379" s="6">
        <v>38.798858642578097</v>
      </c>
      <c r="I3379" s="6">
        <v>38.768512725830099</v>
      </c>
      <c r="J3379" s="6">
        <v>33.886508941650398</v>
      </c>
      <c r="K3379" s="6">
        <v>33.905693054199197</v>
      </c>
      <c r="L3379" s="6">
        <v>26.297988891601602</v>
      </c>
    </row>
    <row r="3380" spans="1:12" x14ac:dyDescent="0.25">
      <c r="A3380">
        <v>3141900</v>
      </c>
      <c r="B3380" t="str">
        <f t="shared" si="52"/>
        <v>MINDURI, MG, Brasil</v>
      </c>
      <c r="C3380" s="4" t="str">
        <f>_xlfn.XLOOKUP(A3380,[1]!DadosGHD[CD_GEOCMU],[1]!DadosGHD[Região])</f>
        <v>SD</v>
      </c>
      <c r="D3380" s="4" t="str">
        <f>_xlfn.XLOOKUP(A3380,[1]!DadosGHD[CD_GEOCMU],[1]!DadosGHD[uf])</f>
        <v>MG</v>
      </c>
      <c r="E3380" s="5" t="str">
        <f>_xlfn.XLOOKUP(A3380,[1]!DadosGHD[CD_GEOCMU],[1]!DadosGHD[MUNICIPIO])</f>
        <v>MINDURI</v>
      </c>
      <c r="F3380" s="6">
        <v>43.636703491210902</v>
      </c>
      <c r="G3380" s="6">
        <v>48.713512420654297</v>
      </c>
      <c r="H3380" s="6">
        <v>48.803462982177699</v>
      </c>
      <c r="I3380" s="6">
        <v>48.682762145996101</v>
      </c>
      <c r="J3380" s="6">
        <v>48.707981109619098</v>
      </c>
      <c r="K3380" s="6">
        <v>43.877994537353501</v>
      </c>
      <c r="L3380" s="6">
        <v>39.602497100830099</v>
      </c>
    </row>
    <row r="3381" spans="1:12" x14ac:dyDescent="0.25">
      <c r="A3381">
        <v>1400209</v>
      </c>
      <c r="B3381" t="str">
        <f t="shared" si="52"/>
        <v>CARACARAI, RR, Brasil</v>
      </c>
      <c r="C3381" s="4" t="str">
        <f>_xlfn.XLOOKUP(A3381,[1]!DadosGHD[CD_GEOCMU],[1]!DadosGHD[Região])</f>
        <v>NO</v>
      </c>
      <c r="D3381" s="4" t="str">
        <f>_xlfn.XLOOKUP(A3381,[1]!DadosGHD[CD_GEOCMU],[1]!DadosGHD[uf])</f>
        <v>RR</v>
      </c>
      <c r="E3381" s="5" t="str">
        <f>_xlfn.XLOOKUP(A3381,[1]!DadosGHD[CD_GEOCMU],[1]!DadosGHD[MUNICIPIO])</f>
        <v>CARACARAI</v>
      </c>
      <c r="F3381" s="6">
        <v>43.637031555175803</v>
      </c>
      <c r="G3381" s="6">
        <v>43.656959533691399</v>
      </c>
      <c r="H3381" s="6">
        <v>38.823352813720703</v>
      </c>
      <c r="I3381" s="6">
        <v>38.810272216796903</v>
      </c>
      <c r="J3381" s="6">
        <v>38.840293884277301</v>
      </c>
      <c r="K3381" s="6">
        <v>38.8801460266113</v>
      </c>
      <c r="L3381" s="6">
        <v>30.710718154907202</v>
      </c>
    </row>
    <row r="3382" spans="1:12" x14ac:dyDescent="0.25">
      <c r="A3382">
        <v>3120508</v>
      </c>
      <c r="B3382" t="str">
        <f t="shared" si="52"/>
        <v>CRISTINA, MG, Brasil</v>
      </c>
      <c r="C3382" s="4" t="str">
        <f>_xlfn.XLOOKUP(A3382,[1]!DadosGHD[CD_GEOCMU],[1]!DadosGHD[Região])</f>
        <v>SD</v>
      </c>
      <c r="D3382" s="4" t="str">
        <f>_xlfn.XLOOKUP(A3382,[1]!DadosGHD[CD_GEOCMU],[1]!DadosGHD[uf])</f>
        <v>MG</v>
      </c>
      <c r="E3382" s="5" t="str">
        <f>_xlfn.XLOOKUP(A3382,[1]!DadosGHD[CD_GEOCMU],[1]!DadosGHD[MUNICIPIO])</f>
        <v>CRISTINA</v>
      </c>
      <c r="F3382" s="6">
        <v>43.637126922607401</v>
      </c>
      <c r="G3382" s="6">
        <v>43.714855194091797</v>
      </c>
      <c r="H3382" s="6">
        <v>43.830753326416001</v>
      </c>
      <c r="I3382" s="6">
        <v>48.683158874511697</v>
      </c>
      <c r="J3382" s="6">
        <v>48.714313507080099</v>
      </c>
      <c r="K3382" s="6">
        <v>48.764369964599602</v>
      </c>
      <c r="L3382" s="6">
        <v>44.044586181640597</v>
      </c>
    </row>
    <row r="3383" spans="1:12" x14ac:dyDescent="0.25">
      <c r="A3383">
        <v>3202108</v>
      </c>
      <c r="B3383" t="str">
        <f t="shared" si="52"/>
        <v>ECOPORANGA, ES, Brasil</v>
      </c>
      <c r="C3383" s="4" t="str">
        <f>_xlfn.XLOOKUP(A3383,[1]!DadosGHD[CD_GEOCMU],[1]!DadosGHD[Região])</f>
        <v>SD</v>
      </c>
      <c r="D3383" s="4" t="str">
        <f>_xlfn.XLOOKUP(A3383,[1]!DadosGHD[CD_GEOCMU],[1]!DadosGHD[uf])</f>
        <v>ES</v>
      </c>
      <c r="E3383" s="5" t="str">
        <f>_xlfn.XLOOKUP(A3383,[1]!DadosGHD[CD_GEOCMU],[1]!DadosGHD[MUNICIPIO])</f>
        <v>ECOPORANGA</v>
      </c>
      <c r="F3383" s="6">
        <v>43.637256622314503</v>
      </c>
      <c r="G3383" s="6">
        <v>43.752090454101598</v>
      </c>
      <c r="H3383" s="6">
        <v>43.832286834716797</v>
      </c>
      <c r="I3383" s="6">
        <v>48.680671691894503</v>
      </c>
      <c r="J3383" s="6">
        <v>43.820926666259801</v>
      </c>
      <c r="K3383" s="6">
        <v>43.846244812011697</v>
      </c>
      <c r="L3383" s="6">
        <v>35.113975524902301</v>
      </c>
    </row>
    <row r="3384" spans="1:12" x14ac:dyDescent="0.25">
      <c r="A3384">
        <v>3547007</v>
      </c>
      <c r="B3384" t="str">
        <f t="shared" si="52"/>
        <v>SANTA MARIA DA SERRA, SP, Brasil</v>
      </c>
      <c r="C3384" s="4" t="str">
        <f>_xlfn.XLOOKUP(A3384,[1]!DadosGHD[CD_GEOCMU],[1]!DadosGHD[Região])</f>
        <v>SD</v>
      </c>
      <c r="D3384" s="4" t="str">
        <f>_xlfn.XLOOKUP(A3384,[1]!DadosGHD[CD_GEOCMU],[1]!DadosGHD[uf])</f>
        <v>SP</v>
      </c>
      <c r="E3384" s="5" t="str">
        <f>_xlfn.XLOOKUP(A3384,[1]!DadosGHD[CD_GEOCMU],[1]!DadosGHD[MUNICIPIO])</f>
        <v>SANTA MARIA DA SERRA</v>
      </c>
      <c r="F3384" s="6">
        <v>43.637397766113303</v>
      </c>
      <c r="G3384" s="6">
        <v>43.709224700927699</v>
      </c>
      <c r="H3384" s="6">
        <v>43.833206176757798</v>
      </c>
      <c r="I3384" s="6">
        <v>43.805404663085902</v>
      </c>
      <c r="J3384" s="6">
        <v>48.703872680664098</v>
      </c>
      <c r="K3384" s="6">
        <v>48.849472045898402</v>
      </c>
      <c r="L3384" s="6">
        <v>44.063636779785199</v>
      </c>
    </row>
    <row r="3385" spans="1:12" x14ac:dyDescent="0.25">
      <c r="A3385">
        <v>3523503</v>
      </c>
      <c r="B3385" t="str">
        <f t="shared" si="52"/>
        <v>ITATINGA, SP, Brasil</v>
      </c>
      <c r="C3385" s="4" t="str">
        <f>_xlfn.XLOOKUP(A3385,[1]!DadosGHD[CD_GEOCMU],[1]!DadosGHD[Região])</f>
        <v>SD</v>
      </c>
      <c r="D3385" s="4" t="str">
        <f>_xlfn.XLOOKUP(A3385,[1]!DadosGHD[CD_GEOCMU],[1]!DadosGHD[uf])</f>
        <v>SP</v>
      </c>
      <c r="E3385" s="5" t="str">
        <f>_xlfn.XLOOKUP(A3385,[1]!DadosGHD[CD_GEOCMU],[1]!DadosGHD[MUNICIPIO])</f>
        <v>ITATINGA</v>
      </c>
      <c r="F3385" s="6">
        <v>43.637401580810597</v>
      </c>
      <c r="G3385" s="6">
        <v>43.728889465332003</v>
      </c>
      <c r="H3385" s="6">
        <v>43.743278503417997</v>
      </c>
      <c r="I3385" s="6">
        <v>43.713584899902301</v>
      </c>
      <c r="J3385" s="6">
        <v>43.817600250244098</v>
      </c>
      <c r="K3385" s="6">
        <v>43.876701354980497</v>
      </c>
      <c r="L3385" s="6">
        <v>48.510036468505902</v>
      </c>
    </row>
    <row r="3386" spans="1:12" x14ac:dyDescent="0.25">
      <c r="A3386">
        <v>4104105</v>
      </c>
      <c r="B3386" t="str">
        <f t="shared" si="52"/>
        <v>CAMPO DO TENENTE, PR, Brasil</v>
      </c>
      <c r="C3386" s="4" t="str">
        <f>_xlfn.XLOOKUP(A3386,[1]!DadosGHD[CD_GEOCMU],[1]!DadosGHD[Região])</f>
        <v>SL</v>
      </c>
      <c r="D3386" s="4" t="str">
        <f>_xlfn.XLOOKUP(A3386,[1]!DadosGHD[CD_GEOCMU],[1]!DadosGHD[uf])</f>
        <v>PR</v>
      </c>
      <c r="E3386" s="5" t="str">
        <f>_xlfn.XLOOKUP(A3386,[1]!DadosGHD[CD_GEOCMU],[1]!DadosGHD[MUNICIPIO])</f>
        <v>CAMPO DO TENENTE</v>
      </c>
      <c r="F3386" s="6">
        <v>43.637729644775398</v>
      </c>
      <c r="G3386" s="6">
        <v>38.739627838134801</v>
      </c>
      <c r="H3386" s="6">
        <v>38.8000297546387</v>
      </c>
      <c r="I3386" s="6">
        <v>38.818733215332003</v>
      </c>
      <c r="J3386" s="6">
        <v>43.756858825683601</v>
      </c>
      <c r="K3386" s="6">
        <v>38.888328552246101</v>
      </c>
      <c r="L3386" s="6">
        <v>39.563274383544901</v>
      </c>
    </row>
    <row r="3387" spans="1:12" x14ac:dyDescent="0.25">
      <c r="A3387">
        <v>3552908</v>
      </c>
      <c r="B3387" t="str">
        <f t="shared" si="52"/>
        <v>TACIBA, SP, Brasil</v>
      </c>
      <c r="C3387" s="4" t="str">
        <f>_xlfn.XLOOKUP(A3387,[1]!DadosGHD[CD_GEOCMU],[1]!DadosGHD[Região])</f>
        <v>SD</v>
      </c>
      <c r="D3387" s="4" t="str">
        <f>_xlfn.XLOOKUP(A3387,[1]!DadosGHD[CD_GEOCMU],[1]!DadosGHD[uf])</f>
        <v>SP</v>
      </c>
      <c r="E3387" s="5" t="str">
        <f>_xlfn.XLOOKUP(A3387,[1]!DadosGHD[CD_GEOCMU],[1]!DadosGHD[MUNICIPIO])</f>
        <v>TACIBA</v>
      </c>
      <c r="F3387" s="6">
        <v>43.637985229492202</v>
      </c>
      <c r="G3387" s="6">
        <v>43.700160980224602</v>
      </c>
      <c r="H3387" s="6">
        <v>43.762977600097699</v>
      </c>
      <c r="I3387" s="6">
        <v>43.707355499267599</v>
      </c>
      <c r="J3387" s="6">
        <v>43.705276489257798</v>
      </c>
      <c r="K3387" s="6">
        <v>38.7799263000488</v>
      </c>
      <c r="L3387" s="6">
        <v>35.155494689941399</v>
      </c>
    </row>
    <row r="3388" spans="1:12" x14ac:dyDescent="0.25">
      <c r="A3388">
        <v>4302808</v>
      </c>
      <c r="B3388" t="str">
        <f t="shared" si="52"/>
        <v>CACAPAVA DO SUL, RS, Brasil</v>
      </c>
      <c r="C3388" s="4" t="str">
        <f>_xlfn.XLOOKUP(A3388,[1]!DadosGHD[CD_GEOCMU],[1]!DadosGHD[Região])</f>
        <v>SL</v>
      </c>
      <c r="D3388" s="4" t="str">
        <f>_xlfn.XLOOKUP(A3388,[1]!DadosGHD[CD_GEOCMU],[1]!DadosGHD[uf])</f>
        <v>RS</v>
      </c>
      <c r="E3388" s="5" t="str">
        <f>_xlfn.XLOOKUP(A3388,[1]!DadosGHD[CD_GEOCMU],[1]!DadosGHD[MUNICIPIO])</f>
        <v>CACAPAVA DO SUL</v>
      </c>
      <c r="F3388" s="6">
        <v>43.638038635253899</v>
      </c>
      <c r="G3388" s="6">
        <v>43.743824005127003</v>
      </c>
      <c r="H3388" s="6">
        <v>48.713794708252003</v>
      </c>
      <c r="I3388" s="6">
        <v>48.721847534179702</v>
      </c>
      <c r="J3388" s="6">
        <v>53.805812835693402</v>
      </c>
      <c r="K3388" s="6">
        <v>53.844963073730497</v>
      </c>
      <c r="L3388" s="6">
        <v>52.979537963867202</v>
      </c>
    </row>
    <row r="3389" spans="1:12" x14ac:dyDescent="0.25">
      <c r="A3389">
        <v>3119906</v>
      </c>
      <c r="B3389" t="str">
        <f t="shared" si="52"/>
        <v>CORREGO DO BOM JESUS, MG, Brasil</v>
      </c>
      <c r="C3389" s="4" t="str">
        <f>_xlfn.XLOOKUP(A3389,[1]!DadosGHD[CD_GEOCMU],[1]!DadosGHD[Região])</f>
        <v>SD</v>
      </c>
      <c r="D3389" s="4" t="str">
        <f>_xlfn.XLOOKUP(A3389,[1]!DadosGHD[CD_GEOCMU],[1]!DadosGHD[uf])</f>
        <v>MG</v>
      </c>
      <c r="E3389" s="5" t="str">
        <f>_xlfn.XLOOKUP(A3389,[1]!DadosGHD[CD_GEOCMU],[1]!DadosGHD[MUNICIPIO])</f>
        <v>CORREGO DO BOM JESUS</v>
      </c>
      <c r="F3389" s="6">
        <v>43.638084411621101</v>
      </c>
      <c r="G3389" s="6">
        <v>38.767276763916001</v>
      </c>
      <c r="H3389" s="6">
        <v>43.709285736083999</v>
      </c>
      <c r="I3389" s="6">
        <v>43.709968566894503</v>
      </c>
      <c r="J3389" s="6">
        <v>43.739902496337898</v>
      </c>
      <c r="K3389" s="6">
        <v>43.796714782714801</v>
      </c>
      <c r="L3389" s="6">
        <v>48.559349060058601</v>
      </c>
    </row>
    <row r="3390" spans="1:12" x14ac:dyDescent="0.25">
      <c r="A3390">
        <v>5006002</v>
      </c>
      <c r="B3390" t="str">
        <f t="shared" si="52"/>
        <v>NOVA ALVORADA DO SUL, MS, Brasil</v>
      </c>
      <c r="C3390" s="4" t="str">
        <f>_xlfn.XLOOKUP(A3390,[1]!DadosGHD[CD_GEOCMU],[1]!DadosGHD[Região])</f>
        <v>CO</v>
      </c>
      <c r="D3390" s="4" t="str">
        <f>_xlfn.XLOOKUP(A3390,[1]!DadosGHD[CD_GEOCMU],[1]!DadosGHD[uf])</f>
        <v>MS</v>
      </c>
      <c r="E3390" s="5" t="str">
        <f>_xlfn.XLOOKUP(A3390,[1]!DadosGHD[CD_GEOCMU],[1]!DadosGHD[MUNICIPIO])</f>
        <v>NOVA ALVORADA DO SUL</v>
      </c>
      <c r="F3390" s="6">
        <v>43.638088226318402</v>
      </c>
      <c r="G3390" s="6">
        <v>43.738643646240199</v>
      </c>
      <c r="H3390" s="6">
        <v>43.808250427246101</v>
      </c>
      <c r="I3390" s="6">
        <v>43.766902923583999</v>
      </c>
      <c r="J3390" s="6">
        <v>43.724151611328097</v>
      </c>
      <c r="K3390" s="6">
        <v>38.8846626281738</v>
      </c>
      <c r="L3390" s="6">
        <v>39.584327697753899</v>
      </c>
    </row>
    <row r="3391" spans="1:12" x14ac:dyDescent="0.25">
      <c r="A3391">
        <v>3168507</v>
      </c>
      <c r="B3391" t="str">
        <f t="shared" si="52"/>
        <v>TEIXEIRAS, MG, Brasil</v>
      </c>
      <c r="C3391" s="4" t="str">
        <f>_xlfn.XLOOKUP(A3391,[1]!DadosGHD[CD_GEOCMU],[1]!DadosGHD[Região])</f>
        <v>SD</v>
      </c>
      <c r="D3391" s="4" t="str">
        <f>_xlfn.XLOOKUP(A3391,[1]!DadosGHD[CD_GEOCMU],[1]!DadosGHD[uf])</f>
        <v>MG</v>
      </c>
      <c r="E3391" s="5" t="str">
        <f>_xlfn.XLOOKUP(A3391,[1]!DadosGHD[CD_GEOCMU],[1]!DadosGHD[MUNICIPIO])</f>
        <v>TEIXEIRAS</v>
      </c>
      <c r="F3391" s="6">
        <v>43.638114929199197</v>
      </c>
      <c r="G3391" s="6">
        <v>43.738983154296903</v>
      </c>
      <c r="H3391" s="6">
        <v>43.80126953125</v>
      </c>
      <c r="I3391" s="6">
        <v>43.753585815429702</v>
      </c>
      <c r="J3391" s="6">
        <v>43.793811798095703</v>
      </c>
      <c r="K3391" s="6">
        <v>43.794265747070298</v>
      </c>
      <c r="L3391" s="6">
        <v>35.1360054016113</v>
      </c>
    </row>
    <row r="3392" spans="1:12" x14ac:dyDescent="0.25">
      <c r="A3392">
        <v>3202306</v>
      </c>
      <c r="B3392" t="str">
        <f t="shared" si="52"/>
        <v>GUACUI, ES, Brasil</v>
      </c>
      <c r="C3392" s="4" t="str">
        <f>_xlfn.XLOOKUP(A3392,[1]!DadosGHD[CD_GEOCMU],[1]!DadosGHD[Região])</f>
        <v>SD</v>
      </c>
      <c r="D3392" s="4" t="str">
        <f>_xlfn.XLOOKUP(A3392,[1]!DadosGHD[CD_GEOCMU],[1]!DadosGHD[uf])</f>
        <v>ES</v>
      </c>
      <c r="E3392" s="5" t="str">
        <f>_xlfn.XLOOKUP(A3392,[1]!DadosGHD[CD_GEOCMU],[1]!DadosGHD[MUNICIPIO])</f>
        <v>GUACUI</v>
      </c>
      <c r="F3392" s="6">
        <v>43.638515472412102</v>
      </c>
      <c r="G3392" s="6">
        <v>43.7412300109863</v>
      </c>
      <c r="H3392" s="6">
        <v>43.7993774414063</v>
      </c>
      <c r="I3392" s="6">
        <v>43.714523315429702</v>
      </c>
      <c r="J3392" s="6">
        <v>43.760616302490199</v>
      </c>
      <c r="K3392" s="6">
        <v>43.874893188476598</v>
      </c>
      <c r="L3392" s="6">
        <v>44.065628051757798</v>
      </c>
    </row>
    <row r="3393" spans="1:12" x14ac:dyDescent="0.25">
      <c r="A3393">
        <v>5105580</v>
      </c>
      <c r="B3393" t="str">
        <f t="shared" si="52"/>
        <v>MARCELANDIA, MT, Brasil</v>
      </c>
      <c r="C3393" s="4" t="str">
        <f>_xlfn.XLOOKUP(A3393,[1]!DadosGHD[CD_GEOCMU],[1]!DadosGHD[Região])</f>
        <v>CO</v>
      </c>
      <c r="D3393" s="4" t="str">
        <f>_xlfn.XLOOKUP(A3393,[1]!DadosGHD[CD_GEOCMU],[1]!DadosGHD[uf])</f>
        <v>MT</v>
      </c>
      <c r="E3393" s="5" t="str">
        <f>_xlfn.XLOOKUP(A3393,[1]!DadosGHD[CD_GEOCMU],[1]!DadosGHD[MUNICIPIO])</f>
        <v>MARCELANDIA</v>
      </c>
      <c r="F3393" s="6">
        <v>43.638561248779297</v>
      </c>
      <c r="G3393" s="6">
        <v>43.763988494873097</v>
      </c>
      <c r="H3393" s="6">
        <v>43.7585639953613</v>
      </c>
      <c r="I3393" s="6">
        <v>43.721263885498097</v>
      </c>
      <c r="J3393" s="6">
        <v>43.777168273925803</v>
      </c>
      <c r="K3393" s="6">
        <v>43.786781311035199</v>
      </c>
      <c r="L3393" s="6">
        <v>30.685869216918899</v>
      </c>
    </row>
    <row r="3394" spans="1:12" x14ac:dyDescent="0.25">
      <c r="A3394">
        <v>4203204</v>
      </c>
      <c r="B3394" t="str">
        <f t="shared" si="52"/>
        <v>CAMBORIU, SC, Brasil</v>
      </c>
      <c r="C3394" s="4" t="str">
        <f>_xlfn.XLOOKUP(A3394,[1]!DadosGHD[CD_GEOCMU],[1]!DadosGHD[Região])</f>
        <v>SL</v>
      </c>
      <c r="D3394" s="4" t="str">
        <f>_xlfn.XLOOKUP(A3394,[1]!DadosGHD[CD_GEOCMU],[1]!DadosGHD[uf])</f>
        <v>SC</v>
      </c>
      <c r="E3394" s="5" t="str">
        <f>_xlfn.XLOOKUP(A3394,[1]!DadosGHD[CD_GEOCMU],[1]!DadosGHD[MUNICIPIO])</f>
        <v>CAMBORIU</v>
      </c>
      <c r="F3394" s="6">
        <v>43.638755798339801</v>
      </c>
      <c r="G3394" s="6">
        <v>48.643638610839801</v>
      </c>
      <c r="H3394" s="6">
        <v>43.8298149108887</v>
      </c>
      <c r="I3394" s="6">
        <v>43.770896911621101</v>
      </c>
      <c r="J3394" s="6">
        <v>43.778053283691399</v>
      </c>
      <c r="K3394" s="6">
        <v>43.867416381835902</v>
      </c>
      <c r="L3394" s="6">
        <v>48.491249084472699</v>
      </c>
    </row>
    <row r="3395" spans="1:12" x14ac:dyDescent="0.25">
      <c r="A3395">
        <v>4300877</v>
      </c>
      <c r="B3395" t="str">
        <f t="shared" si="52"/>
        <v>ARARICA, RS, Brasil</v>
      </c>
      <c r="C3395" s="4" t="str">
        <f>_xlfn.XLOOKUP(A3395,[1]!DadosGHD[CD_GEOCMU],[1]!DadosGHD[Região])</f>
        <v>SL</v>
      </c>
      <c r="D3395" s="4" t="str">
        <f>_xlfn.XLOOKUP(A3395,[1]!DadosGHD[CD_GEOCMU],[1]!DadosGHD[uf])</f>
        <v>RS</v>
      </c>
      <c r="E3395" s="5" t="str">
        <f>_xlfn.XLOOKUP(A3395,[1]!DadosGHD[CD_GEOCMU],[1]!DadosGHD[MUNICIPIO])</f>
        <v>ARARICA</v>
      </c>
      <c r="F3395" s="6">
        <v>43.638889312744098</v>
      </c>
      <c r="G3395" s="6">
        <v>43.678829193115199</v>
      </c>
      <c r="H3395" s="6">
        <v>43.801124572753899</v>
      </c>
      <c r="I3395" s="6">
        <v>48.720134735107401</v>
      </c>
      <c r="J3395" s="6">
        <v>43.784595489502003</v>
      </c>
      <c r="K3395" s="6">
        <v>48.861351013183601</v>
      </c>
      <c r="L3395" s="6">
        <v>48.520114898681598</v>
      </c>
    </row>
    <row r="3396" spans="1:12" x14ac:dyDescent="0.25">
      <c r="A3396">
        <v>4108502</v>
      </c>
      <c r="B3396" t="str">
        <f t="shared" ref="B3396:B3459" si="53">_xlfn.CONCAT(E3396, ", ", D3396, ", Brasil")</f>
        <v>GENERAL CARNEIRO, PR, Brasil</v>
      </c>
      <c r="C3396" s="4" t="str">
        <f>_xlfn.XLOOKUP(A3396,[1]!DadosGHD[CD_GEOCMU],[1]!DadosGHD[Região])</f>
        <v>SL</v>
      </c>
      <c r="D3396" s="4" t="str">
        <f>_xlfn.XLOOKUP(A3396,[1]!DadosGHD[CD_GEOCMU],[1]!DadosGHD[uf])</f>
        <v>PR</v>
      </c>
      <c r="E3396" s="5" t="str">
        <f>_xlfn.XLOOKUP(A3396,[1]!DadosGHD[CD_GEOCMU],[1]!DadosGHD[MUNICIPIO])</f>
        <v>GENERAL CARNEIRO</v>
      </c>
      <c r="F3396" s="6">
        <v>43.638980865478501</v>
      </c>
      <c r="G3396" s="6">
        <v>43.685989379882798</v>
      </c>
      <c r="H3396" s="6">
        <v>43.731281280517599</v>
      </c>
      <c r="I3396" s="6">
        <v>43.732143402099602</v>
      </c>
      <c r="J3396" s="6">
        <v>43.801052093505902</v>
      </c>
      <c r="K3396" s="6">
        <v>43.835575103759801</v>
      </c>
      <c r="L3396" s="6">
        <v>44.018123626708999</v>
      </c>
    </row>
    <row r="3397" spans="1:12" x14ac:dyDescent="0.25">
      <c r="A3397">
        <v>3511904</v>
      </c>
      <c r="B3397" t="str">
        <f t="shared" si="53"/>
        <v>CLEMENTINA, SP, Brasil</v>
      </c>
      <c r="C3397" s="4" t="str">
        <f>_xlfn.XLOOKUP(A3397,[1]!DadosGHD[CD_GEOCMU],[1]!DadosGHD[Região])</f>
        <v>SD</v>
      </c>
      <c r="D3397" s="4" t="str">
        <f>_xlfn.XLOOKUP(A3397,[1]!DadosGHD[CD_GEOCMU],[1]!DadosGHD[uf])</f>
        <v>SP</v>
      </c>
      <c r="E3397" s="5" t="str">
        <f>_xlfn.XLOOKUP(A3397,[1]!DadosGHD[CD_GEOCMU],[1]!DadosGHD[MUNICIPIO])</f>
        <v>CLEMENTINA</v>
      </c>
      <c r="F3397" s="6">
        <v>43.638992309570298</v>
      </c>
      <c r="G3397" s="6">
        <v>43.685169219970703</v>
      </c>
      <c r="H3397" s="6">
        <v>38.843116760253899</v>
      </c>
      <c r="I3397" s="6">
        <v>38.815071105957003</v>
      </c>
      <c r="J3397" s="6">
        <v>38.834377288818402</v>
      </c>
      <c r="K3397" s="6">
        <v>43.759895324707003</v>
      </c>
      <c r="L3397" s="6">
        <v>39.609462738037102</v>
      </c>
    </row>
    <row r="3398" spans="1:12" x14ac:dyDescent="0.25">
      <c r="A3398">
        <v>4121604</v>
      </c>
      <c r="B3398" t="str">
        <f t="shared" si="53"/>
        <v>RENASCENCA, PR, Brasil</v>
      </c>
      <c r="C3398" s="4" t="str">
        <f>_xlfn.XLOOKUP(A3398,[1]!DadosGHD[CD_GEOCMU],[1]!DadosGHD[Região])</f>
        <v>SL</v>
      </c>
      <c r="D3398" s="4" t="str">
        <f>_xlfn.XLOOKUP(A3398,[1]!DadosGHD[CD_GEOCMU],[1]!DadosGHD[uf])</f>
        <v>PR</v>
      </c>
      <c r="E3398" s="5" t="str">
        <f>_xlfn.XLOOKUP(A3398,[1]!DadosGHD[CD_GEOCMU],[1]!DadosGHD[MUNICIPIO])</f>
        <v>RENASCENCA</v>
      </c>
      <c r="F3398" s="6">
        <v>43.639575958252003</v>
      </c>
      <c r="G3398" s="6">
        <v>48.665397644042997</v>
      </c>
      <c r="H3398" s="6">
        <v>48.738391876220703</v>
      </c>
      <c r="I3398" s="6">
        <v>53.727375030517599</v>
      </c>
      <c r="J3398" s="6">
        <v>53.832649230957003</v>
      </c>
      <c r="K3398" s="6">
        <v>53.949871063232401</v>
      </c>
      <c r="L3398" s="6">
        <v>48.5599174499512</v>
      </c>
    </row>
    <row r="3399" spans="1:12" x14ac:dyDescent="0.25">
      <c r="A3399">
        <v>3120201</v>
      </c>
      <c r="B3399" t="str">
        <f t="shared" si="53"/>
        <v>CRISTAIS, MG, Brasil</v>
      </c>
      <c r="C3399" s="4" t="str">
        <f>_xlfn.XLOOKUP(A3399,[1]!DadosGHD[CD_GEOCMU],[1]!DadosGHD[Região])</f>
        <v>SD</v>
      </c>
      <c r="D3399" s="4" t="str">
        <f>_xlfn.XLOOKUP(A3399,[1]!DadosGHD[CD_GEOCMU],[1]!DadosGHD[uf])</f>
        <v>MG</v>
      </c>
      <c r="E3399" s="5" t="str">
        <f>_xlfn.XLOOKUP(A3399,[1]!DadosGHD[CD_GEOCMU],[1]!DadosGHD[MUNICIPIO])</f>
        <v>CRISTAIS</v>
      </c>
      <c r="F3399" s="6">
        <v>43.639717102050803</v>
      </c>
      <c r="G3399" s="6">
        <v>43.7446899414063</v>
      </c>
      <c r="H3399" s="6">
        <v>43.834468841552699</v>
      </c>
      <c r="I3399" s="6">
        <v>48.716865539550803</v>
      </c>
      <c r="J3399" s="6">
        <v>48.725700378417997</v>
      </c>
      <c r="K3399" s="6">
        <v>48.825572967529297</v>
      </c>
      <c r="L3399" s="6">
        <v>53.028526306152301</v>
      </c>
    </row>
    <row r="3400" spans="1:12" x14ac:dyDescent="0.25">
      <c r="A3400">
        <v>3165537</v>
      </c>
      <c r="B3400" t="str">
        <f t="shared" si="53"/>
        <v>SARZEDO, MG, Brasil</v>
      </c>
      <c r="C3400" s="4" t="str">
        <f>_xlfn.XLOOKUP(A3400,[1]!DadosGHD[CD_GEOCMU],[1]!DadosGHD[Região])</f>
        <v>SD</v>
      </c>
      <c r="D3400" s="4" t="str">
        <f>_xlfn.XLOOKUP(A3400,[1]!DadosGHD[CD_GEOCMU],[1]!DadosGHD[uf])</f>
        <v>MG</v>
      </c>
      <c r="E3400" s="5" t="str">
        <f>_xlfn.XLOOKUP(A3400,[1]!DadosGHD[CD_GEOCMU],[1]!DadosGHD[MUNICIPIO])</f>
        <v>SARZEDO</v>
      </c>
      <c r="F3400" s="6">
        <v>43.6397895812988</v>
      </c>
      <c r="G3400" s="6">
        <v>43.702842712402301</v>
      </c>
      <c r="H3400" s="6">
        <v>38.803646087646499</v>
      </c>
      <c r="I3400" s="6">
        <v>43.7739448547363</v>
      </c>
      <c r="J3400" s="6">
        <v>43.813484191894503</v>
      </c>
      <c r="K3400" s="6">
        <v>48.780265808105497</v>
      </c>
      <c r="L3400" s="6">
        <v>52.981838226318402</v>
      </c>
    </row>
    <row r="3401" spans="1:12" x14ac:dyDescent="0.25">
      <c r="A3401">
        <v>3509452</v>
      </c>
      <c r="B3401" t="str">
        <f t="shared" si="53"/>
        <v>CAMPINA DO MONTE ALEGRE, SP, Brasil</v>
      </c>
      <c r="C3401" s="4" t="str">
        <f>_xlfn.XLOOKUP(A3401,[1]!DadosGHD[CD_GEOCMU],[1]!DadosGHD[Região])</f>
        <v>SD</v>
      </c>
      <c r="D3401" s="4" t="str">
        <f>_xlfn.XLOOKUP(A3401,[1]!DadosGHD[CD_GEOCMU],[1]!DadosGHD[uf])</f>
        <v>SP</v>
      </c>
      <c r="E3401" s="5" t="str">
        <f>_xlfn.XLOOKUP(A3401,[1]!DadosGHD[CD_GEOCMU],[1]!DadosGHD[MUNICIPIO])</f>
        <v>CAMPINA DO MONTE ALEGRE</v>
      </c>
      <c r="F3401" s="6">
        <v>43.640064239502003</v>
      </c>
      <c r="G3401" s="6">
        <v>43.644069671630902</v>
      </c>
      <c r="H3401" s="6">
        <v>38.820343017578097</v>
      </c>
      <c r="I3401" s="6">
        <v>38.823432922363303</v>
      </c>
      <c r="J3401" s="6">
        <v>48.709568023681598</v>
      </c>
      <c r="K3401" s="6">
        <v>48.808204650878899</v>
      </c>
      <c r="L3401" s="6">
        <v>53.006340026855497</v>
      </c>
    </row>
    <row r="3402" spans="1:12" x14ac:dyDescent="0.25">
      <c r="A3402">
        <v>3137403</v>
      </c>
      <c r="B3402" t="str">
        <f t="shared" si="53"/>
        <v>LAGOA DOURADA, MG, Brasil</v>
      </c>
      <c r="C3402" s="4" t="str">
        <f>_xlfn.XLOOKUP(A3402,[1]!DadosGHD[CD_GEOCMU],[1]!DadosGHD[Região])</f>
        <v>SD</v>
      </c>
      <c r="D3402" s="4" t="str">
        <f>_xlfn.XLOOKUP(A3402,[1]!DadosGHD[CD_GEOCMU],[1]!DadosGHD[uf])</f>
        <v>MG</v>
      </c>
      <c r="E3402" s="5" t="str">
        <f>_xlfn.XLOOKUP(A3402,[1]!DadosGHD[CD_GEOCMU],[1]!DadosGHD[MUNICIPIO])</f>
        <v>LAGOA DOURADA</v>
      </c>
      <c r="F3402" s="6">
        <v>43.640266418457003</v>
      </c>
      <c r="G3402" s="6">
        <v>43.725795745849602</v>
      </c>
      <c r="H3402" s="6">
        <v>48.824447631835902</v>
      </c>
      <c r="I3402" s="6">
        <v>53.753910064697301</v>
      </c>
      <c r="J3402" s="6">
        <v>53.835304260253899</v>
      </c>
      <c r="K3402" s="6">
        <v>53.955333709716797</v>
      </c>
      <c r="L3402" s="6">
        <v>48.517951965332003</v>
      </c>
    </row>
    <row r="3403" spans="1:12" x14ac:dyDescent="0.25">
      <c r="A3403">
        <v>3523800</v>
      </c>
      <c r="B3403" t="str">
        <f t="shared" si="53"/>
        <v>ITOBI, SP, Brasil</v>
      </c>
      <c r="C3403" s="4" t="str">
        <f>_xlfn.XLOOKUP(A3403,[1]!DadosGHD[CD_GEOCMU],[1]!DadosGHD[Região])</f>
        <v>SD</v>
      </c>
      <c r="D3403" s="4" t="str">
        <f>_xlfn.XLOOKUP(A3403,[1]!DadosGHD[CD_GEOCMU],[1]!DadosGHD[uf])</f>
        <v>SP</v>
      </c>
      <c r="E3403" s="5" t="str">
        <f>_xlfn.XLOOKUP(A3403,[1]!DadosGHD[CD_GEOCMU],[1]!DadosGHD[MUNICIPIO])</f>
        <v>ITOBI</v>
      </c>
      <c r="F3403" s="6">
        <v>43.640285491943402</v>
      </c>
      <c r="G3403" s="6">
        <v>48.668468475341797</v>
      </c>
      <c r="H3403" s="6">
        <v>48.817630767822301</v>
      </c>
      <c r="I3403" s="6">
        <v>53.858612060546903</v>
      </c>
      <c r="J3403" s="6">
        <v>58.895114898681598</v>
      </c>
      <c r="K3403" s="6">
        <v>53.9337158203125</v>
      </c>
      <c r="L3403" s="6">
        <v>52.998725891113303</v>
      </c>
    </row>
    <row r="3404" spans="1:12" x14ac:dyDescent="0.25">
      <c r="A3404">
        <v>5204557</v>
      </c>
      <c r="B3404" t="str">
        <f t="shared" si="53"/>
        <v>CALDAZINHA, GO, Brasil</v>
      </c>
      <c r="C3404" s="4" t="str">
        <f>_xlfn.XLOOKUP(A3404,[1]!DadosGHD[CD_GEOCMU],[1]!DadosGHD[Região])</f>
        <v>CO</v>
      </c>
      <c r="D3404" s="4" t="str">
        <f>_xlfn.XLOOKUP(A3404,[1]!DadosGHD[CD_GEOCMU],[1]!DadosGHD[uf])</f>
        <v>GO</v>
      </c>
      <c r="E3404" s="5" t="str">
        <f>_xlfn.XLOOKUP(A3404,[1]!DadosGHD[CD_GEOCMU],[1]!DadosGHD[MUNICIPIO])</f>
        <v>CALDAZINHA</v>
      </c>
      <c r="F3404" s="6">
        <v>43.640907287597699</v>
      </c>
      <c r="G3404" s="6">
        <v>43.638187408447301</v>
      </c>
      <c r="H3404" s="6">
        <v>38.740329742431598</v>
      </c>
      <c r="I3404" s="6">
        <v>38.7269897460938</v>
      </c>
      <c r="J3404" s="6">
        <v>28.975580215454102</v>
      </c>
      <c r="K3404" s="6">
        <v>33.922740936279297</v>
      </c>
      <c r="L3404" s="6">
        <v>39.598381042480497</v>
      </c>
    </row>
    <row r="3405" spans="1:12" x14ac:dyDescent="0.25">
      <c r="A3405">
        <v>3202801</v>
      </c>
      <c r="B3405" t="str">
        <f t="shared" si="53"/>
        <v>ITAPEMIRIM, ES, Brasil</v>
      </c>
      <c r="C3405" s="4" t="str">
        <f>_xlfn.XLOOKUP(A3405,[1]!DadosGHD[CD_GEOCMU],[1]!DadosGHD[Região])</f>
        <v>SD</v>
      </c>
      <c r="D3405" s="4" t="str">
        <f>_xlfn.XLOOKUP(A3405,[1]!DadosGHD[CD_GEOCMU],[1]!DadosGHD[uf])</f>
        <v>ES</v>
      </c>
      <c r="E3405" s="5" t="str">
        <f>_xlfn.XLOOKUP(A3405,[1]!DadosGHD[CD_GEOCMU],[1]!DadosGHD[MUNICIPIO])</f>
        <v>ITAPEMIRIM</v>
      </c>
      <c r="F3405" s="6">
        <v>43.640956878662102</v>
      </c>
      <c r="G3405" s="6">
        <v>43.705623626708999</v>
      </c>
      <c r="H3405" s="6">
        <v>43.749557495117202</v>
      </c>
      <c r="I3405" s="6">
        <v>43.713855743408203</v>
      </c>
      <c r="J3405" s="6">
        <v>43.745147705078097</v>
      </c>
      <c r="K3405" s="6">
        <v>43.828262329101598</v>
      </c>
      <c r="L3405" s="6">
        <v>39.566978454589801</v>
      </c>
    </row>
    <row r="3406" spans="1:12" x14ac:dyDescent="0.25">
      <c r="A3406">
        <v>3157906</v>
      </c>
      <c r="B3406" t="str">
        <f t="shared" si="53"/>
        <v>SANTA MARGARIDA, MG, Brasil</v>
      </c>
      <c r="C3406" s="4" t="str">
        <f>_xlfn.XLOOKUP(A3406,[1]!DadosGHD[CD_GEOCMU],[1]!DadosGHD[Região])</f>
        <v>SD</v>
      </c>
      <c r="D3406" s="4" t="str">
        <f>_xlfn.XLOOKUP(A3406,[1]!DadosGHD[CD_GEOCMU],[1]!DadosGHD[uf])</f>
        <v>MG</v>
      </c>
      <c r="E3406" s="5" t="str">
        <f>_xlfn.XLOOKUP(A3406,[1]!DadosGHD[CD_GEOCMU],[1]!DadosGHD[MUNICIPIO])</f>
        <v>SANTA MARGARIDA</v>
      </c>
      <c r="F3406" s="6">
        <v>43.641033172607401</v>
      </c>
      <c r="G3406" s="6">
        <v>43.684238433837898</v>
      </c>
      <c r="H3406" s="6">
        <v>43.732223510742202</v>
      </c>
      <c r="I3406" s="6">
        <v>43.700183868408203</v>
      </c>
      <c r="J3406" s="6">
        <v>43.721641540527301</v>
      </c>
      <c r="K3406" s="6">
        <v>38.882228851318402</v>
      </c>
      <c r="L3406" s="6">
        <v>30.717695236206101</v>
      </c>
    </row>
    <row r="3407" spans="1:12" x14ac:dyDescent="0.25">
      <c r="A3407">
        <v>3114501</v>
      </c>
      <c r="B3407" t="str">
        <f t="shared" si="53"/>
        <v>CARMOPOLIS DE MINAS, MG, Brasil</v>
      </c>
      <c r="C3407" s="4" t="str">
        <f>_xlfn.XLOOKUP(A3407,[1]!DadosGHD[CD_GEOCMU],[1]!DadosGHD[Região])</f>
        <v>SD</v>
      </c>
      <c r="D3407" s="4" t="str">
        <f>_xlfn.XLOOKUP(A3407,[1]!DadosGHD[CD_GEOCMU],[1]!DadosGHD[uf])</f>
        <v>MG</v>
      </c>
      <c r="E3407" s="5" t="str">
        <f>_xlfn.XLOOKUP(A3407,[1]!DadosGHD[CD_GEOCMU],[1]!DadosGHD[MUNICIPIO])</f>
        <v>CARMOPOLIS DE MINAS</v>
      </c>
      <c r="F3407" s="6">
        <v>43.641277313232401</v>
      </c>
      <c r="G3407" s="6">
        <v>43.7149658203125</v>
      </c>
      <c r="H3407" s="6">
        <v>43.783847808837898</v>
      </c>
      <c r="I3407" s="6">
        <v>43.795413970947301</v>
      </c>
      <c r="J3407" s="6">
        <v>43.788051605224602</v>
      </c>
      <c r="K3407" s="6">
        <v>43.806495666503899</v>
      </c>
      <c r="L3407" s="6">
        <v>39.5859375</v>
      </c>
    </row>
    <row r="3408" spans="1:12" x14ac:dyDescent="0.25">
      <c r="A3408">
        <v>3100302</v>
      </c>
      <c r="B3408" t="str">
        <f t="shared" si="53"/>
        <v>ABRE CAMPO, MG, Brasil</v>
      </c>
      <c r="C3408" s="4" t="str">
        <f>_xlfn.XLOOKUP(A3408,[1]!DadosGHD[CD_GEOCMU],[1]!DadosGHD[Região])</f>
        <v>SD</v>
      </c>
      <c r="D3408" s="4" t="str">
        <f>_xlfn.XLOOKUP(A3408,[1]!DadosGHD[CD_GEOCMU],[1]!DadosGHD[uf])</f>
        <v>MG</v>
      </c>
      <c r="E3408" s="5" t="str">
        <f>_xlfn.XLOOKUP(A3408,[1]!DadosGHD[CD_GEOCMU],[1]!DadosGHD[MUNICIPIO])</f>
        <v>ABRE CAMPO</v>
      </c>
      <c r="F3408" s="6">
        <v>43.641639709472699</v>
      </c>
      <c r="G3408" s="6">
        <v>43.705730438232401</v>
      </c>
      <c r="H3408" s="6">
        <v>43.773101806640597</v>
      </c>
      <c r="I3408" s="6">
        <v>43.736831665039098</v>
      </c>
      <c r="J3408" s="6">
        <v>43.734634399414098</v>
      </c>
      <c r="K3408" s="6">
        <v>43.765937805175803</v>
      </c>
      <c r="L3408" s="6">
        <v>30.704353332519499</v>
      </c>
    </row>
    <row r="3409" spans="1:12" x14ac:dyDescent="0.25">
      <c r="A3409">
        <v>4117453</v>
      </c>
      <c r="B3409" t="str">
        <f t="shared" si="53"/>
        <v>OURO VERDE DO OESTE, PR, Brasil</v>
      </c>
      <c r="C3409" s="4" t="str">
        <f>_xlfn.XLOOKUP(A3409,[1]!DadosGHD[CD_GEOCMU],[1]!DadosGHD[Região])</f>
        <v>SL</v>
      </c>
      <c r="D3409" s="4" t="str">
        <f>_xlfn.XLOOKUP(A3409,[1]!DadosGHD[CD_GEOCMU],[1]!DadosGHD[uf])</f>
        <v>PR</v>
      </c>
      <c r="E3409" s="5" t="str">
        <f>_xlfn.XLOOKUP(A3409,[1]!DadosGHD[CD_GEOCMU],[1]!DadosGHD[MUNICIPIO])</f>
        <v>OURO VERDE DO OESTE</v>
      </c>
      <c r="F3409" s="6">
        <v>43.641941070556598</v>
      </c>
      <c r="G3409" s="6">
        <v>48.692779541015597</v>
      </c>
      <c r="H3409" s="6">
        <v>48.753944396972699</v>
      </c>
      <c r="I3409" s="6">
        <v>48.705127716064503</v>
      </c>
      <c r="J3409" s="6">
        <v>48.774078369140597</v>
      </c>
      <c r="K3409" s="6">
        <v>53.865406036377003</v>
      </c>
      <c r="L3409" s="6">
        <v>57.509315490722699</v>
      </c>
    </row>
    <row r="3410" spans="1:12" x14ac:dyDescent="0.25">
      <c r="A3410">
        <v>4109005</v>
      </c>
      <c r="B3410" t="str">
        <f t="shared" si="53"/>
        <v>GUAPIRAMA, PR, Brasil</v>
      </c>
      <c r="C3410" s="4" t="str">
        <f>_xlfn.XLOOKUP(A3410,[1]!DadosGHD[CD_GEOCMU],[1]!DadosGHD[Região])</f>
        <v>SL</v>
      </c>
      <c r="D3410" s="4" t="str">
        <f>_xlfn.XLOOKUP(A3410,[1]!DadosGHD[CD_GEOCMU],[1]!DadosGHD[uf])</f>
        <v>PR</v>
      </c>
      <c r="E3410" s="5" t="str">
        <f>_xlfn.XLOOKUP(A3410,[1]!DadosGHD[CD_GEOCMU],[1]!DadosGHD[MUNICIPIO])</f>
        <v>GUAPIRAMA</v>
      </c>
      <c r="F3410" s="6">
        <v>43.642414093017599</v>
      </c>
      <c r="G3410" s="6">
        <v>48.730697631835902</v>
      </c>
      <c r="H3410" s="6">
        <v>48.784221649169901</v>
      </c>
      <c r="I3410" s="6">
        <v>48.762481689453097</v>
      </c>
      <c r="J3410" s="6">
        <v>48.767391204833999</v>
      </c>
      <c r="K3410" s="6">
        <v>48.851322174072301</v>
      </c>
      <c r="L3410" s="6">
        <v>39.582187652587898</v>
      </c>
    </row>
    <row r="3411" spans="1:12" x14ac:dyDescent="0.25">
      <c r="A3411">
        <v>3111309</v>
      </c>
      <c r="B3411" t="str">
        <f t="shared" si="53"/>
        <v>CAMPO DO MEIO, MG, Brasil</v>
      </c>
      <c r="C3411" s="4" t="str">
        <f>_xlfn.XLOOKUP(A3411,[1]!DadosGHD[CD_GEOCMU],[1]!DadosGHD[Região])</f>
        <v>SD</v>
      </c>
      <c r="D3411" s="4" t="str">
        <f>_xlfn.XLOOKUP(A3411,[1]!DadosGHD[CD_GEOCMU],[1]!DadosGHD[uf])</f>
        <v>MG</v>
      </c>
      <c r="E3411" s="5" t="str">
        <f>_xlfn.XLOOKUP(A3411,[1]!DadosGHD[CD_GEOCMU],[1]!DadosGHD[MUNICIPIO])</f>
        <v>CAMPO DO MEIO</v>
      </c>
      <c r="F3411" s="6">
        <v>43.642707824707003</v>
      </c>
      <c r="G3411" s="6">
        <v>43.691375732421903</v>
      </c>
      <c r="H3411" s="6">
        <v>43.760963439941399</v>
      </c>
      <c r="I3411" s="6">
        <v>43.772304534912102</v>
      </c>
      <c r="J3411" s="6">
        <v>43.736419677734403</v>
      </c>
      <c r="K3411" s="6">
        <v>38.888965606689503</v>
      </c>
      <c r="L3411" s="6">
        <v>39.572746276855497</v>
      </c>
    </row>
    <row r="3412" spans="1:12" x14ac:dyDescent="0.25">
      <c r="A3412">
        <v>3114105</v>
      </c>
      <c r="B3412" t="str">
        <f t="shared" si="53"/>
        <v>CARMO DE MINAS, MG, Brasil</v>
      </c>
      <c r="C3412" s="4" t="str">
        <f>_xlfn.XLOOKUP(A3412,[1]!DadosGHD[CD_GEOCMU],[1]!DadosGHD[Região])</f>
        <v>SD</v>
      </c>
      <c r="D3412" s="4" t="str">
        <f>_xlfn.XLOOKUP(A3412,[1]!DadosGHD[CD_GEOCMU],[1]!DadosGHD[uf])</f>
        <v>MG</v>
      </c>
      <c r="E3412" s="5" t="str">
        <f>_xlfn.XLOOKUP(A3412,[1]!DadosGHD[CD_GEOCMU],[1]!DadosGHD[MUNICIPIO])</f>
        <v>CARMO DE MINAS</v>
      </c>
      <c r="F3412" s="6">
        <v>43.642745971679702</v>
      </c>
      <c r="G3412" s="6">
        <v>48.660163879394503</v>
      </c>
      <c r="H3412" s="6">
        <v>43.717159271240199</v>
      </c>
      <c r="I3412" s="6">
        <v>38.794990539550803</v>
      </c>
      <c r="J3412" s="6">
        <v>38.842079162597699</v>
      </c>
      <c r="K3412" s="6">
        <v>38.860328674316399</v>
      </c>
      <c r="L3412" s="6">
        <v>44.0385932922363</v>
      </c>
    </row>
    <row r="3413" spans="1:12" x14ac:dyDescent="0.25">
      <c r="A3413">
        <v>4202206</v>
      </c>
      <c r="B3413" t="str">
        <f t="shared" si="53"/>
        <v>BENEDITO NOVO, SC, Brasil</v>
      </c>
      <c r="C3413" s="4" t="str">
        <f>_xlfn.XLOOKUP(A3413,[1]!DadosGHD[CD_GEOCMU],[1]!DadosGHD[Região])</f>
        <v>SL</v>
      </c>
      <c r="D3413" s="4" t="str">
        <f>_xlfn.XLOOKUP(A3413,[1]!DadosGHD[CD_GEOCMU],[1]!DadosGHD[uf])</f>
        <v>SC</v>
      </c>
      <c r="E3413" s="5" t="str">
        <f>_xlfn.XLOOKUP(A3413,[1]!DadosGHD[CD_GEOCMU],[1]!DadosGHD[MUNICIPIO])</f>
        <v>BENEDITO NOVO</v>
      </c>
      <c r="F3413" s="6">
        <v>43.6428413391113</v>
      </c>
      <c r="G3413" s="6">
        <v>48.682235717773402</v>
      </c>
      <c r="H3413" s="6">
        <v>48.784568786621101</v>
      </c>
      <c r="I3413" s="6">
        <v>48.719825744628899</v>
      </c>
      <c r="J3413" s="6">
        <v>53.837844848632798</v>
      </c>
      <c r="K3413" s="6">
        <v>59.015895843505902</v>
      </c>
      <c r="L3413" s="6">
        <v>57.589881896972699</v>
      </c>
    </row>
    <row r="3414" spans="1:12" x14ac:dyDescent="0.25">
      <c r="A3414">
        <v>3522505</v>
      </c>
      <c r="B3414" t="str">
        <f t="shared" si="53"/>
        <v>ITAPEVI, SP, Brasil</v>
      </c>
      <c r="C3414" s="4" t="str">
        <f>_xlfn.XLOOKUP(A3414,[1]!DadosGHD[CD_GEOCMU],[1]!DadosGHD[Região])</f>
        <v>SD</v>
      </c>
      <c r="D3414" s="4" t="str">
        <f>_xlfn.XLOOKUP(A3414,[1]!DadosGHD[CD_GEOCMU],[1]!DadosGHD[uf])</f>
        <v>SP</v>
      </c>
      <c r="E3414" s="5" t="str">
        <f>_xlfn.XLOOKUP(A3414,[1]!DadosGHD[CD_GEOCMU],[1]!DadosGHD[MUNICIPIO])</f>
        <v>ITAPEVI</v>
      </c>
      <c r="F3414" s="6">
        <v>43.643032073974602</v>
      </c>
      <c r="G3414" s="6">
        <v>43.714305877685597</v>
      </c>
      <c r="H3414" s="6">
        <v>43.732177734375</v>
      </c>
      <c r="I3414" s="6">
        <v>43.684253692627003</v>
      </c>
      <c r="J3414" s="6">
        <v>38.819961547851598</v>
      </c>
      <c r="K3414" s="6">
        <v>38.8472709655762</v>
      </c>
      <c r="L3414" s="6">
        <v>39.583038330078097</v>
      </c>
    </row>
    <row r="3415" spans="1:12" x14ac:dyDescent="0.25">
      <c r="A3415">
        <v>3201902</v>
      </c>
      <c r="B3415" t="str">
        <f t="shared" si="53"/>
        <v>DOMINGOS MARTINS, ES, Brasil</v>
      </c>
      <c r="C3415" s="4" t="str">
        <f>_xlfn.XLOOKUP(A3415,[1]!DadosGHD[CD_GEOCMU],[1]!DadosGHD[Região])</f>
        <v>SD</v>
      </c>
      <c r="D3415" s="4" t="str">
        <f>_xlfn.XLOOKUP(A3415,[1]!DadosGHD[CD_GEOCMU],[1]!DadosGHD[uf])</f>
        <v>ES</v>
      </c>
      <c r="E3415" s="5" t="str">
        <f>_xlfn.XLOOKUP(A3415,[1]!DadosGHD[CD_GEOCMU],[1]!DadosGHD[MUNICIPIO])</f>
        <v>DOMINGOS MARTINS</v>
      </c>
      <c r="F3415" s="6">
        <v>43.643379211425803</v>
      </c>
      <c r="G3415" s="6">
        <v>43.720401763916001</v>
      </c>
      <c r="H3415" s="6">
        <v>43.811107635498097</v>
      </c>
      <c r="I3415" s="6">
        <v>48.714420318603501</v>
      </c>
      <c r="J3415" s="6">
        <v>48.792613983154297</v>
      </c>
      <c r="K3415" s="6">
        <v>48.839805603027301</v>
      </c>
      <c r="L3415" s="6">
        <v>44.077217102050803</v>
      </c>
    </row>
    <row r="3416" spans="1:12" x14ac:dyDescent="0.25">
      <c r="A3416">
        <v>3119104</v>
      </c>
      <c r="B3416" t="str">
        <f t="shared" si="53"/>
        <v>CORINTO, MG, Brasil</v>
      </c>
      <c r="C3416" s="4" t="str">
        <f>_xlfn.XLOOKUP(A3416,[1]!DadosGHD[CD_GEOCMU],[1]!DadosGHD[Região])</f>
        <v>SD</v>
      </c>
      <c r="D3416" s="4" t="str">
        <f>_xlfn.XLOOKUP(A3416,[1]!DadosGHD[CD_GEOCMU],[1]!DadosGHD[uf])</f>
        <v>MG</v>
      </c>
      <c r="E3416" s="5" t="str">
        <f>_xlfn.XLOOKUP(A3416,[1]!DadosGHD[CD_GEOCMU],[1]!DadosGHD[MUNICIPIO])</f>
        <v>CORINTO</v>
      </c>
      <c r="F3416" s="6">
        <v>43.643718719482401</v>
      </c>
      <c r="G3416" s="6">
        <v>43.730125427246101</v>
      </c>
      <c r="H3416" s="6">
        <v>43.764232635498097</v>
      </c>
      <c r="I3416" s="6">
        <v>43.721786499023402</v>
      </c>
      <c r="J3416" s="6">
        <v>43.824283599853501</v>
      </c>
      <c r="K3416" s="6">
        <v>43.8732719421387</v>
      </c>
      <c r="L3416" s="6">
        <v>39.587131500244098</v>
      </c>
    </row>
    <row r="3417" spans="1:12" x14ac:dyDescent="0.25">
      <c r="A3417">
        <v>4319604</v>
      </c>
      <c r="B3417" t="str">
        <f t="shared" si="53"/>
        <v>SAO SEPE, RS, Brasil</v>
      </c>
      <c r="C3417" s="4" t="str">
        <f>_xlfn.XLOOKUP(A3417,[1]!DadosGHD[CD_GEOCMU],[1]!DadosGHD[Região])</f>
        <v>SL</v>
      </c>
      <c r="D3417" s="4" t="str">
        <f>_xlfn.XLOOKUP(A3417,[1]!DadosGHD[CD_GEOCMU],[1]!DadosGHD[uf])</f>
        <v>RS</v>
      </c>
      <c r="E3417" s="5" t="str">
        <f>_xlfn.XLOOKUP(A3417,[1]!DadosGHD[CD_GEOCMU],[1]!DadosGHD[MUNICIPIO])</f>
        <v>SAO SEPE</v>
      </c>
      <c r="F3417" s="6">
        <v>43.643871307373097</v>
      </c>
      <c r="G3417" s="6">
        <v>43.722648620605497</v>
      </c>
      <c r="H3417" s="6">
        <v>43.809982299804702</v>
      </c>
      <c r="I3417" s="6">
        <v>43.782039642333999</v>
      </c>
      <c r="J3417" s="6">
        <v>43.809272766113303</v>
      </c>
      <c r="K3417" s="6">
        <v>48.825050354003899</v>
      </c>
      <c r="L3417" s="6">
        <v>52.994342803955099</v>
      </c>
    </row>
    <row r="3418" spans="1:12" x14ac:dyDescent="0.25">
      <c r="A3418">
        <v>5005806</v>
      </c>
      <c r="B3418" t="str">
        <f t="shared" si="53"/>
        <v>NIOAQUE, MS, Brasil</v>
      </c>
      <c r="C3418" s="4" t="str">
        <f>_xlfn.XLOOKUP(A3418,[1]!DadosGHD[CD_GEOCMU],[1]!DadosGHD[Região])</f>
        <v>CO</v>
      </c>
      <c r="D3418" s="4" t="str">
        <f>_xlfn.XLOOKUP(A3418,[1]!DadosGHD[CD_GEOCMU],[1]!DadosGHD[uf])</f>
        <v>MS</v>
      </c>
      <c r="E3418" s="5" t="str">
        <f>_xlfn.XLOOKUP(A3418,[1]!DadosGHD[CD_GEOCMU],[1]!DadosGHD[MUNICIPIO])</f>
        <v>NIOAQUE</v>
      </c>
      <c r="F3418" s="6">
        <v>43.643947601318402</v>
      </c>
      <c r="G3418" s="6">
        <v>43.709300994873097</v>
      </c>
      <c r="H3418" s="6">
        <v>43.783416748046903</v>
      </c>
      <c r="I3418" s="6">
        <v>43.771251678466797</v>
      </c>
      <c r="J3418" s="6">
        <v>43.7901802062988</v>
      </c>
      <c r="K3418" s="6">
        <v>43.808429718017599</v>
      </c>
      <c r="L3418" s="6">
        <v>30.714557647705099</v>
      </c>
    </row>
    <row r="3419" spans="1:12" x14ac:dyDescent="0.25">
      <c r="A3419">
        <v>3544608</v>
      </c>
      <c r="B3419" t="str">
        <f t="shared" si="53"/>
        <v>SABINO, SP, Brasil</v>
      </c>
      <c r="C3419" s="4" t="str">
        <f>_xlfn.XLOOKUP(A3419,[1]!DadosGHD[CD_GEOCMU],[1]!DadosGHD[Região])</f>
        <v>SD</v>
      </c>
      <c r="D3419" s="4" t="str">
        <f>_xlfn.XLOOKUP(A3419,[1]!DadosGHD[CD_GEOCMU],[1]!DadosGHD[uf])</f>
        <v>SP</v>
      </c>
      <c r="E3419" s="5" t="str">
        <f>_xlfn.XLOOKUP(A3419,[1]!DadosGHD[CD_GEOCMU],[1]!DadosGHD[MUNICIPIO])</f>
        <v>SABINO</v>
      </c>
      <c r="F3419" s="6">
        <v>43.644111633300803</v>
      </c>
      <c r="G3419" s="6">
        <v>43.677623748779297</v>
      </c>
      <c r="H3419" s="6">
        <v>43.739795684814503</v>
      </c>
      <c r="I3419" s="6">
        <v>43.682956695556598</v>
      </c>
      <c r="J3419" s="6">
        <v>38.826419830322301</v>
      </c>
      <c r="K3419" s="6">
        <v>38.801551818847699</v>
      </c>
      <c r="L3419" s="6">
        <v>30.7130012512207</v>
      </c>
    </row>
    <row r="3420" spans="1:12" x14ac:dyDescent="0.25">
      <c r="A3420">
        <v>5003207</v>
      </c>
      <c r="B3420" t="str">
        <f t="shared" si="53"/>
        <v>CORUMBA, MS, Brasil</v>
      </c>
      <c r="C3420" s="4" t="str">
        <f>_xlfn.XLOOKUP(A3420,[1]!DadosGHD[CD_GEOCMU],[1]!DadosGHD[Região])</f>
        <v>CO</v>
      </c>
      <c r="D3420" s="4" t="str">
        <f>_xlfn.XLOOKUP(A3420,[1]!DadosGHD[CD_GEOCMU],[1]!DadosGHD[uf])</f>
        <v>MS</v>
      </c>
      <c r="E3420" s="5" t="str">
        <f>_xlfn.XLOOKUP(A3420,[1]!DadosGHD[CD_GEOCMU],[1]!DadosGHD[MUNICIPIO])</f>
        <v>CORUMBA</v>
      </c>
      <c r="F3420" s="6">
        <v>43.644222259521499</v>
      </c>
      <c r="G3420" s="6">
        <v>43.705554962158203</v>
      </c>
      <c r="H3420" s="6">
        <v>43.737998962402301</v>
      </c>
      <c r="I3420" s="6">
        <v>43.705207824707003</v>
      </c>
      <c r="J3420" s="6">
        <v>38.8422241210938</v>
      </c>
      <c r="K3420" s="6">
        <v>38.858535766601598</v>
      </c>
      <c r="L3420" s="6">
        <v>35.139671325683601</v>
      </c>
    </row>
    <row r="3421" spans="1:12" x14ac:dyDescent="0.25">
      <c r="A3421">
        <v>3139904</v>
      </c>
      <c r="B3421" t="str">
        <f t="shared" si="53"/>
        <v>MARIA DA FE, MG, Brasil</v>
      </c>
      <c r="C3421" s="4" t="str">
        <f>_xlfn.XLOOKUP(A3421,[1]!DadosGHD[CD_GEOCMU],[1]!DadosGHD[Região])</f>
        <v>SD</v>
      </c>
      <c r="D3421" s="4" t="str">
        <f>_xlfn.XLOOKUP(A3421,[1]!DadosGHD[CD_GEOCMU],[1]!DadosGHD[uf])</f>
        <v>MG</v>
      </c>
      <c r="E3421" s="5" t="str">
        <f>_xlfn.XLOOKUP(A3421,[1]!DadosGHD[CD_GEOCMU],[1]!DadosGHD[MUNICIPIO])</f>
        <v>MARIA DA FE</v>
      </c>
      <c r="F3421" s="6">
        <v>43.644290924072301</v>
      </c>
      <c r="G3421" s="6">
        <v>43.705207824707003</v>
      </c>
      <c r="H3421" s="6">
        <v>43.779571533203097</v>
      </c>
      <c r="I3421" s="6">
        <v>43.716503143310597</v>
      </c>
      <c r="J3421" s="6">
        <v>43.719627380371101</v>
      </c>
      <c r="K3421" s="6">
        <v>43.776889801025398</v>
      </c>
      <c r="L3421" s="6">
        <v>39.556652069091797</v>
      </c>
    </row>
    <row r="3422" spans="1:12" x14ac:dyDescent="0.25">
      <c r="A3422">
        <v>1701903</v>
      </c>
      <c r="B3422" t="str">
        <f t="shared" si="53"/>
        <v>ARAGUACEMA, TO, Brasil</v>
      </c>
      <c r="C3422" s="4" t="str">
        <f>_xlfn.XLOOKUP(A3422,[1]!DadosGHD[CD_GEOCMU],[1]!DadosGHD[Região])</f>
        <v>NO</v>
      </c>
      <c r="D3422" s="4" t="str">
        <f>_xlfn.XLOOKUP(A3422,[1]!DadosGHD[CD_GEOCMU],[1]!DadosGHD[uf])</f>
        <v>TO</v>
      </c>
      <c r="E3422" s="5" t="str">
        <f>_xlfn.XLOOKUP(A3422,[1]!DadosGHD[CD_GEOCMU],[1]!DadosGHD[MUNICIPIO])</f>
        <v>ARAGUACEMA</v>
      </c>
      <c r="F3422" s="6">
        <v>43.6443901062012</v>
      </c>
      <c r="G3422" s="6">
        <v>38.718017578125</v>
      </c>
      <c r="H3422" s="6">
        <v>33.874141693115199</v>
      </c>
      <c r="I3422" s="6">
        <v>33.8644409179688</v>
      </c>
      <c r="J3422" s="6">
        <v>33.828197479248097</v>
      </c>
      <c r="K3422" s="6">
        <v>33.8583984375</v>
      </c>
      <c r="L3422" s="6">
        <v>26.295696258544901</v>
      </c>
    </row>
    <row r="3423" spans="1:12" x14ac:dyDescent="0.25">
      <c r="A3423">
        <v>2511400</v>
      </c>
      <c r="B3423" t="str">
        <f t="shared" si="53"/>
        <v>PICUI, PB, Brasil</v>
      </c>
      <c r="C3423" s="4" t="str">
        <f>_xlfn.XLOOKUP(A3423,[1]!DadosGHD[CD_GEOCMU],[1]!DadosGHD[Região])</f>
        <v>NE</v>
      </c>
      <c r="D3423" s="4" t="str">
        <f>_xlfn.XLOOKUP(A3423,[1]!DadosGHD[CD_GEOCMU],[1]!DadosGHD[uf])</f>
        <v>PB</v>
      </c>
      <c r="E3423" s="5" t="str">
        <f>_xlfn.XLOOKUP(A3423,[1]!DadosGHD[CD_GEOCMU],[1]!DadosGHD[MUNICIPIO])</f>
        <v>PICUI</v>
      </c>
      <c r="F3423" s="6">
        <v>43.644435882568402</v>
      </c>
      <c r="G3423" s="6">
        <v>43.714439392089801</v>
      </c>
      <c r="H3423" s="6">
        <v>43.746955871582003</v>
      </c>
      <c r="I3423" s="6">
        <v>43.767337799072301</v>
      </c>
      <c r="J3423" s="6">
        <v>48.758937835693402</v>
      </c>
      <c r="K3423" s="6">
        <v>48.870452880859403</v>
      </c>
      <c r="L3423" s="6">
        <v>48.490737915039098</v>
      </c>
    </row>
    <row r="3424" spans="1:12" x14ac:dyDescent="0.25">
      <c r="A3424">
        <v>5006903</v>
      </c>
      <c r="B3424" t="str">
        <f t="shared" si="53"/>
        <v>PORTO MURTINHO, MS, Brasil</v>
      </c>
      <c r="C3424" s="4" t="str">
        <f>_xlfn.XLOOKUP(A3424,[1]!DadosGHD[CD_GEOCMU],[1]!DadosGHD[Região])</f>
        <v>CO</v>
      </c>
      <c r="D3424" s="4" t="str">
        <f>_xlfn.XLOOKUP(A3424,[1]!DadosGHD[CD_GEOCMU],[1]!DadosGHD[uf])</f>
        <v>MS</v>
      </c>
      <c r="E3424" s="5" t="str">
        <f>_xlfn.XLOOKUP(A3424,[1]!DadosGHD[CD_GEOCMU],[1]!DadosGHD[MUNICIPIO])</f>
        <v>PORTO MURTINHO</v>
      </c>
      <c r="F3424" s="6">
        <v>43.644809722900398</v>
      </c>
      <c r="G3424" s="6">
        <v>43.646022796630902</v>
      </c>
      <c r="H3424" s="6">
        <v>38.826248168945298</v>
      </c>
      <c r="I3424" s="6">
        <v>38.793426513671903</v>
      </c>
      <c r="J3424" s="6">
        <v>38.801975250244098</v>
      </c>
      <c r="K3424" s="6">
        <v>38.8129272460938</v>
      </c>
      <c r="L3424" s="6">
        <v>30.707494735717798</v>
      </c>
    </row>
    <row r="3425" spans="1:12" x14ac:dyDescent="0.25">
      <c r="A3425">
        <v>3103751</v>
      </c>
      <c r="B3425" t="str">
        <f t="shared" si="53"/>
        <v>ARAPORA, MG, Brasil</v>
      </c>
      <c r="C3425" s="4" t="str">
        <f>_xlfn.XLOOKUP(A3425,[1]!DadosGHD[CD_GEOCMU],[1]!DadosGHD[Região])</f>
        <v>SD</v>
      </c>
      <c r="D3425" s="4" t="str">
        <f>_xlfn.XLOOKUP(A3425,[1]!DadosGHD[CD_GEOCMU],[1]!DadosGHD[uf])</f>
        <v>MG</v>
      </c>
      <c r="E3425" s="5" t="str">
        <f>_xlfn.XLOOKUP(A3425,[1]!DadosGHD[CD_GEOCMU],[1]!DadosGHD[MUNICIPIO])</f>
        <v>ARAPORA</v>
      </c>
      <c r="F3425" s="6">
        <v>43.645011901855497</v>
      </c>
      <c r="G3425" s="6">
        <v>43.701362609863303</v>
      </c>
      <c r="H3425" s="6">
        <v>43.757457733154297</v>
      </c>
      <c r="I3425" s="6">
        <v>43.725650787353501</v>
      </c>
      <c r="J3425" s="6">
        <v>43.781848907470703</v>
      </c>
      <c r="K3425" s="6">
        <v>43.820392608642599</v>
      </c>
      <c r="L3425" s="6">
        <v>44.056110382080099</v>
      </c>
    </row>
    <row r="3426" spans="1:12" x14ac:dyDescent="0.25">
      <c r="A3426">
        <v>4305454</v>
      </c>
      <c r="B3426" t="str">
        <f t="shared" si="53"/>
        <v>CIDREIRA, RS, Brasil</v>
      </c>
      <c r="C3426" s="4" t="str">
        <f>_xlfn.XLOOKUP(A3426,[1]!DadosGHD[CD_GEOCMU],[1]!DadosGHD[Região])</f>
        <v>SL</v>
      </c>
      <c r="D3426" s="4" t="str">
        <f>_xlfn.XLOOKUP(A3426,[1]!DadosGHD[CD_GEOCMU],[1]!DadosGHD[uf])</f>
        <v>RS</v>
      </c>
      <c r="E3426" s="5" t="str">
        <f>_xlfn.XLOOKUP(A3426,[1]!DadosGHD[CD_GEOCMU],[1]!DadosGHD[MUNICIPIO])</f>
        <v>CIDREIRA</v>
      </c>
      <c r="F3426" s="6">
        <v>43.645042419433601</v>
      </c>
      <c r="G3426" s="6">
        <v>43.674678802490199</v>
      </c>
      <c r="H3426" s="6">
        <v>43.796558380127003</v>
      </c>
      <c r="I3426" s="6">
        <v>48.784858703613303</v>
      </c>
      <c r="J3426" s="6">
        <v>48.831214904785199</v>
      </c>
      <c r="K3426" s="6">
        <v>48.838191986083999</v>
      </c>
      <c r="L3426" s="6">
        <v>57.537330627441399</v>
      </c>
    </row>
    <row r="3427" spans="1:12" x14ac:dyDescent="0.25">
      <c r="A3427">
        <v>4211801</v>
      </c>
      <c r="B3427" t="str">
        <f t="shared" si="53"/>
        <v>OURO, SC, Brasil</v>
      </c>
      <c r="C3427" s="4" t="str">
        <f>_xlfn.XLOOKUP(A3427,[1]!DadosGHD[CD_GEOCMU],[1]!DadosGHD[Região])</f>
        <v>SL</v>
      </c>
      <c r="D3427" s="4" t="str">
        <f>_xlfn.XLOOKUP(A3427,[1]!DadosGHD[CD_GEOCMU],[1]!DadosGHD[uf])</f>
        <v>SC</v>
      </c>
      <c r="E3427" s="5" t="str">
        <f>_xlfn.XLOOKUP(A3427,[1]!DadosGHD[CD_GEOCMU],[1]!DadosGHD[MUNICIPIO])</f>
        <v>OURO</v>
      </c>
      <c r="F3427" s="6">
        <v>43.645301818847699</v>
      </c>
      <c r="G3427" s="6">
        <v>48.762153625488303</v>
      </c>
      <c r="H3427" s="6">
        <v>48.776943206787102</v>
      </c>
      <c r="I3427" s="6">
        <v>48.7571411132813</v>
      </c>
      <c r="J3427" s="6">
        <v>48.799495697021499</v>
      </c>
      <c r="K3427" s="6">
        <v>48.863445281982401</v>
      </c>
      <c r="L3427" s="6">
        <v>48.524684906005902</v>
      </c>
    </row>
    <row r="3428" spans="1:12" x14ac:dyDescent="0.25">
      <c r="A3428">
        <v>4315701</v>
      </c>
      <c r="B3428" t="str">
        <f t="shared" si="53"/>
        <v>RIO PARDO, RS, Brasil</v>
      </c>
      <c r="C3428" s="4" t="str">
        <f>_xlfn.XLOOKUP(A3428,[1]!DadosGHD[CD_GEOCMU],[1]!DadosGHD[Região])</f>
        <v>SL</v>
      </c>
      <c r="D3428" s="4" t="str">
        <f>_xlfn.XLOOKUP(A3428,[1]!DadosGHD[CD_GEOCMU],[1]!DadosGHD[uf])</f>
        <v>RS</v>
      </c>
      <c r="E3428" s="5" t="str">
        <f>_xlfn.XLOOKUP(A3428,[1]!DadosGHD[CD_GEOCMU],[1]!DadosGHD[MUNICIPIO])</f>
        <v>RIO PARDO</v>
      </c>
      <c r="F3428" s="6">
        <v>43.645381927490199</v>
      </c>
      <c r="G3428" s="6">
        <v>43.741863250732401</v>
      </c>
      <c r="H3428" s="6">
        <v>48.742191314697301</v>
      </c>
      <c r="I3428" s="6">
        <v>48.794677734375</v>
      </c>
      <c r="J3428" s="6">
        <v>48.797027587890597</v>
      </c>
      <c r="K3428" s="6">
        <v>48.823337554931598</v>
      </c>
      <c r="L3428" s="6">
        <v>48.528797149658203</v>
      </c>
    </row>
    <row r="3429" spans="1:12" x14ac:dyDescent="0.25">
      <c r="A3429">
        <v>3111606</v>
      </c>
      <c r="B3429" t="str">
        <f t="shared" si="53"/>
        <v>CAMPOS GERAIS, MG, Brasil</v>
      </c>
      <c r="C3429" s="4" t="str">
        <f>_xlfn.XLOOKUP(A3429,[1]!DadosGHD[CD_GEOCMU],[1]!DadosGHD[Região])</f>
        <v>SD</v>
      </c>
      <c r="D3429" s="4" t="str">
        <f>_xlfn.XLOOKUP(A3429,[1]!DadosGHD[CD_GEOCMU],[1]!DadosGHD[uf])</f>
        <v>MG</v>
      </c>
      <c r="E3429" s="5" t="str">
        <f>_xlfn.XLOOKUP(A3429,[1]!DadosGHD[CD_GEOCMU],[1]!DadosGHD[MUNICIPIO])</f>
        <v>CAMPOS GERAIS</v>
      </c>
      <c r="F3429" s="6">
        <v>43.645687103271499</v>
      </c>
      <c r="G3429" s="6">
        <v>43.720142364502003</v>
      </c>
      <c r="H3429" s="6">
        <v>43.796958923339801</v>
      </c>
      <c r="I3429" s="6">
        <v>43.789470672607401</v>
      </c>
      <c r="J3429" s="6">
        <v>43.800270080566399</v>
      </c>
      <c r="K3429" s="6">
        <v>48.766117095947301</v>
      </c>
      <c r="L3429" s="6">
        <v>44.018882751464801</v>
      </c>
    </row>
    <row r="3430" spans="1:12" x14ac:dyDescent="0.25">
      <c r="A3430">
        <v>3304508</v>
      </c>
      <c r="B3430" t="str">
        <f t="shared" si="53"/>
        <v>RIO DAS FLORES, RJ, Brasil</v>
      </c>
      <c r="C3430" s="4" t="str">
        <f>_xlfn.XLOOKUP(A3430,[1]!DadosGHD[CD_GEOCMU],[1]!DadosGHD[Região])</f>
        <v>SD</v>
      </c>
      <c r="D3430" s="4" t="str">
        <f>_xlfn.XLOOKUP(A3430,[1]!DadosGHD[CD_GEOCMU],[1]!DadosGHD[uf])</f>
        <v>RJ</v>
      </c>
      <c r="E3430" s="5" t="str">
        <f>_xlfn.XLOOKUP(A3430,[1]!DadosGHD[CD_GEOCMU],[1]!DadosGHD[MUNICIPIO])</f>
        <v>RIO DAS FLORES</v>
      </c>
      <c r="F3430" s="6">
        <v>43.645709991455099</v>
      </c>
      <c r="G3430" s="6">
        <v>43.689468383789098</v>
      </c>
      <c r="H3430" s="6">
        <v>38.807575225830099</v>
      </c>
      <c r="I3430" s="6">
        <v>38.7893257141113</v>
      </c>
      <c r="J3430" s="6">
        <v>38.779670715332003</v>
      </c>
      <c r="K3430" s="6">
        <v>38.866355895996101</v>
      </c>
      <c r="L3430" s="6">
        <v>35.135139465332003</v>
      </c>
    </row>
    <row r="3431" spans="1:12" x14ac:dyDescent="0.25">
      <c r="A3431">
        <v>3110004</v>
      </c>
      <c r="B3431" t="str">
        <f t="shared" si="53"/>
        <v>CAETE, MG, Brasil</v>
      </c>
      <c r="C3431" s="4" t="str">
        <f>_xlfn.XLOOKUP(A3431,[1]!DadosGHD[CD_GEOCMU],[1]!DadosGHD[Região])</f>
        <v>SD</v>
      </c>
      <c r="D3431" s="4" t="str">
        <f>_xlfn.XLOOKUP(A3431,[1]!DadosGHD[CD_GEOCMU],[1]!DadosGHD[uf])</f>
        <v>MG</v>
      </c>
      <c r="E3431" s="5" t="str">
        <f>_xlfn.XLOOKUP(A3431,[1]!DadosGHD[CD_GEOCMU],[1]!DadosGHD[MUNICIPIO])</f>
        <v>CAETE</v>
      </c>
      <c r="F3431" s="6">
        <v>43.646198272705099</v>
      </c>
      <c r="G3431" s="6">
        <v>43.725929260253899</v>
      </c>
      <c r="H3431" s="6">
        <v>43.826099395752003</v>
      </c>
      <c r="I3431" s="6">
        <v>48.688549041748097</v>
      </c>
      <c r="J3431" s="6">
        <v>48.710338592529297</v>
      </c>
      <c r="K3431" s="6">
        <v>43.884727478027301</v>
      </c>
      <c r="L3431" s="6">
        <v>48.552433013916001</v>
      </c>
    </row>
    <row r="3432" spans="1:12" x14ac:dyDescent="0.25">
      <c r="A3432">
        <v>3120839</v>
      </c>
      <c r="B3432" t="str">
        <f t="shared" si="53"/>
        <v>CUPARAQUE, MG, Brasil</v>
      </c>
      <c r="C3432" s="4" t="str">
        <f>_xlfn.XLOOKUP(A3432,[1]!DadosGHD[CD_GEOCMU],[1]!DadosGHD[Região])</f>
        <v>SD</v>
      </c>
      <c r="D3432" s="4" t="str">
        <f>_xlfn.XLOOKUP(A3432,[1]!DadosGHD[CD_GEOCMU],[1]!DadosGHD[uf])</f>
        <v>MG</v>
      </c>
      <c r="E3432" s="5" t="str">
        <f>_xlfn.XLOOKUP(A3432,[1]!DadosGHD[CD_GEOCMU],[1]!DadosGHD[MUNICIPIO])</f>
        <v>CUPARAQUE</v>
      </c>
      <c r="F3432" s="6">
        <v>43.646736145019503</v>
      </c>
      <c r="G3432" s="6">
        <v>43.755569458007798</v>
      </c>
      <c r="H3432" s="6">
        <v>38.825065612792997</v>
      </c>
      <c r="I3432" s="6">
        <v>38.792942047119098</v>
      </c>
      <c r="J3432" s="6">
        <v>43.7904663085938</v>
      </c>
      <c r="K3432" s="6">
        <v>43.796600341796903</v>
      </c>
      <c r="L3432" s="6">
        <v>39.5684814453125</v>
      </c>
    </row>
    <row r="3433" spans="1:12" x14ac:dyDescent="0.25">
      <c r="A3433">
        <v>4304952</v>
      </c>
      <c r="B3433" t="str">
        <f t="shared" si="53"/>
        <v>CASEIROS, RS, Brasil</v>
      </c>
      <c r="C3433" s="4" t="str">
        <f>_xlfn.XLOOKUP(A3433,[1]!DadosGHD[CD_GEOCMU],[1]!DadosGHD[Região])</f>
        <v>SL</v>
      </c>
      <c r="D3433" s="4" t="str">
        <f>_xlfn.XLOOKUP(A3433,[1]!DadosGHD[CD_GEOCMU],[1]!DadosGHD[uf])</f>
        <v>RS</v>
      </c>
      <c r="E3433" s="5" t="str">
        <f>_xlfn.XLOOKUP(A3433,[1]!DadosGHD[CD_GEOCMU],[1]!DadosGHD[MUNICIPIO])</f>
        <v>CASEIROS</v>
      </c>
      <c r="F3433" s="6">
        <v>43.646987915039098</v>
      </c>
      <c r="G3433" s="6">
        <v>53.7836303710938</v>
      </c>
      <c r="H3433" s="6">
        <v>58.855171203613303</v>
      </c>
      <c r="I3433" s="6">
        <v>58.798488616943402</v>
      </c>
      <c r="J3433" s="6">
        <v>53.838146209716797</v>
      </c>
      <c r="K3433" s="6">
        <v>58.926403045654297</v>
      </c>
      <c r="L3433" s="6">
        <v>57.528919219970703</v>
      </c>
    </row>
    <row r="3434" spans="1:12" x14ac:dyDescent="0.25">
      <c r="A3434">
        <v>4110102</v>
      </c>
      <c r="B3434" t="str">
        <f t="shared" si="53"/>
        <v>IMBITUVA, PR, Brasil</v>
      </c>
      <c r="C3434" s="4" t="str">
        <f>_xlfn.XLOOKUP(A3434,[1]!DadosGHD[CD_GEOCMU],[1]!DadosGHD[Região])</f>
        <v>SL</v>
      </c>
      <c r="D3434" s="4" t="str">
        <f>_xlfn.XLOOKUP(A3434,[1]!DadosGHD[CD_GEOCMU],[1]!DadosGHD[uf])</f>
        <v>PR</v>
      </c>
      <c r="E3434" s="5" t="str">
        <f>_xlfn.XLOOKUP(A3434,[1]!DadosGHD[CD_GEOCMU],[1]!DadosGHD[MUNICIPIO])</f>
        <v>IMBITUVA</v>
      </c>
      <c r="F3434" s="6">
        <v>43.647037506103501</v>
      </c>
      <c r="G3434" s="6">
        <v>43.703117370605497</v>
      </c>
      <c r="H3434" s="6">
        <v>43.733875274658203</v>
      </c>
      <c r="I3434" s="6">
        <v>43.729789733886697</v>
      </c>
      <c r="J3434" s="6">
        <v>43.748615264892599</v>
      </c>
      <c r="K3434" s="6">
        <v>43.836910247802699</v>
      </c>
      <c r="L3434" s="6">
        <v>44.053005218505902</v>
      </c>
    </row>
    <row r="3435" spans="1:12" x14ac:dyDescent="0.25">
      <c r="A3435">
        <v>3305158</v>
      </c>
      <c r="B3435" t="str">
        <f t="shared" si="53"/>
        <v>SAO JOSE DO VALE DO RIO PRETO, RJ, Brasil</v>
      </c>
      <c r="C3435" s="4" t="str">
        <f>_xlfn.XLOOKUP(A3435,[1]!DadosGHD[CD_GEOCMU],[1]!DadosGHD[Região])</f>
        <v>SD</v>
      </c>
      <c r="D3435" s="4" t="str">
        <f>_xlfn.XLOOKUP(A3435,[1]!DadosGHD[CD_GEOCMU],[1]!DadosGHD[uf])</f>
        <v>RJ</v>
      </c>
      <c r="E3435" s="5" t="str">
        <f>_xlfn.XLOOKUP(A3435,[1]!DadosGHD[CD_GEOCMU],[1]!DadosGHD[MUNICIPIO])</f>
        <v>SAO JOSE DO VALE DO RIO PRETO</v>
      </c>
      <c r="F3435" s="6">
        <v>43.647151947021499</v>
      </c>
      <c r="G3435" s="6">
        <v>43.708488464355497</v>
      </c>
      <c r="H3435" s="6">
        <v>38.766792297363303</v>
      </c>
      <c r="I3435" s="6">
        <v>38.798545837402301</v>
      </c>
      <c r="J3435" s="6">
        <v>38.8147583007813</v>
      </c>
      <c r="K3435" s="6">
        <v>33.9035453796387</v>
      </c>
      <c r="L3435" s="6">
        <v>30.7089958190918</v>
      </c>
    </row>
    <row r="3436" spans="1:12" x14ac:dyDescent="0.25">
      <c r="A3436">
        <v>2211209</v>
      </c>
      <c r="B3436" t="str">
        <f t="shared" si="53"/>
        <v>URUCUI, PI, Brasil</v>
      </c>
      <c r="C3436" s="4" t="str">
        <f>_xlfn.XLOOKUP(A3436,[1]!DadosGHD[CD_GEOCMU],[1]!DadosGHD[Região])</f>
        <v>NE</v>
      </c>
      <c r="D3436" s="4" t="str">
        <f>_xlfn.XLOOKUP(A3436,[1]!DadosGHD[CD_GEOCMU],[1]!DadosGHD[uf])</f>
        <v>PI</v>
      </c>
      <c r="E3436" s="5" t="str">
        <f>_xlfn.XLOOKUP(A3436,[1]!DadosGHD[CD_GEOCMU],[1]!DadosGHD[MUNICIPIO])</f>
        <v>URUCUI</v>
      </c>
      <c r="F3436" s="6">
        <v>43.647239685058601</v>
      </c>
      <c r="G3436" s="6">
        <v>43.724369049072301</v>
      </c>
      <c r="H3436" s="6">
        <v>43.767223358154297</v>
      </c>
      <c r="I3436" s="6">
        <v>43.756912231445298</v>
      </c>
      <c r="J3436" s="6">
        <v>43.806179046630902</v>
      </c>
      <c r="K3436" s="6">
        <v>48.763927459716797</v>
      </c>
      <c r="L3436" s="6">
        <v>30.7045288085938</v>
      </c>
    </row>
    <row r="3437" spans="1:12" x14ac:dyDescent="0.25">
      <c r="A3437">
        <v>3106606</v>
      </c>
      <c r="B3437" t="str">
        <f t="shared" si="53"/>
        <v>BERTOPOLIS, MG, Brasil</v>
      </c>
      <c r="C3437" s="4" t="str">
        <f>_xlfn.XLOOKUP(A3437,[1]!DadosGHD[CD_GEOCMU],[1]!DadosGHD[Região])</f>
        <v>SD</v>
      </c>
      <c r="D3437" s="4" t="str">
        <f>_xlfn.XLOOKUP(A3437,[1]!DadosGHD[CD_GEOCMU],[1]!DadosGHD[uf])</f>
        <v>MG</v>
      </c>
      <c r="E3437" s="5" t="str">
        <f>_xlfn.XLOOKUP(A3437,[1]!DadosGHD[CD_GEOCMU],[1]!DadosGHD[MUNICIPIO])</f>
        <v>BERTOPOLIS</v>
      </c>
      <c r="F3437" s="6">
        <v>43.647266387939503</v>
      </c>
      <c r="G3437" s="6">
        <v>43.748367309570298</v>
      </c>
      <c r="H3437" s="6">
        <v>43.799644470214801</v>
      </c>
      <c r="I3437" s="6">
        <v>43.764072418212898</v>
      </c>
      <c r="J3437" s="6">
        <v>43.783824920654297</v>
      </c>
      <c r="K3437" s="6">
        <v>43.835227966308601</v>
      </c>
      <c r="L3437" s="6">
        <v>30.709156036376999</v>
      </c>
    </row>
    <row r="3438" spans="1:12" x14ac:dyDescent="0.25">
      <c r="A3438">
        <v>3303807</v>
      </c>
      <c r="B3438" t="str">
        <f t="shared" si="53"/>
        <v>PARATY, RJ, Brasil</v>
      </c>
      <c r="C3438" s="4" t="str">
        <f>_xlfn.XLOOKUP(A3438,[1]!DadosGHD[CD_GEOCMU],[1]!DadosGHD[Região])</f>
        <v>SD</v>
      </c>
      <c r="D3438" s="4" t="str">
        <f>_xlfn.XLOOKUP(A3438,[1]!DadosGHD[CD_GEOCMU],[1]!DadosGHD[uf])</f>
        <v>RJ</v>
      </c>
      <c r="E3438" s="5" t="str">
        <f>_xlfn.XLOOKUP(A3438,[1]!DadosGHD[CD_GEOCMU],[1]!DadosGHD[MUNICIPIO])</f>
        <v>PARATY</v>
      </c>
      <c r="F3438" s="6">
        <v>43.647918701171903</v>
      </c>
      <c r="G3438" s="6">
        <v>43.738685607910199</v>
      </c>
      <c r="H3438" s="6">
        <v>43.803871154785199</v>
      </c>
      <c r="I3438" s="6">
        <v>43.762062072753899</v>
      </c>
      <c r="J3438" s="6">
        <v>43.759475708007798</v>
      </c>
      <c r="K3438" s="6">
        <v>43.795707702636697</v>
      </c>
      <c r="L3438" s="6">
        <v>39.578338623046903</v>
      </c>
    </row>
    <row r="3439" spans="1:12" x14ac:dyDescent="0.25">
      <c r="A3439">
        <v>3509908</v>
      </c>
      <c r="B3439" t="str">
        <f t="shared" si="53"/>
        <v>CANANEIA, SP, Brasil</v>
      </c>
      <c r="C3439" s="4" t="str">
        <f>_xlfn.XLOOKUP(A3439,[1]!DadosGHD[CD_GEOCMU],[1]!DadosGHD[Região])</f>
        <v>SD</v>
      </c>
      <c r="D3439" s="4" t="str">
        <f>_xlfn.XLOOKUP(A3439,[1]!DadosGHD[CD_GEOCMU],[1]!DadosGHD[uf])</f>
        <v>SP</v>
      </c>
      <c r="E3439" s="5" t="str">
        <f>_xlfn.XLOOKUP(A3439,[1]!DadosGHD[CD_GEOCMU],[1]!DadosGHD[MUNICIPIO])</f>
        <v>CANANEIA</v>
      </c>
      <c r="F3439" s="6">
        <v>43.648033142089801</v>
      </c>
      <c r="G3439" s="6">
        <v>43.737483978271499</v>
      </c>
      <c r="H3439" s="6">
        <v>43.796512603759801</v>
      </c>
      <c r="I3439" s="6">
        <v>43.762210845947301</v>
      </c>
      <c r="J3439" s="6">
        <v>43.732429504394503</v>
      </c>
      <c r="K3439" s="6">
        <v>43.762866973877003</v>
      </c>
      <c r="L3439" s="6">
        <v>39.580760955810597</v>
      </c>
    </row>
    <row r="3440" spans="1:12" x14ac:dyDescent="0.25">
      <c r="A3440">
        <v>4103057</v>
      </c>
      <c r="B3440" t="str">
        <f t="shared" si="53"/>
        <v>BOA VISTA DA APARECIDA, PR, Brasil</v>
      </c>
      <c r="C3440" s="4" t="str">
        <f>_xlfn.XLOOKUP(A3440,[1]!DadosGHD[CD_GEOCMU],[1]!DadosGHD[Região])</f>
        <v>SL</v>
      </c>
      <c r="D3440" s="4" t="str">
        <f>_xlfn.XLOOKUP(A3440,[1]!DadosGHD[CD_GEOCMU],[1]!DadosGHD[uf])</f>
        <v>PR</v>
      </c>
      <c r="E3440" s="5" t="str">
        <f>_xlfn.XLOOKUP(A3440,[1]!DadosGHD[CD_GEOCMU],[1]!DadosGHD[MUNICIPIO])</f>
        <v>BOA VISTA DA APARECIDA</v>
      </c>
      <c r="F3440" s="6">
        <v>43.6480712890625</v>
      </c>
      <c r="G3440" s="6">
        <v>43.681564331054702</v>
      </c>
      <c r="H3440" s="6">
        <v>43.733917236328097</v>
      </c>
      <c r="I3440" s="6">
        <v>43.773952484130902</v>
      </c>
      <c r="J3440" s="6">
        <v>43.712257385253899</v>
      </c>
      <c r="K3440" s="6">
        <v>43.778022766113303</v>
      </c>
      <c r="L3440" s="6">
        <v>35.1277465820313</v>
      </c>
    </row>
    <row r="3441" spans="1:12" x14ac:dyDescent="0.25">
      <c r="A3441">
        <v>4203709</v>
      </c>
      <c r="B3441" t="str">
        <f t="shared" si="53"/>
        <v>CANELINHA, SC, Brasil</v>
      </c>
      <c r="C3441" s="4" t="str">
        <f>_xlfn.XLOOKUP(A3441,[1]!DadosGHD[CD_GEOCMU],[1]!DadosGHD[Região])</f>
        <v>SL</v>
      </c>
      <c r="D3441" s="4" t="str">
        <f>_xlfn.XLOOKUP(A3441,[1]!DadosGHD[CD_GEOCMU],[1]!DadosGHD[uf])</f>
        <v>SC</v>
      </c>
      <c r="E3441" s="5" t="str">
        <f>_xlfn.XLOOKUP(A3441,[1]!DadosGHD[CD_GEOCMU],[1]!DadosGHD[MUNICIPIO])</f>
        <v>CANELINHA</v>
      </c>
      <c r="F3441" s="6">
        <v>43.648128509521499</v>
      </c>
      <c r="G3441" s="6">
        <v>43.719772338867202</v>
      </c>
      <c r="H3441" s="6">
        <v>43.785179138183601</v>
      </c>
      <c r="I3441" s="6">
        <v>43.722362518310597</v>
      </c>
      <c r="J3441" s="6">
        <v>43.7258491516113</v>
      </c>
      <c r="K3441" s="6">
        <v>43.817661285400398</v>
      </c>
      <c r="L3441" s="6">
        <v>39.596961975097699</v>
      </c>
    </row>
    <row r="3442" spans="1:12" x14ac:dyDescent="0.25">
      <c r="A3442">
        <v>3511607</v>
      </c>
      <c r="B3442" t="str">
        <f t="shared" si="53"/>
        <v>CESARIO LANGE, SP, Brasil</v>
      </c>
      <c r="C3442" s="4" t="str">
        <f>_xlfn.XLOOKUP(A3442,[1]!DadosGHD[CD_GEOCMU],[1]!DadosGHD[Região])</f>
        <v>SD</v>
      </c>
      <c r="D3442" s="4" t="str">
        <f>_xlfn.XLOOKUP(A3442,[1]!DadosGHD[CD_GEOCMU],[1]!DadosGHD[uf])</f>
        <v>SP</v>
      </c>
      <c r="E3442" s="5" t="str">
        <f>_xlfn.XLOOKUP(A3442,[1]!DadosGHD[CD_GEOCMU],[1]!DadosGHD[MUNICIPIO])</f>
        <v>CESARIO LANGE</v>
      </c>
      <c r="F3442" s="6">
        <v>43.648288726806598</v>
      </c>
      <c r="G3442" s="6">
        <v>43.707706451416001</v>
      </c>
      <c r="H3442" s="6">
        <v>38.846076965332003</v>
      </c>
      <c r="I3442" s="6">
        <v>43.711143493652301</v>
      </c>
      <c r="J3442" s="6">
        <v>43.742893218994098</v>
      </c>
      <c r="K3442" s="6">
        <v>48.892021179199197</v>
      </c>
      <c r="L3442" s="6">
        <v>52.999732971191399</v>
      </c>
    </row>
    <row r="3443" spans="1:12" x14ac:dyDescent="0.25">
      <c r="A3443">
        <v>3151909</v>
      </c>
      <c r="B3443" t="str">
        <f t="shared" si="53"/>
        <v>POCRANE, MG, Brasil</v>
      </c>
      <c r="C3443" s="4" t="str">
        <f>_xlfn.XLOOKUP(A3443,[1]!DadosGHD[CD_GEOCMU],[1]!DadosGHD[Região])</f>
        <v>SD</v>
      </c>
      <c r="D3443" s="4" t="str">
        <f>_xlfn.XLOOKUP(A3443,[1]!DadosGHD[CD_GEOCMU],[1]!DadosGHD[uf])</f>
        <v>MG</v>
      </c>
      <c r="E3443" s="5" t="str">
        <f>_xlfn.XLOOKUP(A3443,[1]!DadosGHD[CD_GEOCMU],[1]!DadosGHD[MUNICIPIO])</f>
        <v>POCRANE</v>
      </c>
      <c r="F3443" s="6">
        <v>43.6486206054688</v>
      </c>
      <c r="G3443" s="6">
        <v>38.759773254394503</v>
      </c>
      <c r="H3443" s="6">
        <v>38.806388854980497</v>
      </c>
      <c r="I3443" s="6">
        <v>38.820552825927699</v>
      </c>
      <c r="J3443" s="6">
        <v>43.715877532958999</v>
      </c>
      <c r="K3443" s="6">
        <v>43.852561950683601</v>
      </c>
      <c r="L3443" s="6">
        <v>39.569526672363303</v>
      </c>
    </row>
    <row r="3444" spans="1:12" x14ac:dyDescent="0.25">
      <c r="A3444">
        <v>2203909</v>
      </c>
      <c r="B3444" t="str">
        <f t="shared" si="53"/>
        <v>FLORIANO, PI, Brasil</v>
      </c>
      <c r="C3444" s="4" t="str">
        <f>_xlfn.XLOOKUP(A3444,[1]!DadosGHD[CD_GEOCMU],[1]!DadosGHD[Região])</f>
        <v>NE</v>
      </c>
      <c r="D3444" s="4" t="str">
        <f>_xlfn.XLOOKUP(A3444,[1]!DadosGHD[CD_GEOCMU],[1]!DadosGHD[uf])</f>
        <v>PI</v>
      </c>
      <c r="E3444" s="5" t="str">
        <f>_xlfn.XLOOKUP(A3444,[1]!DadosGHD[CD_GEOCMU],[1]!DadosGHD[MUNICIPIO])</f>
        <v>FLORIANO</v>
      </c>
      <c r="F3444" s="6">
        <v>43.648712158203097</v>
      </c>
      <c r="G3444" s="6">
        <v>43.6834716796875</v>
      </c>
      <c r="H3444" s="6">
        <v>38.831718444824197</v>
      </c>
      <c r="I3444" s="6">
        <v>43.7231636047363</v>
      </c>
      <c r="J3444" s="6">
        <v>48.760135650634801</v>
      </c>
      <c r="K3444" s="6">
        <v>48.899322509765597</v>
      </c>
      <c r="L3444" s="6">
        <v>48.527797698974602</v>
      </c>
    </row>
    <row r="3445" spans="1:12" x14ac:dyDescent="0.25">
      <c r="A3445">
        <v>1101708</v>
      </c>
      <c r="B3445" t="str">
        <f t="shared" si="53"/>
        <v>URUPA, RO, Brasil</v>
      </c>
      <c r="C3445" s="4" t="str">
        <f>_xlfn.XLOOKUP(A3445,[1]!DadosGHD[CD_GEOCMU],[1]!DadosGHD[Região])</f>
        <v>NO</v>
      </c>
      <c r="D3445" s="4" t="str">
        <f>_xlfn.XLOOKUP(A3445,[1]!DadosGHD[CD_GEOCMU],[1]!DadosGHD[uf])</f>
        <v>RO</v>
      </c>
      <c r="E3445" s="5" t="str">
        <f>_xlfn.XLOOKUP(A3445,[1]!DadosGHD[CD_GEOCMU],[1]!DadosGHD[MUNICIPIO])</f>
        <v>URUPA</v>
      </c>
      <c r="F3445" s="6">
        <v>43.649093627929702</v>
      </c>
      <c r="G3445" s="6">
        <v>48.766448974609403</v>
      </c>
      <c r="H3445" s="6">
        <v>53.872745513916001</v>
      </c>
      <c r="I3445" s="6">
        <v>53.843017578125</v>
      </c>
      <c r="J3445" s="6">
        <v>53.872978210449197</v>
      </c>
      <c r="K3445" s="6">
        <v>53.966140747070298</v>
      </c>
      <c r="L3445" s="6">
        <v>44.029586791992202</v>
      </c>
    </row>
    <row r="3446" spans="1:12" x14ac:dyDescent="0.25">
      <c r="A3446">
        <v>5221452</v>
      </c>
      <c r="B3446" t="str">
        <f t="shared" si="53"/>
        <v>TROMBAS, GO, Brasil</v>
      </c>
      <c r="C3446" s="4" t="str">
        <f>_xlfn.XLOOKUP(A3446,[1]!DadosGHD[CD_GEOCMU],[1]!DadosGHD[Região])</f>
        <v>CO</v>
      </c>
      <c r="D3446" s="4" t="str">
        <f>_xlfn.XLOOKUP(A3446,[1]!DadosGHD[CD_GEOCMU],[1]!DadosGHD[uf])</f>
        <v>GO</v>
      </c>
      <c r="E3446" s="5" t="str">
        <f>_xlfn.XLOOKUP(A3446,[1]!DadosGHD[CD_GEOCMU],[1]!DadosGHD[MUNICIPIO])</f>
        <v>TROMBAS</v>
      </c>
      <c r="F3446" s="6">
        <v>43.649490356445298</v>
      </c>
      <c r="G3446" s="6">
        <v>43.688713073730497</v>
      </c>
      <c r="H3446" s="6">
        <v>43.763969421386697</v>
      </c>
      <c r="I3446" s="6">
        <v>43.765773773193402</v>
      </c>
      <c r="J3446" s="6">
        <v>43.791805267333999</v>
      </c>
      <c r="K3446" s="6">
        <v>38.860153198242202</v>
      </c>
      <c r="L3446" s="6">
        <v>35.118797302246101</v>
      </c>
    </row>
    <row r="3447" spans="1:12" x14ac:dyDescent="0.25">
      <c r="A3447">
        <v>3119401</v>
      </c>
      <c r="B3447" t="str">
        <f t="shared" si="53"/>
        <v>CORONEL FABRICIANO, MG, Brasil</v>
      </c>
      <c r="C3447" s="4" t="str">
        <f>_xlfn.XLOOKUP(A3447,[1]!DadosGHD[CD_GEOCMU],[1]!DadosGHD[Região])</f>
        <v>SD</v>
      </c>
      <c r="D3447" s="4" t="str">
        <f>_xlfn.XLOOKUP(A3447,[1]!DadosGHD[CD_GEOCMU],[1]!DadosGHD[uf])</f>
        <v>MG</v>
      </c>
      <c r="E3447" s="5" t="str">
        <f>_xlfn.XLOOKUP(A3447,[1]!DadosGHD[CD_GEOCMU],[1]!DadosGHD[MUNICIPIO])</f>
        <v>CORONEL FABRICIANO</v>
      </c>
      <c r="F3447" s="6">
        <v>43.649524688720703</v>
      </c>
      <c r="G3447" s="6">
        <v>43.719890594482401</v>
      </c>
      <c r="H3447" s="6">
        <v>43.796257019042997</v>
      </c>
      <c r="I3447" s="6">
        <v>43.745574951171903</v>
      </c>
      <c r="J3447" s="6">
        <v>43.763912200927699</v>
      </c>
      <c r="K3447" s="6">
        <v>43.844944000244098</v>
      </c>
      <c r="L3447" s="6">
        <v>48.510097503662102</v>
      </c>
    </row>
    <row r="3448" spans="1:12" x14ac:dyDescent="0.25">
      <c r="A3448">
        <v>3153301</v>
      </c>
      <c r="B3448" t="str">
        <f t="shared" si="53"/>
        <v>PRESIDENTE KUBITSCHEK, MG, Brasil</v>
      </c>
      <c r="C3448" s="4" t="str">
        <f>_xlfn.XLOOKUP(A3448,[1]!DadosGHD[CD_GEOCMU],[1]!DadosGHD[Região])</f>
        <v>SD</v>
      </c>
      <c r="D3448" s="4" t="str">
        <f>_xlfn.XLOOKUP(A3448,[1]!DadosGHD[CD_GEOCMU],[1]!DadosGHD[uf])</f>
        <v>MG</v>
      </c>
      <c r="E3448" s="5" t="str">
        <f>_xlfn.XLOOKUP(A3448,[1]!DadosGHD[CD_GEOCMU],[1]!DadosGHD[MUNICIPIO])</f>
        <v>PRESIDENTE KUBITSCHEK</v>
      </c>
      <c r="F3448" s="6">
        <v>43.649711608886697</v>
      </c>
      <c r="G3448" s="6">
        <v>43.644153594970703</v>
      </c>
      <c r="H3448" s="6">
        <v>38.839874267578097</v>
      </c>
      <c r="I3448" s="6">
        <v>43.711673736572301</v>
      </c>
      <c r="J3448" s="6">
        <v>43.753978729248097</v>
      </c>
      <c r="K3448" s="6">
        <v>43.824752807617202</v>
      </c>
      <c r="L3448" s="6">
        <v>44.041465759277301</v>
      </c>
    </row>
    <row r="3449" spans="1:12" x14ac:dyDescent="0.25">
      <c r="A3449">
        <v>4316972</v>
      </c>
      <c r="B3449" t="str">
        <f t="shared" si="53"/>
        <v>SANTA MARGARIDA DO SUL, RS, Brasil</v>
      </c>
      <c r="C3449" s="4" t="str">
        <f>_xlfn.XLOOKUP(A3449,[1]!DadosGHD[CD_GEOCMU],[1]!DadosGHD[Região])</f>
        <v>SL</v>
      </c>
      <c r="D3449" s="4" t="str">
        <f>_xlfn.XLOOKUP(A3449,[1]!DadosGHD[CD_GEOCMU],[1]!DadosGHD[uf])</f>
        <v>RS</v>
      </c>
      <c r="E3449" s="5" t="str">
        <f>_xlfn.XLOOKUP(A3449,[1]!DadosGHD[CD_GEOCMU],[1]!DadosGHD[MUNICIPIO])</f>
        <v>SANTA MARGARIDA DO SUL</v>
      </c>
      <c r="F3449" s="6">
        <v>43.6497611999512</v>
      </c>
      <c r="G3449" s="6">
        <v>53.788803100585902</v>
      </c>
      <c r="H3449" s="6">
        <v>43.8044242858887</v>
      </c>
      <c r="I3449" s="6">
        <v>43.769863128662102</v>
      </c>
      <c r="J3449" s="6">
        <v>43.788299560546903</v>
      </c>
      <c r="K3449" s="6">
        <v>28.994432449340799</v>
      </c>
      <c r="L3449" s="6">
        <v>35.121925354003899</v>
      </c>
    </row>
    <row r="3450" spans="1:12" x14ac:dyDescent="0.25">
      <c r="A3450">
        <v>3201407</v>
      </c>
      <c r="B3450" t="str">
        <f t="shared" si="53"/>
        <v>CASTELO, ES, Brasil</v>
      </c>
      <c r="C3450" s="4" t="str">
        <f>_xlfn.XLOOKUP(A3450,[1]!DadosGHD[CD_GEOCMU],[1]!DadosGHD[Região])</f>
        <v>SD</v>
      </c>
      <c r="D3450" s="4" t="str">
        <f>_xlfn.XLOOKUP(A3450,[1]!DadosGHD[CD_GEOCMU],[1]!DadosGHD[uf])</f>
        <v>ES</v>
      </c>
      <c r="E3450" s="5" t="str">
        <f>_xlfn.XLOOKUP(A3450,[1]!DadosGHD[CD_GEOCMU],[1]!DadosGHD[MUNICIPIO])</f>
        <v>CASTELO</v>
      </c>
      <c r="F3450" s="6">
        <v>43.649837493896499</v>
      </c>
      <c r="G3450" s="6">
        <v>48.647876739502003</v>
      </c>
      <c r="H3450" s="6">
        <v>48.732555389404297</v>
      </c>
      <c r="I3450" s="6">
        <v>48.736686706542997</v>
      </c>
      <c r="J3450" s="6">
        <v>48.769943237304702</v>
      </c>
      <c r="K3450" s="6">
        <v>43.854034423828097</v>
      </c>
      <c r="L3450" s="6">
        <v>39.556495666503899</v>
      </c>
    </row>
    <row r="3451" spans="1:12" x14ac:dyDescent="0.25">
      <c r="A3451">
        <v>3141108</v>
      </c>
      <c r="B3451" t="str">
        <f t="shared" si="53"/>
        <v>MATOZINHOS, MG, Brasil</v>
      </c>
      <c r="C3451" s="4" t="str">
        <f>_xlfn.XLOOKUP(A3451,[1]!DadosGHD[CD_GEOCMU],[1]!DadosGHD[Região])</f>
        <v>SD</v>
      </c>
      <c r="D3451" s="4" t="str">
        <f>_xlfn.XLOOKUP(A3451,[1]!DadosGHD[CD_GEOCMU],[1]!DadosGHD[uf])</f>
        <v>MG</v>
      </c>
      <c r="E3451" s="5" t="str">
        <f>_xlfn.XLOOKUP(A3451,[1]!DadosGHD[CD_GEOCMU],[1]!DadosGHD[MUNICIPIO])</f>
        <v>MATOZINHOS</v>
      </c>
      <c r="F3451" s="6">
        <v>43.6503295898438</v>
      </c>
      <c r="G3451" s="6">
        <v>48.650302886962898</v>
      </c>
      <c r="H3451" s="6">
        <v>43.788074493408203</v>
      </c>
      <c r="I3451" s="6">
        <v>48.724754333496101</v>
      </c>
      <c r="J3451" s="6">
        <v>48.803634643554702</v>
      </c>
      <c r="K3451" s="6">
        <v>48.851982116699197</v>
      </c>
      <c r="L3451" s="6">
        <v>52.979225158691399</v>
      </c>
    </row>
    <row r="3452" spans="1:12" x14ac:dyDescent="0.25">
      <c r="A3452">
        <v>4315156</v>
      </c>
      <c r="B3452" t="str">
        <f t="shared" si="53"/>
        <v>PROGRESSO, RS, Brasil</v>
      </c>
      <c r="C3452" s="4" t="str">
        <f>_xlfn.XLOOKUP(A3452,[1]!DadosGHD[CD_GEOCMU],[1]!DadosGHD[Região])</f>
        <v>SL</v>
      </c>
      <c r="D3452" s="4" t="str">
        <f>_xlfn.XLOOKUP(A3452,[1]!DadosGHD[CD_GEOCMU],[1]!DadosGHD[uf])</f>
        <v>RS</v>
      </c>
      <c r="E3452" s="5" t="str">
        <f>_xlfn.XLOOKUP(A3452,[1]!DadosGHD[CD_GEOCMU],[1]!DadosGHD[MUNICIPIO])</f>
        <v>PROGRESSO</v>
      </c>
      <c r="F3452" s="6">
        <v>43.650390625</v>
      </c>
      <c r="G3452" s="6">
        <v>48.651340484619098</v>
      </c>
      <c r="H3452" s="6">
        <v>43.751522064208999</v>
      </c>
      <c r="I3452" s="6">
        <v>43.684600830078097</v>
      </c>
      <c r="J3452" s="6">
        <v>43.739532470703097</v>
      </c>
      <c r="K3452" s="6">
        <v>38.856422424316399</v>
      </c>
      <c r="L3452" s="6">
        <v>39.579360961914098</v>
      </c>
    </row>
    <row r="3453" spans="1:12" x14ac:dyDescent="0.25">
      <c r="A3453">
        <v>3517109</v>
      </c>
      <c r="B3453" t="str">
        <f t="shared" si="53"/>
        <v>GLICERIO, SP, Brasil</v>
      </c>
      <c r="C3453" s="4" t="str">
        <f>_xlfn.XLOOKUP(A3453,[1]!DadosGHD[CD_GEOCMU],[1]!DadosGHD[Região])</f>
        <v>SD</v>
      </c>
      <c r="D3453" s="4" t="str">
        <f>_xlfn.XLOOKUP(A3453,[1]!DadosGHD[CD_GEOCMU],[1]!DadosGHD[uf])</f>
        <v>SP</v>
      </c>
      <c r="E3453" s="5" t="str">
        <f>_xlfn.XLOOKUP(A3453,[1]!DadosGHD[CD_GEOCMU],[1]!DadosGHD[MUNICIPIO])</f>
        <v>GLICERIO</v>
      </c>
      <c r="F3453" s="6">
        <v>43.650402069091797</v>
      </c>
      <c r="G3453" s="6">
        <v>38.760063171386697</v>
      </c>
      <c r="H3453" s="6">
        <v>38.801399230957003</v>
      </c>
      <c r="I3453" s="6">
        <v>38.761085510253899</v>
      </c>
      <c r="J3453" s="6">
        <v>38.774944305419901</v>
      </c>
      <c r="K3453" s="6">
        <v>43.788795471191399</v>
      </c>
      <c r="L3453" s="6">
        <v>39.568138122558601</v>
      </c>
    </row>
    <row r="3454" spans="1:12" x14ac:dyDescent="0.25">
      <c r="A3454">
        <v>5206206</v>
      </c>
      <c r="B3454" t="str">
        <f t="shared" si="53"/>
        <v>CRISTALINA, GO, Brasil</v>
      </c>
      <c r="C3454" s="4" t="str">
        <f>_xlfn.XLOOKUP(A3454,[1]!DadosGHD[CD_GEOCMU],[1]!DadosGHD[Região])</f>
        <v>CO</v>
      </c>
      <c r="D3454" s="4" t="str">
        <f>_xlfn.XLOOKUP(A3454,[1]!DadosGHD[CD_GEOCMU],[1]!DadosGHD[uf])</f>
        <v>GO</v>
      </c>
      <c r="E3454" s="5" t="str">
        <f>_xlfn.XLOOKUP(A3454,[1]!DadosGHD[CD_GEOCMU],[1]!DadosGHD[MUNICIPIO])</f>
        <v>CRISTALINA</v>
      </c>
      <c r="F3454" s="6">
        <v>43.650581359863303</v>
      </c>
      <c r="G3454" s="6">
        <v>48.642990112304702</v>
      </c>
      <c r="H3454" s="6">
        <v>48.7543334960938</v>
      </c>
      <c r="I3454" s="6">
        <v>48.706394195556598</v>
      </c>
      <c r="J3454" s="6">
        <v>43.772937774658203</v>
      </c>
      <c r="K3454" s="6">
        <v>43.778152465820298</v>
      </c>
      <c r="L3454" s="6">
        <v>35.144760131835902</v>
      </c>
    </row>
    <row r="3455" spans="1:12" x14ac:dyDescent="0.25">
      <c r="A3455">
        <v>3305703</v>
      </c>
      <c r="B3455" t="str">
        <f t="shared" si="53"/>
        <v>SUMIDOURO, RJ, Brasil</v>
      </c>
      <c r="C3455" s="4" t="str">
        <f>_xlfn.XLOOKUP(A3455,[1]!DadosGHD[CD_GEOCMU],[1]!DadosGHD[Região])</f>
        <v>SD</v>
      </c>
      <c r="D3455" s="4" t="str">
        <f>_xlfn.XLOOKUP(A3455,[1]!DadosGHD[CD_GEOCMU],[1]!DadosGHD[uf])</f>
        <v>RJ</v>
      </c>
      <c r="E3455" s="5" t="str">
        <f>_xlfn.XLOOKUP(A3455,[1]!DadosGHD[CD_GEOCMU],[1]!DadosGHD[MUNICIPIO])</f>
        <v>SUMIDOURO</v>
      </c>
      <c r="F3455" s="6">
        <v>43.650604248046903</v>
      </c>
      <c r="G3455" s="6">
        <v>43.7475395202637</v>
      </c>
      <c r="H3455" s="6">
        <v>43.819400787353501</v>
      </c>
      <c r="I3455" s="6">
        <v>48.693935394287102</v>
      </c>
      <c r="J3455" s="6">
        <v>48.734577178955099</v>
      </c>
      <c r="K3455" s="6">
        <v>43.876136779785199</v>
      </c>
      <c r="L3455" s="6">
        <v>39.603137969970703</v>
      </c>
    </row>
    <row r="3456" spans="1:12" x14ac:dyDescent="0.25">
      <c r="A3456">
        <v>3146008</v>
      </c>
      <c r="B3456" t="str">
        <f t="shared" si="53"/>
        <v>OURO FINO, MG, Brasil</v>
      </c>
      <c r="C3456" s="4" t="str">
        <f>_xlfn.XLOOKUP(A3456,[1]!DadosGHD[CD_GEOCMU],[1]!DadosGHD[Região])</f>
        <v>SD</v>
      </c>
      <c r="D3456" s="4" t="str">
        <f>_xlfn.XLOOKUP(A3456,[1]!DadosGHD[CD_GEOCMU],[1]!DadosGHD[uf])</f>
        <v>MG</v>
      </c>
      <c r="E3456" s="5" t="str">
        <f>_xlfn.XLOOKUP(A3456,[1]!DadosGHD[CD_GEOCMU],[1]!DadosGHD[MUNICIPIO])</f>
        <v>OURO FINO</v>
      </c>
      <c r="F3456" s="6">
        <v>43.650722503662102</v>
      </c>
      <c r="G3456" s="6">
        <v>43.759037017822301</v>
      </c>
      <c r="H3456" s="6">
        <v>43.800827026367202</v>
      </c>
      <c r="I3456" s="6">
        <v>43.7560844421387</v>
      </c>
      <c r="J3456" s="6">
        <v>43.715126037597699</v>
      </c>
      <c r="K3456" s="6">
        <v>43.772834777832003</v>
      </c>
      <c r="L3456" s="6">
        <v>39.573314666748097</v>
      </c>
    </row>
    <row r="3457" spans="1:12" x14ac:dyDescent="0.25">
      <c r="A3457">
        <v>3102803</v>
      </c>
      <c r="B3457" t="str">
        <f t="shared" si="53"/>
        <v>ANDRELANDIA, MG, Brasil</v>
      </c>
      <c r="C3457" s="4" t="str">
        <f>_xlfn.XLOOKUP(A3457,[1]!DadosGHD[CD_GEOCMU],[1]!DadosGHD[Região])</f>
        <v>SD</v>
      </c>
      <c r="D3457" s="4" t="str">
        <f>_xlfn.XLOOKUP(A3457,[1]!DadosGHD[CD_GEOCMU],[1]!DadosGHD[uf])</f>
        <v>MG</v>
      </c>
      <c r="E3457" s="5" t="str">
        <f>_xlfn.XLOOKUP(A3457,[1]!DadosGHD[CD_GEOCMU],[1]!DadosGHD[MUNICIPIO])</f>
        <v>ANDRELANDIA</v>
      </c>
      <c r="F3457" s="6">
        <v>43.650791168212898</v>
      </c>
      <c r="G3457" s="6">
        <v>48.636585235595703</v>
      </c>
      <c r="H3457" s="6">
        <v>48.716999053955099</v>
      </c>
      <c r="I3457" s="6">
        <v>48.685085296630902</v>
      </c>
      <c r="J3457" s="6">
        <v>48.769359588623097</v>
      </c>
      <c r="K3457" s="6">
        <v>48.827583312988303</v>
      </c>
      <c r="L3457" s="6">
        <v>44.0648193359375</v>
      </c>
    </row>
    <row r="3458" spans="1:12" x14ac:dyDescent="0.25">
      <c r="A3458">
        <v>3112653</v>
      </c>
      <c r="B3458" t="str">
        <f t="shared" si="53"/>
        <v>CAPITAO ANDRADE, MG, Brasil</v>
      </c>
      <c r="C3458" s="4" t="str">
        <f>_xlfn.XLOOKUP(A3458,[1]!DadosGHD[CD_GEOCMU],[1]!DadosGHD[Região])</f>
        <v>SD</v>
      </c>
      <c r="D3458" s="4" t="str">
        <f>_xlfn.XLOOKUP(A3458,[1]!DadosGHD[CD_GEOCMU],[1]!DadosGHD[uf])</f>
        <v>MG</v>
      </c>
      <c r="E3458" s="5" t="str">
        <f>_xlfn.XLOOKUP(A3458,[1]!DadosGHD[CD_GEOCMU],[1]!DadosGHD[MUNICIPIO])</f>
        <v>CAPITAO ANDRADE</v>
      </c>
      <c r="F3458" s="6">
        <v>43.650821685791001</v>
      </c>
      <c r="G3458" s="6">
        <v>48.635654449462898</v>
      </c>
      <c r="H3458" s="6">
        <v>43.820018768310597</v>
      </c>
      <c r="I3458" s="6">
        <v>43.782989501953097</v>
      </c>
      <c r="J3458" s="6">
        <v>43.791481018066399</v>
      </c>
      <c r="K3458" s="6">
        <v>43.832122802734403</v>
      </c>
      <c r="L3458" s="6">
        <v>39.610828399658203</v>
      </c>
    </row>
    <row r="3459" spans="1:12" x14ac:dyDescent="0.25">
      <c r="A3459">
        <v>1705508</v>
      </c>
      <c r="B3459" t="str">
        <f t="shared" si="53"/>
        <v>COLINAS DO TOCANTINS, TO, Brasil</v>
      </c>
      <c r="C3459" s="4" t="str">
        <f>_xlfn.XLOOKUP(A3459,[1]!DadosGHD[CD_GEOCMU],[1]!DadosGHD[Região])</f>
        <v>NO</v>
      </c>
      <c r="D3459" s="4" t="str">
        <f>_xlfn.XLOOKUP(A3459,[1]!DadosGHD[CD_GEOCMU],[1]!DadosGHD[uf])</f>
        <v>TO</v>
      </c>
      <c r="E3459" s="5" t="str">
        <f>_xlfn.XLOOKUP(A3459,[1]!DadosGHD[CD_GEOCMU],[1]!DadosGHD[MUNICIPIO])</f>
        <v>COLINAS DO TOCANTINS</v>
      </c>
      <c r="F3459" s="6">
        <v>43.650962829589801</v>
      </c>
      <c r="G3459" s="6">
        <v>43.700981140136697</v>
      </c>
      <c r="H3459" s="6">
        <v>43.779354095458999</v>
      </c>
      <c r="I3459" s="6">
        <v>43.806304931640597</v>
      </c>
      <c r="J3459" s="6">
        <v>48.741462707519503</v>
      </c>
      <c r="K3459" s="6">
        <v>43.830570220947301</v>
      </c>
      <c r="L3459" s="6">
        <v>35.13671875</v>
      </c>
    </row>
    <row r="3460" spans="1:12" x14ac:dyDescent="0.25">
      <c r="A3460">
        <v>3500758</v>
      </c>
      <c r="B3460" t="str">
        <f t="shared" ref="B3460:B3523" si="54">_xlfn.CONCAT(E3460, ", ", D3460, ", Brasil")</f>
        <v>ALAMBARI, SP, Brasil</v>
      </c>
      <c r="C3460" s="4" t="str">
        <f>_xlfn.XLOOKUP(A3460,[1]!DadosGHD[CD_GEOCMU],[1]!DadosGHD[Região])</f>
        <v>SD</v>
      </c>
      <c r="D3460" s="4" t="str">
        <f>_xlfn.XLOOKUP(A3460,[1]!DadosGHD[CD_GEOCMU],[1]!DadosGHD[uf])</f>
        <v>SP</v>
      </c>
      <c r="E3460" s="5" t="str">
        <f>_xlfn.XLOOKUP(A3460,[1]!DadosGHD[CD_GEOCMU],[1]!DadosGHD[MUNICIPIO])</f>
        <v>ALAMBARI</v>
      </c>
      <c r="F3460" s="6">
        <v>43.651008605957003</v>
      </c>
      <c r="G3460" s="6">
        <v>48.671024322509801</v>
      </c>
      <c r="H3460" s="6">
        <v>43.826400756835902</v>
      </c>
      <c r="I3460" s="6">
        <v>43.787101745605497</v>
      </c>
      <c r="J3460" s="6">
        <v>43.7908325195313</v>
      </c>
      <c r="K3460" s="6">
        <v>43.803268432617202</v>
      </c>
      <c r="L3460" s="6">
        <v>48.490833282470703</v>
      </c>
    </row>
    <row r="3461" spans="1:12" x14ac:dyDescent="0.25">
      <c r="A3461">
        <v>2921104</v>
      </c>
      <c r="B3461" t="str">
        <f t="shared" si="54"/>
        <v>MEDEIROS NETO, BA, Brasil</v>
      </c>
      <c r="C3461" s="4" t="str">
        <f>_xlfn.XLOOKUP(A3461,[1]!DadosGHD[CD_GEOCMU],[1]!DadosGHD[Região])</f>
        <v>NE</v>
      </c>
      <c r="D3461" s="4" t="str">
        <f>_xlfn.XLOOKUP(A3461,[1]!DadosGHD[CD_GEOCMU],[1]!DadosGHD[uf])</f>
        <v>BA</v>
      </c>
      <c r="E3461" s="5" t="str">
        <f>_xlfn.XLOOKUP(A3461,[1]!DadosGHD[CD_GEOCMU],[1]!DadosGHD[MUNICIPIO])</f>
        <v>MEDEIROS NETO</v>
      </c>
      <c r="F3461" s="6">
        <v>43.651016235351598</v>
      </c>
      <c r="G3461" s="6">
        <v>43.746227264404297</v>
      </c>
      <c r="H3461" s="6">
        <v>43.818813323974602</v>
      </c>
      <c r="I3461" s="6">
        <v>43.807407379150398</v>
      </c>
      <c r="J3461" s="6">
        <v>48.705764770507798</v>
      </c>
      <c r="K3461" s="6">
        <v>43.7695503234863</v>
      </c>
      <c r="L3461" s="6">
        <v>30.7097873687744</v>
      </c>
    </row>
    <row r="3462" spans="1:12" x14ac:dyDescent="0.25">
      <c r="A3462">
        <v>3536802</v>
      </c>
      <c r="B3462" t="str">
        <f t="shared" si="54"/>
        <v>PEDRA BELA, SP, Brasil</v>
      </c>
      <c r="C3462" s="4" t="str">
        <f>_xlfn.XLOOKUP(A3462,[1]!DadosGHD[CD_GEOCMU],[1]!DadosGHD[Região])</f>
        <v>SD</v>
      </c>
      <c r="D3462" s="4" t="str">
        <f>_xlfn.XLOOKUP(A3462,[1]!DadosGHD[CD_GEOCMU],[1]!DadosGHD[uf])</f>
        <v>SP</v>
      </c>
      <c r="E3462" s="5" t="str">
        <f>_xlfn.XLOOKUP(A3462,[1]!DadosGHD[CD_GEOCMU],[1]!DadosGHD[MUNICIPIO])</f>
        <v>PEDRA BELA</v>
      </c>
      <c r="F3462" s="6">
        <v>43.651573181152301</v>
      </c>
      <c r="G3462" s="6">
        <v>43.704246520996101</v>
      </c>
      <c r="H3462" s="6">
        <v>43.7576293945313</v>
      </c>
      <c r="I3462" s="6">
        <v>43.724929809570298</v>
      </c>
      <c r="J3462" s="6">
        <v>38.793479919433601</v>
      </c>
      <c r="K3462" s="6">
        <v>38.885776519775398</v>
      </c>
      <c r="L3462" s="6">
        <v>39.556941986083999</v>
      </c>
    </row>
    <row r="3463" spans="1:12" x14ac:dyDescent="0.25">
      <c r="A3463">
        <v>3108206</v>
      </c>
      <c r="B3463" t="str">
        <f t="shared" si="54"/>
        <v>BONFINOPOLIS DE MINAS, MG, Brasil</v>
      </c>
      <c r="C3463" s="4" t="str">
        <f>_xlfn.XLOOKUP(A3463,[1]!DadosGHD[CD_GEOCMU],[1]!DadosGHD[Região])</f>
        <v>SD</v>
      </c>
      <c r="D3463" s="4" t="str">
        <f>_xlfn.XLOOKUP(A3463,[1]!DadosGHD[CD_GEOCMU],[1]!DadosGHD[uf])</f>
        <v>MG</v>
      </c>
      <c r="E3463" s="5" t="str">
        <f>_xlfn.XLOOKUP(A3463,[1]!DadosGHD[CD_GEOCMU],[1]!DadosGHD[MUNICIPIO])</f>
        <v>BONFINOPOLIS DE MINAS</v>
      </c>
      <c r="F3463" s="6">
        <v>43.6517524719238</v>
      </c>
      <c r="G3463" s="6">
        <v>43.764163970947301</v>
      </c>
      <c r="H3463" s="6">
        <v>53.805217742919901</v>
      </c>
      <c r="I3463" s="6">
        <v>53.716384887695298</v>
      </c>
      <c r="J3463" s="6">
        <v>53.824554443359403</v>
      </c>
      <c r="K3463" s="6">
        <v>53.942481994628899</v>
      </c>
      <c r="L3463" s="6">
        <v>44.036376953125</v>
      </c>
    </row>
    <row r="3464" spans="1:12" x14ac:dyDescent="0.25">
      <c r="A3464">
        <v>3302304</v>
      </c>
      <c r="B3464" t="str">
        <f t="shared" si="54"/>
        <v>LAJE DO MURIAE, RJ, Brasil</v>
      </c>
      <c r="C3464" s="4" t="str">
        <f>_xlfn.XLOOKUP(A3464,[1]!DadosGHD[CD_GEOCMU],[1]!DadosGHD[Região])</f>
        <v>SD</v>
      </c>
      <c r="D3464" s="4" t="str">
        <f>_xlfn.XLOOKUP(A3464,[1]!DadosGHD[CD_GEOCMU],[1]!DadosGHD[uf])</f>
        <v>RJ</v>
      </c>
      <c r="E3464" s="5" t="str">
        <f>_xlfn.XLOOKUP(A3464,[1]!DadosGHD[CD_GEOCMU],[1]!DadosGHD[MUNICIPIO])</f>
        <v>LAJE DO MURIAE</v>
      </c>
      <c r="F3464" s="6">
        <v>43.652023315429702</v>
      </c>
      <c r="G3464" s="6">
        <v>43.701889038085902</v>
      </c>
      <c r="H3464" s="6">
        <v>43.775646209716797</v>
      </c>
      <c r="I3464" s="6">
        <v>43.792415618896499</v>
      </c>
      <c r="J3464" s="6">
        <v>43.824985504150398</v>
      </c>
      <c r="K3464" s="6">
        <v>43.7980766296387</v>
      </c>
      <c r="L3464" s="6">
        <v>39.605087280273402</v>
      </c>
    </row>
    <row r="3465" spans="1:12" x14ac:dyDescent="0.25">
      <c r="A3465">
        <v>3300159</v>
      </c>
      <c r="B3465" t="str">
        <f t="shared" si="54"/>
        <v>APERIBE, RJ, Brasil</v>
      </c>
      <c r="C3465" s="4" t="str">
        <f>_xlfn.XLOOKUP(A3465,[1]!DadosGHD[CD_GEOCMU],[1]!DadosGHD[Região])</f>
        <v>SD</v>
      </c>
      <c r="D3465" s="4" t="str">
        <f>_xlfn.XLOOKUP(A3465,[1]!DadosGHD[CD_GEOCMU],[1]!DadosGHD[uf])</f>
        <v>RJ</v>
      </c>
      <c r="E3465" s="5" t="str">
        <f>_xlfn.XLOOKUP(A3465,[1]!DadosGHD[CD_GEOCMU],[1]!DadosGHD[MUNICIPIO])</f>
        <v>APERIBE</v>
      </c>
      <c r="F3465" s="6">
        <v>43.652107238769503</v>
      </c>
      <c r="G3465" s="6">
        <v>43.732963562011697</v>
      </c>
      <c r="H3465" s="6">
        <v>43.755588531494098</v>
      </c>
      <c r="I3465" s="6">
        <v>43.795330047607401</v>
      </c>
      <c r="J3465" s="6">
        <v>48.707614898681598</v>
      </c>
      <c r="K3465" s="6">
        <v>43.8258056640625</v>
      </c>
      <c r="L3465" s="6">
        <v>48.496204376220703</v>
      </c>
    </row>
    <row r="3466" spans="1:12" x14ac:dyDescent="0.25">
      <c r="A3466">
        <v>4321329</v>
      </c>
      <c r="B3466" t="str">
        <f t="shared" si="54"/>
        <v>TAQUARUCU DO SUL, RS, Brasil</v>
      </c>
      <c r="C3466" s="4" t="str">
        <f>_xlfn.XLOOKUP(A3466,[1]!DadosGHD[CD_GEOCMU],[1]!DadosGHD[Região])</f>
        <v>SL</v>
      </c>
      <c r="D3466" s="4" t="str">
        <f>_xlfn.XLOOKUP(A3466,[1]!DadosGHD[CD_GEOCMU],[1]!DadosGHD[uf])</f>
        <v>RS</v>
      </c>
      <c r="E3466" s="5" t="str">
        <f>_xlfn.XLOOKUP(A3466,[1]!DadosGHD[CD_GEOCMU],[1]!DadosGHD[MUNICIPIO])</f>
        <v>TAQUARUCU DO SUL</v>
      </c>
      <c r="F3466" s="6">
        <v>43.652107238769503</v>
      </c>
      <c r="G3466" s="6">
        <v>48.737701416015597</v>
      </c>
      <c r="H3466" s="6">
        <v>48.828800201416001</v>
      </c>
      <c r="I3466" s="6">
        <v>53.8005561828613</v>
      </c>
      <c r="J3466" s="6">
        <v>63.998104095458999</v>
      </c>
      <c r="K3466" s="6">
        <v>64.083038330078097</v>
      </c>
      <c r="L3466" s="6">
        <v>57.553764343261697</v>
      </c>
    </row>
    <row r="3467" spans="1:12" x14ac:dyDescent="0.25">
      <c r="A3467">
        <v>5002100</v>
      </c>
      <c r="B3467" t="str">
        <f t="shared" si="54"/>
        <v>BELA VISTA, MS, Brasil</v>
      </c>
      <c r="C3467" s="4" t="str">
        <f>_xlfn.XLOOKUP(A3467,[1]!DadosGHD[CD_GEOCMU],[1]!DadosGHD[Região])</f>
        <v>CO</v>
      </c>
      <c r="D3467" s="4" t="str">
        <f>_xlfn.XLOOKUP(A3467,[1]!DadosGHD[CD_GEOCMU],[1]!DadosGHD[uf])</f>
        <v>MS</v>
      </c>
      <c r="E3467" s="5" t="str">
        <f>_xlfn.XLOOKUP(A3467,[1]!DadosGHD[CD_GEOCMU],[1]!DadosGHD[MUNICIPIO])</f>
        <v>BELA VISTA</v>
      </c>
      <c r="F3467" s="6">
        <v>43.652229309082003</v>
      </c>
      <c r="G3467" s="6">
        <v>43.702537536621101</v>
      </c>
      <c r="H3467" s="6">
        <v>43.755649566650398</v>
      </c>
      <c r="I3467" s="6">
        <v>43.732761383056598</v>
      </c>
      <c r="J3467" s="6">
        <v>43.731132507324197</v>
      </c>
      <c r="K3467" s="6">
        <v>38.876197814941399</v>
      </c>
      <c r="L3467" s="6">
        <v>30.708267211914102</v>
      </c>
    </row>
    <row r="3468" spans="1:12" x14ac:dyDescent="0.25">
      <c r="A3468">
        <v>3148806</v>
      </c>
      <c r="B3468" t="str">
        <f t="shared" si="54"/>
        <v>PEDRA DO ANTA, MG, Brasil</v>
      </c>
      <c r="C3468" s="4" t="str">
        <f>_xlfn.XLOOKUP(A3468,[1]!DadosGHD[CD_GEOCMU],[1]!DadosGHD[Região])</f>
        <v>SD</v>
      </c>
      <c r="D3468" s="4" t="str">
        <f>_xlfn.XLOOKUP(A3468,[1]!DadosGHD[CD_GEOCMU],[1]!DadosGHD[uf])</f>
        <v>MG</v>
      </c>
      <c r="E3468" s="5" t="str">
        <f>_xlfn.XLOOKUP(A3468,[1]!DadosGHD[CD_GEOCMU],[1]!DadosGHD[MUNICIPIO])</f>
        <v>PEDRA DO ANTA</v>
      </c>
      <c r="F3468" s="6">
        <v>43.652271270752003</v>
      </c>
      <c r="G3468" s="6">
        <v>28.9101657867432</v>
      </c>
      <c r="H3468" s="6">
        <v>28.964490890502901</v>
      </c>
      <c r="I3468" s="6">
        <v>33.788429260253899</v>
      </c>
      <c r="J3468" s="6">
        <v>28.945714950561499</v>
      </c>
      <c r="K3468" s="6">
        <v>33.847732543945298</v>
      </c>
      <c r="L3468" s="6">
        <v>30.683729171752901</v>
      </c>
    </row>
    <row r="3469" spans="1:12" x14ac:dyDescent="0.25">
      <c r="A3469">
        <v>4321204</v>
      </c>
      <c r="B3469" t="str">
        <f t="shared" si="54"/>
        <v>TAQUARA, RS, Brasil</v>
      </c>
      <c r="C3469" s="4" t="str">
        <f>_xlfn.XLOOKUP(A3469,[1]!DadosGHD[CD_GEOCMU],[1]!DadosGHD[Região])</f>
        <v>SL</v>
      </c>
      <c r="D3469" s="4" t="str">
        <f>_xlfn.XLOOKUP(A3469,[1]!DadosGHD[CD_GEOCMU],[1]!DadosGHD[uf])</f>
        <v>RS</v>
      </c>
      <c r="E3469" s="5" t="str">
        <f>_xlfn.XLOOKUP(A3469,[1]!DadosGHD[CD_GEOCMU],[1]!DadosGHD[MUNICIPIO])</f>
        <v>TAQUARA</v>
      </c>
      <c r="F3469" s="6">
        <v>43.6522827148438</v>
      </c>
      <c r="G3469" s="6">
        <v>43.728240966796903</v>
      </c>
      <c r="H3469" s="6">
        <v>43.797023773193402</v>
      </c>
      <c r="I3469" s="6">
        <v>48.694557189941399</v>
      </c>
      <c r="J3469" s="6">
        <v>48.768753051757798</v>
      </c>
      <c r="K3469" s="6">
        <v>48.841239929199197</v>
      </c>
      <c r="L3469" s="6">
        <v>48.497562408447301</v>
      </c>
    </row>
    <row r="3470" spans="1:12" x14ac:dyDescent="0.25">
      <c r="A3470">
        <v>3513207</v>
      </c>
      <c r="B3470" t="str">
        <f t="shared" si="54"/>
        <v>CRISTAIS PAULISTA, SP, Brasil</v>
      </c>
      <c r="C3470" s="4" t="str">
        <f>_xlfn.XLOOKUP(A3470,[1]!DadosGHD[CD_GEOCMU],[1]!DadosGHD[Região])</f>
        <v>SD</v>
      </c>
      <c r="D3470" s="4" t="str">
        <f>_xlfn.XLOOKUP(A3470,[1]!DadosGHD[CD_GEOCMU],[1]!DadosGHD[uf])</f>
        <v>SP</v>
      </c>
      <c r="E3470" s="5" t="str">
        <f>_xlfn.XLOOKUP(A3470,[1]!DadosGHD[CD_GEOCMU],[1]!DadosGHD[MUNICIPIO])</f>
        <v>CRISTAIS PAULISTA</v>
      </c>
      <c r="F3470" s="6">
        <v>43.6523246765137</v>
      </c>
      <c r="G3470" s="6">
        <v>48.695858001708999</v>
      </c>
      <c r="H3470" s="6">
        <v>48.729084014892599</v>
      </c>
      <c r="I3470" s="6">
        <v>48.754154205322301</v>
      </c>
      <c r="J3470" s="6">
        <v>48.717811584472699</v>
      </c>
      <c r="K3470" s="6">
        <v>53.847652435302699</v>
      </c>
      <c r="L3470" s="6">
        <v>48.539257049560597</v>
      </c>
    </row>
    <row r="3471" spans="1:12" x14ac:dyDescent="0.25">
      <c r="A3471">
        <v>3161809</v>
      </c>
      <c r="B3471" t="str">
        <f t="shared" si="54"/>
        <v>SAO GONCALO DO PARA, MG, Brasil</v>
      </c>
      <c r="C3471" s="4" t="str">
        <f>_xlfn.XLOOKUP(A3471,[1]!DadosGHD[CD_GEOCMU],[1]!DadosGHD[Região])</f>
        <v>SD</v>
      </c>
      <c r="D3471" s="4" t="str">
        <f>_xlfn.XLOOKUP(A3471,[1]!DadosGHD[CD_GEOCMU],[1]!DadosGHD[uf])</f>
        <v>MG</v>
      </c>
      <c r="E3471" s="5" t="str">
        <f>_xlfn.XLOOKUP(A3471,[1]!DadosGHD[CD_GEOCMU],[1]!DadosGHD[MUNICIPIO])</f>
        <v>SAO GONCALO DO PARA</v>
      </c>
      <c r="F3471" s="6">
        <v>43.652473449707003</v>
      </c>
      <c r="G3471" s="6">
        <v>43.706150054931598</v>
      </c>
      <c r="H3471" s="6">
        <v>48.752265930175803</v>
      </c>
      <c r="I3471" s="6">
        <v>43.736793518066399</v>
      </c>
      <c r="J3471" s="6">
        <v>33.894813537597699</v>
      </c>
      <c r="K3471" s="6">
        <v>38.813240051269503</v>
      </c>
      <c r="L3471" s="6">
        <v>39.605403900146499</v>
      </c>
    </row>
    <row r="3472" spans="1:12" x14ac:dyDescent="0.25">
      <c r="A3472">
        <v>5204953</v>
      </c>
      <c r="B3472" t="str">
        <f t="shared" si="54"/>
        <v>CAMPOS VERDES, GO, Brasil</v>
      </c>
      <c r="C3472" s="4" t="str">
        <f>_xlfn.XLOOKUP(A3472,[1]!DadosGHD[CD_GEOCMU],[1]!DadosGHD[Região])</f>
        <v>CO</v>
      </c>
      <c r="D3472" s="4" t="str">
        <f>_xlfn.XLOOKUP(A3472,[1]!DadosGHD[CD_GEOCMU],[1]!DadosGHD[uf])</f>
        <v>GO</v>
      </c>
      <c r="E3472" s="5" t="str">
        <f>_xlfn.XLOOKUP(A3472,[1]!DadosGHD[CD_GEOCMU],[1]!DadosGHD[MUNICIPIO])</f>
        <v>CAMPOS VERDES</v>
      </c>
      <c r="F3472" s="6">
        <v>43.652641296386697</v>
      </c>
      <c r="G3472" s="6">
        <v>43.702869415283203</v>
      </c>
      <c r="H3472" s="6">
        <v>48.779666900634801</v>
      </c>
      <c r="I3472" s="6">
        <v>48.796268463134801</v>
      </c>
      <c r="J3472" s="6">
        <v>53.771583557128899</v>
      </c>
      <c r="K3472" s="6">
        <v>43.814498901367202</v>
      </c>
      <c r="L3472" s="6">
        <v>30.685350418090799</v>
      </c>
    </row>
    <row r="3473" spans="1:12" x14ac:dyDescent="0.25">
      <c r="A3473">
        <v>3514924</v>
      </c>
      <c r="B3473" t="str">
        <f t="shared" si="54"/>
        <v>ELISIARIO, SP, Brasil</v>
      </c>
      <c r="C3473" s="4" t="str">
        <f>_xlfn.XLOOKUP(A3473,[1]!DadosGHD[CD_GEOCMU],[1]!DadosGHD[Região])</f>
        <v>SD</v>
      </c>
      <c r="D3473" s="4" t="str">
        <f>_xlfn.XLOOKUP(A3473,[1]!DadosGHD[CD_GEOCMU],[1]!DadosGHD[uf])</f>
        <v>SP</v>
      </c>
      <c r="E3473" s="5" t="str">
        <f>_xlfn.XLOOKUP(A3473,[1]!DadosGHD[CD_GEOCMU],[1]!DadosGHD[MUNICIPIO])</f>
        <v>ELISIARIO</v>
      </c>
      <c r="F3473" s="6">
        <v>43.652782440185597</v>
      </c>
      <c r="G3473" s="6">
        <v>43.667491912841797</v>
      </c>
      <c r="H3473" s="6">
        <v>43.754230499267599</v>
      </c>
      <c r="I3473" s="6">
        <v>43.717239379882798</v>
      </c>
      <c r="J3473" s="6">
        <v>43.774837493896499</v>
      </c>
      <c r="K3473" s="6">
        <v>38.8739624023438</v>
      </c>
      <c r="L3473" s="6">
        <v>53.007595062255902</v>
      </c>
    </row>
    <row r="3474" spans="1:12" x14ac:dyDescent="0.25">
      <c r="A3474">
        <v>4310108</v>
      </c>
      <c r="B3474" t="str">
        <f t="shared" si="54"/>
        <v>IGREJINHA, RS, Brasil</v>
      </c>
      <c r="C3474" s="4" t="str">
        <f>_xlfn.XLOOKUP(A3474,[1]!DadosGHD[CD_GEOCMU],[1]!DadosGHD[Região])</f>
        <v>SL</v>
      </c>
      <c r="D3474" s="4" t="str">
        <f>_xlfn.XLOOKUP(A3474,[1]!DadosGHD[CD_GEOCMU],[1]!DadosGHD[uf])</f>
        <v>RS</v>
      </c>
      <c r="E3474" s="5" t="str">
        <f>_xlfn.XLOOKUP(A3474,[1]!DadosGHD[CD_GEOCMU],[1]!DadosGHD[MUNICIPIO])</f>
        <v>IGREJINHA</v>
      </c>
      <c r="F3474" s="6">
        <v>43.652824401855497</v>
      </c>
      <c r="G3474" s="6">
        <v>43.683742523193402</v>
      </c>
      <c r="H3474" s="6">
        <v>38.847869873046903</v>
      </c>
      <c r="I3474" s="6">
        <v>43.6805419921875</v>
      </c>
      <c r="J3474" s="6">
        <v>43.705204010009801</v>
      </c>
      <c r="K3474" s="6">
        <v>43.823566436767599</v>
      </c>
      <c r="L3474" s="6">
        <v>48.498397827148402</v>
      </c>
    </row>
    <row r="3475" spans="1:12" x14ac:dyDescent="0.25">
      <c r="A3475">
        <v>3142205</v>
      </c>
      <c r="B3475" t="str">
        <f t="shared" si="54"/>
        <v>MIRAI, MG, Brasil</v>
      </c>
      <c r="C3475" s="4" t="str">
        <f>_xlfn.XLOOKUP(A3475,[1]!DadosGHD[CD_GEOCMU],[1]!DadosGHD[Região])</f>
        <v>SD</v>
      </c>
      <c r="D3475" s="4" t="str">
        <f>_xlfn.XLOOKUP(A3475,[1]!DadosGHD[CD_GEOCMU],[1]!DadosGHD[uf])</f>
        <v>MG</v>
      </c>
      <c r="E3475" s="5" t="str">
        <f>_xlfn.XLOOKUP(A3475,[1]!DadosGHD[CD_GEOCMU],[1]!DadosGHD[MUNICIPIO])</f>
        <v>MIRAI</v>
      </c>
      <c r="F3475" s="6">
        <v>43.6528511047363</v>
      </c>
      <c r="G3475" s="6">
        <v>43.645263671875</v>
      </c>
      <c r="H3475" s="6">
        <v>38.800254821777301</v>
      </c>
      <c r="I3475" s="6">
        <v>38.7745971679688</v>
      </c>
      <c r="J3475" s="6">
        <v>38.778068542480497</v>
      </c>
      <c r="K3475" s="6">
        <v>38.7971382141113</v>
      </c>
      <c r="L3475" s="6">
        <v>30.699640274047901</v>
      </c>
    </row>
    <row r="3476" spans="1:12" x14ac:dyDescent="0.25">
      <c r="A3476">
        <v>3143302</v>
      </c>
      <c r="B3476" t="str">
        <f t="shared" si="54"/>
        <v>MONTES CLAROS, MG, Brasil</v>
      </c>
      <c r="C3476" s="4" t="str">
        <f>_xlfn.XLOOKUP(A3476,[1]!DadosGHD[CD_GEOCMU],[1]!DadosGHD[Região])</f>
        <v>SD</v>
      </c>
      <c r="D3476" s="4" t="str">
        <f>_xlfn.XLOOKUP(A3476,[1]!DadosGHD[CD_GEOCMU],[1]!DadosGHD[uf])</f>
        <v>MG</v>
      </c>
      <c r="E3476" s="5" t="str">
        <f>_xlfn.XLOOKUP(A3476,[1]!DadosGHD[CD_GEOCMU],[1]!DadosGHD[MUNICIPIO])</f>
        <v>MONTES CLAROS</v>
      </c>
      <c r="F3476" s="6">
        <v>43.652858734130902</v>
      </c>
      <c r="G3476" s="6">
        <v>43.722377777099602</v>
      </c>
      <c r="H3476" s="6">
        <v>43.774723052978501</v>
      </c>
      <c r="I3476" s="6">
        <v>43.756916046142599</v>
      </c>
      <c r="J3476" s="6">
        <v>43.789676666259801</v>
      </c>
      <c r="K3476" s="6">
        <v>43.844081878662102</v>
      </c>
      <c r="L3476" s="6">
        <v>44.039833068847699</v>
      </c>
    </row>
    <row r="3477" spans="1:12" x14ac:dyDescent="0.25">
      <c r="A3477">
        <v>3162807</v>
      </c>
      <c r="B3477" t="str">
        <f t="shared" si="54"/>
        <v>SAO JOAO EVANGELISTA, MG, Brasil</v>
      </c>
      <c r="C3477" s="4" t="str">
        <f>_xlfn.XLOOKUP(A3477,[1]!DadosGHD[CD_GEOCMU],[1]!DadosGHD[Região])</f>
        <v>SD</v>
      </c>
      <c r="D3477" s="4" t="str">
        <f>_xlfn.XLOOKUP(A3477,[1]!DadosGHD[CD_GEOCMU],[1]!DadosGHD[uf])</f>
        <v>MG</v>
      </c>
      <c r="E3477" s="5" t="str">
        <f>_xlfn.XLOOKUP(A3477,[1]!DadosGHD[CD_GEOCMU],[1]!DadosGHD[MUNICIPIO])</f>
        <v>SAO JOAO EVANGELISTA</v>
      </c>
      <c r="F3477" s="6">
        <v>43.653400421142599</v>
      </c>
      <c r="G3477" s="6">
        <v>43.652915954589801</v>
      </c>
      <c r="H3477" s="6">
        <v>43.746162414550803</v>
      </c>
      <c r="I3477" s="6">
        <v>43.710494995117202</v>
      </c>
      <c r="J3477" s="6">
        <v>38.800521850585902</v>
      </c>
      <c r="K3477" s="6">
        <v>43.760860443115199</v>
      </c>
      <c r="L3477" s="6">
        <v>39.606212615966797</v>
      </c>
    </row>
    <row r="3478" spans="1:12" x14ac:dyDescent="0.25">
      <c r="A3478">
        <v>1718204</v>
      </c>
      <c r="B3478" t="str">
        <f t="shared" si="54"/>
        <v>PORTO NACIONAL, TO, Brasil</v>
      </c>
      <c r="C3478" s="4" t="str">
        <f>_xlfn.XLOOKUP(A3478,[1]!DadosGHD[CD_GEOCMU],[1]!DadosGHD[Região])</f>
        <v>NO</v>
      </c>
      <c r="D3478" s="4" t="str">
        <f>_xlfn.XLOOKUP(A3478,[1]!DadosGHD[CD_GEOCMU],[1]!DadosGHD[uf])</f>
        <v>TO</v>
      </c>
      <c r="E3478" s="5" t="str">
        <f>_xlfn.XLOOKUP(A3478,[1]!DadosGHD[CD_GEOCMU],[1]!DadosGHD[MUNICIPIO])</f>
        <v>PORTO NACIONAL</v>
      </c>
      <c r="F3478" s="6">
        <v>43.653491973877003</v>
      </c>
      <c r="G3478" s="6">
        <v>43.748542785644503</v>
      </c>
      <c r="H3478" s="6">
        <v>48.731884002685597</v>
      </c>
      <c r="I3478" s="6">
        <v>48.697551727294901</v>
      </c>
      <c r="J3478" s="6">
        <v>48.721195220947301</v>
      </c>
      <c r="K3478" s="6">
        <v>43.840099334716797</v>
      </c>
      <c r="L3478" s="6">
        <v>39.564380645752003</v>
      </c>
    </row>
    <row r="3479" spans="1:12" x14ac:dyDescent="0.25">
      <c r="A3479">
        <v>3164100</v>
      </c>
      <c r="B3479" t="str">
        <f t="shared" si="54"/>
        <v>SAO PEDRO DO SUACUI, MG, Brasil</v>
      </c>
      <c r="C3479" s="4" t="str">
        <f>_xlfn.XLOOKUP(A3479,[1]!DadosGHD[CD_GEOCMU],[1]!DadosGHD[Região])</f>
        <v>SD</v>
      </c>
      <c r="D3479" s="4" t="str">
        <f>_xlfn.XLOOKUP(A3479,[1]!DadosGHD[CD_GEOCMU],[1]!DadosGHD[uf])</f>
        <v>MG</v>
      </c>
      <c r="E3479" s="5" t="str">
        <f>_xlfn.XLOOKUP(A3479,[1]!DadosGHD[CD_GEOCMU],[1]!DadosGHD[MUNICIPIO])</f>
        <v>SAO PEDRO DO SUACUI</v>
      </c>
      <c r="F3479" s="6">
        <v>43.653919219970703</v>
      </c>
      <c r="G3479" s="6">
        <v>43.661689758300803</v>
      </c>
      <c r="H3479" s="6">
        <v>43.724220275878899</v>
      </c>
      <c r="I3479" s="6">
        <v>43.686588287353501</v>
      </c>
      <c r="J3479" s="6">
        <v>38.843330383300803</v>
      </c>
      <c r="K3479" s="6">
        <v>38.882900238037102</v>
      </c>
      <c r="L3479" s="6">
        <v>30.707105636596701</v>
      </c>
    </row>
    <row r="3480" spans="1:12" x14ac:dyDescent="0.25">
      <c r="A3480">
        <v>5213004</v>
      </c>
      <c r="B3480" t="str">
        <f t="shared" si="54"/>
        <v>MAURILANDIA, GO, Brasil</v>
      </c>
      <c r="C3480" s="4" t="str">
        <f>_xlfn.XLOOKUP(A3480,[1]!DadosGHD[CD_GEOCMU],[1]!DadosGHD[Região])</f>
        <v>CO</v>
      </c>
      <c r="D3480" s="4" t="str">
        <f>_xlfn.XLOOKUP(A3480,[1]!DadosGHD[CD_GEOCMU],[1]!DadosGHD[uf])</f>
        <v>GO</v>
      </c>
      <c r="E3480" s="5" t="str">
        <f>_xlfn.XLOOKUP(A3480,[1]!DadosGHD[CD_GEOCMU],[1]!DadosGHD[MUNICIPIO])</f>
        <v>MAURILANDIA</v>
      </c>
      <c r="F3480" s="6">
        <v>43.654167175292997</v>
      </c>
      <c r="G3480" s="6">
        <v>43.698204040527301</v>
      </c>
      <c r="H3480" s="6">
        <v>43.7233276367188</v>
      </c>
      <c r="I3480" s="6">
        <v>43.697349548339801</v>
      </c>
      <c r="J3480" s="6">
        <v>43.717014312744098</v>
      </c>
      <c r="K3480" s="6">
        <v>43.764324188232401</v>
      </c>
      <c r="L3480" s="6">
        <v>39.5660400390625</v>
      </c>
    </row>
    <row r="3481" spans="1:12" x14ac:dyDescent="0.25">
      <c r="A3481">
        <v>4306320</v>
      </c>
      <c r="B3481" t="str">
        <f t="shared" si="54"/>
        <v>DERRUBADAS, RS, Brasil</v>
      </c>
      <c r="C3481" s="4" t="str">
        <f>_xlfn.XLOOKUP(A3481,[1]!DadosGHD[CD_GEOCMU],[1]!DadosGHD[Região])</f>
        <v>SL</v>
      </c>
      <c r="D3481" s="4" t="str">
        <f>_xlfn.XLOOKUP(A3481,[1]!DadosGHD[CD_GEOCMU],[1]!DadosGHD[uf])</f>
        <v>RS</v>
      </c>
      <c r="E3481" s="5" t="str">
        <f>_xlfn.XLOOKUP(A3481,[1]!DadosGHD[CD_GEOCMU],[1]!DadosGHD[MUNICIPIO])</f>
        <v>DERRUBADAS</v>
      </c>
      <c r="F3481" s="6">
        <v>43.6548461914063</v>
      </c>
      <c r="G3481" s="6">
        <v>53.755012512207003</v>
      </c>
      <c r="H3481" s="6">
        <v>58.827606201171903</v>
      </c>
      <c r="I3481" s="6">
        <v>58.881507873535199</v>
      </c>
      <c r="J3481" s="6">
        <v>58.933620452880902</v>
      </c>
      <c r="K3481" s="6">
        <v>64.13623046875</v>
      </c>
      <c r="L3481" s="6">
        <v>57.5011177062988</v>
      </c>
    </row>
    <row r="3482" spans="1:12" x14ac:dyDescent="0.25">
      <c r="A3482">
        <v>4126702</v>
      </c>
      <c r="B3482" t="str">
        <f t="shared" si="54"/>
        <v>TAMBOARA, PR, Brasil</v>
      </c>
      <c r="C3482" s="4" t="str">
        <f>_xlfn.XLOOKUP(A3482,[1]!DadosGHD[CD_GEOCMU],[1]!DadosGHD[Região])</f>
        <v>SL</v>
      </c>
      <c r="D3482" s="4" t="str">
        <f>_xlfn.XLOOKUP(A3482,[1]!DadosGHD[CD_GEOCMU],[1]!DadosGHD[uf])</f>
        <v>PR</v>
      </c>
      <c r="E3482" s="5" t="str">
        <f>_xlfn.XLOOKUP(A3482,[1]!DadosGHD[CD_GEOCMU],[1]!DadosGHD[MUNICIPIO])</f>
        <v>TAMBOARA</v>
      </c>
      <c r="F3482" s="6">
        <v>43.654850006103501</v>
      </c>
      <c r="G3482" s="6">
        <v>53.722198486328097</v>
      </c>
      <c r="H3482" s="6">
        <v>53.777233123779297</v>
      </c>
      <c r="I3482" s="6">
        <v>53.731647491455099</v>
      </c>
      <c r="J3482" s="6">
        <v>48.831935882568402</v>
      </c>
      <c r="K3482" s="6">
        <v>48.876476287841797</v>
      </c>
      <c r="L3482" s="6">
        <v>44.069877624511697</v>
      </c>
    </row>
    <row r="3483" spans="1:12" x14ac:dyDescent="0.25">
      <c r="A3483">
        <v>3147402</v>
      </c>
      <c r="B3483" t="str">
        <f t="shared" si="54"/>
        <v>PARAOPEBA, MG, Brasil</v>
      </c>
      <c r="C3483" s="4" t="str">
        <f>_xlfn.XLOOKUP(A3483,[1]!DadosGHD[CD_GEOCMU],[1]!DadosGHD[Região])</f>
        <v>SD</v>
      </c>
      <c r="D3483" s="4" t="str">
        <f>_xlfn.XLOOKUP(A3483,[1]!DadosGHD[CD_GEOCMU],[1]!DadosGHD[uf])</f>
        <v>MG</v>
      </c>
      <c r="E3483" s="5" t="str">
        <f>_xlfn.XLOOKUP(A3483,[1]!DadosGHD[CD_GEOCMU],[1]!DadosGHD[MUNICIPIO])</f>
        <v>PARAOPEBA</v>
      </c>
      <c r="F3483" s="6">
        <v>43.655155181884801</v>
      </c>
      <c r="G3483" s="6">
        <v>43.755622863769503</v>
      </c>
      <c r="H3483" s="6">
        <v>43.806026458740199</v>
      </c>
      <c r="I3483" s="6">
        <v>43.776947021484403</v>
      </c>
      <c r="J3483" s="6">
        <v>43.805442810058601</v>
      </c>
      <c r="K3483" s="6">
        <v>43.858081817627003</v>
      </c>
      <c r="L3483" s="6">
        <v>44.0145454406738</v>
      </c>
    </row>
    <row r="3484" spans="1:12" x14ac:dyDescent="0.25">
      <c r="A3484">
        <v>3124807</v>
      </c>
      <c r="B3484" t="str">
        <f t="shared" si="54"/>
        <v>ESTRELA DO SUL, MG, Brasil</v>
      </c>
      <c r="C3484" s="4" t="str">
        <f>_xlfn.XLOOKUP(A3484,[1]!DadosGHD[CD_GEOCMU],[1]!DadosGHD[Região])</f>
        <v>SD</v>
      </c>
      <c r="D3484" s="4" t="str">
        <f>_xlfn.XLOOKUP(A3484,[1]!DadosGHD[CD_GEOCMU],[1]!DadosGHD[uf])</f>
        <v>MG</v>
      </c>
      <c r="E3484" s="5" t="str">
        <f>_xlfn.XLOOKUP(A3484,[1]!DadosGHD[CD_GEOCMU],[1]!DadosGHD[MUNICIPIO])</f>
        <v>ESTRELA DO SUL</v>
      </c>
      <c r="F3484" s="6">
        <v>43.655197143554702</v>
      </c>
      <c r="G3484" s="6">
        <v>48.743255615234403</v>
      </c>
      <c r="H3484" s="6">
        <v>48.783004760742202</v>
      </c>
      <c r="I3484" s="6">
        <v>48.725925445556598</v>
      </c>
      <c r="J3484" s="6">
        <v>48.7276420593262</v>
      </c>
      <c r="K3484" s="6">
        <v>43.779228210449197</v>
      </c>
      <c r="L3484" s="6">
        <v>35.133453369140597</v>
      </c>
    </row>
    <row r="3485" spans="1:12" x14ac:dyDescent="0.25">
      <c r="A3485">
        <v>3122504</v>
      </c>
      <c r="B3485" t="str">
        <f t="shared" si="54"/>
        <v>DOM CAVATI, MG, Brasil</v>
      </c>
      <c r="C3485" s="4" t="str">
        <f>_xlfn.XLOOKUP(A3485,[1]!DadosGHD[CD_GEOCMU],[1]!DadosGHD[Região])</f>
        <v>SD</v>
      </c>
      <c r="D3485" s="4" t="str">
        <f>_xlfn.XLOOKUP(A3485,[1]!DadosGHD[CD_GEOCMU],[1]!DadosGHD[uf])</f>
        <v>MG</v>
      </c>
      <c r="E3485" s="5" t="str">
        <f>_xlfn.XLOOKUP(A3485,[1]!DadosGHD[CD_GEOCMU],[1]!DadosGHD[MUNICIPIO])</f>
        <v>DOM CAVATI</v>
      </c>
      <c r="F3485" s="6">
        <v>43.655399322509801</v>
      </c>
      <c r="G3485" s="6">
        <v>48.690513610839801</v>
      </c>
      <c r="H3485" s="6">
        <v>48.7480659484863</v>
      </c>
      <c r="I3485" s="6">
        <v>48.709320068359403</v>
      </c>
      <c r="J3485" s="6">
        <v>48.722042083740199</v>
      </c>
      <c r="K3485" s="6">
        <v>48.863845825195298</v>
      </c>
      <c r="L3485" s="6">
        <v>44.054954528808601</v>
      </c>
    </row>
    <row r="3486" spans="1:12" x14ac:dyDescent="0.25">
      <c r="A3486">
        <v>4321709</v>
      </c>
      <c r="B3486" t="str">
        <f t="shared" si="54"/>
        <v>TRES COROAS, RS, Brasil</v>
      </c>
      <c r="C3486" s="4" t="str">
        <f>_xlfn.XLOOKUP(A3486,[1]!DadosGHD[CD_GEOCMU],[1]!DadosGHD[Região])</f>
        <v>SL</v>
      </c>
      <c r="D3486" s="4" t="str">
        <f>_xlfn.XLOOKUP(A3486,[1]!DadosGHD[CD_GEOCMU],[1]!DadosGHD[uf])</f>
        <v>RS</v>
      </c>
      <c r="E3486" s="5" t="str">
        <f>_xlfn.XLOOKUP(A3486,[1]!DadosGHD[CD_GEOCMU],[1]!DadosGHD[MUNICIPIO])</f>
        <v>TRES COROAS</v>
      </c>
      <c r="F3486" s="6">
        <v>43.655494689941399</v>
      </c>
      <c r="G3486" s="6">
        <v>43.721488952636697</v>
      </c>
      <c r="H3486" s="6">
        <v>43.732059478759801</v>
      </c>
      <c r="I3486" s="6">
        <v>43.768692016601598</v>
      </c>
      <c r="J3486" s="6">
        <v>48.740306854248097</v>
      </c>
      <c r="K3486" s="6">
        <v>48.831626892089801</v>
      </c>
      <c r="L3486" s="6">
        <v>52.981903076171903</v>
      </c>
    </row>
    <row r="3487" spans="1:12" x14ac:dyDescent="0.25">
      <c r="A3487">
        <v>3113602</v>
      </c>
      <c r="B3487" t="str">
        <f t="shared" si="54"/>
        <v>CAREACU, MG, Brasil</v>
      </c>
      <c r="C3487" s="4" t="str">
        <f>_xlfn.XLOOKUP(A3487,[1]!DadosGHD[CD_GEOCMU],[1]!DadosGHD[Região])</f>
        <v>SD</v>
      </c>
      <c r="D3487" s="4" t="str">
        <f>_xlfn.XLOOKUP(A3487,[1]!DadosGHD[CD_GEOCMU],[1]!DadosGHD[uf])</f>
        <v>MG</v>
      </c>
      <c r="E3487" s="5" t="str">
        <f>_xlfn.XLOOKUP(A3487,[1]!DadosGHD[CD_GEOCMU],[1]!DadosGHD[MUNICIPIO])</f>
        <v>CAREACU</v>
      </c>
      <c r="F3487" s="6">
        <v>43.655567169189503</v>
      </c>
      <c r="G3487" s="6">
        <v>43.656806945800803</v>
      </c>
      <c r="H3487" s="6">
        <v>38.828762054443402</v>
      </c>
      <c r="I3487" s="6">
        <v>38.784015655517599</v>
      </c>
      <c r="J3487" s="6">
        <v>38.751277923583999</v>
      </c>
      <c r="K3487" s="6">
        <v>38.868579864502003</v>
      </c>
      <c r="L3487" s="6">
        <v>48.517978668212898</v>
      </c>
    </row>
    <row r="3488" spans="1:12" x14ac:dyDescent="0.25">
      <c r="A3488">
        <v>4108452</v>
      </c>
      <c r="B3488" t="str">
        <f t="shared" si="54"/>
        <v>FOZ DO JORDAO, PR, Brasil</v>
      </c>
      <c r="C3488" s="4" t="str">
        <f>_xlfn.XLOOKUP(A3488,[1]!DadosGHD[CD_GEOCMU],[1]!DadosGHD[Região])</f>
        <v>SL</v>
      </c>
      <c r="D3488" s="4" t="str">
        <f>_xlfn.XLOOKUP(A3488,[1]!DadosGHD[CD_GEOCMU],[1]!DadosGHD[uf])</f>
        <v>PR</v>
      </c>
      <c r="E3488" s="5" t="str">
        <f>_xlfn.XLOOKUP(A3488,[1]!DadosGHD[CD_GEOCMU],[1]!DadosGHD[MUNICIPIO])</f>
        <v>FOZ DO JORDAO</v>
      </c>
      <c r="F3488" s="6">
        <v>43.655635833740199</v>
      </c>
      <c r="G3488" s="6">
        <v>43.7244262695313</v>
      </c>
      <c r="H3488" s="6">
        <v>33.887722015380902</v>
      </c>
      <c r="I3488" s="6">
        <v>33.866947174072301</v>
      </c>
      <c r="J3488" s="6">
        <v>33.868324279785199</v>
      </c>
      <c r="K3488" s="6">
        <v>33.884105682373097</v>
      </c>
      <c r="L3488" s="6">
        <v>26.290346145629901</v>
      </c>
    </row>
    <row r="3489" spans="1:12" x14ac:dyDescent="0.25">
      <c r="A3489">
        <v>5102504</v>
      </c>
      <c r="B3489" t="str">
        <f t="shared" si="54"/>
        <v>CACERES, MT, Brasil</v>
      </c>
      <c r="C3489" s="4" t="str">
        <f>_xlfn.XLOOKUP(A3489,[1]!DadosGHD[CD_GEOCMU],[1]!DadosGHD[Região])</f>
        <v>CO</v>
      </c>
      <c r="D3489" s="4" t="str">
        <f>_xlfn.XLOOKUP(A3489,[1]!DadosGHD[CD_GEOCMU],[1]!DadosGHD[uf])</f>
        <v>MT</v>
      </c>
      <c r="E3489" s="5" t="str">
        <f>_xlfn.XLOOKUP(A3489,[1]!DadosGHD[CD_GEOCMU],[1]!DadosGHD[MUNICIPIO])</f>
        <v>CACERES</v>
      </c>
      <c r="F3489" s="6">
        <v>43.655704498291001</v>
      </c>
      <c r="G3489" s="6">
        <v>43.7365112304688</v>
      </c>
      <c r="H3489" s="6">
        <v>43.777629852294901</v>
      </c>
      <c r="I3489" s="6">
        <v>43.750446319580099</v>
      </c>
      <c r="J3489" s="6">
        <v>43.819366455078097</v>
      </c>
      <c r="K3489" s="6">
        <v>43.855110168457003</v>
      </c>
      <c r="L3489" s="6">
        <v>44.030002593994098</v>
      </c>
    </row>
    <row r="3490" spans="1:12" x14ac:dyDescent="0.25">
      <c r="A3490">
        <v>4322707</v>
      </c>
      <c r="B3490" t="str">
        <f t="shared" si="54"/>
        <v>VERA CRUZ, RS, Brasil</v>
      </c>
      <c r="C3490" s="4" t="str">
        <f>_xlfn.XLOOKUP(A3490,[1]!DadosGHD[CD_GEOCMU],[1]!DadosGHD[Região])</f>
        <v>SL</v>
      </c>
      <c r="D3490" s="4" t="str">
        <f>_xlfn.XLOOKUP(A3490,[1]!DadosGHD[CD_GEOCMU],[1]!DadosGHD[uf])</f>
        <v>RS</v>
      </c>
      <c r="E3490" s="5" t="str">
        <f>_xlfn.XLOOKUP(A3490,[1]!DadosGHD[CD_GEOCMU],[1]!DadosGHD[MUNICIPIO])</f>
        <v>VERA CRUZ</v>
      </c>
      <c r="F3490" s="6">
        <v>43.655708312988303</v>
      </c>
      <c r="G3490" s="6">
        <v>43.735774993896499</v>
      </c>
      <c r="H3490" s="6">
        <v>43.764739990234403</v>
      </c>
      <c r="I3490" s="6">
        <v>43.732627868652301</v>
      </c>
      <c r="J3490" s="6">
        <v>43.748123168945298</v>
      </c>
      <c r="K3490" s="6">
        <v>43.861427307128899</v>
      </c>
      <c r="L3490" s="6">
        <v>44.050197601318402</v>
      </c>
    </row>
    <row r="3491" spans="1:12" x14ac:dyDescent="0.25">
      <c r="A3491">
        <v>2411056</v>
      </c>
      <c r="B3491" t="str">
        <f t="shared" si="54"/>
        <v>TIBAU, RN, Brasil</v>
      </c>
      <c r="C3491" s="4" t="str">
        <f>_xlfn.XLOOKUP(A3491,[1]!DadosGHD[CD_GEOCMU],[1]!DadosGHD[Região])</f>
        <v>NE</v>
      </c>
      <c r="D3491" s="4" t="str">
        <f>_xlfn.XLOOKUP(A3491,[1]!DadosGHD[CD_GEOCMU],[1]!DadosGHD[uf])</f>
        <v>RN</v>
      </c>
      <c r="E3491" s="5" t="str">
        <f>_xlfn.XLOOKUP(A3491,[1]!DadosGHD[CD_GEOCMU],[1]!DadosGHD[MUNICIPIO])</f>
        <v>TIBAU</v>
      </c>
      <c r="F3491" s="6">
        <v>43.6557426452637</v>
      </c>
      <c r="G3491" s="6">
        <v>48.717033386230497</v>
      </c>
      <c r="H3491" s="6">
        <v>43.772422790527301</v>
      </c>
      <c r="I3491" s="6">
        <v>43.769863128662102</v>
      </c>
      <c r="J3491" s="6">
        <v>43.733806610107401</v>
      </c>
      <c r="K3491" s="6">
        <v>43.767429351806598</v>
      </c>
      <c r="L3491" s="6">
        <v>57.492107391357401</v>
      </c>
    </row>
    <row r="3492" spans="1:12" x14ac:dyDescent="0.25">
      <c r="A3492">
        <v>4118709</v>
      </c>
      <c r="B3492" t="str">
        <f t="shared" si="54"/>
        <v>PAULO FRONTIN, PR, Brasil</v>
      </c>
      <c r="C3492" s="4" t="str">
        <f>_xlfn.XLOOKUP(A3492,[1]!DadosGHD[CD_GEOCMU],[1]!DadosGHD[Região])</f>
        <v>SL</v>
      </c>
      <c r="D3492" s="4" t="str">
        <f>_xlfn.XLOOKUP(A3492,[1]!DadosGHD[CD_GEOCMU],[1]!DadosGHD[uf])</f>
        <v>PR</v>
      </c>
      <c r="E3492" s="5" t="str">
        <f>_xlfn.XLOOKUP(A3492,[1]!DadosGHD[CD_GEOCMU],[1]!DadosGHD[MUNICIPIO])</f>
        <v>PAULO FRONTIN</v>
      </c>
      <c r="F3492" s="6">
        <v>43.655830383300803</v>
      </c>
      <c r="G3492" s="6">
        <v>43.684787750244098</v>
      </c>
      <c r="H3492" s="6">
        <v>43.752616882324197</v>
      </c>
      <c r="I3492" s="6">
        <v>43.710262298583999</v>
      </c>
      <c r="J3492" s="6">
        <v>48.7160453796387</v>
      </c>
      <c r="K3492" s="6">
        <v>48.790416717529297</v>
      </c>
      <c r="L3492" s="6">
        <v>48.505130767822301</v>
      </c>
    </row>
    <row r="3493" spans="1:12" x14ac:dyDescent="0.25">
      <c r="A3493">
        <v>5215207</v>
      </c>
      <c r="B3493" t="str">
        <f t="shared" si="54"/>
        <v>NOVO BRASIL, GO, Brasil</v>
      </c>
      <c r="C3493" s="4" t="str">
        <f>_xlfn.XLOOKUP(A3493,[1]!DadosGHD[CD_GEOCMU],[1]!DadosGHD[Região])</f>
        <v>CO</v>
      </c>
      <c r="D3493" s="4" t="str">
        <f>_xlfn.XLOOKUP(A3493,[1]!DadosGHD[CD_GEOCMU],[1]!DadosGHD[uf])</f>
        <v>GO</v>
      </c>
      <c r="E3493" s="5" t="str">
        <f>_xlfn.XLOOKUP(A3493,[1]!DadosGHD[CD_GEOCMU],[1]!DadosGHD[MUNICIPIO])</f>
        <v>NOVO BRASIL</v>
      </c>
      <c r="F3493" s="6">
        <v>43.655895233154297</v>
      </c>
      <c r="G3493" s="6">
        <v>43.6822509765625</v>
      </c>
      <c r="H3493" s="6">
        <v>48.855136871337898</v>
      </c>
      <c r="I3493" s="6">
        <v>53.824329376220703</v>
      </c>
      <c r="J3493" s="6">
        <v>53.885421752929702</v>
      </c>
      <c r="K3493" s="6">
        <v>53.8297119140625</v>
      </c>
      <c r="L3493" s="6">
        <v>44.0521850585938</v>
      </c>
    </row>
    <row r="3494" spans="1:12" x14ac:dyDescent="0.25">
      <c r="A3494">
        <v>3123908</v>
      </c>
      <c r="B3494" t="str">
        <f t="shared" si="54"/>
        <v>ENTRE RIOS DE MINAS, MG, Brasil</v>
      </c>
      <c r="C3494" s="4" t="str">
        <f>_xlfn.XLOOKUP(A3494,[1]!DadosGHD[CD_GEOCMU],[1]!DadosGHD[Região])</f>
        <v>SD</v>
      </c>
      <c r="D3494" s="4" t="str">
        <f>_xlfn.XLOOKUP(A3494,[1]!DadosGHD[CD_GEOCMU],[1]!DadosGHD[uf])</f>
        <v>MG</v>
      </c>
      <c r="E3494" s="5" t="str">
        <f>_xlfn.XLOOKUP(A3494,[1]!DadosGHD[CD_GEOCMU],[1]!DadosGHD[MUNICIPIO])</f>
        <v>ENTRE RIOS DE MINAS</v>
      </c>
      <c r="F3494" s="6">
        <v>43.655918121337898</v>
      </c>
      <c r="G3494" s="6">
        <v>43.651012420654297</v>
      </c>
      <c r="H3494" s="6">
        <v>38.840499877929702</v>
      </c>
      <c r="I3494" s="6">
        <v>48.677330017089801</v>
      </c>
      <c r="J3494" s="6">
        <v>48.819568634033203</v>
      </c>
      <c r="K3494" s="6">
        <v>48.865566253662102</v>
      </c>
      <c r="L3494" s="6">
        <v>52.981731414794901</v>
      </c>
    </row>
    <row r="3495" spans="1:12" x14ac:dyDescent="0.25">
      <c r="A3495">
        <v>3528502</v>
      </c>
      <c r="B3495" t="str">
        <f t="shared" si="54"/>
        <v>MAIRIPORA, SP, Brasil</v>
      </c>
      <c r="C3495" s="4" t="str">
        <f>_xlfn.XLOOKUP(A3495,[1]!DadosGHD[CD_GEOCMU],[1]!DadosGHD[Região])</f>
        <v>SD</v>
      </c>
      <c r="D3495" s="4" t="str">
        <f>_xlfn.XLOOKUP(A3495,[1]!DadosGHD[CD_GEOCMU],[1]!DadosGHD[uf])</f>
        <v>SP</v>
      </c>
      <c r="E3495" s="5" t="str">
        <f>_xlfn.XLOOKUP(A3495,[1]!DadosGHD[CD_GEOCMU],[1]!DadosGHD[MUNICIPIO])</f>
        <v>MAIRIPORA</v>
      </c>
      <c r="F3495" s="6">
        <v>43.656169891357401</v>
      </c>
      <c r="G3495" s="6">
        <v>43.718868255615199</v>
      </c>
      <c r="H3495" s="6">
        <v>43.743373870849602</v>
      </c>
      <c r="I3495" s="6">
        <v>43.71826171875</v>
      </c>
      <c r="J3495" s="6">
        <v>43.752197265625</v>
      </c>
      <c r="K3495" s="6">
        <v>43.784629821777301</v>
      </c>
      <c r="L3495" s="6">
        <v>39.593925476074197</v>
      </c>
    </row>
    <row r="3496" spans="1:12" x14ac:dyDescent="0.25">
      <c r="A3496">
        <v>3521507</v>
      </c>
      <c r="B3496" t="str">
        <f t="shared" si="54"/>
        <v>IRAPUA, SP, Brasil</v>
      </c>
      <c r="C3496" s="4" t="str">
        <f>_xlfn.XLOOKUP(A3496,[1]!DadosGHD[CD_GEOCMU],[1]!DadosGHD[Região])</f>
        <v>SD</v>
      </c>
      <c r="D3496" s="4" t="str">
        <f>_xlfn.XLOOKUP(A3496,[1]!DadosGHD[CD_GEOCMU],[1]!DadosGHD[uf])</f>
        <v>SP</v>
      </c>
      <c r="E3496" s="5" t="str">
        <f>_xlfn.XLOOKUP(A3496,[1]!DadosGHD[CD_GEOCMU],[1]!DadosGHD[MUNICIPIO])</f>
        <v>IRAPUA</v>
      </c>
      <c r="F3496" s="6">
        <v>43.656627655029297</v>
      </c>
      <c r="G3496" s="6">
        <v>43.698238372802699</v>
      </c>
      <c r="H3496" s="6">
        <v>43.743545532226598</v>
      </c>
      <c r="I3496" s="6">
        <v>43.704521179199197</v>
      </c>
      <c r="J3496" s="6">
        <v>43.710117340087898</v>
      </c>
      <c r="K3496" s="6">
        <v>38.874931335449197</v>
      </c>
      <c r="L3496" s="6">
        <v>35.115623474121101</v>
      </c>
    </row>
    <row r="3497" spans="1:12" x14ac:dyDescent="0.25">
      <c r="A3497">
        <v>5219209</v>
      </c>
      <c r="B3497" t="str">
        <f t="shared" si="54"/>
        <v>SANTA CRUZ DE GOIAS, GO, Brasil</v>
      </c>
      <c r="C3497" s="4" t="str">
        <f>_xlfn.XLOOKUP(A3497,[1]!DadosGHD[CD_GEOCMU],[1]!DadosGHD[Região])</f>
        <v>CO</v>
      </c>
      <c r="D3497" s="4" t="str">
        <f>_xlfn.XLOOKUP(A3497,[1]!DadosGHD[CD_GEOCMU],[1]!DadosGHD[uf])</f>
        <v>GO</v>
      </c>
      <c r="E3497" s="5" t="str">
        <f>_xlfn.XLOOKUP(A3497,[1]!DadosGHD[CD_GEOCMU],[1]!DadosGHD[MUNICIPIO])</f>
        <v>SANTA CRUZ DE GOIAS</v>
      </c>
      <c r="F3497" s="6">
        <v>43.657424926757798</v>
      </c>
      <c r="G3497" s="6">
        <v>43.662277221679702</v>
      </c>
      <c r="H3497" s="6">
        <v>43.778327941894503</v>
      </c>
      <c r="I3497" s="6">
        <v>43.764350891113303</v>
      </c>
      <c r="J3497" s="6">
        <v>43.786907196044901</v>
      </c>
      <c r="K3497" s="6">
        <v>48.795711517333999</v>
      </c>
      <c r="L3497" s="6">
        <v>39.556427001953097</v>
      </c>
    </row>
    <row r="3498" spans="1:12" x14ac:dyDescent="0.25">
      <c r="A3498">
        <v>3301207</v>
      </c>
      <c r="B3498" t="str">
        <f t="shared" si="54"/>
        <v>CARMO, RJ, Brasil</v>
      </c>
      <c r="C3498" s="4" t="str">
        <f>_xlfn.XLOOKUP(A3498,[1]!DadosGHD[CD_GEOCMU],[1]!DadosGHD[Região])</f>
        <v>SD</v>
      </c>
      <c r="D3498" s="4" t="str">
        <f>_xlfn.XLOOKUP(A3498,[1]!DadosGHD[CD_GEOCMU],[1]!DadosGHD[uf])</f>
        <v>RJ</v>
      </c>
      <c r="E3498" s="5" t="str">
        <f>_xlfn.XLOOKUP(A3498,[1]!DadosGHD[CD_GEOCMU],[1]!DadosGHD[MUNICIPIO])</f>
        <v>CARMO</v>
      </c>
      <c r="F3498" s="6">
        <v>43.6574516296387</v>
      </c>
      <c r="G3498" s="6">
        <v>43.761711120605497</v>
      </c>
      <c r="H3498" s="6">
        <v>43.836318969726598</v>
      </c>
      <c r="I3498" s="6">
        <v>48.721870422363303</v>
      </c>
      <c r="J3498" s="6">
        <v>48.738796234130902</v>
      </c>
      <c r="K3498" s="6">
        <v>48.768287658691399</v>
      </c>
      <c r="L3498" s="6">
        <v>53.003341674804702</v>
      </c>
    </row>
    <row r="3499" spans="1:12" x14ac:dyDescent="0.25">
      <c r="A3499">
        <v>3305133</v>
      </c>
      <c r="B3499" t="str">
        <f t="shared" si="54"/>
        <v>SAO JOSE DE UBA, RJ, Brasil</v>
      </c>
      <c r="C3499" s="4" t="str">
        <f>_xlfn.XLOOKUP(A3499,[1]!DadosGHD[CD_GEOCMU],[1]!DadosGHD[Região])</f>
        <v>SD</v>
      </c>
      <c r="D3499" s="4" t="str">
        <f>_xlfn.XLOOKUP(A3499,[1]!DadosGHD[CD_GEOCMU],[1]!DadosGHD[uf])</f>
        <v>RJ</v>
      </c>
      <c r="E3499" s="5" t="str">
        <f>_xlfn.XLOOKUP(A3499,[1]!DadosGHD[CD_GEOCMU],[1]!DadosGHD[MUNICIPIO])</f>
        <v>SAO JOSE DE UBA</v>
      </c>
      <c r="F3499" s="6">
        <v>43.657657623291001</v>
      </c>
      <c r="G3499" s="6">
        <v>43.694919586181598</v>
      </c>
      <c r="H3499" s="6">
        <v>43.760612487792997</v>
      </c>
      <c r="I3499" s="6">
        <v>43.750938415527301</v>
      </c>
      <c r="J3499" s="6">
        <v>43.792873382568402</v>
      </c>
      <c r="K3499" s="6">
        <v>43.8219184875488</v>
      </c>
      <c r="L3499" s="6">
        <v>39.557163238525398</v>
      </c>
    </row>
    <row r="3500" spans="1:12" x14ac:dyDescent="0.25">
      <c r="A3500">
        <v>3300605</v>
      </c>
      <c r="B3500" t="str">
        <f t="shared" si="54"/>
        <v>BOM JESUS DO ITABAPOANA, RJ, Brasil</v>
      </c>
      <c r="C3500" s="4" t="str">
        <f>_xlfn.XLOOKUP(A3500,[1]!DadosGHD[CD_GEOCMU],[1]!DadosGHD[Região])</f>
        <v>SD</v>
      </c>
      <c r="D3500" s="4" t="str">
        <f>_xlfn.XLOOKUP(A3500,[1]!DadosGHD[CD_GEOCMU],[1]!DadosGHD[uf])</f>
        <v>RJ</v>
      </c>
      <c r="E3500" s="5" t="str">
        <f>_xlfn.XLOOKUP(A3500,[1]!DadosGHD[CD_GEOCMU],[1]!DadosGHD[MUNICIPIO])</f>
        <v>BOM JESUS DO ITABAPOANA</v>
      </c>
      <c r="F3500" s="6">
        <v>43.657772064208999</v>
      </c>
      <c r="G3500" s="6">
        <v>43.714523315429702</v>
      </c>
      <c r="H3500" s="6">
        <v>43.720664978027301</v>
      </c>
      <c r="I3500" s="6">
        <v>43.683151245117202</v>
      </c>
      <c r="J3500" s="6">
        <v>48.716243743896499</v>
      </c>
      <c r="K3500" s="6">
        <v>48.8632202148438</v>
      </c>
      <c r="L3500" s="6">
        <v>48.547687530517599</v>
      </c>
    </row>
    <row r="3501" spans="1:12" x14ac:dyDescent="0.25">
      <c r="A3501">
        <v>3528205</v>
      </c>
      <c r="B3501" t="str">
        <f t="shared" si="54"/>
        <v>MACEDONIA, SP, Brasil</v>
      </c>
      <c r="C3501" s="4" t="str">
        <f>_xlfn.XLOOKUP(A3501,[1]!DadosGHD[CD_GEOCMU],[1]!DadosGHD[Região])</f>
        <v>SD</v>
      </c>
      <c r="D3501" s="4" t="str">
        <f>_xlfn.XLOOKUP(A3501,[1]!DadosGHD[CD_GEOCMU],[1]!DadosGHD[uf])</f>
        <v>SP</v>
      </c>
      <c r="E3501" s="5" t="str">
        <f>_xlfn.XLOOKUP(A3501,[1]!DadosGHD[CD_GEOCMU],[1]!DadosGHD[MUNICIPIO])</f>
        <v>MACEDONIA</v>
      </c>
      <c r="F3501" s="6">
        <v>43.658283233642599</v>
      </c>
      <c r="G3501" s="6">
        <v>43.674797058105497</v>
      </c>
      <c r="H3501" s="6">
        <v>43.734035491943402</v>
      </c>
      <c r="I3501" s="6">
        <v>43.700836181640597</v>
      </c>
      <c r="J3501" s="6">
        <v>43.7295532226563</v>
      </c>
      <c r="K3501" s="6">
        <v>38.869235992431598</v>
      </c>
      <c r="L3501" s="6">
        <v>35.154056549072301</v>
      </c>
    </row>
    <row r="3502" spans="1:12" x14ac:dyDescent="0.25">
      <c r="A3502">
        <v>4122008</v>
      </c>
      <c r="B3502" t="str">
        <f t="shared" si="54"/>
        <v>RIO AZUL, PR, Brasil</v>
      </c>
      <c r="C3502" s="4" t="str">
        <f>_xlfn.XLOOKUP(A3502,[1]!DadosGHD[CD_GEOCMU],[1]!DadosGHD[Região])</f>
        <v>SL</v>
      </c>
      <c r="D3502" s="4" t="str">
        <f>_xlfn.XLOOKUP(A3502,[1]!DadosGHD[CD_GEOCMU],[1]!DadosGHD[uf])</f>
        <v>PR</v>
      </c>
      <c r="E3502" s="5" t="str">
        <f>_xlfn.XLOOKUP(A3502,[1]!DadosGHD[CD_GEOCMU],[1]!DadosGHD[MUNICIPIO])</f>
        <v>RIO AZUL</v>
      </c>
      <c r="F3502" s="6">
        <v>43.658321380615199</v>
      </c>
      <c r="G3502" s="6">
        <v>43.741748809814503</v>
      </c>
      <c r="H3502" s="6">
        <v>43.839275360107401</v>
      </c>
      <c r="I3502" s="6">
        <v>48.689323425292997</v>
      </c>
      <c r="J3502" s="6">
        <v>43.798122406005902</v>
      </c>
      <c r="K3502" s="6">
        <v>43.835411071777301</v>
      </c>
      <c r="L3502" s="6">
        <v>39.592048645019503</v>
      </c>
    </row>
    <row r="3503" spans="1:12" x14ac:dyDescent="0.25">
      <c r="A3503">
        <v>1100072</v>
      </c>
      <c r="B3503" t="str">
        <f t="shared" si="54"/>
        <v>CORUMBIARA, RO, Brasil</v>
      </c>
      <c r="C3503" s="4" t="str">
        <f>_xlfn.XLOOKUP(A3503,[1]!DadosGHD[CD_GEOCMU],[1]!DadosGHD[Região])</f>
        <v>NO</v>
      </c>
      <c r="D3503" s="4" t="str">
        <f>_xlfn.XLOOKUP(A3503,[1]!DadosGHD[CD_GEOCMU],[1]!DadosGHD[uf])</f>
        <v>RO</v>
      </c>
      <c r="E3503" s="5" t="str">
        <f>_xlfn.XLOOKUP(A3503,[1]!DadosGHD[CD_GEOCMU],[1]!DadosGHD[MUNICIPIO])</f>
        <v>CORUMBIARA</v>
      </c>
      <c r="F3503" s="6">
        <v>43.658512115478501</v>
      </c>
      <c r="G3503" s="6">
        <v>43.656215667724602</v>
      </c>
      <c r="H3503" s="6">
        <v>43.741874694824197</v>
      </c>
      <c r="I3503" s="6">
        <v>43.725784301757798</v>
      </c>
      <c r="J3503" s="6">
        <v>43.733177185058601</v>
      </c>
      <c r="K3503" s="6">
        <v>43.765148162841797</v>
      </c>
      <c r="L3503" s="6">
        <v>35.1122856140137</v>
      </c>
    </row>
    <row r="3504" spans="1:12" x14ac:dyDescent="0.25">
      <c r="A3504">
        <v>5215900</v>
      </c>
      <c r="B3504" t="str">
        <f t="shared" si="54"/>
        <v>PALMINOPOLIS, GO, Brasil</v>
      </c>
      <c r="C3504" s="4" t="str">
        <f>_xlfn.XLOOKUP(A3504,[1]!DadosGHD[CD_GEOCMU],[1]!DadosGHD[Região])</f>
        <v>CO</v>
      </c>
      <c r="D3504" s="4" t="str">
        <f>_xlfn.XLOOKUP(A3504,[1]!DadosGHD[CD_GEOCMU],[1]!DadosGHD[uf])</f>
        <v>GO</v>
      </c>
      <c r="E3504" s="5" t="str">
        <f>_xlfn.XLOOKUP(A3504,[1]!DadosGHD[CD_GEOCMU],[1]!DadosGHD[MUNICIPIO])</f>
        <v>PALMINOPOLIS</v>
      </c>
      <c r="F3504" s="6">
        <v>43.658519744873097</v>
      </c>
      <c r="G3504" s="6">
        <v>48.750205993652301</v>
      </c>
      <c r="H3504" s="6">
        <v>48.819442749023402</v>
      </c>
      <c r="I3504" s="6">
        <v>48.734451293945298</v>
      </c>
      <c r="J3504" s="6">
        <v>48.730388641357401</v>
      </c>
      <c r="K3504" s="6">
        <v>43.8773384094238</v>
      </c>
      <c r="L3504" s="6">
        <v>35.123161315917997</v>
      </c>
    </row>
    <row r="3505" spans="1:12" x14ac:dyDescent="0.25">
      <c r="A3505">
        <v>3540200</v>
      </c>
      <c r="B3505" t="str">
        <f t="shared" si="54"/>
        <v>PONTAL, SP, Brasil</v>
      </c>
      <c r="C3505" s="4" t="str">
        <f>_xlfn.XLOOKUP(A3505,[1]!DadosGHD[CD_GEOCMU],[1]!DadosGHD[Região])</f>
        <v>SD</v>
      </c>
      <c r="D3505" s="4" t="str">
        <f>_xlfn.XLOOKUP(A3505,[1]!DadosGHD[CD_GEOCMU],[1]!DadosGHD[uf])</f>
        <v>SP</v>
      </c>
      <c r="E3505" s="5" t="str">
        <f>_xlfn.XLOOKUP(A3505,[1]!DadosGHD[CD_GEOCMU],[1]!DadosGHD[MUNICIPIO])</f>
        <v>PONTAL</v>
      </c>
      <c r="F3505" s="6">
        <v>43.658679962158203</v>
      </c>
      <c r="G3505" s="6">
        <v>43.705314636230497</v>
      </c>
      <c r="H3505" s="6">
        <v>43.741371154785199</v>
      </c>
      <c r="I3505" s="6">
        <v>38.823783874511697</v>
      </c>
      <c r="J3505" s="6">
        <v>43.721923828125</v>
      </c>
      <c r="K3505" s="6">
        <v>43.805957794189503</v>
      </c>
      <c r="L3505" s="6">
        <v>52.980281829833999</v>
      </c>
    </row>
    <row r="3506" spans="1:12" x14ac:dyDescent="0.25">
      <c r="A3506">
        <v>3203908</v>
      </c>
      <c r="B3506" t="str">
        <f t="shared" si="54"/>
        <v>NOVA VENECIA, ES, Brasil</v>
      </c>
      <c r="C3506" s="4" t="str">
        <f>_xlfn.XLOOKUP(A3506,[1]!DadosGHD[CD_GEOCMU],[1]!DadosGHD[Região])</f>
        <v>SD</v>
      </c>
      <c r="D3506" s="4" t="str">
        <f>_xlfn.XLOOKUP(A3506,[1]!DadosGHD[CD_GEOCMU],[1]!DadosGHD[uf])</f>
        <v>ES</v>
      </c>
      <c r="E3506" s="5" t="str">
        <f>_xlfn.XLOOKUP(A3506,[1]!DadosGHD[CD_GEOCMU],[1]!DadosGHD[MUNICIPIO])</f>
        <v>NOVA VENECIA</v>
      </c>
      <c r="F3506" s="6">
        <v>43.658840179443402</v>
      </c>
      <c r="G3506" s="6">
        <v>43.720714569091797</v>
      </c>
      <c r="H3506" s="6">
        <v>43.731525421142599</v>
      </c>
      <c r="I3506" s="6">
        <v>43.694473266601598</v>
      </c>
      <c r="J3506" s="6">
        <v>43.727806091308601</v>
      </c>
      <c r="K3506" s="6">
        <v>43.809013366699197</v>
      </c>
      <c r="L3506" s="6">
        <v>39.581809997558601</v>
      </c>
    </row>
    <row r="3507" spans="1:12" x14ac:dyDescent="0.25">
      <c r="A3507">
        <v>3123858</v>
      </c>
      <c r="B3507" t="str">
        <f t="shared" si="54"/>
        <v>ENTRE FOLHAS, MG, Brasil</v>
      </c>
      <c r="C3507" s="4" t="str">
        <f>_xlfn.XLOOKUP(A3507,[1]!DadosGHD[CD_GEOCMU],[1]!DadosGHD[Região])</f>
        <v>SD</v>
      </c>
      <c r="D3507" s="4" t="str">
        <f>_xlfn.XLOOKUP(A3507,[1]!DadosGHD[CD_GEOCMU],[1]!DadosGHD[uf])</f>
        <v>MG</v>
      </c>
      <c r="E3507" s="5" t="str">
        <f>_xlfn.XLOOKUP(A3507,[1]!DadosGHD[CD_GEOCMU],[1]!DadosGHD[MUNICIPIO])</f>
        <v>ENTRE FOLHAS</v>
      </c>
      <c r="F3507" s="6">
        <v>43.658939361572301</v>
      </c>
      <c r="G3507" s="6">
        <v>33.839797973632798</v>
      </c>
      <c r="H3507" s="6">
        <v>33.865230560302699</v>
      </c>
      <c r="I3507" s="6">
        <v>33.834259033203097</v>
      </c>
      <c r="J3507" s="6">
        <v>33.871646881103501</v>
      </c>
      <c r="K3507" s="6">
        <v>33.899688720703097</v>
      </c>
      <c r="L3507" s="6">
        <v>30.700595855712901</v>
      </c>
    </row>
    <row r="3508" spans="1:12" x14ac:dyDescent="0.25">
      <c r="A3508">
        <v>4305124</v>
      </c>
      <c r="B3508" t="str">
        <f t="shared" si="54"/>
        <v>CERRITO, RS, Brasil</v>
      </c>
      <c r="C3508" s="4" t="str">
        <f>_xlfn.XLOOKUP(A3508,[1]!DadosGHD[CD_GEOCMU],[1]!DadosGHD[Região])</f>
        <v>SL</v>
      </c>
      <c r="D3508" s="4" t="str">
        <f>_xlfn.XLOOKUP(A3508,[1]!DadosGHD[CD_GEOCMU],[1]!DadosGHD[uf])</f>
        <v>RS</v>
      </c>
      <c r="E3508" s="5" t="str">
        <f>_xlfn.XLOOKUP(A3508,[1]!DadosGHD[CD_GEOCMU],[1]!DadosGHD[MUNICIPIO])</f>
        <v>CERRITO</v>
      </c>
      <c r="F3508" s="6">
        <v>43.659091949462898</v>
      </c>
      <c r="G3508" s="6">
        <v>43.723911285400398</v>
      </c>
      <c r="H3508" s="6">
        <v>43.825885772705099</v>
      </c>
      <c r="I3508" s="6">
        <v>48.700191497802699</v>
      </c>
      <c r="J3508" s="6">
        <v>43.740936279296903</v>
      </c>
      <c r="K3508" s="6">
        <v>38.834205627441399</v>
      </c>
      <c r="L3508" s="6">
        <v>35.153602600097699</v>
      </c>
    </row>
    <row r="3509" spans="1:12" x14ac:dyDescent="0.25">
      <c r="A3509">
        <v>3160405</v>
      </c>
      <c r="B3509" t="str">
        <f t="shared" si="54"/>
        <v>SANTO ANTONIO DO MONTE, MG, Brasil</v>
      </c>
      <c r="C3509" s="4" t="str">
        <f>_xlfn.XLOOKUP(A3509,[1]!DadosGHD[CD_GEOCMU],[1]!DadosGHD[Região])</f>
        <v>SD</v>
      </c>
      <c r="D3509" s="4" t="str">
        <f>_xlfn.XLOOKUP(A3509,[1]!DadosGHD[CD_GEOCMU],[1]!DadosGHD[uf])</f>
        <v>MG</v>
      </c>
      <c r="E3509" s="5" t="str">
        <f>_xlfn.XLOOKUP(A3509,[1]!DadosGHD[CD_GEOCMU],[1]!DadosGHD[MUNICIPIO])</f>
        <v>SANTO ANTONIO DO MONTE</v>
      </c>
      <c r="F3509" s="6">
        <v>43.659275054931598</v>
      </c>
      <c r="G3509" s="6">
        <v>43.725521087646499</v>
      </c>
      <c r="H3509" s="6">
        <v>48.7691841125488</v>
      </c>
      <c r="I3509" s="6">
        <v>48.760124206542997</v>
      </c>
      <c r="J3509" s="6">
        <v>48.735107421875</v>
      </c>
      <c r="K3509" s="6">
        <v>48.887859344482401</v>
      </c>
      <c r="L3509" s="6">
        <v>57.520542144775398</v>
      </c>
    </row>
    <row r="3510" spans="1:12" x14ac:dyDescent="0.25">
      <c r="A3510">
        <v>5007406</v>
      </c>
      <c r="B3510" t="str">
        <f t="shared" si="54"/>
        <v>RIO VERDE DE MATO GROSSO, MS, Brasil</v>
      </c>
      <c r="C3510" s="4" t="str">
        <f>_xlfn.XLOOKUP(A3510,[1]!DadosGHD[CD_GEOCMU],[1]!DadosGHD[Região])</f>
        <v>CO</v>
      </c>
      <c r="D3510" s="4" t="str">
        <f>_xlfn.XLOOKUP(A3510,[1]!DadosGHD[CD_GEOCMU],[1]!DadosGHD[uf])</f>
        <v>MS</v>
      </c>
      <c r="E3510" s="5" t="str">
        <f>_xlfn.XLOOKUP(A3510,[1]!DadosGHD[CD_GEOCMU],[1]!DadosGHD[MUNICIPIO])</f>
        <v>RIO VERDE DE MATO GROSSO</v>
      </c>
      <c r="F3510" s="6">
        <v>43.659378051757798</v>
      </c>
      <c r="G3510" s="6">
        <v>43.723953247070298</v>
      </c>
      <c r="H3510" s="6">
        <v>43.749862670898402</v>
      </c>
      <c r="I3510" s="6">
        <v>43.739707946777301</v>
      </c>
      <c r="J3510" s="6">
        <v>43.737396240234403</v>
      </c>
      <c r="K3510" s="6">
        <v>38.887474060058601</v>
      </c>
      <c r="L3510" s="6">
        <v>39.591903686523402</v>
      </c>
    </row>
    <row r="3511" spans="1:12" x14ac:dyDescent="0.25">
      <c r="A3511">
        <v>3167707</v>
      </c>
      <c r="B3511" t="str">
        <f t="shared" si="54"/>
        <v>SOBRALIA, MG, Brasil</v>
      </c>
      <c r="C3511" s="4" t="str">
        <f>_xlfn.XLOOKUP(A3511,[1]!DadosGHD[CD_GEOCMU],[1]!DadosGHD[Região])</f>
        <v>SD</v>
      </c>
      <c r="D3511" s="4" t="str">
        <f>_xlfn.XLOOKUP(A3511,[1]!DadosGHD[CD_GEOCMU],[1]!DadosGHD[uf])</f>
        <v>MG</v>
      </c>
      <c r="E3511" s="5" t="str">
        <f>_xlfn.XLOOKUP(A3511,[1]!DadosGHD[CD_GEOCMU],[1]!DadosGHD[MUNICIPIO])</f>
        <v>SOBRALIA</v>
      </c>
      <c r="F3511" s="6">
        <v>43.659832000732401</v>
      </c>
      <c r="G3511" s="6">
        <v>43.653358459472699</v>
      </c>
      <c r="H3511" s="6">
        <v>38.8364067077637</v>
      </c>
      <c r="I3511" s="6">
        <v>38.793201446533203</v>
      </c>
      <c r="J3511" s="6">
        <v>38.790855407714801</v>
      </c>
      <c r="K3511" s="6">
        <v>38.816867828369098</v>
      </c>
      <c r="L3511" s="6">
        <v>30.715003967285199</v>
      </c>
    </row>
    <row r="3512" spans="1:12" x14ac:dyDescent="0.25">
      <c r="A3512">
        <v>3523206</v>
      </c>
      <c r="B3512" t="str">
        <f t="shared" si="54"/>
        <v>ITARARE, SP, Brasil</v>
      </c>
      <c r="C3512" s="4" t="str">
        <f>_xlfn.XLOOKUP(A3512,[1]!DadosGHD[CD_GEOCMU],[1]!DadosGHD[Região])</f>
        <v>SD</v>
      </c>
      <c r="D3512" s="4" t="str">
        <f>_xlfn.XLOOKUP(A3512,[1]!DadosGHD[CD_GEOCMU],[1]!DadosGHD[uf])</f>
        <v>SP</v>
      </c>
      <c r="E3512" s="5" t="str">
        <f>_xlfn.XLOOKUP(A3512,[1]!DadosGHD[CD_GEOCMU],[1]!DadosGHD[MUNICIPIO])</f>
        <v>ITARARE</v>
      </c>
      <c r="F3512" s="6">
        <v>43.6598930358887</v>
      </c>
      <c r="G3512" s="6">
        <v>43.726150512695298</v>
      </c>
      <c r="H3512" s="6">
        <v>43.740432739257798</v>
      </c>
      <c r="I3512" s="6">
        <v>43.687812805175803</v>
      </c>
      <c r="J3512" s="6">
        <v>38.830837249755902</v>
      </c>
      <c r="K3512" s="6">
        <v>43.774909973144503</v>
      </c>
      <c r="L3512" s="6">
        <v>44.022899627685597</v>
      </c>
    </row>
    <row r="3513" spans="1:12" x14ac:dyDescent="0.25">
      <c r="A3513">
        <v>3101409</v>
      </c>
      <c r="B3513" t="str">
        <f t="shared" si="54"/>
        <v>ALBERTINA, MG, Brasil</v>
      </c>
      <c r="C3513" s="4" t="str">
        <f>_xlfn.XLOOKUP(A3513,[1]!DadosGHD[CD_GEOCMU],[1]!DadosGHD[Região])</f>
        <v>SD</v>
      </c>
      <c r="D3513" s="4" t="str">
        <f>_xlfn.XLOOKUP(A3513,[1]!DadosGHD[CD_GEOCMU],[1]!DadosGHD[uf])</f>
        <v>MG</v>
      </c>
      <c r="E3513" s="5" t="str">
        <f>_xlfn.XLOOKUP(A3513,[1]!DadosGHD[CD_GEOCMU],[1]!DadosGHD[MUNICIPIO])</f>
        <v>ALBERTINA</v>
      </c>
      <c r="F3513" s="6">
        <v>43.659999847412102</v>
      </c>
      <c r="G3513" s="6">
        <v>38.699119567871101</v>
      </c>
      <c r="H3513" s="6">
        <v>38.754707336425803</v>
      </c>
      <c r="I3513" s="6">
        <v>38.740207672119098</v>
      </c>
      <c r="J3513" s="6">
        <v>38.782035827636697</v>
      </c>
      <c r="K3513" s="6">
        <v>43.7792358398438</v>
      </c>
      <c r="L3513" s="6">
        <v>44.037975311279297</v>
      </c>
    </row>
    <row r="3514" spans="1:12" x14ac:dyDescent="0.25">
      <c r="A3514">
        <v>3513603</v>
      </c>
      <c r="B3514" t="str">
        <f t="shared" si="54"/>
        <v>CUNHA, SP, Brasil</v>
      </c>
      <c r="C3514" s="4" t="str">
        <f>_xlfn.XLOOKUP(A3514,[1]!DadosGHD[CD_GEOCMU],[1]!DadosGHD[Região])</f>
        <v>SD</v>
      </c>
      <c r="D3514" s="4" t="str">
        <f>_xlfn.XLOOKUP(A3514,[1]!DadosGHD[CD_GEOCMU],[1]!DadosGHD[uf])</f>
        <v>SP</v>
      </c>
      <c r="E3514" s="5" t="str">
        <f>_xlfn.XLOOKUP(A3514,[1]!DadosGHD[CD_GEOCMU],[1]!DadosGHD[MUNICIPIO])</f>
        <v>CUNHA</v>
      </c>
      <c r="F3514" s="6">
        <v>43.660678863525398</v>
      </c>
      <c r="G3514" s="6">
        <v>43.722991943359403</v>
      </c>
      <c r="H3514" s="6">
        <v>43.801067352294901</v>
      </c>
      <c r="I3514" s="6">
        <v>43.769336700439503</v>
      </c>
      <c r="J3514" s="6">
        <v>43.767551422119098</v>
      </c>
      <c r="K3514" s="6">
        <v>43.810909271240199</v>
      </c>
      <c r="L3514" s="6">
        <v>35.153701782226598</v>
      </c>
    </row>
    <row r="3515" spans="1:12" x14ac:dyDescent="0.25">
      <c r="A3515">
        <v>1718006</v>
      </c>
      <c r="B3515" t="str">
        <f t="shared" si="54"/>
        <v>PORTO ALEGRE DO TOCANTINS, TO, Brasil</v>
      </c>
      <c r="C3515" s="4" t="str">
        <f>_xlfn.XLOOKUP(A3515,[1]!DadosGHD[CD_GEOCMU],[1]!DadosGHD[Região])</f>
        <v>NO</v>
      </c>
      <c r="D3515" s="4" t="str">
        <f>_xlfn.XLOOKUP(A3515,[1]!DadosGHD[CD_GEOCMU],[1]!DadosGHD[uf])</f>
        <v>TO</v>
      </c>
      <c r="E3515" s="5" t="str">
        <f>_xlfn.XLOOKUP(A3515,[1]!DadosGHD[CD_GEOCMU],[1]!DadosGHD[MUNICIPIO])</f>
        <v>PORTO ALEGRE DO TOCANTINS</v>
      </c>
      <c r="F3515" s="6">
        <v>43.661060333252003</v>
      </c>
      <c r="G3515" s="6">
        <v>43.651840209960902</v>
      </c>
      <c r="H3515" s="6">
        <v>38.836578369140597</v>
      </c>
      <c r="I3515" s="6">
        <v>38.800853729248097</v>
      </c>
      <c r="J3515" s="6">
        <v>38.816356658935597</v>
      </c>
      <c r="K3515" s="6">
        <v>29.002412796020501</v>
      </c>
      <c r="L3515" s="6">
        <v>26.291774749755898</v>
      </c>
    </row>
    <row r="3516" spans="1:12" x14ac:dyDescent="0.25">
      <c r="A3516">
        <v>2200202</v>
      </c>
      <c r="B3516" t="str">
        <f t="shared" si="54"/>
        <v>AGUA BRANCA, PI, Brasil</v>
      </c>
      <c r="C3516" s="4" t="str">
        <f>_xlfn.XLOOKUP(A3516,[1]!DadosGHD[CD_GEOCMU],[1]!DadosGHD[Região])</f>
        <v>NE</v>
      </c>
      <c r="D3516" s="4" t="str">
        <f>_xlfn.XLOOKUP(A3516,[1]!DadosGHD[CD_GEOCMU],[1]!DadosGHD[uf])</f>
        <v>PI</v>
      </c>
      <c r="E3516" s="5" t="str">
        <f>_xlfn.XLOOKUP(A3516,[1]!DadosGHD[CD_GEOCMU],[1]!DadosGHD[MUNICIPIO])</f>
        <v>AGUA BRANCA</v>
      </c>
      <c r="F3516" s="6">
        <v>43.661228179931598</v>
      </c>
      <c r="G3516" s="6">
        <v>43.760269165039098</v>
      </c>
      <c r="H3516" s="6">
        <v>43.801380157470703</v>
      </c>
      <c r="I3516" s="6">
        <v>43.772342681884801</v>
      </c>
      <c r="J3516" s="6">
        <v>43.766178131103501</v>
      </c>
      <c r="K3516" s="6">
        <v>43.8817749023438</v>
      </c>
      <c r="L3516" s="6">
        <v>35.134342193603501</v>
      </c>
    </row>
    <row r="3517" spans="1:12" x14ac:dyDescent="0.25">
      <c r="A3517">
        <v>4207684</v>
      </c>
      <c r="B3517" t="str">
        <f t="shared" si="54"/>
        <v>IPUACU, SC, Brasil</v>
      </c>
      <c r="C3517" s="4" t="str">
        <f>_xlfn.XLOOKUP(A3517,[1]!DadosGHD[CD_GEOCMU],[1]!DadosGHD[Região])</f>
        <v>SL</v>
      </c>
      <c r="D3517" s="4" t="str">
        <f>_xlfn.XLOOKUP(A3517,[1]!DadosGHD[CD_GEOCMU],[1]!DadosGHD[uf])</f>
        <v>SC</v>
      </c>
      <c r="E3517" s="5" t="str">
        <f>_xlfn.XLOOKUP(A3517,[1]!DadosGHD[CD_GEOCMU],[1]!DadosGHD[MUNICIPIO])</f>
        <v>IPUACU</v>
      </c>
      <c r="F3517" s="6">
        <v>43.661422729492202</v>
      </c>
      <c r="G3517" s="6">
        <v>48.732784271240199</v>
      </c>
      <c r="H3517" s="6">
        <v>48.791164398193402</v>
      </c>
      <c r="I3517" s="6">
        <v>48.774005889892599</v>
      </c>
      <c r="J3517" s="6">
        <v>53.726253509521499</v>
      </c>
      <c r="K3517" s="6">
        <v>53.813705444335902</v>
      </c>
      <c r="L3517" s="6">
        <v>44.045028686523402</v>
      </c>
    </row>
    <row r="3518" spans="1:12" x14ac:dyDescent="0.25">
      <c r="A3518">
        <v>1702406</v>
      </c>
      <c r="B3518" t="str">
        <f t="shared" si="54"/>
        <v>ARRAIAS, TO, Brasil</v>
      </c>
      <c r="C3518" s="4" t="str">
        <f>_xlfn.XLOOKUP(A3518,[1]!DadosGHD[CD_GEOCMU],[1]!DadosGHD[Região])</f>
        <v>NO</v>
      </c>
      <c r="D3518" s="4" t="str">
        <f>_xlfn.XLOOKUP(A3518,[1]!DadosGHD[CD_GEOCMU],[1]!DadosGHD[uf])</f>
        <v>TO</v>
      </c>
      <c r="E3518" s="5" t="str">
        <f>_xlfn.XLOOKUP(A3518,[1]!DadosGHD[CD_GEOCMU],[1]!DadosGHD[MUNICIPIO])</f>
        <v>ARRAIAS</v>
      </c>
      <c r="F3518" s="6">
        <v>43.6615180969238</v>
      </c>
      <c r="G3518" s="6">
        <v>43.7122192382813</v>
      </c>
      <c r="H3518" s="6">
        <v>43.800651550292997</v>
      </c>
      <c r="I3518" s="6">
        <v>48.685546875</v>
      </c>
      <c r="J3518" s="6">
        <v>48.777034759521499</v>
      </c>
      <c r="K3518" s="6">
        <v>48.853694915771499</v>
      </c>
      <c r="L3518" s="6">
        <v>35.139720916748097</v>
      </c>
    </row>
    <row r="3519" spans="1:12" x14ac:dyDescent="0.25">
      <c r="A3519">
        <v>4103206</v>
      </c>
      <c r="B3519" t="str">
        <f t="shared" si="54"/>
        <v>BOM SUCESSO, PR, Brasil</v>
      </c>
      <c r="C3519" s="4" t="str">
        <f>_xlfn.XLOOKUP(A3519,[1]!DadosGHD[CD_GEOCMU],[1]!DadosGHD[Região])</f>
        <v>SL</v>
      </c>
      <c r="D3519" s="4" t="str">
        <f>_xlfn.XLOOKUP(A3519,[1]!DadosGHD[CD_GEOCMU],[1]!DadosGHD[uf])</f>
        <v>PR</v>
      </c>
      <c r="E3519" s="5" t="str">
        <f>_xlfn.XLOOKUP(A3519,[1]!DadosGHD[CD_GEOCMU],[1]!DadosGHD[MUNICIPIO])</f>
        <v>BOM SUCESSO</v>
      </c>
      <c r="F3519" s="6">
        <v>43.661701202392599</v>
      </c>
      <c r="G3519" s="6">
        <v>48.697719573974602</v>
      </c>
      <c r="H3519" s="6">
        <v>43.812339782714801</v>
      </c>
      <c r="I3519" s="6">
        <v>43.785861968994098</v>
      </c>
      <c r="J3519" s="6">
        <v>43.754753112792997</v>
      </c>
      <c r="K3519" s="6">
        <v>43.775932312011697</v>
      </c>
      <c r="L3519" s="6">
        <v>39.609455108642599</v>
      </c>
    </row>
    <row r="3520" spans="1:12" x14ac:dyDescent="0.25">
      <c r="A3520">
        <v>3165404</v>
      </c>
      <c r="B3520" t="str">
        <f t="shared" si="54"/>
        <v>SAPUCAI-MIRIM, MG, Brasil</v>
      </c>
      <c r="C3520" s="4" t="str">
        <f>_xlfn.XLOOKUP(A3520,[1]!DadosGHD[CD_GEOCMU],[1]!DadosGHD[Região])</f>
        <v>SD</v>
      </c>
      <c r="D3520" s="4" t="str">
        <f>_xlfn.XLOOKUP(A3520,[1]!DadosGHD[CD_GEOCMU],[1]!DadosGHD[uf])</f>
        <v>MG</v>
      </c>
      <c r="E3520" s="5" t="str">
        <f>_xlfn.XLOOKUP(A3520,[1]!DadosGHD[CD_GEOCMU],[1]!DadosGHD[MUNICIPIO])</f>
        <v>SAPUCAI-MIRIM</v>
      </c>
      <c r="F3520" s="6">
        <v>43.661888122558601</v>
      </c>
      <c r="G3520" s="6">
        <v>43.641639709472699</v>
      </c>
      <c r="H3520" s="6">
        <v>43.710636138916001</v>
      </c>
      <c r="I3520" s="6">
        <v>43.712703704833999</v>
      </c>
      <c r="J3520" s="6">
        <v>43.795299530029297</v>
      </c>
      <c r="K3520" s="6">
        <v>43.755786895752003</v>
      </c>
      <c r="L3520" s="6">
        <v>44.014797210693402</v>
      </c>
    </row>
    <row r="3521" spans="1:12" x14ac:dyDescent="0.25">
      <c r="A3521">
        <v>3104601</v>
      </c>
      <c r="B3521" t="str">
        <f t="shared" si="54"/>
        <v>ASTOLFO DUTRA, MG, Brasil</v>
      </c>
      <c r="C3521" s="4" t="str">
        <f>_xlfn.XLOOKUP(A3521,[1]!DadosGHD[CD_GEOCMU],[1]!DadosGHD[Região])</f>
        <v>SD</v>
      </c>
      <c r="D3521" s="4" t="str">
        <f>_xlfn.XLOOKUP(A3521,[1]!DadosGHD[CD_GEOCMU],[1]!DadosGHD[uf])</f>
        <v>MG</v>
      </c>
      <c r="E3521" s="5" t="str">
        <f>_xlfn.XLOOKUP(A3521,[1]!DadosGHD[CD_GEOCMU],[1]!DadosGHD[MUNICIPIO])</f>
        <v>ASTOLFO DUTRA</v>
      </c>
      <c r="F3521" s="6">
        <v>43.661907196044901</v>
      </c>
      <c r="G3521" s="6">
        <v>48.662040710449197</v>
      </c>
      <c r="H3521" s="6">
        <v>43.832283020019503</v>
      </c>
      <c r="I3521" s="6">
        <v>43.7991752624512</v>
      </c>
      <c r="J3521" s="6">
        <v>43.823757171630902</v>
      </c>
      <c r="K3521" s="6">
        <v>43.866947174072301</v>
      </c>
      <c r="L3521" s="6">
        <v>44.051120758056598</v>
      </c>
    </row>
    <row r="3522" spans="1:12" x14ac:dyDescent="0.25">
      <c r="A3522">
        <v>3543253</v>
      </c>
      <c r="B3522" t="str">
        <f t="shared" si="54"/>
        <v>RIBEIRAO GRANDE, SP, Brasil</v>
      </c>
      <c r="C3522" s="4" t="str">
        <f>_xlfn.XLOOKUP(A3522,[1]!DadosGHD[CD_GEOCMU],[1]!DadosGHD[Região])</f>
        <v>SD</v>
      </c>
      <c r="D3522" s="4" t="str">
        <f>_xlfn.XLOOKUP(A3522,[1]!DadosGHD[CD_GEOCMU],[1]!DadosGHD[uf])</f>
        <v>SP</v>
      </c>
      <c r="E3522" s="5" t="str">
        <f>_xlfn.XLOOKUP(A3522,[1]!DadosGHD[CD_GEOCMU],[1]!DadosGHD[MUNICIPIO])</f>
        <v>RIBEIRAO GRANDE</v>
      </c>
      <c r="F3522" s="6">
        <v>43.662010192871101</v>
      </c>
      <c r="G3522" s="6">
        <v>43.656566619873097</v>
      </c>
      <c r="H3522" s="6">
        <v>38.744968414306598</v>
      </c>
      <c r="I3522" s="6">
        <v>38.7237358093262</v>
      </c>
      <c r="J3522" s="6">
        <v>38.772327423095703</v>
      </c>
      <c r="K3522" s="6">
        <v>38.804779052734403</v>
      </c>
      <c r="L3522" s="6">
        <v>39.578277587890597</v>
      </c>
    </row>
    <row r="3523" spans="1:12" x14ac:dyDescent="0.25">
      <c r="A3523">
        <v>3201308</v>
      </c>
      <c r="B3523" t="str">
        <f t="shared" si="54"/>
        <v>CARIACICA, ES, Brasil</v>
      </c>
      <c r="C3523" s="4" t="str">
        <f>_xlfn.XLOOKUP(A3523,[1]!DadosGHD[CD_GEOCMU],[1]!DadosGHD[Região])</f>
        <v>SD</v>
      </c>
      <c r="D3523" s="4" t="str">
        <f>_xlfn.XLOOKUP(A3523,[1]!DadosGHD[CD_GEOCMU],[1]!DadosGHD[uf])</f>
        <v>ES</v>
      </c>
      <c r="E3523" s="5" t="str">
        <f>_xlfn.XLOOKUP(A3523,[1]!DadosGHD[CD_GEOCMU],[1]!DadosGHD[MUNICIPIO])</f>
        <v>CARIACICA</v>
      </c>
      <c r="F3523" s="6">
        <v>43.662017822265597</v>
      </c>
      <c r="G3523" s="6">
        <v>43.735515594482401</v>
      </c>
      <c r="H3523" s="6">
        <v>43.802463531494098</v>
      </c>
      <c r="I3523" s="6">
        <v>43.766902923583999</v>
      </c>
      <c r="J3523" s="6">
        <v>43.763942718505902</v>
      </c>
      <c r="K3523" s="6">
        <v>43.8021430969238</v>
      </c>
      <c r="L3523" s="6">
        <v>48.487571716308601</v>
      </c>
    </row>
    <row r="3524" spans="1:12" x14ac:dyDescent="0.25">
      <c r="A3524">
        <v>3160603</v>
      </c>
      <c r="B3524" t="str">
        <f t="shared" ref="B3524:B3587" si="55">_xlfn.CONCAT(E3524, ", ", D3524, ", Brasil")</f>
        <v>SANTO HIPOLITO, MG, Brasil</v>
      </c>
      <c r="C3524" s="4" t="str">
        <f>_xlfn.XLOOKUP(A3524,[1]!DadosGHD[CD_GEOCMU],[1]!DadosGHD[Região])</f>
        <v>SD</v>
      </c>
      <c r="D3524" s="4" t="str">
        <f>_xlfn.XLOOKUP(A3524,[1]!DadosGHD[CD_GEOCMU],[1]!DadosGHD[uf])</f>
        <v>MG</v>
      </c>
      <c r="E3524" s="5" t="str">
        <f>_xlfn.XLOOKUP(A3524,[1]!DadosGHD[CD_GEOCMU],[1]!DadosGHD[MUNICIPIO])</f>
        <v>SANTO HIPOLITO</v>
      </c>
      <c r="F3524" s="6">
        <v>43.662044525146499</v>
      </c>
      <c r="G3524" s="6">
        <v>43.680496215820298</v>
      </c>
      <c r="H3524" s="6">
        <v>43.739875793457003</v>
      </c>
      <c r="I3524" s="6">
        <v>43.707405090332003</v>
      </c>
      <c r="J3524" s="6">
        <v>43.723030090332003</v>
      </c>
      <c r="K3524" s="6">
        <v>43.797607421875</v>
      </c>
      <c r="L3524" s="6">
        <v>39.5665893554688</v>
      </c>
    </row>
    <row r="3525" spans="1:12" x14ac:dyDescent="0.25">
      <c r="A3525">
        <v>3130903</v>
      </c>
      <c r="B3525" t="str">
        <f t="shared" si="55"/>
        <v>INHAPIM, MG, Brasil</v>
      </c>
      <c r="C3525" s="4" t="str">
        <f>_xlfn.XLOOKUP(A3525,[1]!DadosGHD[CD_GEOCMU],[1]!DadosGHD[Região])</f>
        <v>SD</v>
      </c>
      <c r="D3525" s="4" t="str">
        <f>_xlfn.XLOOKUP(A3525,[1]!DadosGHD[CD_GEOCMU],[1]!DadosGHD[uf])</f>
        <v>MG</v>
      </c>
      <c r="E3525" s="5" t="str">
        <f>_xlfn.XLOOKUP(A3525,[1]!DadosGHD[CD_GEOCMU],[1]!DadosGHD[MUNICIPIO])</f>
        <v>INHAPIM</v>
      </c>
      <c r="F3525" s="6">
        <v>43.662685394287102</v>
      </c>
      <c r="G3525" s="6">
        <v>43.735034942627003</v>
      </c>
      <c r="H3525" s="6">
        <v>43.823707580566399</v>
      </c>
      <c r="I3525" s="6">
        <v>43.793220520019503</v>
      </c>
      <c r="J3525" s="6">
        <v>48.724647521972699</v>
      </c>
      <c r="K3525" s="6">
        <v>43.877761840820298</v>
      </c>
      <c r="L3525" s="6">
        <v>35.147518157958999</v>
      </c>
    </row>
    <row r="3526" spans="1:12" x14ac:dyDescent="0.25">
      <c r="A3526">
        <v>3530201</v>
      </c>
      <c r="B3526" t="str">
        <f t="shared" si="55"/>
        <v>MIRANTE DO PARANAPANEMA, SP, Brasil</v>
      </c>
      <c r="C3526" s="4" t="str">
        <f>_xlfn.XLOOKUP(A3526,[1]!DadosGHD[CD_GEOCMU],[1]!DadosGHD[Região])</f>
        <v>SD</v>
      </c>
      <c r="D3526" s="4" t="str">
        <f>_xlfn.XLOOKUP(A3526,[1]!DadosGHD[CD_GEOCMU],[1]!DadosGHD[uf])</f>
        <v>SP</v>
      </c>
      <c r="E3526" s="5" t="str">
        <f>_xlfn.XLOOKUP(A3526,[1]!DadosGHD[CD_GEOCMU],[1]!DadosGHD[MUNICIPIO])</f>
        <v>MIRANTE DO PARANAPANEMA</v>
      </c>
      <c r="F3526" s="6">
        <v>43.662803649902301</v>
      </c>
      <c r="G3526" s="6">
        <v>48.697792053222699</v>
      </c>
      <c r="H3526" s="6">
        <v>48.751514434814503</v>
      </c>
      <c r="I3526" s="6">
        <v>48.7171630859375</v>
      </c>
      <c r="J3526" s="6">
        <v>48.756114959716797</v>
      </c>
      <c r="K3526" s="6">
        <v>43.834102630615199</v>
      </c>
      <c r="L3526" s="6">
        <v>35.152534484863303</v>
      </c>
    </row>
    <row r="3527" spans="1:12" x14ac:dyDescent="0.25">
      <c r="A3527">
        <v>4307302</v>
      </c>
      <c r="B3527" t="str">
        <f t="shared" si="55"/>
        <v>ERVAL SECO, RS, Brasil</v>
      </c>
      <c r="C3527" s="4" t="str">
        <f>_xlfn.XLOOKUP(A3527,[1]!DadosGHD[CD_GEOCMU],[1]!DadosGHD[Região])</f>
        <v>SL</v>
      </c>
      <c r="D3527" s="4" t="str">
        <f>_xlfn.XLOOKUP(A3527,[1]!DadosGHD[CD_GEOCMU],[1]!DadosGHD[uf])</f>
        <v>RS</v>
      </c>
      <c r="E3527" s="5" t="str">
        <f>_xlfn.XLOOKUP(A3527,[1]!DadosGHD[CD_GEOCMU],[1]!DadosGHD[MUNICIPIO])</f>
        <v>ERVAL SECO</v>
      </c>
      <c r="F3527" s="6">
        <v>43.662857055664098</v>
      </c>
      <c r="G3527" s="6">
        <v>48.699058532714801</v>
      </c>
      <c r="H3527" s="6">
        <v>48.851428985595703</v>
      </c>
      <c r="I3527" s="6">
        <v>53.794242858886697</v>
      </c>
      <c r="J3527" s="6">
        <v>53.895652770996101</v>
      </c>
      <c r="K3527" s="6">
        <v>53.985954284667997</v>
      </c>
      <c r="L3527" s="6">
        <v>53.006404876708999</v>
      </c>
    </row>
    <row r="3528" spans="1:12" x14ac:dyDescent="0.25">
      <c r="A3528">
        <v>2409506</v>
      </c>
      <c r="B3528" t="str">
        <f t="shared" si="55"/>
        <v>PEDRA GRANDE, RN, Brasil</v>
      </c>
      <c r="C3528" s="4" t="str">
        <f>_xlfn.XLOOKUP(A3528,[1]!DadosGHD[CD_GEOCMU],[1]!DadosGHD[Região])</f>
        <v>NE</v>
      </c>
      <c r="D3528" s="4" t="str">
        <f>_xlfn.XLOOKUP(A3528,[1]!DadosGHD[CD_GEOCMU],[1]!DadosGHD[uf])</f>
        <v>RN</v>
      </c>
      <c r="E3528" s="5" t="str">
        <f>_xlfn.XLOOKUP(A3528,[1]!DadosGHD[CD_GEOCMU],[1]!DadosGHD[MUNICIPIO])</f>
        <v>PEDRA GRANDE</v>
      </c>
      <c r="F3528" s="6">
        <v>43.662891387939503</v>
      </c>
      <c r="G3528" s="6">
        <v>43.694133758544901</v>
      </c>
      <c r="H3528" s="6">
        <v>43.764217376708999</v>
      </c>
      <c r="I3528" s="6">
        <v>43.712833404541001</v>
      </c>
      <c r="J3528" s="6">
        <v>38.8447875976563</v>
      </c>
      <c r="K3528" s="6">
        <v>38.867759704589801</v>
      </c>
      <c r="L3528" s="6">
        <v>30.697185516357401</v>
      </c>
    </row>
    <row r="3529" spans="1:12" x14ac:dyDescent="0.25">
      <c r="A3529">
        <v>4116604</v>
      </c>
      <c r="B3529" t="str">
        <f t="shared" si="55"/>
        <v>NOVA AMERICA DA COLINA, PR, Brasil</v>
      </c>
      <c r="C3529" s="4" t="str">
        <f>_xlfn.XLOOKUP(A3529,[1]!DadosGHD[CD_GEOCMU],[1]!DadosGHD[Região])</f>
        <v>SL</v>
      </c>
      <c r="D3529" s="4" t="str">
        <f>_xlfn.XLOOKUP(A3529,[1]!DadosGHD[CD_GEOCMU],[1]!DadosGHD[uf])</f>
        <v>PR</v>
      </c>
      <c r="E3529" s="5" t="str">
        <f>_xlfn.XLOOKUP(A3529,[1]!DadosGHD[CD_GEOCMU],[1]!DadosGHD[MUNICIPIO])</f>
        <v>NOVA AMERICA DA COLINA</v>
      </c>
      <c r="F3529" s="6">
        <v>43.6629028320313</v>
      </c>
      <c r="G3529" s="6">
        <v>48.757972717285199</v>
      </c>
      <c r="H3529" s="6">
        <v>48.803184509277301</v>
      </c>
      <c r="I3529" s="6">
        <v>48.776008605957003</v>
      </c>
      <c r="J3529" s="6">
        <v>48.7922172546387</v>
      </c>
      <c r="K3529" s="6">
        <v>38.875698089599602</v>
      </c>
      <c r="L3529" s="6">
        <v>35.132228851318402</v>
      </c>
    </row>
    <row r="3530" spans="1:12" x14ac:dyDescent="0.25">
      <c r="A3530">
        <v>4301107</v>
      </c>
      <c r="B3530" t="str">
        <f t="shared" si="55"/>
        <v>ARROIO DOS RATOS, RS, Brasil</v>
      </c>
      <c r="C3530" s="4" t="str">
        <f>_xlfn.XLOOKUP(A3530,[1]!DadosGHD[CD_GEOCMU],[1]!DadosGHD[Região])</f>
        <v>SL</v>
      </c>
      <c r="D3530" s="4" t="str">
        <f>_xlfn.XLOOKUP(A3530,[1]!DadosGHD[CD_GEOCMU],[1]!DadosGHD[uf])</f>
        <v>RS</v>
      </c>
      <c r="E3530" s="5" t="str">
        <f>_xlfn.XLOOKUP(A3530,[1]!DadosGHD[CD_GEOCMU],[1]!DadosGHD[MUNICIPIO])</f>
        <v>ARROIO DOS RATOS</v>
      </c>
      <c r="F3530" s="6">
        <v>43.662971496582003</v>
      </c>
      <c r="G3530" s="6">
        <v>43.734527587890597</v>
      </c>
      <c r="H3530" s="6">
        <v>43.822177886962898</v>
      </c>
      <c r="I3530" s="6">
        <v>43.764965057373097</v>
      </c>
      <c r="J3530" s="6">
        <v>48.807769775390597</v>
      </c>
      <c r="K3530" s="6">
        <v>48.8444213867188</v>
      </c>
      <c r="L3530" s="6">
        <v>44.058441162109403</v>
      </c>
    </row>
    <row r="3531" spans="1:12" x14ac:dyDescent="0.25">
      <c r="A3531">
        <v>3200201</v>
      </c>
      <c r="B3531" t="str">
        <f t="shared" si="55"/>
        <v>ALEGRE, ES, Brasil</v>
      </c>
      <c r="C3531" s="4" t="str">
        <f>_xlfn.XLOOKUP(A3531,[1]!DadosGHD[CD_GEOCMU],[1]!DadosGHD[Região])</f>
        <v>SD</v>
      </c>
      <c r="D3531" s="4" t="str">
        <f>_xlfn.XLOOKUP(A3531,[1]!DadosGHD[CD_GEOCMU],[1]!DadosGHD[uf])</f>
        <v>ES</v>
      </c>
      <c r="E3531" s="5" t="str">
        <f>_xlfn.XLOOKUP(A3531,[1]!DadosGHD[CD_GEOCMU],[1]!DadosGHD[MUNICIPIO])</f>
        <v>ALEGRE</v>
      </c>
      <c r="F3531" s="6">
        <v>43.663108825683601</v>
      </c>
      <c r="G3531" s="6">
        <v>43.757839202880902</v>
      </c>
      <c r="H3531" s="6">
        <v>43.828651428222699</v>
      </c>
      <c r="I3531" s="6">
        <v>43.780155181884801</v>
      </c>
      <c r="J3531" s="6">
        <v>48.699054718017599</v>
      </c>
      <c r="K3531" s="6">
        <v>48.777622222900398</v>
      </c>
      <c r="L3531" s="6">
        <v>48.547359466552699</v>
      </c>
    </row>
    <row r="3532" spans="1:12" x14ac:dyDescent="0.25">
      <c r="A3532">
        <v>5007901</v>
      </c>
      <c r="B3532" t="str">
        <f t="shared" si="55"/>
        <v>SIDROLANDIA, MS, Brasil</v>
      </c>
      <c r="C3532" s="4" t="str">
        <f>_xlfn.XLOOKUP(A3532,[1]!DadosGHD[CD_GEOCMU],[1]!DadosGHD[Região])</f>
        <v>CO</v>
      </c>
      <c r="D3532" s="4" t="str">
        <f>_xlfn.XLOOKUP(A3532,[1]!DadosGHD[CD_GEOCMU],[1]!DadosGHD[uf])</f>
        <v>MS</v>
      </c>
      <c r="E3532" s="5" t="str">
        <f>_xlfn.XLOOKUP(A3532,[1]!DadosGHD[CD_GEOCMU],[1]!DadosGHD[MUNICIPIO])</f>
        <v>SIDROLANDIA</v>
      </c>
      <c r="F3532" s="6">
        <v>43.663379669189503</v>
      </c>
      <c r="G3532" s="6">
        <v>43.661788940429702</v>
      </c>
      <c r="H3532" s="6">
        <v>43.732883453369098</v>
      </c>
      <c r="I3532" s="6">
        <v>43.701202392578097</v>
      </c>
      <c r="J3532" s="6">
        <v>38.833988189697301</v>
      </c>
      <c r="K3532" s="6">
        <v>38.850734710693402</v>
      </c>
      <c r="L3532" s="6">
        <v>35.133262634277301</v>
      </c>
    </row>
    <row r="3533" spans="1:12" x14ac:dyDescent="0.25">
      <c r="A3533">
        <v>3539103</v>
      </c>
      <c r="B3533" t="str">
        <f t="shared" si="55"/>
        <v>PIRAPORA DO BOM JESUS, SP, Brasil</v>
      </c>
      <c r="C3533" s="4" t="str">
        <f>_xlfn.XLOOKUP(A3533,[1]!DadosGHD[CD_GEOCMU],[1]!DadosGHD[Região])</f>
        <v>SD</v>
      </c>
      <c r="D3533" s="4" t="str">
        <f>_xlfn.XLOOKUP(A3533,[1]!DadosGHD[CD_GEOCMU],[1]!DadosGHD[uf])</f>
        <v>SP</v>
      </c>
      <c r="E3533" s="5" t="str">
        <f>_xlfn.XLOOKUP(A3533,[1]!DadosGHD[CD_GEOCMU],[1]!DadosGHD[MUNICIPIO])</f>
        <v>PIRAPORA DO BOM JESUS</v>
      </c>
      <c r="F3533" s="6">
        <v>43.663425445556598</v>
      </c>
      <c r="G3533" s="6">
        <v>43.688076019287102</v>
      </c>
      <c r="H3533" s="6">
        <v>38.840686798095703</v>
      </c>
      <c r="I3533" s="6">
        <v>43.681064605712898</v>
      </c>
      <c r="J3533" s="6">
        <v>38.787551879882798</v>
      </c>
      <c r="K3533" s="6">
        <v>38.801856994628899</v>
      </c>
      <c r="L3533" s="6">
        <v>35.113956451416001</v>
      </c>
    </row>
    <row r="3534" spans="1:12" x14ac:dyDescent="0.25">
      <c r="A3534">
        <v>3172103</v>
      </c>
      <c r="B3534" t="str">
        <f t="shared" si="55"/>
        <v>VOLTA GRANDE, MG, Brasil</v>
      </c>
      <c r="C3534" s="4" t="str">
        <f>_xlfn.XLOOKUP(A3534,[1]!DadosGHD[CD_GEOCMU],[1]!DadosGHD[Região])</f>
        <v>SD</v>
      </c>
      <c r="D3534" s="4" t="str">
        <f>_xlfn.XLOOKUP(A3534,[1]!DadosGHD[CD_GEOCMU],[1]!DadosGHD[uf])</f>
        <v>MG</v>
      </c>
      <c r="E3534" s="5" t="str">
        <f>_xlfn.XLOOKUP(A3534,[1]!DadosGHD[CD_GEOCMU],[1]!DadosGHD[MUNICIPIO])</f>
        <v>VOLTA GRANDE</v>
      </c>
      <c r="F3534" s="6">
        <v>43.6634521484375</v>
      </c>
      <c r="G3534" s="6">
        <v>43.653480529785199</v>
      </c>
      <c r="H3534" s="6">
        <v>38.843780517578097</v>
      </c>
      <c r="I3534" s="6">
        <v>43.696418762207003</v>
      </c>
      <c r="J3534" s="6">
        <v>38.811370849609403</v>
      </c>
      <c r="K3534" s="6">
        <v>38.881435394287102</v>
      </c>
      <c r="L3534" s="6">
        <v>39.557834625244098</v>
      </c>
    </row>
    <row r="3535" spans="1:12" x14ac:dyDescent="0.25">
      <c r="A3535">
        <v>5000906</v>
      </c>
      <c r="B3535" t="str">
        <f t="shared" si="55"/>
        <v>ANTONIO JOAO, MS, Brasil</v>
      </c>
      <c r="C3535" s="4" t="str">
        <f>_xlfn.XLOOKUP(A3535,[1]!DadosGHD[CD_GEOCMU],[1]!DadosGHD[Região])</f>
        <v>CO</v>
      </c>
      <c r="D3535" s="4" t="str">
        <f>_xlfn.XLOOKUP(A3535,[1]!DadosGHD[CD_GEOCMU],[1]!DadosGHD[uf])</f>
        <v>MS</v>
      </c>
      <c r="E3535" s="5" t="str">
        <f>_xlfn.XLOOKUP(A3535,[1]!DadosGHD[CD_GEOCMU],[1]!DadosGHD[MUNICIPIO])</f>
        <v>ANTONIO JOAO</v>
      </c>
      <c r="F3535" s="6">
        <v>43.663570404052699</v>
      </c>
      <c r="G3535" s="6">
        <v>43.681331634521499</v>
      </c>
      <c r="H3535" s="6">
        <v>43.771568298339801</v>
      </c>
      <c r="I3535" s="6">
        <v>48.688426971435597</v>
      </c>
      <c r="J3535" s="6">
        <v>53.7760009765625</v>
      </c>
      <c r="K3535" s="6">
        <v>48.819934844970703</v>
      </c>
      <c r="L3535" s="6">
        <v>44.068634033203097</v>
      </c>
    </row>
    <row r="3536" spans="1:12" x14ac:dyDescent="0.25">
      <c r="A3536">
        <v>3303955</v>
      </c>
      <c r="B3536" t="str">
        <f t="shared" si="55"/>
        <v>PINHEIRAL, RJ, Brasil</v>
      </c>
      <c r="C3536" s="4" t="str">
        <f>_xlfn.XLOOKUP(A3536,[1]!DadosGHD[CD_GEOCMU],[1]!DadosGHD[Região])</f>
        <v>SD</v>
      </c>
      <c r="D3536" s="4" t="str">
        <f>_xlfn.XLOOKUP(A3536,[1]!DadosGHD[CD_GEOCMU],[1]!DadosGHD[uf])</f>
        <v>RJ</v>
      </c>
      <c r="E3536" s="5" t="str">
        <f>_xlfn.XLOOKUP(A3536,[1]!DadosGHD[CD_GEOCMU],[1]!DadosGHD[MUNICIPIO])</f>
        <v>PINHEIRAL</v>
      </c>
      <c r="F3536" s="6">
        <v>43.663776397705099</v>
      </c>
      <c r="G3536" s="6">
        <v>43.715278625488303</v>
      </c>
      <c r="H3536" s="6">
        <v>43.723197937011697</v>
      </c>
      <c r="I3536" s="6">
        <v>43.694145202636697</v>
      </c>
      <c r="J3536" s="6">
        <v>43.707668304443402</v>
      </c>
      <c r="K3536" s="6">
        <v>38.845863342285199</v>
      </c>
      <c r="L3536" s="6">
        <v>39.597442626953097</v>
      </c>
    </row>
    <row r="3537" spans="1:12" x14ac:dyDescent="0.25">
      <c r="A3537">
        <v>3151206</v>
      </c>
      <c r="B3537" t="str">
        <f t="shared" si="55"/>
        <v>PIRAPORA, MG, Brasil</v>
      </c>
      <c r="C3537" s="4" t="str">
        <f>_xlfn.XLOOKUP(A3537,[1]!DadosGHD[CD_GEOCMU],[1]!DadosGHD[Região])</f>
        <v>SD</v>
      </c>
      <c r="D3537" s="4" t="str">
        <f>_xlfn.XLOOKUP(A3537,[1]!DadosGHD[CD_GEOCMU],[1]!DadosGHD[uf])</f>
        <v>MG</v>
      </c>
      <c r="E3537" s="5" t="str">
        <f>_xlfn.XLOOKUP(A3537,[1]!DadosGHD[CD_GEOCMU],[1]!DadosGHD[MUNICIPIO])</f>
        <v>PIRAPORA</v>
      </c>
      <c r="F3537" s="6">
        <v>43.664093017578097</v>
      </c>
      <c r="G3537" s="6">
        <v>43.736011505127003</v>
      </c>
      <c r="H3537" s="6">
        <v>48.718490600585902</v>
      </c>
      <c r="I3537" s="6">
        <v>48.743087768554702</v>
      </c>
      <c r="J3537" s="6">
        <v>48.706233978271499</v>
      </c>
      <c r="K3537" s="6">
        <v>43.856121063232401</v>
      </c>
      <c r="L3537" s="6">
        <v>53.050411224365199</v>
      </c>
    </row>
    <row r="3538" spans="1:12" x14ac:dyDescent="0.25">
      <c r="A3538">
        <v>3113107</v>
      </c>
      <c r="B3538" t="str">
        <f t="shared" si="55"/>
        <v>CARANAIBA, MG, Brasil</v>
      </c>
      <c r="C3538" s="4" t="str">
        <f>_xlfn.XLOOKUP(A3538,[1]!DadosGHD[CD_GEOCMU],[1]!DadosGHD[Região])</f>
        <v>SD</v>
      </c>
      <c r="D3538" s="4" t="str">
        <f>_xlfn.XLOOKUP(A3538,[1]!DadosGHD[CD_GEOCMU],[1]!DadosGHD[uf])</f>
        <v>MG</v>
      </c>
      <c r="E3538" s="5" t="str">
        <f>_xlfn.XLOOKUP(A3538,[1]!DadosGHD[CD_GEOCMU],[1]!DadosGHD[MUNICIPIO])</f>
        <v>CARANAIBA</v>
      </c>
      <c r="F3538" s="6">
        <v>43.664752960205099</v>
      </c>
      <c r="G3538" s="6">
        <v>28.914848327636701</v>
      </c>
      <c r="H3538" s="6">
        <v>28.942651748657202</v>
      </c>
      <c r="I3538" s="6">
        <v>28.9551086425781</v>
      </c>
      <c r="J3538" s="6">
        <v>33.830364227294901</v>
      </c>
      <c r="K3538" s="6">
        <v>33.888965606689503</v>
      </c>
      <c r="L3538" s="6">
        <v>39.584686279296903</v>
      </c>
    </row>
    <row r="3539" spans="1:12" x14ac:dyDescent="0.25">
      <c r="A3539">
        <v>3504305</v>
      </c>
      <c r="B3539" t="str">
        <f t="shared" si="55"/>
        <v>AVAI, SP, Brasil</v>
      </c>
      <c r="C3539" s="4" t="str">
        <f>_xlfn.XLOOKUP(A3539,[1]!DadosGHD[CD_GEOCMU],[1]!DadosGHD[Região])</f>
        <v>SD</v>
      </c>
      <c r="D3539" s="4" t="str">
        <f>_xlfn.XLOOKUP(A3539,[1]!DadosGHD[CD_GEOCMU],[1]!DadosGHD[uf])</f>
        <v>SP</v>
      </c>
      <c r="E3539" s="5" t="str">
        <f>_xlfn.XLOOKUP(A3539,[1]!DadosGHD[CD_GEOCMU],[1]!DadosGHD[MUNICIPIO])</f>
        <v>AVAI</v>
      </c>
      <c r="F3539" s="6">
        <v>43.664756774902301</v>
      </c>
      <c r="G3539" s="6">
        <v>43.695308685302699</v>
      </c>
      <c r="H3539" s="6">
        <v>43.756355285644503</v>
      </c>
      <c r="I3539" s="6">
        <v>43.754753112792997</v>
      </c>
      <c r="J3539" s="6">
        <v>43.794410705566399</v>
      </c>
      <c r="K3539" s="6">
        <v>43.797145843505902</v>
      </c>
      <c r="L3539" s="6">
        <v>48.5263671875</v>
      </c>
    </row>
    <row r="3540" spans="1:12" x14ac:dyDescent="0.25">
      <c r="A3540">
        <v>4200606</v>
      </c>
      <c r="B3540" t="str">
        <f t="shared" si="55"/>
        <v>AGUAS MORNAS, SC, Brasil</v>
      </c>
      <c r="C3540" s="4" t="str">
        <f>_xlfn.XLOOKUP(A3540,[1]!DadosGHD[CD_GEOCMU],[1]!DadosGHD[Região])</f>
        <v>SL</v>
      </c>
      <c r="D3540" s="4" t="str">
        <f>_xlfn.XLOOKUP(A3540,[1]!DadosGHD[CD_GEOCMU],[1]!DadosGHD[uf])</f>
        <v>SC</v>
      </c>
      <c r="E3540" s="5" t="str">
        <f>_xlfn.XLOOKUP(A3540,[1]!DadosGHD[CD_GEOCMU],[1]!DadosGHD[MUNICIPIO])</f>
        <v>AGUAS MORNAS</v>
      </c>
      <c r="F3540" s="6">
        <v>43.664806365966797</v>
      </c>
      <c r="G3540" s="6">
        <v>48.650558471679702</v>
      </c>
      <c r="H3540" s="6">
        <v>48.819175720214801</v>
      </c>
      <c r="I3540" s="6">
        <v>48.769359588623097</v>
      </c>
      <c r="J3540" s="6">
        <v>43.797069549560597</v>
      </c>
      <c r="K3540" s="6">
        <v>53.881259918212898</v>
      </c>
      <c r="L3540" s="6">
        <v>57.589881896972699</v>
      </c>
    </row>
    <row r="3541" spans="1:12" x14ac:dyDescent="0.25">
      <c r="A3541">
        <v>3157203</v>
      </c>
      <c r="B3541" t="str">
        <f t="shared" si="55"/>
        <v>SANTA BARBARA, MG, Brasil</v>
      </c>
      <c r="C3541" s="4" t="str">
        <f>_xlfn.XLOOKUP(A3541,[1]!DadosGHD[CD_GEOCMU],[1]!DadosGHD[Região])</f>
        <v>SD</v>
      </c>
      <c r="D3541" s="4" t="str">
        <f>_xlfn.XLOOKUP(A3541,[1]!DadosGHD[CD_GEOCMU],[1]!DadosGHD[uf])</f>
        <v>MG</v>
      </c>
      <c r="E3541" s="5" t="str">
        <f>_xlfn.XLOOKUP(A3541,[1]!DadosGHD[CD_GEOCMU],[1]!DadosGHD[MUNICIPIO])</f>
        <v>SANTA BARBARA</v>
      </c>
      <c r="F3541" s="6">
        <v>43.665016174316399</v>
      </c>
      <c r="G3541" s="6">
        <v>48.689865112304702</v>
      </c>
      <c r="H3541" s="6">
        <v>48.799968719482401</v>
      </c>
      <c r="I3541" s="6">
        <v>48.774112701416001</v>
      </c>
      <c r="J3541" s="6">
        <v>48.792854309082003</v>
      </c>
      <c r="K3541" s="6">
        <v>48.810508728027301</v>
      </c>
      <c r="L3541" s="6">
        <v>53.024101257324197</v>
      </c>
    </row>
    <row r="3542" spans="1:12" x14ac:dyDescent="0.25">
      <c r="A3542">
        <v>4320321</v>
      </c>
      <c r="B3542" t="str">
        <f t="shared" si="55"/>
        <v>SENADOR SALGADO FILHO, RS, Brasil</v>
      </c>
      <c r="C3542" s="4" t="str">
        <f>_xlfn.XLOOKUP(A3542,[1]!DadosGHD[CD_GEOCMU],[1]!DadosGHD[Região])</f>
        <v>SL</v>
      </c>
      <c r="D3542" s="4" t="str">
        <f>_xlfn.XLOOKUP(A3542,[1]!DadosGHD[CD_GEOCMU],[1]!DadosGHD[uf])</f>
        <v>RS</v>
      </c>
      <c r="E3542" s="5" t="str">
        <f>_xlfn.XLOOKUP(A3542,[1]!DadosGHD[CD_GEOCMU],[1]!DadosGHD[MUNICIPIO])</f>
        <v>SENADOR SALGADO FILHO</v>
      </c>
      <c r="F3542" s="6">
        <v>43.665176391601598</v>
      </c>
      <c r="G3542" s="6">
        <v>53.781227111816399</v>
      </c>
      <c r="H3542" s="6">
        <v>53.8689994812012</v>
      </c>
      <c r="I3542" s="6">
        <v>58.8272705078125</v>
      </c>
      <c r="J3542" s="6">
        <v>58.841590881347699</v>
      </c>
      <c r="K3542" s="6">
        <v>59.022541046142599</v>
      </c>
      <c r="L3542" s="6">
        <v>48.5499267578125</v>
      </c>
    </row>
    <row r="3543" spans="1:12" x14ac:dyDescent="0.25">
      <c r="A3543">
        <v>3507159</v>
      </c>
      <c r="B3543" t="str">
        <f t="shared" si="55"/>
        <v>BOM SUCESSO DE ITARARE, SP, Brasil</v>
      </c>
      <c r="C3543" s="4" t="str">
        <f>_xlfn.XLOOKUP(A3543,[1]!DadosGHD[CD_GEOCMU],[1]!DadosGHD[Região])</f>
        <v>SD</v>
      </c>
      <c r="D3543" s="4" t="str">
        <f>_xlfn.XLOOKUP(A3543,[1]!DadosGHD[CD_GEOCMU],[1]!DadosGHD[uf])</f>
        <v>SP</v>
      </c>
      <c r="E3543" s="5" t="str">
        <f>_xlfn.XLOOKUP(A3543,[1]!DadosGHD[CD_GEOCMU],[1]!DadosGHD[MUNICIPIO])</f>
        <v>BOM SUCESSO DE ITARARE</v>
      </c>
      <c r="F3543" s="6">
        <v>43.665935516357401</v>
      </c>
      <c r="G3543" s="6">
        <v>43.684967041015597</v>
      </c>
      <c r="H3543" s="6">
        <v>43.723415374755902</v>
      </c>
      <c r="I3543" s="6">
        <v>43.696235656738303</v>
      </c>
      <c r="J3543" s="6">
        <v>38.842243194580099</v>
      </c>
      <c r="K3543" s="6">
        <v>38.8306694030762</v>
      </c>
      <c r="L3543" s="6">
        <v>35.116226196289098</v>
      </c>
    </row>
    <row r="3544" spans="1:12" x14ac:dyDescent="0.25">
      <c r="A3544">
        <v>3511201</v>
      </c>
      <c r="B3544" t="str">
        <f t="shared" si="55"/>
        <v>CATIGUA, SP, Brasil</v>
      </c>
      <c r="C3544" s="4" t="str">
        <f>_xlfn.XLOOKUP(A3544,[1]!DadosGHD[CD_GEOCMU],[1]!DadosGHD[Região])</f>
        <v>SD</v>
      </c>
      <c r="D3544" s="4" t="str">
        <f>_xlfn.XLOOKUP(A3544,[1]!DadosGHD[CD_GEOCMU],[1]!DadosGHD[uf])</f>
        <v>SP</v>
      </c>
      <c r="E3544" s="5" t="str">
        <f>_xlfn.XLOOKUP(A3544,[1]!DadosGHD[CD_GEOCMU],[1]!DadosGHD[MUNICIPIO])</f>
        <v>CATIGUA</v>
      </c>
      <c r="F3544" s="6">
        <v>43.665973663330099</v>
      </c>
      <c r="G3544" s="6">
        <v>48.640525817871101</v>
      </c>
      <c r="H3544" s="6">
        <v>48.717872619628899</v>
      </c>
      <c r="I3544" s="6">
        <v>43.8063774108887</v>
      </c>
      <c r="J3544" s="6">
        <v>43.707199096679702</v>
      </c>
      <c r="K3544" s="6">
        <v>38.838203430175803</v>
      </c>
      <c r="L3544" s="6">
        <v>35.1567993164063</v>
      </c>
    </row>
    <row r="3545" spans="1:12" x14ac:dyDescent="0.25">
      <c r="A3545">
        <v>3100401</v>
      </c>
      <c r="B3545" t="str">
        <f t="shared" si="55"/>
        <v>ACAIACA, MG, Brasil</v>
      </c>
      <c r="C3545" s="4" t="str">
        <f>_xlfn.XLOOKUP(A3545,[1]!DadosGHD[CD_GEOCMU],[1]!DadosGHD[Região])</f>
        <v>SD</v>
      </c>
      <c r="D3545" s="4" t="str">
        <f>_xlfn.XLOOKUP(A3545,[1]!DadosGHD[CD_GEOCMU],[1]!DadosGHD[uf])</f>
        <v>MG</v>
      </c>
      <c r="E3545" s="5" t="str">
        <f>_xlfn.XLOOKUP(A3545,[1]!DadosGHD[CD_GEOCMU],[1]!DadosGHD[MUNICIPIO])</f>
        <v>ACAIACA</v>
      </c>
      <c r="F3545" s="6">
        <v>43.666206359863303</v>
      </c>
      <c r="G3545" s="6">
        <v>43.706501007080099</v>
      </c>
      <c r="H3545" s="6">
        <v>43.729541778564503</v>
      </c>
      <c r="I3545" s="6">
        <v>43.709224700927699</v>
      </c>
      <c r="J3545" s="6">
        <v>38.820316314697301</v>
      </c>
      <c r="K3545" s="6">
        <v>43.810611724853501</v>
      </c>
      <c r="L3545" s="6">
        <v>48.547779083252003</v>
      </c>
    </row>
    <row r="3546" spans="1:12" x14ac:dyDescent="0.25">
      <c r="A3546">
        <v>3301405</v>
      </c>
      <c r="B3546" t="str">
        <f t="shared" si="55"/>
        <v>CONCEICAO DE MACABU, RJ, Brasil</v>
      </c>
      <c r="C3546" s="4" t="str">
        <f>_xlfn.XLOOKUP(A3546,[1]!DadosGHD[CD_GEOCMU],[1]!DadosGHD[Região])</f>
        <v>SD</v>
      </c>
      <c r="D3546" s="4" t="str">
        <f>_xlfn.XLOOKUP(A3546,[1]!DadosGHD[CD_GEOCMU],[1]!DadosGHD[uf])</f>
        <v>RJ</v>
      </c>
      <c r="E3546" s="5" t="str">
        <f>_xlfn.XLOOKUP(A3546,[1]!DadosGHD[CD_GEOCMU],[1]!DadosGHD[MUNICIPIO])</f>
        <v>CONCEICAO DE MACABU</v>
      </c>
      <c r="F3546" s="6">
        <v>43.666538238525398</v>
      </c>
      <c r="G3546" s="6">
        <v>48.649173736572301</v>
      </c>
      <c r="H3546" s="6">
        <v>43.719440460205099</v>
      </c>
      <c r="I3546" s="6">
        <v>38.806507110595703</v>
      </c>
      <c r="J3546" s="6">
        <v>43.789485931396499</v>
      </c>
      <c r="K3546" s="6">
        <v>48.857109069824197</v>
      </c>
      <c r="L3546" s="6">
        <v>57.546863555908203</v>
      </c>
    </row>
    <row r="3547" spans="1:12" x14ac:dyDescent="0.25">
      <c r="A3547">
        <v>4200507</v>
      </c>
      <c r="B3547" t="str">
        <f t="shared" si="55"/>
        <v>AGUAS DE CHAPECO, SC, Brasil</v>
      </c>
      <c r="C3547" s="4" t="str">
        <f>_xlfn.XLOOKUP(A3547,[1]!DadosGHD[CD_GEOCMU],[1]!DadosGHD[Região])</f>
        <v>SL</v>
      </c>
      <c r="D3547" s="4" t="str">
        <f>_xlfn.XLOOKUP(A3547,[1]!DadosGHD[CD_GEOCMU],[1]!DadosGHD[uf])</f>
        <v>SC</v>
      </c>
      <c r="E3547" s="5" t="str">
        <f>_xlfn.XLOOKUP(A3547,[1]!DadosGHD[CD_GEOCMU],[1]!DadosGHD[MUNICIPIO])</f>
        <v>AGUAS DE CHAPECO</v>
      </c>
      <c r="F3547" s="6">
        <v>43.6666450500488</v>
      </c>
      <c r="G3547" s="6">
        <v>53.706371307373097</v>
      </c>
      <c r="H3547" s="6">
        <v>53.750240325927699</v>
      </c>
      <c r="I3547" s="6">
        <v>53.720298767089801</v>
      </c>
      <c r="J3547" s="6">
        <v>48.791542053222699</v>
      </c>
      <c r="K3547" s="6">
        <v>48.856712341308601</v>
      </c>
      <c r="L3547" s="6">
        <v>53.002525329589801</v>
      </c>
    </row>
    <row r="3548" spans="1:12" x14ac:dyDescent="0.25">
      <c r="A3548">
        <v>4314076</v>
      </c>
      <c r="B3548" t="str">
        <f t="shared" si="55"/>
        <v>PASSO DO SOBRADO, RS, Brasil</v>
      </c>
      <c r="C3548" s="4" t="str">
        <f>_xlfn.XLOOKUP(A3548,[1]!DadosGHD[CD_GEOCMU],[1]!DadosGHD[Região])</f>
        <v>SL</v>
      </c>
      <c r="D3548" s="4" t="str">
        <f>_xlfn.XLOOKUP(A3548,[1]!DadosGHD[CD_GEOCMU],[1]!DadosGHD[uf])</f>
        <v>RS</v>
      </c>
      <c r="E3548" s="5" t="str">
        <f>_xlfn.XLOOKUP(A3548,[1]!DadosGHD[CD_GEOCMU],[1]!DadosGHD[MUNICIPIO])</f>
        <v>PASSO DO SOBRADO</v>
      </c>
      <c r="F3548" s="6">
        <v>43.6666870117188</v>
      </c>
      <c r="G3548" s="6">
        <v>48.689090728759801</v>
      </c>
      <c r="H3548" s="6">
        <v>48.761051177978501</v>
      </c>
      <c r="I3548" s="6">
        <v>48.741451263427699</v>
      </c>
      <c r="J3548" s="6">
        <v>48.729328155517599</v>
      </c>
      <c r="K3548" s="6">
        <v>48.7957153320313</v>
      </c>
      <c r="L3548" s="6">
        <v>35.142890930175803</v>
      </c>
    </row>
    <row r="3549" spans="1:12" x14ac:dyDescent="0.25">
      <c r="A3549">
        <v>3203700</v>
      </c>
      <c r="B3549" t="str">
        <f t="shared" si="55"/>
        <v>MUNIZ FREIRE, ES, Brasil</v>
      </c>
      <c r="C3549" s="4" t="str">
        <f>_xlfn.XLOOKUP(A3549,[1]!DadosGHD[CD_GEOCMU],[1]!DadosGHD[Região])</f>
        <v>SD</v>
      </c>
      <c r="D3549" s="4" t="str">
        <f>_xlfn.XLOOKUP(A3549,[1]!DadosGHD[CD_GEOCMU],[1]!DadosGHD[uf])</f>
        <v>ES</v>
      </c>
      <c r="E3549" s="5" t="str">
        <f>_xlfn.XLOOKUP(A3549,[1]!DadosGHD[CD_GEOCMU],[1]!DadosGHD[MUNICIPIO])</f>
        <v>MUNIZ FREIRE</v>
      </c>
      <c r="F3549" s="6">
        <v>43.666854858398402</v>
      </c>
      <c r="G3549" s="6">
        <v>43.694759368896499</v>
      </c>
      <c r="H3549" s="6">
        <v>43.806076049804702</v>
      </c>
      <c r="I3549" s="6">
        <v>43.806266784667997</v>
      </c>
      <c r="J3549" s="6">
        <v>43.819168090820298</v>
      </c>
      <c r="K3549" s="6">
        <v>48.7627563476563</v>
      </c>
      <c r="L3549" s="6">
        <v>39.610260009765597</v>
      </c>
    </row>
    <row r="3550" spans="1:12" x14ac:dyDescent="0.25">
      <c r="A3550">
        <v>3300308</v>
      </c>
      <c r="B3550" t="str">
        <f t="shared" si="55"/>
        <v>BARRA DO PIRAI, RJ, Brasil</v>
      </c>
      <c r="C3550" s="4" t="str">
        <f>_xlfn.XLOOKUP(A3550,[1]!DadosGHD[CD_GEOCMU],[1]!DadosGHD[Região])</f>
        <v>SD</v>
      </c>
      <c r="D3550" s="4" t="str">
        <f>_xlfn.XLOOKUP(A3550,[1]!DadosGHD[CD_GEOCMU],[1]!DadosGHD[uf])</f>
        <v>RJ</v>
      </c>
      <c r="E3550" s="5" t="str">
        <f>_xlfn.XLOOKUP(A3550,[1]!DadosGHD[CD_GEOCMU],[1]!DadosGHD[MUNICIPIO])</f>
        <v>BARRA DO PIRAI</v>
      </c>
      <c r="F3550" s="6">
        <v>43.666976928710902</v>
      </c>
      <c r="G3550" s="6">
        <v>48.635124206542997</v>
      </c>
      <c r="H3550" s="6">
        <v>48.7622680664063</v>
      </c>
      <c r="I3550" s="6">
        <v>48.676998138427699</v>
      </c>
      <c r="J3550" s="6">
        <v>43.783775329589801</v>
      </c>
      <c r="K3550" s="6">
        <v>43.884777069091797</v>
      </c>
      <c r="L3550" s="6">
        <v>53.056735992431598</v>
      </c>
    </row>
    <row r="3551" spans="1:12" x14ac:dyDescent="0.25">
      <c r="A3551">
        <v>3161007</v>
      </c>
      <c r="B3551" t="str">
        <f t="shared" si="55"/>
        <v>SAO DOMINGOS DO PRATA, MG, Brasil</v>
      </c>
      <c r="C3551" s="4" t="str">
        <f>_xlfn.XLOOKUP(A3551,[1]!DadosGHD[CD_GEOCMU],[1]!DadosGHD[Região])</f>
        <v>SD</v>
      </c>
      <c r="D3551" s="4" t="str">
        <f>_xlfn.XLOOKUP(A3551,[1]!DadosGHD[CD_GEOCMU],[1]!DadosGHD[uf])</f>
        <v>MG</v>
      </c>
      <c r="E3551" s="5" t="str">
        <f>_xlfn.XLOOKUP(A3551,[1]!DadosGHD[CD_GEOCMU],[1]!DadosGHD[MUNICIPIO])</f>
        <v>SAO DOMINGOS DO PRATA</v>
      </c>
      <c r="F3551" s="6">
        <v>43.667121887207003</v>
      </c>
      <c r="G3551" s="6">
        <v>43.71875</v>
      </c>
      <c r="H3551" s="6">
        <v>43.764324188232401</v>
      </c>
      <c r="I3551" s="6">
        <v>43.7483100891113</v>
      </c>
      <c r="J3551" s="6">
        <v>43.79541015625</v>
      </c>
      <c r="K3551" s="6">
        <v>43.841869354248097</v>
      </c>
      <c r="L3551" s="6">
        <v>44.037017822265597</v>
      </c>
    </row>
    <row r="3552" spans="1:12" x14ac:dyDescent="0.25">
      <c r="A3552">
        <v>3300209</v>
      </c>
      <c r="B3552" t="str">
        <f t="shared" si="55"/>
        <v>ARARUAMA, RJ, Brasil</v>
      </c>
      <c r="C3552" s="4" t="str">
        <f>_xlfn.XLOOKUP(A3552,[1]!DadosGHD[CD_GEOCMU],[1]!DadosGHD[Região])</f>
        <v>SD</v>
      </c>
      <c r="D3552" s="4" t="str">
        <f>_xlfn.XLOOKUP(A3552,[1]!DadosGHD[CD_GEOCMU],[1]!DadosGHD[uf])</f>
        <v>RJ</v>
      </c>
      <c r="E3552" s="5" t="str">
        <f>_xlfn.XLOOKUP(A3552,[1]!DadosGHD[CD_GEOCMU],[1]!DadosGHD[MUNICIPIO])</f>
        <v>ARARUAMA</v>
      </c>
      <c r="F3552" s="6">
        <v>43.667423248291001</v>
      </c>
      <c r="G3552" s="6">
        <v>43.716766357421903</v>
      </c>
      <c r="H3552" s="6">
        <v>43.779975891113303</v>
      </c>
      <c r="I3552" s="6">
        <v>43.799949645996101</v>
      </c>
      <c r="J3552" s="6">
        <v>43.804264068603501</v>
      </c>
      <c r="K3552" s="6">
        <v>48.768756866455099</v>
      </c>
      <c r="L3552" s="6">
        <v>57.532390594482401</v>
      </c>
    </row>
    <row r="3553" spans="1:12" x14ac:dyDescent="0.25">
      <c r="A3553">
        <v>3143708</v>
      </c>
      <c r="B3553" t="str">
        <f t="shared" si="55"/>
        <v>MORRO DO PILAR, MG, Brasil</v>
      </c>
      <c r="C3553" s="4" t="str">
        <f>_xlfn.XLOOKUP(A3553,[1]!DadosGHD[CD_GEOCMU],[1]!DadosGHD[Região])</f>
        <v>SD</v>
      </c>
      <c r="D3553" s="4" t="str">
        <f>_xlfn.XLOOKUP(A3553,[1]!DadosGHD[CD_GEOCMU],[1]!DadosGHD[uf])</f>
        <v>MG</v>
      </c>
      <c r="E3553" s="5" t="str">
        <f>_xlfn.XLOOKUP(A3553,[1]!DadosGHD[CD_GEOCMU],[1]!DadosGHD[MUNICIPIO])</f>
        <v>MORRO DO PILAR</v>
      </c>
      <c r="F3553" s="6">
        <v>43.667430877685597</v>
      </c>
      <c r="G3553" s="6">
        <v>43.705436706542997</v>
      </c>
      <c r="H3553" s="6">
        <v>43.762687683105497</v>
      </c>
      <c r="I3553" s="6">
        <v>43.729324340820298</v>
      </c>
      <c r="J3553" s="6">
        <v>43.740406036377003</v>
      </c>
      <c r="K3553" s="6">
        <v>43.800651550292997</v>
      </c>
      <c r="L3553" s="6">
        <v>39.569755554199197</v>
      </c>
    </row>
    <row r="3554" spans="1:12" x14ac:dyDescent="0.25">
      <c r="A3554">
        <v>4122909</v>
      </c>
      <c r="B3554" t="str">
        <f t="shared" si="55"/>
        <v>SALTO DO ITARARE, PR, Brasil</v>
      </c>
      <c r="C3554" s="4" t="str">
        <f>_xlfn.XLOOKUP(A3554,[1]!DadosGHD[CD_GEOCMU],[1]!DadosGHD[Região])</f>
        <v>SL</v>
      </c>
      <c r="D3554" s="4" t="str">
        <f>_xlfn.XLOOKUP(A3554,[1]!DadosGHD[CD_GEOCMU],[1]!DadosGHD[uf])</f>
        <v>PR</v>
      </c>
      <c r="E3554" s="5" t="str">
        <f>_xlfn.XLOOKUP(A3554,[1]!DadosGHD[CD_GEOCMU],[1]!DadosGHD[MUNICIPIO])</f>
        <v>SALTO DO ITARARE</v>
      </c>
      <c r="F3554" s="6">
        <v>43.667442321777301</v>
      </c>
      <c r="G3554" s="6">
        <v>38.686500549316399</v>
      </c>
      <c r="H3554" s="6">
        <v>38.748989105224602</v>
      </c>
      <c r="I3554" s="6">
        <v>38.740890502929702</v>
      </c>
      <c r="J3554" s="6">
        <v>38.756679534912102</v>
      </c>
      <c r="K3554" s="6">
        <v>38.807319641113303</v>
      </c>
      <c r="L3554" s="6">
        <v>35.131683349609403</v>
      </c>
    </row>
    <row r="3555" spans="1:12" x14ac:dyDescent="0.25">
      <c r="A3555">
        <v>3128808</v>
      </c>
      <c r="B3555" t="str">
        <f t="shared" si="55"/>
        <v>GUIDOVAL, MG, Brasil</v>
      </c>
      <c r="C3555" s="4" t="str">
        <f>_xlfn.XLOOKUP(A3555,[1]!DadosGHD[CD_GEOCMU],[1]!DadosGHD[Região])</f>
        <v>SD</v>
      </c>
      <c r="D3555" s="4" t="str">
        <f>_xlfn.XLOOKUP(A3555,[1]!DadosGHD[CD_GEOCMU],[1]!DadosGHD[uf])</f>
        <v>MG</v>
      </c>
      <c r="E3555" s="5" t="str">
        <f>_xlfn.XLOOKUP(A3555,[1]!DadosGHD[CD_GEOCMU],[1]!DadosGHD[MUNICIPIO])</f>
        <v>GUIDOVAL</v>
      </c>
      <c r="F3555" s="6">
        <v>43.667564392089801</v>
      </c>
      <c r="G3555" s="6">
        <v>43.679454803466797</v>
      </c>
      <c r="H3555" s="6">
        <v>43.7138671875</v>
      </c>
      <c r="I3555" s="6">
        <v>43.719429016113303</v>
      </c>
      <c r="J3555" s="6">
        <v>48.709251403808601</v>
      </c>
      <c r="K3555" s="6">
        <v>53.8091850280762</v>
      </c>
      <c r="L3555" s="6">
        <v>57.5604438781738</v>
      </c>
    </row>
    <row r="3556" spans="1:12" x14ac:dyDescent="0.25">
      <c r="A3556">
        <v>3165305</v>
      </c>
      <c r="B3556" t="str">
        <f t="shared" si="55"/>
        <v>SAO VICENTE DE MINAS, MG, Brasil</v>
      </c>
      <c r="C3556" s="4" t="str">
        <f>_xlfn.XLOOKUP(A3556,[1]!DadosGHD[CD_GEOCMU],[1]!DadosGHD[Região])</f>
        <v>SD</v>
      </c>
      <c r="D3556" s="4" t="str">
        <f>_xlfn.XLOOKUP(A3556,[1]!DadosGHD[CD_GEOCMU],[1]!DadosGHD[uf])</f>
        <v>MG</v>
      </c>
      <c r="E3556" s="5" t="str">
        <f>_xlfn.XLOOKUP(A3556,[1]!DadosGHD[CD_GEOCMU],[1]!DadosGHD[MUNICIPIO])</f>
        <v>SAO VICENTE DE MINAS</v>
      </c>
      <c r="F3556" s="6">
        <v>43.667575836181598</v>
      </c>
      <c r="G3556" s="6">
        <v>43.639884948730497</v>
      </c>
      <c r="H3556" s="6">
        <v>38.810497283935597</v>
      </c>
      <c r="I3556" s="6">
        <v>38.816215515136697</v>
      </c>
      <c r="J3556" s="6">
        <v>43.767482757568402</v>
      </c>
      <c r="K3556" s="6">
        <v>38.854457855224602</v>
      </c>
      <c r="L3556" s="6">
        <v>39.611007690429702</v>
      </c>
    </row>
    <row r="3557" spans="1:12" x14ac:dyDescent="0.25">
      <c r="A3557">
        <v>3540507</v>
      </c>
      <c r="B3557" t="str">
        <f t="shared" si="55"/>
        <v>PORANGABA, SP, Brasil</v>
      </c>
      <c r="C3557" s="4" t="str">
        <f>_xlfn.XLOOKUP(A3557,[1]!DadosGHD[CD_GEOCMU],[1]!DadosGHD[Região])</f>
        <v>SD</v>
      </c>
      <c r="D3557" s="4" t="str">
        <f>_xlfn.XLOOKUP(A3557,[1]!DadosGHD[CD_GEOCMU],[1]!DadosGHD[uf])</f>
        <v>SP</v>
      </c>
      <c r="E3557" s="5" t="str">
        <f>_xlfn.XLOOKUP(A3557,[1]!DadosGHD[CD_GEOCMU],[1]!DadosGHD[MUNICIPIO])</f>
        <v>PORANGABA</v>
      </c>
      <c r="F3557" s="6">
        <v>43.667648315429702</v>
      </c>
      <c r="G3557" s="6">
        <v>43.695285797119098</v>
      </c>
      <c r="H3557" s="6">
        <v>43.7132568359375</v>
      </c>
      <c r="I3557" s="6">
        <v>43.6945610046387</v>
      </c>
      <c r="J3557" s="6">
        <v>43.763076782226598</v>
      </c>
      <c r="K3557" s="6">
        <v>48.840747833252003</v>
      </c>
      <c r="L3557" s="6">
        <v>57.588558197021499</v>
      </c>
    </row>
    <row r="3558" spans="1:12" x14ac:dyDescent="0.25">
      <c r="A3558">
        <v>3553005</v>
      </c>
      <c r="B3558" t="str">
        <f t="shared" si="55"/>
        <v>TAGUAI, SP, Brasil</v>
      </c>
      <c r="C3558" s="4" t="str">
        <f>_xlfn.XLOOKUP(A3558,[1]!DadosGHD[CD_GEOCMU],[1]!DadosGHD[Região])</f>
        <v>SD</v>
      </c>
      <c r="D3558" s="4" t="str">
        <f>_xlfn.XLOOKUP(A3558,[1]!DadosGHD[CD_GEOCMU],[1]!DadosGHD[uf])</f>
        <v>SP</v>
      </c>
      <c r="E3558" s="5" t="str">
        <f>_xlfn.XLOOKUP(A3558,[1]!DadosGHD[CD_GEOCMU],[1]!DadosGHD[MUNICIPIO])</f>
        <v>TAGUAI</v>
      </c>
      <c r="F3558" s="6">
        <v>43.667888641357401</v>
      </c>
      <c r="G3558" s="6">
        <v>43.673965454101598</v>
      </c>
      <c r="H3558" s="6">
        <v>43.753990173339801</v>
      </c>
      <c r="I3558" s="6">
        <v>43.754718780517599</v>
      </c>
      <c r="J3558" s="6">
        <v>43.743503570556598</v>
      </c>
      <c r="K3558" s="6">
        <v>43.7850341796875</v>
      </c>
      <c r="L3558" s="6">
        <v>48.561435699462898</v>
      </c>
    </row>
    <row r="3559" spans="1:12" x14ac:dyDescent="0.25">
      <c r="A3559">
        <v>4313060</v>
      </c>
      <c r="B3559" t="str">
        <f t="shared" si="55"/>
        <v>NOVA HARTZ, RS, Brasil</v>
      </c>
      <c r="C3559" s="4" t="str">
        <f>_xlfn.XLOOKUP(A3559,[1]!DadosGHD[CD_GEOCMU],[1]!DadosGHD[Região])</f>
        <v>SL</v>
      </c>
      <c r="D3559" s="4" t="str">
        <f>_xlfn.XLOOKUP(A3559,[1]!DadosGHD[CD_GEOCMU],[1]!DadosGHD[uf])</f>
        <v>RS</v>
      </c>
      <c r="E3559" s="5" t="str">
        <f>_xlfn.XLOOKUP(A3559,[1]!DadosGHD[CD_GEOCMU],[1]!DadosGHD[MUNICIPIO])</f>
        <v>NOVA HARTZ</v>
      </c>
      <c r="F3559" s="6">
        <v>43.668025970458999</v>
      </c>
      <c r="G3559" s="6">
        <v>48.655071258544901</v>
      </c>
      <c r="H3559" s="6">
        <v>48.714385986328097</v>
      </c>
      <c r="I3559" s="6">
        <v>48.747268676757798</v>
      </c>
      <c r="J3559" s="6">
        <v>48.7060737609863</v>
      </c>
      <c r="K3559" s="6">
        <v>48.841690063476598</v>
      </c>
      <c r="L3559" s="6">
        <v>48.555835723877003</v>
      </c>
    </row>
    <row r="3560" spans="1:12" x14ac:dyDescent="0.25">
      <c r="A3560">
        <v>2607406</v>
      </c>
      <c r="B3560" t="str">
        <f t="shared" si="55"/>
        <v>ITACURUBA, PE, Brasil</v>
      </c>
      <c r="C3560" s="4" t="str">
        <f>_xlfn.XLOOKUP(A3560,[1]!DadosGHD[CD_GEOCMU],[1]!DadosGHD[Região])</f>
        <v>NE</v>
      </c>
      <c r="D3560" s="4" t="str">
        <f>_xlfn.XLOOKUP(A3560,[1]!DadosGHD[CD_GEOCMU],[1]!DadosGHD[uf])</f>
        <v>PE</v>
      </c>
      <c r="E3560" s="5" t="str">
        <f>_xlfn.XLOOKUP(A3560,[1]!DadosGHD[CD_GEOCMU],[1]!DadosGHD[MUNICIPIO])</f>
        <v>ITACURUBA</v>
      </c>
      <c r="F3560" s="6">
        <v>43.668094635009801</v>
      </c>
      <c r="G3560" s="6">
        <v>43.684337615966797</v>
      </c>
      <c r="H3560" s="6">
        <v>38.802276611328097</v>
      </c>
      <c r="I3560" s="6">
        <v>38.733131408691399</v>
      </c>
      <c r="J3560" s="6">
        <v>33.886940002441399</v>
      </c>
      <c r="K3560" s="6">
        <v>38.813163757324197</v>
      </c>
      <c r="L3560" s="6">
        <v>44.056144714355497</v>
      </c>
    </row>
    <row r="3561" spans="1:12" x14ac:dyDescent="0.25">
      <c r="A3561">
        <v>5221007</v>
      </c>
      <c r="B3561" t="str">
        <f t="shared" si="55"/>
        <v>TAQUARAL DE GOIAS, GO, Brasil</v>
      </c>
      <c r="C3561" s="4" t="str">
        <f>_xlfn.XLOOKUP(A3561,[1]!DadosGHD[CD_GEOCMU],[1]!DadosGHD[Região])</f>
        <v>CO</v>
      </c>
      <c r="D3561" s="4" t="str">
        <f>_xlfn.XLOOKUP(A3561,[1]!DadosGHD[CD_GEOCMU],[1]!DadosGHD[uf])</f>
        <v>GO</v>
      </c>
      <c r="E3561" s="5" t="str">
        <f>_xlfn.XLOOKUP(A3561,[1]!DadosGHD[CD_GEOCMU],[1]!DadosGHD[MUNICIPIO])</f>
        <v>TAQUARAL DE GOIAS</v>
      </c>
      <c r="F3561" s="6">
        <v>43.668243408203097</v>
      </c>
      <c r="G3561" s="6">
        <v>43.698879241943402</v>
      </c>
      <c r="H3561" s="6">
        <v>43.775272369384801</v>
      </c>
      <c r="I3561" s="6">
        <v>43.749637603759801</v>
      </c>
      <c r="J3561" s="6">
        <v>48.805820465087898</v>
      </c>
      <c r="K3561" s="6">
        <v>48.815738677978501</v>
      </c>
      <c r="L3561" s="6">
        <v>35.136558532714801</v>
      </c>
    </row>
    <row r="3562" spans="1:12" x14ac:dyDescent="0.25">
      <c r="A3562">
        <v>5200134</v>
      </c>
      <c r="B3562" t="str">
        <f t="shared" si="55"/>
        <v>ACREUNA, GO, Brasil</v>
      </c>
      <c r="C3562" s="4" t="str">
        <f>_xlfn.XLOOKUP(A3562,[1]!DadosGHD[CD_GEOCMU],[1]!DadosGHD[Região])</f>
        <v>CO</v>
      </c>
      <c r="D3562" s="4" t="str">
        <f>_xlfn.XLOOKUP(A3562,[1]!DadosGHD[CD_GEOCMU],[1]!DadosGHD[uf])</f>
        <v>GO</v>
      </c>
      <c r="E3562" s="5" t="str">
        <f>_xlfn.XLOOKUP(A3562,[1]!DadosGHD[CD_GEOCMU],[1]!DadosGHD[MUNICIPIO])</f>
        <v>ACREUNA</v>
      </c>
      <c r="F3562" s="6">
        <v>43.668277740478501</v>
      </c>
      <c r="G3562" s="6">
        <v>43.661426544189503</v>
      </c>
      <c r="H3562" s="6">
        <v>43.717788696289098</v>
      </c>
      <c r="I3562" s="6">
        <v>43.684864044189503</v>
      </c>
      <c r="J3562" s="6">
        <v>43.725986480712898</v>
      </c>
      <c r="K3562" s="6">
        <v>43.833961486816399</v>
      </c>
      <c r="L3562" s="6">
        <v>39.607448577880902</v>
      </c>
    </row>
    <row r="3563" spans="1:12" x14ac:dyDescent="0.25">
      <c r="A3563">
        <v>5221858</v>
      </c>
      <c r="B3563" t="str">
        <f t="shared" si="55"/>
        <v>VALPARAISO DE GOIAS, GO, Brasil</v>
      </c>
      <c r="C3563" s="4" t="str">
        <f>_xlfn.XLOOKUP(A3563,[1]!DadosGHD[CD_GEOCMU],[1]!DadosGHD[Região])</f>
        <v>CO</v>
      </c>
      <c r="D3563" s="4" t="str">
        <f>_xlfn.XLOOKUP(A3563,[1]!DadosGHD[CD_GEOCMU],[1]!DadosGHD[uf])</f>
        <v>GO</v>
      </c>
      <c r="E3563" s="5" t="str">
        <f>_xlfn.XLOOKUP(A3563,[1]!DadosGHD[CD_GEOCMU],[1]!DadosGHD[MUNICIPIO])</f>
        <v>VALPARAISO DE GOIAS</v>
      </c>
      <c r="F3563" s="6">
        <v>43.668369293212898</v>
      </c>
      <c r="G3563" s="6">
        <v>43.765106201171903</v>
      </c>
      <c r="H3563" s="6">
        <v>43.7983589172363</v>
      </c>
      <c r="I3563" s="6">
        <v>43.748210906982401</v>
      </c>
      <c r="J3563" s="6">
        <v>43.800247192382798</v>
      </c>
      <c r="K3563" s="6">
        <v>48.7724800109863</v>
      </c>
      <c r="L3563" s="6">
        <v>48.511985778808601</v>
      </c>
    </row>
    <row r="3564" spans="1:12" x14ac:dyDescent="0.25">
      <c r="A3564">
        <v>4205209</v>
      </c>
      <c r="B3564" t="str">
        <f t="shared" si="55"/>
        <v>ERVAL VELHO, SC, Brasil</v>
      </c>
      <c r="C3564" s="4" t="str">
        <f>_xlfn.XLOOKUP(A3564,[1]!DadosGHD[CD_GEOCMU],[1]!DadosGHD[Região])</f>
        <v>SL</v>
      </c>
      <c r="D3564" s="4" t="str">
        <f>_xlfn.XLOOKUP(A3564,[1]!DadosGHD[CD_GEOCMU],[1]!DadosGHD[uf])</f>
        <v>SC</v>
      </c>
      <c r="E3564" s="5" t="str">
        <f>_xlfn.XLOOKUP(A3564,[1]!DadosGHD[CD_GEOCMU],[1]!DadosGHD[MUNICIPIO])</f>
        <v>ERVAL VELHO</v>
      </c>
      <c r="F3564" s="6">
        <v>43.668491363525398</v>
      </c>
      <c r="G3564" s="6">
        <v>48.714027404785199</v>
      </c>
      <c r="H3564" s="6">
        <v>48.749649047851598</v>
      </c>
      <c r="I3564" s="6">
        <v>48.811416625976598</v>
      </c>
      <c r="J3564" s="6">
        <v>53.759601593017599</v>
      </c>
      <c r="K3564" s="6">
        <v>58.963401794433601</v>
      </c>
      <c r="L3564" s="6">
        <v>57.534374237060597</v>
      </c>
    </row>
    <row r="3565" spans="1:12" x14ac:dyDescent="0.25">
      <c r="A3565">
        <v>3147006</v>
      </c>
      <c r="B3565" t="str">
        <f t="shared" si="55"/>
        <v>PARACATU, MG, Brasil</v>
      </c>
      <c r="C3565" s="4" t="str">
        <f>_xlfn.XLOOKUP(A3565,[1]!DadosGHD[CD_GEOCMU],[1]!DadosGHD[Região])</f>
        <v>SD</v>
      </c>
      <c r="D3565" s="4" t="str">
        <f>_xlfn.XLOOKUP(A3565,[1]!DadosGHD[CD_GEOCMU],[1]!DadosGHD[uf])</f>
        <v>MG</v>
      </c>
      <c r="E3565" s="5" t="str">
        <f>_xlfn.XLOOKUP(A3565,[1]!DadosGHD[CD_GEOCMU],[1]!DadosGHD[MUNICIPIO])</f>
        <v>PARACATU</v>
      </c>
      <c r="F3565" s="6">
        <v>43.668575286865199</v>
      </c>
      <c r="G3565" s="6">
        <v>43.761013031005902</v>
      </c>
      <c r="H3565" s="6">
        <v>43.818359375</v>
      </c>
      <c r="I3565" s="6">
        <v>43.7899169921875</v>
      </c>
      <c r="J3565" s="6">
        <v>43.8088989257813</v>
      </c>
      <c r="K3565" s="6">
        <v>43.864593505859403</v>
      </c>
      <c r="L3565" s="6">
        <v>48.528156280517599</v>
      </c>
    </row>
    <row r="3566" spans="1:12" x14ac:dyDescent="0.25">
      <c r="A3566">
        <v>3545407</v>
      </c>
      <c r="B3566" t="str">
        <f t="shared" si="55"/>
        <v>SALTO GRANDE, SP, Brasil</v>
      </c>
      <c r="C3566" s="4" t="str">
        <f>_xlfn.XLOOKUP(A3566,[1]!DadosGHD[CD_GEOCMU],[1]!DadosGHD[Região])</f>
        <v>SD</v>
      </c>
      <c r="D3566" s="4" t="str">
        <f>_xlfn.XLOOKUP(A3566,[1]!DadosGHD[CD_GEOCMU],[1]!DadosGHD[uf])</f>
        <v>SP</v>
      </c>
      <c r="E3566" s="5" t="str">
        <f>_xlfn.XLOOKUP(A3566,[1]!DadosGHD[CD_GEOCMU],[1]!DadosGHD[MUNICIPIO])</f>
        <v>SALTO GRANDE</v>
      </c>
      <c r="F3566" s="6">
        <v>43.668899536132798</v>
      </c>
      <c r="G3566" s="6">
        <v>43.707191467285199</v>
      </c>
      <c r="H3566" s="6">
        <v>43.777225494384801</v>
      </c>
      <c r="I3566" s="6">
        <v>43.764007568359403</v>
      </c>
      <c r="J3566" s="6">
        <v>48.707897186279297</v>
      </c>
      <c r="K3566" s="6">
        <v>48.794937133789098</v>
      </c>
      <c r="L3566" s="6">
        <v>44.040176391601598</v>
      </c>
    </row>
    <row r="3567" spans="1:12" x14ac:dyDescent="0.25">
      <c r="A3567">
        <v>3147907</v>
      </c>
      <c r="B3567" t="str">
        <f t="shared" si="55"/>
        <v>PASSOS, MG, Brasil</v>
      </c>
      <c r="C3567" s="4" t="str">
        <f>_xlfn.XLOOKUP(A3567,[1]!DadosGHD[CD_GEOCMU],[1]!DadosGHD[Região])</f>
        <v>SD</v>
      </c>
      <c r="D3567" s="4" t="str">
        <f>_xlfn.XLOOKUP(A3567,[1]!DadosGHD[CD_GEOCMU],[1]!DadosGHD[uf])</f>
        <v>MG</v>
      </c>
      <c r="E3567" s="5" t="str">
        <f>_xlfn.XLOOKUP(A3567,[1]!DadosGHD[CD_GEOCMU],[1]!DadosGHD[MUNICIPIO])</f>
        <v>PASSOS</v>
      </c>
      <c r="F3567" s="6">
        <v>43.669155120849602</v>
      </c>
      <c r="G3567" s="6">
        <v>43.7244262695313</v>
      </c>
      <c r="H3567" s="6">
        <v>43.776115417480497</v>
      </c>
      <c r="I3567" s="6">
        <v>48.721668243408203</v>
      </c>
      <c r="J3567" s="6">
        <v>43.781036376953097</v>
      </c>
      <c r="K3567" s="6">
        <v>48.893993377685597</v>
      </c>
      <c r="L3567" s="6">
        <v>52.994659423828097</v>
      </c>
    </row>
    <row r="3568" spans="1:12" x14ac:dyDescent="0.25">
      <c r="A3568">
        <v>3507100</v>
      </c>
      <c r="B3568" t="str">
        <f t="shared" si="55"/>
        <v>BOM JESUS DOS PERDOES, SP, Brasil</v>
      </c>
      <c r="C3568" s="4" t="str">
        <f>_xlfn.XLOOKUP(A3568,[1]!DadosGHD[CD_GEOCMU],[1]!DadosGHD[Região])</f>
        <v>SD</v>
      </c>
      <c r="D3568" s="4" t="str">
        <f>_xlfn.XLOOKUP(A3568,[1]!DadosGHD[CD_GEOCMU],[1]!DadosGHD[uf])</f>
        <v>SP</v>
      </c>
      <c r="E3568" s="5" t="str">
        <f>_xlfn.XLOOKUP(A3568,[1]!DadosGHD[CD_GEOCMU],[1]!DadosGHD[MUNICIPIO])</f>
        <v>BOM JESUS DOS PERDOES</v>
      </c>
      <c r="F3568" s="6">
        <v>43.669162750244098</v>
      </c>
      <c r="G3568" s="6">
        <v>43.722824096679702</v>
      </c>
      <c r="H3568" s="6">
        <v>43.7205619812012</v>
      </c>
      <c r="I3568" s="6">
        <v>43.760082244873097</v>
      </c>
      <c r="J3568" s="6">
        <v>48.764919281005902</v>
      </c>
      <c r="K3568" s="6">
        <v>48.77099609375</v>
      </c>
      <c r="L3568" s="6">
        <v>48.554206848144503</v>
      </c>
    </row>
    <row r="3569" spans="1:12" x14ac:dyDescent="0.25">
      <c r="A3569">
        <v>4108106</v>
      </c>
      <c r="B3569" t="str">
        <f t="shared" si="55"/>
        <v>FLORIDA, PR, Brasil</v>
      </c>
      <c r="C3569" s="4" t="str">
        <f>_xlfn.XLOOKUP(A3569,[1]!DadosGHD[CD_GEOCMU],[1]!DadosGHD[Região])</f>
        <v>SL</v>
      </c>
      <c r="D3569" s="4" t="str">
        <f>_xlfn.XLOOKUP(A3569,[1]!DadosGHD[CD_GEOCMU],[1]!DadosGHD[uf])</f>
        <v>PR</v>
      </c>
      <c r="E3569" s="5" t="str">
        <f>_xlfn.XLOOKUP(A3569,[1]!DadosGHD[CD_GEOCMU],[1]!DadosGHD[MUNICIPIO])</f>
        <v>FLORIDA</v>
      </c>
      <c r="F3569" s="6">
        <v>43.669582366943402</v>
      </c>
      <c r="G3569" s="6">
        <v>48.734523773193402</v>
      </c>
      <c r="H3569" s="6">
        <v>43.769699096679702</v>
      </c>
      <c r="I3569" s="6">
        <v>43.769863128662102</v>
      </c>
      <c r="J3569" s="6">
        <v>43.771781921386697</v>
      </c>
      <c r="K3569" s="6">
        <v>43.7973823547363</v>
      </c>
      <c r="L3569" s="6">
        <v>53.052940368652301</v>
      </c>
    </row>
    <row r="3570" spans="1:12" x14ac:dyDescent="0.25">
      <c r="A3570">
        <v>4104451</v>
      </c>
      <c r="B3570" t="str">
        <f t="shared" si="55"/>
        <v>CANTAGALO, PR, Brasil</v>
      </c>
      <c r="C3570" s="4" t="str">
        <f>_xlfn.XLOOKUP(A3570,[1]!DadosGHD[CD_GEOCMU],[1]!DadosGHD[Região])</f>
        <v>SL</v>
      </c>
      <c r="D3570" s="4" t="str">
        <f>_xlfn.XLOOKUP(A3570,[1]!DadosGHD[CD_GEOCMU],[1]!DadosGHD[uf])</f>
        <v>PR</v>
      </c>
      <c r="E3570" s="5" t="str">
        <f>_xlfn.XLOOKUP(A3570,[1]!DadosGHD[CD_GEOCMU],[1]!DadosGHD[MUNICIPIO])</f>
        <v>CANTAGALO</v>
      </c>
      <c r="F3570" s="6">
        <v>43.670093536377003</v>
      </c>
      <c r="G3570" s="6">
        <v>48.703578948974602</v>
      </c>
      <c r="H3570" s="6">
        <v>48.762496948242202</v>
      </c>
      <c r="I3570" s="6">
        <v>48.723049163818402</v>
      </c>
      <c r="J3570" s="6">
        <v>48.761013031005902</v>
      </c>
      <c r="K3570" s="6">
        <v>48.872367858886697</v>
      </c>
      <c r="L3570" s="6">
        <v>48.536972045898402</v>
      </c>
    </row>
    <row r="3571" spans="1:12" x14ac:dyDescent="0.25">
      <c r="A3571">
        <v>4302451</v>
      </c>
      <c r="B3571" t="str">
        <f t="shared" si="55"/>
        <v>BOQUEIRAO DO LEAO, RS, Brasil</v>
      </c>
      <c r="C3571" s="4" t="str">
        <f>_xlfn.XLOOKUP(A3571,[1]!DadosGHD[CD_GEOCMU],[1]!DadosGHD[Região])</f>
        <v>SL</v>
      </c>
      <c r="D3571" s="4" t="str">
        <f>_xlfn.XLOOKUP(A3571,[1]!DadosGHD[CD_GEOCMU],[1]!DadosGHD[uf])</f>
        <v>RS</v>
      </c>
      <c r="E3571" s="5" t="str">
        <f>_xlfn.XLOOKUP(A3571,[1]!DadosGHD[CD_GEOCMU],[1]!DadosGHD[MUNICIPIO])</f>
        <v>BOQUEIRAO DO LEAO</v>
      </c>
      <c r="F3571" s="6">
        <v>43.670169830322301</v>
      </c>
      <c r="G3571" s="6">
        <v>43.729095458984403</v>
      </c>
      <c r="H3571" s="6">
        <v>43.7361030578613</v>
      </c>
      <c r="I3571" s="6">
        <v>38.777011871337898</v>
      </c>
      <c r="J3571" s="6">
        <v>38.825614929199197</v>
      </c>
      <c r="K3571" s="6">
        <v>38.813003540039098</v>
      </c>
      <c r="L3571" s="6">
        <v>35.145862579345703</v>
      </c>
    </row>
    <row r="3572" spans="1:12" x14ac:dyDescent="0.25">
      <c r="A3572">
        <v>3509254</v>
      </c>
      <c r="B3572" t="str">
        <f t="shared" si="55"/>
        <v>CAJATI, SP, Brasil</v>
      </c>
      <c r="C3572" s="4" t="str">
        <f>_xlfn.XLOOKUP(A3572,[1]!DadosGHD[CD_GEOCMU],[1]!DadosGHD[Região])</f>
        <v>SD</v>
      </c>
      <c r="D3572" s="4" t="str">
        <f>_xlfn.XLOOKUP(A3572,[1]!DadosGHD[CD_GEOCMU],[1]!DadosGHD[uf])</f>
        <v>SP</v>
      </c>
      <c r="E3572" s="5" t="str">
        <f>_xlfn.XLOOKUP(A3572,[1]!DadosGHD[CD_GEOCMU],[1]!DadosGHD[MUNICIPIO])</f>
        <v>CAJATI</v>
      </c>
      <c r="F3572" s="6">
        <v>43.670234680175803</v>
      </c>
      <c r="G3572" s="6">
        <v>48.6361083984375</v>
      </c>
      <c r="H3572" s="6">
        <v>43.770301818847699</v>
      </c>
      <c r="I3572" s="6">
        <v>43.684844970703097</v>
      </c>
      <c r="J3572" s="6">
        <v>43.722339630127003</v>
      </c>
      <c r="K3572" s="6">
        <v>43.788017272949197</v>
      </c>
      <c r="L3572" s="6">
        <v>39.603977203369098</v>
      </c>
    </row>
    <row r="3573" spans="1:12" x14ac:dyDescent="0.25">
      <c r="A3573">
        <v>3137304</v>
      </c>
      <c r="B3573" t="str">
        <f t="shared" si="55"/>
        <v>LAGOA DOS PATOS, MG, Brasil</v>
      </c>
      <c r="C3573" s="4" t="str">
        <f>_xlfn.XLOOKUP(A3573,[1]!DadosGHD[CD_GEOCMU],[1]!DadosGHD[Região])</f>
        <v>SD</v>
      </c>
      <c r="D3573" s="4" t="str">
        <f>_xlfn.XLOOKUP(A3573,[1]!DadosGHD[CD_GEOCMU],[1]!DadosGHD[uf])</f>
        <v>MG</v>
      </c>
      <c r="E3573" s="5" t="str">
        <f>_xlfn.XLOOKUP(A3573,[1]!DadosGHD[CD_GEOCMU],[1]!DadosGHD[MUNICIPIO])</f>
        <v>LAGOA DOS PATOS</v>
      </c>
      <c r="F3573" s="6">
        <v>43.670578002929702</v>
      </c>
      <c r="G3573" s="6">
        <v>38.707054138183601</v>
      </c>
      <c r="H3573" s="6">
        <v>38.791213989257798</v>
      </c>
      <c r="I3573" s="6">
        <v>38.757179260253899</v>
      </c>
      <c r="J3573" s="6">
        <v>38.749977111816399</v>
      </c>
      <c r="K3573" s="6">
        <v>38.786720275878899</v>
      </c>
      <c r="L3573" s="6">
        <v>30.7039279937744</v>
      </c>
    </row>
    <row r="3574" spans="1:12" x14ac:dyDescent="0.25">
      <c r="A3574">
        <v>1101203</v>
      </c>
      <c r="B3574" t="str">
        <f t="shared" si="55"/>
        <v>MINISTRO ANDREAZZA, RO, Brasil</v>
      </c>
      <c r="C3574" s="4" t="str">
        <f>_xlfn.XLOOKUP(A3574,[1]!DadosGHD[CD_GEOCMU],[1]!DadosGHD[Região])</f>
        <v>NO</v>
      </c>
      <c r="D3574" s="4" t="str">
        <f>_xlfn.XLOOKUP(A3574,[1]!DadosGHD[CD_GEOCMU],[1]!DadosGHD[uf])</f>
        <v>RO</v>
      </c>
      <c r="E3574" s="5" t="str">
        <f>_xlfn.XLOOKUP(A3574,[1]!DadosGHD[CD_GEOCMU],[1]!DadosGHD[MUNICIPIO])</f>
        <v>MINISTRO ANDREAZZA</v>
      </c>
      <c r="F3574" s="6">
        <v>43.670799255371101</v>
      </c>
      <c r="G3574" s="6">
        <v>48.740547180175803</v>
      </c>
      <c r="H3574" s="6">
        <v>53.796043395996101</v>
      </c>
      <c r="I3574" s="6">
        <v>53.747814178466797</v>
      </c>
      <c r="J3574" s="6">
        <v>53.793384552002003</v>
      </c>
      <c r="K3574" s="6">
        <v>53.922679901123097</v>
      </c>
      <c r="L3574" s="6">
        <v>48.5190620422363</v>
      </c>
    </row>
    <row r="3575" spans="1:12" x14ac:dyDescent="0.25">
      <c r="A3575">
        <v>3112000</v>
      </c>
      <c r="B3575" t="str">
        <f t="shared" si="55"/>
        <v>CANDEIAS, MG, Brasil</v>
      </c>
      <c r="C3575" s="4" t="str">
        <f>_xlfn.XLOOKUP(A3575,[1]!DadosGHD[CD_GEOCMU],[1]!DadosGHD[Região])</f>
        <v>SD</v>
      </c>
      <c r="D3575" s="4" t="str">
        <f>_xlfn.XLOOKUP(A3575,[1]!DadosGHD[CD_GEOCMU],[1]!DadosGHD[uf])</f>
        <v>MG</v>
      </c>
      <c r="E3575" s="5" t="str">
        <f>_xlfn.XLOOKUP(A3575,[1]!DadosGHD[CD_GEOCMU],[1]!DadosGHD[MUNICIPIO])</f>
        <v>CANDEIAS</v>
      </c>
      <c r="F3575" s="6">
        <v>43.670822143554702</v>
      </c>
      <c r="G3575" s="6">
        <v>43.748371124267599</v>
      </c>
      <c r="H3575" s="6">
        <v>48.7218208312988</v>
      </c>
      <c r="I3575" s="6">
        <v>48.745876312255902</v>
      </c>
      <c r="J3575" s="6">
        <v>48.761940002441399</v>
      </c>
      <c r="K3575" s="6">
        <v>48.786323547363303</v>
      </c>
      <c r="L3575" s="6">
        <v>48.517158508300803</v>
      </c>
    </row>
    <row r="3576" spans="1:12" x14ac:dyDescent="0.25">
      <c r="A3576">
        <v>3109204</v>
      </c>
      <c r="B3576" t="str">
        <f t="shared" si="55"/>
        <v>BUENOPOLIS, MG, Brasil</v>
      </c>
      <c r="C3576" s="4" t="str">
        <f>_xlfn.XLOOKUP(A3576,[1]!DadosGHD[CD_GEOCMU],[1]!DadosGHD[Região])</f>
        <v>SD</v>
      </c>
      <c r="D3576" s="4" t="str">
        <f>_xlfn.XLOOKUP(A3576,[1]!DadosGHD[CD_GEOCMU],[1]!DadosGHD[uf])</f>
        <v>MG</v>
      </c>
      <c r="E3576" s="5" t="str">
        <f>_xlfn.XLOOKUP(A3576,[1]!DadosGHD[CD_GEOCMU],[1]!DadosGHD[MUNICIPIO])</f>
        <v>BUENOPOLIS</v>
      </c>
      <c r="F3576" s="6">
        <v>43.670894622802699</v>
      </c>
      <c r="G3576" s="6">
        <v>43.7439575195313</v>
      </c>
      <c r="H3576" s="6">
        <v>43.797080993652301</v>
      </c>
      <c r="I3576" s="6">
        <v>43.775283813476598</v>
      </c>
      <c r="J3576" s="6">
        <v>43.806423187255902</v>
      </c>
      <c r="K3576" s="6">
        <v>48.765953063964801</v>
      </c>
      <c r="L3576" s="6">
        <v>39.609401702880902</v>
      </c>
    </row>
    <row r="3577" spans="1:12" x14ac:dyDescent="0.25">
      <c r="A3577">
        <v>3528601</v>
      </c>
      <c r="B3577" t="str">
        <f t="shared" si="55"/>
        <v>MANDURI, SP, Brasil</v>
      </c>
      <c r="C3577" s="4" t="str">
        <f>_xlfn.XLOOKUP(A3577,[1]!DadosGHD[CD_GEOCMU],[1]!DadosGHD[Região])</f>
        <v>SD</v>
      </c>
      <c r="D3577" s="4" t="str">
        <f>_xlfn.XLOOKUP(A3577,[1]!DadosGHD[CD_GEOCMU],[1]!DadosGHD[uf])</f>
        <v>SP</v>
      </c>
      <c r="E3577" s="5" t="str">
        <f>_xlfn.XLOOKUP(A3577,[1]!DadosGHD[CD_GEOCMU],[1]!DadosGHD[MUNICIPIO])</f>
        <v>MANDURI</v>
      </c>
      <c r="F3577" s="6">
        <v>43.671073913574197</v>
      </c>
      <c r="G3577" s="6">
        <v>43.7459907531738</v>
      </c>
      <c r="H3577" s="6">
        <v>43.784919738769503</v>
      </c>
      <c r="I3577" s="6">
        <v>43.762645721435597</v>
      </c>
      <c r="J3577" s="6">
        <v>43.749343872070298</v>
      </c>
      <c r="K3577" s="6">
        <v>48.785694122314503</v>
      </c>
      <c r="L3577" s="6">
        <v>48.532039642333999</v>
      </c>
    </row>
    <row r="3578" spans="1:12" x14ac:dyDescent="0.25">
      <c r="A3578">
        <v>3138500</v>
      </c>
      <c r="B3578" t="str">
        <f t="shared" si="55"/>
        <v>LIBERDADE, MG, Brasil</v>
      </c>
      <c r="C3578" s="4" t="str">
        <f>_xlfn.XLOOKUP(A3578,[1]!DadosGHD[CD_GEOCMU],[1]!DadosGHD[Região])</f>
        <v>SD</v>
      </c>
      <c r="D3578" s="4" t="str">
        <f>_xlfn.XLOOKUP(A3578,[1]!DadosGHD[CD_GEOCMU],[1]!DadosGHD[uf])</f>
        <v>MG</v>
      </c>
      <c r="E3578" s="5" t="str">
        <f>_xlfn.XLOOKUP(A3578,[1]!DadosGHD[CD_GEOCMU],[1]!DadosGHD[MUNICIPIO])</f>
        <v>LIBERDADE</v>
      </c>
      <c r="F3578" s="6">
        <v>43.671253204345703</v>
      </c>
      <c r="G3578" s="6">
        <v>43.727455139160199</v>
      </c>
      <c r="H3578" s="6">
        <v>43.7566528320313</v>
      </c>
      <c r="I3578" s="6">
        <v>48.689552307128899</v>
      </c>
      <c r="J3578" s="6">
        <v>48.791328430175803</v>
      </c>
      <c r="K3578" s="6">
        <v>48.835029602050803</v>
      </c>
      <c r="L3578" s="6">
        <v>48.538463592529297</v>
      </c>
    </row>
    <row r="3579" spans="1:12" x14ac:dyDescent="0.25">
      <c r="A3579">
        <v>4319505</v>
      </c>
      <c r="B3579" t="str">
        <f t="shared" si="55"/>
        <v>SAO SEBASTIAO DO CAI, RS, Brasil</v>
      </c>
      <c r="C3579" s="4" t="str">
        <f>_xlfn.XLOOKUP(A3579,[1]!DadosGHD[CD_GEOCMU],[1]!DadosGHD[Região])</f>
        <v>SL</v>
      </c>
      <c r="D3579" s="4" t="str">
        <f>_xlfn.XLOOKUP(A3579,[1]!DadosGHD[CD_GEOCMU],[1]!DadosGHD[uf])</f>
        <v>RS</v>
      </c>
      <c r="E3579" s="5" t="str">
        <f>_xlfn.XLOOKUP(A3579,[1]!DadosGHD[CD_GEOCMU],[1]!DadosGHD[MUNICIPIO])</f>
        <v>SAO SEBASTIAO DO CAI</v>
      </c>
      <c r="F3579" s="6">
        <v>43.671688079833999</v>
      </c>
      <c r="G3579" s="6">
        <v>43.747959136962898</v>
      </c>
      <c r="H3579" s="6">
        <v>43.794307708740199</v>
      </c>
      <c r="I3579" s="6">
        <v>48.688846588134801</v>
      </c>
      <c r="J3579" s="6">
        <v>48.726020812988303</v>
      </c>
      <c r="K3579" s="6">
        <v>43.877952575683601</v>
      </c>
      <c r="L3579" s="6">
        <v>44.063594818115199</v>
      </c>
    </row>
    <row r="3580" spans="1:12" x14ac:dyDescent="0.25">
      <c r="A3580">
        <v>3200805</v>
      </c>
      <c r="B3580" t="str">
        <f t="shared" si="55"/>
        <v>BAIXO GUANDU, ES, Brasil</v>
      </c>
      <c r="C3580" s="4" t="str">
        <f>_xlfn.XLOOKUP(A3580,[1]!DadosGHD[CD_GEOCMU],[1]!DadosGHD[Região])</f>
        <v>SD</v>
      </c>
      <c r="D3580" s="4" t="str">
        <f>_xlfn.XLOOKUP(A3580,[1]!DadosGHD[CD_GEOCMU],[1]!DadosGHD[uf])</f>
        <v>ES</v>
      </c>
      <c r="E3580" s="5" t="str">
        <f>_xlfn.XLOOKUP(A3580,[1]!DadosGHD[CD_GEOCMU],[1]!DadosGHD[MUNICIPIO])</f>
        <v>BAIXO GUANDU</v>
      </c>
      <c r="F3580" s="6">
        <v>43.671863555908203</v>
      </c>
      <c r="G3580" s="6">
        <v>48.636447906494098</v>
      </c>
      <c r="H3580" s="6">
        <v>43.839111328125</v>
      </c>
      <c r="I3580" s="6">
        <v>43.760776519775398</v>
      </c>
      <c r="J3580" s="6">
        <v>43.809364318847699</v>
      </c>
      <c r="K3580" s="6">
        <v>43.8747749328613</v>
      </c>
      <c r="L3580" s="6">
        <v>39.591854095458999</v>
      </c>
    </row>
    <row r="3581" spans="1:12" x14ac:dyDescent="0.25">
      <c r="A3581">
        <v>5000807</v>
      </c>
      <c r="B3581" t="str">
        <f t="shared" si="55"/>
        <v>ANAURILANDIA, MS, Brasil</v>
      </c>
      <c r="C3581" s="4" t="str">
        <f>_xlfn.XLOOKUP(A3581,[1]!DadosGHD[CD_GEOCMU],[1]!DadosGHD[Região])</f>
        <v>CO</v>
      </c>
      <c r="D3581" s="4" t="str">
        <f>_xlfn.XLOOKUP(A3581,[1]!DadosGHD[CD_GEOCMU],[1]!DadosGHD[uf])</f>
        <v>MS</v>
      </c>
      <c r="E3581" s="5" t="str">
        <f>_xlfn.XLOOKUP(A3581,[1]!DadosGHD[CD_GEOCMU],[1]!DadosGHD[MUNICIPIO])</f>
        <v>ANAURILANDIA</v>
      </c>
      <c r="F3581" s="6">
        <v>43.672103881835902</v>
      </c>
      <c r="G3581" s="6">
        <v>43.726806640625</v>
      </c>
      <c r="H3581" s="6">
        <v>43.776611328125</v>
      </c>
      <c r="I3581" s="6">
        <v>48.701587677002003</v>
      </c>
      <c r="J3581" s="6">
        <v>48.820003509521499</v>
      </c>
      <c r="K3581" s="6">
        <v>53.810165405273402</v>
      </c>
      <c r="L3581" s="6">
        <v>52.997787475585902</v>
      </c>
    </row>
    <row r="3582" spans="1:12" x14ac:dyDescent="0.25">
      <c r="A3582">
        <v>5103304</v>
      </c>
      <c r="B3582" t="str">
        <f t="shared" si="55"/>
        <v>COMODORO, MT, Brasil</v>
      </c>
      <c r="C3582" s="4" t="str">
        <f>_xlfn.XLOOKUP(A3582,[1]!DadosGHD[CD_GEOCMU],[1]!DadosGHD[Região])</f>
        <v>CO</v>
      </c>
      <c r="D3582" s="4" t="str">
        <f>_xlfn.XLOOKUP(A3582,[1]!DadosGHD[CD_GEOCMU],[1]!DadosGHD[uf])</f>
        <v>MT</v>
      </c>
      <c r="E3582" s="5" t="str">
        <f>_xlfn.XLOOKUP(A3582,[1]!DadosGHD[CD_GEOCMU],[1]!DadosGHD[MUNICIPIO])</f>
        <v>COMODORO</v>
      </c>
      <c r="F3582" s="6">
        <v>43.6722412109375</v>
      </c>
      <c r="G3582" s="6">
        <v>43.7413520812988</v>
      </c>
      <c r="H3582" s="6">
        <v>43.773399353027301</v>
      </c>
      <c r="I3582" s="6">
        <v>43.745876312255902</v>
      </c>
      <c r="J3582" s="6">
        <v>43.753570556640597</v>
      </c>
      <c r="K3582" s="6">
        <v>43.762134552002003</v>
      </c>
      <c r="L3582" s="6">
        <v>35.114303588867202</v>
      </c>
    </row>
    <row r="3583" spans="1:12" x14ac:dyDescent="0.25">
      <c r="A3583">
        <v>3102506</v>
      </c>
      <c r="B3583" t="str">
        <f t="shared" si="55"/>
        <v>AMPARO DO SERRA, MG, Brasil</v>
      </c>
      <c r="C3583" s="4" t="str">
        <f>_xlfn.XLOOKUP(A3583,[1]!DadosGHD[CD_GEOCMU],[1]!DadosGHD[Região])</f>
        <v>SD</v>
      </c>
      <c r="D3583" s="4" t="str">
        <f>_xlfn.XLOOKUP(A3583,[1]!DadosGHD[CD_GEOCMU],[1]!DadosGHD[uf])</f>
        <v>MG</v>
      </c>
      <c r="E3583" s="5" t="str">
        <f>_xlfn.XLOOKUP(A3583,[1]!DadosGHD[CD_GEOCMU],[1]!DadosGHD[MUNICIPIO])</f>
        <v>AMPARO DO SERRA</v>
      </c>
      <c r="F3583" s="6">
        <v>43.672599792480497</v>
      </c>
      <c r="G3583" s="6">
        <v>48.6855659484863</v>
      </c>
      <c r="H3583" s="6">
        <v>48.791774749755902</v>
      </c>
      <c r="I3583" s="6">
        <v>48.739822387695298</v>
      </c>
      <c r="J3583" s="6">
        <v>48.7068481445313</v>
      </c>
      <c r="K3583" s="6">
        <v>48.798229217529297</v>
      </c>
      <c r="L3583" s="6">
        <v>35.144660949707003</v>
      </c>
    </row>
    <row r="3584" spans="1:12" x14ac:dyDescent="0.25">
      <c r="A3584">
        <v>3156106</v>
      </c>
      <c r="B3584" t="str">
        <f t="shared" si="55"/>
        <v>RITAPOLIS, MG, Brasil</v>
      </c>
      <c r="C3584" s="4" t="str">
        <f>_xlfn.XLOOKUP(A3584,[1]!DadosGHD[CD_GEOCMU],[1]!DadosGHD[Região])</f>
        <v>SD</v>
      </c>
      <c r="D3584" s="4" t="str">
        <f>_xlfn.XLOOKUP(A3584,[1]!DadosGHD[CD_GEOCMU],[1]!DadosGHD[uf])</f>
        <v>MG</v>
      </c>
      <c r="E3584" s="5" t="str">
        <f>_xlfn.XLOOKUP(A3584,[1]!DadosGHD[CD_GEOCMU],[1]!DadosGHD[MUNICIPIO])</f>
        <v>RITAPOLIS</v>
      </c>
      <c r="F3584" s="6">
        <v>43.672863006591797</v>
      </c>
      <c r="G3584" s="6">
        <v>48.641166687011697</v>
      </c>
      <c r="H3584" s="6">
        <v>48.823413848877003</v>
      </c>
      <c r="I3584" s="6">
        <v>53.718269348144503</v>
      </c>
      <c r="J3584" s="6">
        <v>53.806198120117202</v>
      </c>
      <c r="K3584" s="6">
        <v>48.8497924804688</v>
      </c>
      <c r="L3584" s="6">
        <v>48.517406463623097</v>
      </c>
    </row>
    <row r="3585" spans="1:12" x14ac:dyDescent="0.25">
      <c r="A3585">
        <v>5217302</v>
      </c>
      <c r="B3585" t="str">
        <f t="shared" si="55"/>
        <v>PIRENOPOLIS, GO, Brasil</v>
      </c>
      <c r="C3585" s="4" t="str">
        <f>_xlfn.XLOOKUP(A3585,[1]!DadosGHD[CD_GEOCMU],[1]!DadosGHD[Região])</f>
        <v>CO</v>
      </c>
      <c r="D3585" s="4" t="str">
        <f>_xlfn.XLOOKUP(A3585,[1]!DadosGHD[CD_GEOCMU],[1]!DadosGHD[uf])</f>
        <v>GO</v>
      </c>
      <c r="E3585" s="5" t="str">
        <f>_xlfn.XLOOKUP(A3585,[1]!DadosGHD[CD_GEOCMU],[1]!DadosGHD[MUNICIPIO])</f>
        <v>PIRENOPOLIS</v>
      </c>
      <c r="F3585" s="6">
        <v>43.673053741455099</v>
      </c>
      <c r="G3585" s="6">
        <v>43.741001129150398</v>
      </c>
      <c r="H3585" s="6">
        <v>43.810665130615199</v>
      </c>
      <c r="I3585" s="6">
        <v>43.799961090087898</v>
      </c>
      <c r="J3585" s="6">
        <v>43.797183990478501</v>
      </c>
      <c r="K3585" s="6">
        <v>48.768211364746101</v>
      </c>
      <c r="L3585" s="6">
        <v>44.0391845703125</v>
      </c>
    </row>
    <row r="3586" spans="1:12" x14ac:dyDescent="0.25">
      <c r="A3586">
        <v>3118700</v>
      </c>
      <c r="B3586" t="str">
        <f t="shared" si="55"/>
        <v>COQUEIRAL, MG, Brasil</v>
      </c>
      <c r="C3586" s="4" t="str">
        <f>_xlfn.XLOOKUP(A3586,[1]!DadosGHD[CD_GEOCMU],[1]!DadosGHD[Região])</f>
        <v>SD</v>
      </c>
      <c r="D3586" s="4" t="str">
        <f>_xlfn.XLOOKUP(A3586,[1]!DadosGHD[CD_GEOCMU],[1]!DadosGHD[uf])</f>
        <v>MG</v>
      </c>
      <c r="E3586" s="5" t="str">
        <f>_xlfn.XLOOKUP(A3586,[1]!DadosGHD[CD_GEOCMU],[1]!DadosGHD[MUNICIPIO])</f>
        <v>COQUEIRAL</v>
      </c>
      <c r="F3586" s="6">
        <v>43.673255920410199</v>
      </c>
      <c r="G3586" s="6">
        <v>48.6654052734375</v>
      </c>
      <c r="H3586" s="6">
        <v>43.841598510742202</v>
      </c>
      <c r="I3586" s="6">
        <v>48.689990997314503</v>
      </c>
      <c r="J3586" s="6">
        <v>43.735630035400398</v>
      </c>
      <c r="K3586" s="6">
        <v>43.837882995605497</v>
      </c>
      <c r="L3586" s="6">
        <v>39.589237213134801</v>
      </c>
    </row>
    <row r="3587" spans="1:12" x14ac:dyDescent="0.25">
      <c r="A3587">
        <v>5213087</v>
      </c>
      <c r="B3587" t="str">
        <f t="shared" si="55"/>
        <v>MINACU, GO, Brasil</v>
      </c>
      <c r="C3587" s="4" t="str">
        <f>_xlfn.XLOOKUP(A3587,[1]!DadosGHD[CD_GEOCMU],[1]!DadosGHD[Região])</f>
        <v>CO</v>
      </c>
      <c r="D3587" s="4" t="str">
        <f>_xlfn.XLOOKUP(A3587,[1]!DadosGHD[CD_GEOCMU],[1]!DadosGHD[uf])</f>
        <v>GO</v>
      </c>
      <c r="E3587" s="5" t="str">
        <f>_xlfn.XLOOKUP(A3587,[1]!DadosGHD[CD_GEOCMU],[1]!DadosGHD[MUNICIPIO])</f>
        <v>MINACU</v>
      </c>
      <c r="F3587" s="6">
        <v>43.673465728759801</v>
      </c>
      <c r="G3587" s="6">
        <v>48.6557807922363</v>
      </c>
      <c r="H3587" s="6">
        <v>48.717796325683601</v>
      </c>
      <c r="I3587" s="6">
        <v>48.705760955810597</v>
      </c>
      <c r="J3587" s="6">
        <v>48.780754089355497</v>
      </c>
      <c r="K3587" s="6">
        <v>48.8154296875</v>
      </c>
      <c r="L3587" s="6">
        <v>44.021743774414098</v>
      </c>
    </row>
    <row r="3588" spans="1:12" x14ac:dyDescent="0.25">
      <c r="A3588">
        <v>2111102</v>
      </c>
      <c r="B3588" t="str">
        <f t="shared" ref="B3588:B3651" si="56">_xlfn.CONCAT(E3588, ", ", D3588, ", Brasil")</f>
        <v>SAO JOAO DOS PATOS, MA, Brasil</v>
      </c>
      <c r="C3588" s="4" t="str">
        <f>_xlfn.XLOOKUP(A3588,[1]!DadosGHD[CD_GEOCMU],[1]!DadosGHD[Região])</f>
        <v>NE</v>
      </c>
      <c r="D3588" s="4" t="str">
        <f>_xlfn.XLOOKUP(A3588,[1]!DadosGHD[CD_GEOCMU],[1]!DadosGHD[uf])</f>
        <v>MA</v>
      </c>
      <c r="E3588" s="5" t="str">
        <f>_xlfn.XLOOKUP(A3588,[1]!DadosGHD[CD_GEOCMU],[1]!DadosGHD[MUNICIPIO])</f>
        <v>SAO JOAO DOS PATOS</v>
      </c>
      <c r="F3588" s="6">
        <v>43.6736450195313</v>
      </c>
      <c r="G3588" s="6">
        <v>43.746841430664098</v>
      </c>
      <c r="H3588" s="6">
        <v>43.781013488769503</v>
      </c>
      <c r="I3588" s="6">
        <v>43.768089294433601</v>
      </c>
      <c r="J3588" s="6">
        <v>43.7831420898438</v>
      </c>
      <c r="K3588" s="6">
        <v>43.758804321289098</v>
      </c>
      <c r="L3588" s="6">
        <v>35.152542114257798</v>
      </c>
    </row>
    <row r="3589" spans="1:12" x14ac:dyDescent="0.25">
      <c r="A3589">
        <v>5007935</v>
      </c>
      <c r="B3589" t="str">
        <f t="shared" si="56"/>
        <v>SONORA, MS, Brasil</v>
      </c>
      <c r="C3589" s="4" t="str">
        <f>_xlfn.XLOOKUP(A3589,[1]!DadosGHD[CD_GEOCMU],[1]!DadosGHD[Região])</f>
        <v>CO</v>
      </c>
      <c r="D3589" s="4" t="str">
        <f>_xlfn.XLOOKUP(A3589,[1]!DadosGHD[CD_GEOCMU],[1]!DadosGHD[uf])</f>
        <v>MS</v>
      </c>
      <c r="E3589" s="5" t="str">
        <f>_xlfn.XLOOKUP(A3589,[1]!DadosGHD[CD_GEOCMU],[1]!DadosGHD[MUNICIPIO])</f>
        <v>SONORA</v>
      </c>
      <c r="F3589" s="6">
        <v>43.673748016357401</v>
      </c>
      <c r="G3589" s="6">
        <v>43.739463806152301</v>
      </c>
      <c r="H3589" s="6">
        <v>43.795516967773402</v>
      </c>
      <c r="I3589" s="6">
        <v>43.799407958984403</v>
      </c>
      <c r="J3589" s="6">
        <v>43.812339782714801</v>
      </c>
      <c r="K3589" s="6">
        <v>43.813220977783203</v>
      </c>
      <c r="L3589" s="6">
        <v>48.527366638183601</v>
      </c>
    </row>
    <row r="3590" spans="1:12" x14ac:dyDescent="0.25">
      <c r="A3590">
        <v>5205000</v>
      </c>
      <c r="B3590" t="str">
        <f t="shared" si="56"/>
        <v>CARMO DO RIO VERDE, GO, Brasil</v>
      </c>
      <c r="C3590" s="4" t="str">
        <f>_xlfn.XLOOKUP(A3590,[1]!DadosGHD[CD_GEOCMU],[1]!DadosGHD[Região])</f>
        <v>CO</v>
      </c>
      <c r="D3590" s="4" t="str">
        <f>_xlfn.XLOOKUP(A3590,[1]!DadosGHD[CD_GEOCMU],[1]!DadosGHD[uf])</f>
        <v>GO</v>
      </c>
      <c r="E3590" s="5" t="str">
        <f>_xlfn.XLOOKUP(A3590,[1]!DadosGHD[CD_GEOCMU],[1]!DadosGHD[MUNICIPIO])</f>
        <v>CARMO DO RIO VERDE</v>
      </c>
      <c r="F3590" s="6">
        <v>43.673995971679702</v>
      </c>
      <c r="G3590" s="6">
        <v>48.650123596191399</v>
      </c>
      <c r="H3590" s="6">
        <v>43.829421997070298</v>
      </c>
      <c r="I3590" s="6">
        <v>43.799976348877003</v>
      </c>
      <c r="J3590" s="6">
        <v>43.807540893554702</v>
      </c>
      <c r="K3590" s="6">
        <v>43.849643707275398</v>
      </c>
      <c r="L3590" s="6">
        <v>35.137657165527301</v>
      </c>
    </row>
    <row r="3591" spans="1:12" x14ac:dyDescent="0.25">
      <c r="A3591">
        <v>2411601</v>
      </c>
      <c r="B3591" t="str">
        <f t="shared" si="56"/>
        <v>SAO BENTO DO NORTE, RN, Brasil</v>
      </c>
      <c r="C3591" s="4" t="str">
        <f>_xlfn.XLOOKUP(A3591,[1]!DadosGHD[CD_GEOCMU],[1]!DadosGHD[Região])</f>
        <v>NE</v>
      </c>
      <c r="D3591" s="4" t="str">
        <f>_xlfn.XLOOKUP(A3591,[1]!DadosGHD[CD_GEOCMU],[1]!DadosGHD[uf])</f>
        <v>RN</v>
      </c>
      <c r="E3591" s="5" t="str">
        <f>_xlfn.XLOOKUP(A3591,[1]!DadosGHD[CD_GEOCMU],[1]!DadosGHD[MUNICIPIO])</f>
        <v>SAO BENTO DO NORTE</v>
      </c>
      <c r="F3591" s="6">
        <v>43.674072265625</v>
      </c>
      <c r="G3591" s="6">
        <v>43.671474456787102</v>
      </c>
      <c r="H3591" s="6">
        <v>43.723545074462898</v>
      </c>
      <c r="I3591" s="6">
        <v>43.699195861816399</v>
      </c>
      <c r="J3591" s="6">
        <v>43.723850250244098</v>
      </c>
      <c r="K3591" s="6">
        <v>43.7679252624512</v>
      </c>
      <c r="L3591" s="6">
        <v>30.7048950195313</v>
      </c>
    </row>
    <row r="3592" spans="1:12" x14ac:dyDescent="0.25">
      <c r="A3592">
        <v>4215455</v>
      </c>
      <c r="B3592" t="str">
        <f t="shared" si="56"/>
        <v>SANGAO, SC, Brasil</v>
      </c>
      <c r="C3592" s="4" t="str">
        <f>_xlfn.XLOOKUP(A3592,[1]!DadosGHD[CD_GEOCMU],[1]!DadosGHD[Região])</f>
        <v>SL</v>
      </c>
      <c r="D3592" s="4" t="str">
        <f>_xlfn.XLOOKUP(A3592,[1]!DadosGHD[CD_GEOCMU],[1]!DadosGHD[uf])</f>
        <v>SC</v>
      </c>
      <c r="E3592" s="5" t="str">
        <f>_xlfn.XLOOKUP(A3592,[1]!DadosGHD[CD_GEOCMU],[1]!DadosGHD[MUNICIPIO])</f>
        <v>SANGAO</v>
      </c>
      <c r="F3592" s="6">
        <v>43.674076080322301</v>
      </c>
      <c r="G3592" s="6">
        <v>48.642894744873097</v>
      </c>
      <c r="H3592" s="6">
        <v>43.816925048828097</v>
      </c>
      <c r="I3592" s="6">
        <v>43.679119110107401</v>
      </c>
      <c r="J3592" s="6">
        <v>38.815391540527301</v>
      </c>
      <c r="K3592" s="6">
        <v>38.814018249511697</v>
      </c>
      <c r="L3592" s="6">
        <v>35.134281158447301</v>
      </c>
    </row>
    <row r="3593" spans="1:12" x14ac:dyDescent="0.25">
      <c r="A3593">
        <v>3155702</v>
      </c>
      <c r="B3593" t="str">
        <f t="shared" si="56"/>
        <v>RIO PIRACICABA, MG, Brasil</v>
      </c>
      <c r="C3593" s="4" t="str">
        <f>_xlfn.XLOOKUP(A3593,[1]!DadosGHD[CD_GEOCMU],[1]!DadosGHD[Região])</f>
        <v>SD</v>
      </c>
      <c r="D3593" s="4" t="str">
        <f>_xlfn.XLOOKUP(A3593,[1]!DadosGHD[CD_GEOCMU],[1]!DadosGHD[uf])</f>
        <v>MG</v>
      </c>
      <c r="E3593" s="5" t="str">
        <f>_xlfn.XLOOKUP(A3593,[1]!DadosGHD[CD_GEOCMU],[1]!DadosGHD[MUNICIPIO])</f>
        <v>RIO PIRACICABA</v>
      </c>
      <c r="F3593" s="6">
        <v>43.674415588378899</v>
      </c>
      <c r="G3593" s="6">
        <v>48.654918670654297</v>
      </c>
      <c r="H3593" s="6">
        <v>48.715480804443402</v>
      </c>
      <c r="I3593" s="6">
        <v>48.700145721435597</v>
      </c>
      <c r="J3593" s="6">
        <v>48.734378814697301</v>
      </c>
      <c r="K3593" s="6">
        <v>48.796760559082003</v>
      </c>
      <c r="L3593" s="6">
        <v>48.541275024414098</v>
      </c>
    </row>
    <row r="3594" spans="1:12" x14ac:dyDescent="0.25">
      <c r="A3594">
        <v>5000856</v>
      </c>
      <c r="B3594" t="str">
        <f t="shared" si="56"/>
        <v>ANGELICA, MS, Brasil</v>
      </c>
      <c r="C3594" s="4" t="str">
        <f>_xlfn.XLOOKUP(A3594,[1]!DadosGHD[CD_GEOCMU],[1]!DadosGHD[Região])</f>
        <v>CO</v>
      </c>
      <c r="D3594" s="4" t="str">
        <f>_xlfn.XLOOKUP(A3594,[1]!DadosGHD[CD_GEOCMU],[1]!DadosGHD[uf])</f>
        <v>MS</v>
      </c>
      <c r="E3594" s="5" t="str">
        <f>_xlfn.XLOOKUP(A3594,[1]!DadosGHD[CD_GEOCMU],[1]!DadosGHD[MUNICIPIO])</f>
        <v>ANGELICA</v>
      </c>
      <c r="F3594" s="6">
        <v>43.6744575500488</v>
      </c>
      <c r="G3594" s="6">
        <v>43.741634368896499</v>
      </c>
      <c r="H3594" s="6">
        <v>43.793685913085902</v>
      </c>
      <c r="I3594" s="6">
        <v>43.750686645507798</v>
      </c>
      <c r="J3594" s="6">
        <v>38.834114074707003</v>
      </c>
      <c r="K3594" s="6">
        <v>43.807903289794901</v>
      </c>
      <c r="L3594" s="6">
        <v>39.575462341308601</v>
      </c>
    </row>
    <row r="3595" spans="1:12" x14ac:dyDescent="0.25">
      <c r="A3595">
        <v>3168101</v>
      </c>
      <c r="B3595" t="str">
        <f t="shared" si="56"/>
        <v>TAPIRA, MG, Brasil</v>
      </c>
      <c r="C3595" s="4" t="str">
        <f>_xlfn.XLOOKUP(A3595,[1]!DadosGHD[CD_GEOCMU],[1]!DadosGHD[Região])</f>
        <v>SD</v>
      </c>
      <c r="D3595" s="4" t="str">
        <f>_xlfn.XLOOKUP(A3595,[1]!DadosGHD[CD_GEOCMU],[1]!DadosGHD[uf])</f>
        <v>MG</v>
      </c>
      <c r="E3595" s="5" t="str">
        <f>_xlfn.XLOOKUP(A3595,[1]!DadosGHD[CD_GEOCMU],[1]!DadosGHD[MUNICIPIO])</f>
        <v>TAPIRA</v>
      </c>
      <c r="F3595" s="6">
        <v>43.674560546875</v>
      </c>
      <c r="G3595" s="6">
        <v>53.6839408874512</v>
      </c>
      <c r="H3595" s="6">
        <v>48.841354370117202</v>
      </c>
      <c r="I3595" s="6">
        <v>53.764705657958999</v>
      </c>
      <c r="J3595" s="6">
        <v>58.9629516601563</v>
      </c>
      <c r="K3595" s="6">
        <v>53.931461334228501</v>
      </c>
      <c r="L3595" s="6">
        <v>52.988407135009801</v>
      </c>
    </row>
    <row r="3596" spans="1:12" x14ac:dyDescent="0.25">
      <c r="A3596">
        <v>4127106</v>
      </c>
      <c r="B3596" t="str">
        <f t="shared" si="56"/>
        <v>TELEMACO BORBA, PR, Brasil</v>
      </c>
      <c r="C3596" s="4" t="str">
        <f>_xlfn.XLOOKUP(A3596,[1]!DadosGHD[CD_GEOCMU],[1]!DadosGHD[Região])</f>
        <v>SL</v>
      </c>
      <c r="D3596" s="4" t="str">
        <f>_xlfn.XLOOKUP(A3596,[1]!DadosGHD[CD_GEOCMU],[1]!DadosGHD[uf])</f>
        <v>PR</v>
      </c>
      <c r="E3596" s="5" t="str">
        <f>_xlfn.XLOOKUP(A3596,[1]!DadosGHD[CD_GEOCMU],[1]!DadosGHD[MUNICIPIO])</f>
        <v>TELEMACO BORBA</v>
      </c>
      <c r="F3596" s="6">
        <v>43.674686431884801</v>
      </c>
      <c r="G3596" s="6">
        <v>43.764579772949197</v>
      </c>
      <c r="H3596" s="6">
        <v>48.803031921386697</v>
      </c>
      <c r="I3596" s="6">
        <v>48.750991821289098</v>
      </c>
      <c r="J3596" s="6">
        <v>48.736778259277301</v>
      </c>
      <c r="K3596" s="6">
        <v>48.784755706787102</v>
      </c>
      <c r="L3596" s="6">
        <v>53.003108978271499</v>
      </c>
    </row>
    <row r="3597" spans="1:12" x14ac:dyDescent="0.25">
      <c r="A3597">
        <v>4305447</v>
      </c>
      <c r="B3597" t="str">
        <f t="shared" si="56"/>
        <v>CHUVISCA, RS, Brasil</v>
      </c>
      <c r="C3597" s="4" t="str">
        <f>_xlfn.XLOOKUP(A3597,[1]!DadosGHD[CD_GEOCMU],[1]!DadosGHD[Região])</f>
        <v>SL</v>
      </c>
      <c r="D3597" s="4" t="str">
        <f>_xlfn.XLOOKUP(A3597,[1]!DadosGHD[CD_GEOCMU],[1]!DadosGHD[uf])</f>
        <v>RS</v>
      </c>
      <c r="E3597" s="5" t="str">
        <f>_xlfn.XLOOKUP(A3597,[1]!DadosGHD[CD_GEOCMU],[1]!DadosGHD[MUNICIPIO])</f>
        <v>CHUVISCA</v>
      </c>
      <c r="F3597" s="6">
        <v>43.674774169921903</v>
      </c>
      <c r="G3597" s="6">
        <v>38.776229858398402</v>
      </c>
      <c r="H3597" s="6">
        <v>38.818336486816399</v>
      </c>
      <c r="I3597" s="6">
        <v>38.782184600830099</v>
      </c>
      <c r="J3597" s="6">
        <v>38.818733215332003</v>
      </c>
      <c r="K3597" s="6">
        <v>43.756515502929702</v>
      </c>
      <c r="L3597" s="6">
        <v>39.576889038085902</v>
      </c>
    </row>
    <row r="3598" spans="1:12" x14ac:dyDescent="0.25">
      <c r="A3598">
        <v>4312054</v>
      </c>
      <c r="B3598" t="str">
        <f t="shared" si="56"/>
        <v>MARQUES DE SOUZA, RS, Brasil</v>
      </c>
      <c r="C3598" s="4" t="str">
        <f>_xlfn.XLOOKUP(A3598,[1]!DadosGHD[CD_GEOCMU],[1]!DadosGHD[Região])</f>
        <v>SL</v>
      </c>
      <c r="D3598" s="4" t="str">
        <f>_xlfn.XLOOKUP(A3598,[1]!DadosGHD[CD_GEOCMU],[1]!DadosGHD[uf])</f>
        <v>RS</v>
      </c>
      <c r="E3598" s="5" t="str">
        <f>_xlfn.XLOOKUP(A3598,[1]!DadosGHD[CD_GEOCMU],[1]!DadosGHD[MUNICIPIO])</f>
        <v>MARQUES DE SOUZA</v>
      </c>
      <c r="F3598" s="6">
        <v>43.674827575683601</v>
      </c>
      <c r="G3598" s="6">
        <v>48.738128662109403</v>
      </c>
      <c r="H3598" s="6">
        <v>48.837516784667997</v>
      </c>
      <c r="I3598" s="6">
        <v>53.837642669677699</v>
      </c>
      <c r="J3598" s="6">
        <v>58.9472045898438</v>
      </c>
      <c r="K3598" s="6">
        <v>59.009117126464801</v>
      </c>
      <c r="L3598" s="6">
        <v>53.010974884033203</v>
      </c>
    </row>
    <row r="3599" spans="1:12" x14ac:dyDescent="0.25">
      <c r="A3599">
        <v>3522158</v>
      </c>
      <c r="B3599" t="str">
        <f t="shared" si="56"/>
        <v>ITAOCA, SP, Brasil</v>
      </c>
      <c r="C3599" s="4" t="str">
        <f>_xlfn.XLOOKUP(A3599,[1]!DadosGHD[CD_GEOCMU],[1]!DadosGHD[Região])</f>
        <v>SD</v>
      </c>
      <c r="D3599" s="4" t="str">
        <f>_xlfn.XLOOKUP(A3599,[1]!DadosGHD[CD_GEOCMU],[1]!DadosGHD[uf])</f>
        <v>SP</v>
      </c>
      <c r="E3599" s="5" t="str">
        <f>_xlfn.XLOOKUP(A3599,[1]!DadosGHD[CD_GEOCMU],[1]!DadosGHD[MUNICIPIO])</f>
        <v>ITAOCA</v>
      </c>
      <c r="F3599" s="6">
        <v>43.6749458312988</v>
      </c>
      <c r="G3599" s="6">
        <v>43.676334381103501</v>
      </c>
      <c r="H3599" s="6">
        <v>43.752128601074197</v>
      </c>
      <c r="I3599" s="6">
        <v>43.719673156738303</v>
      </c>
      <c r="J3599" s="6">
        <v>43.711647033691399</v>
      </c>
      <c r="K3599" s="6">
        <v>38.881805419921903</v>
      </c>
      <c r="L3599" s="6">
        <v>35.114997863769503</v>
      </c>
    </row>
    <row r="3600" spans="1:12" x14ac:dyDescent="0.25">
      <c r="A3600">
        <v>3531209</v>
      </c>
      <c r="B3600" t="str">
        <f t="shared" si="56"/>
        <v>MONTE ALEGRE DO SUL, SP, Brasil</v>
      </c>
      <c r="C3600" s="4" t="str">
        <f>_xlfn.XLOOKUP(A3600,[1]!DadosGHD[CD_GEOCMU],[1]!DadosGHD[Região])</f>
        <v>SD</v>
      </c>
      <c r="D3600" s="4" t="str">
        <f>_xlfn.XLOOKUP(A3600,[1]!DadosGHD[CD_GEOCMU],[1]!DadosGHD[uf])</f>
        <v>SP</v>
      </c>
      <c r="E3600" s="5" t="str">
        <f>_xlfn.XLOOKUP(A3600,[1]!DadosGHD[CD_GEOCMU],[1]!DadosGHD[MUNICIPIO])</f>
        <v>MONTE ALEGRE DO SUL</v>
      </c>
      <c r="F3600" s="6">
        <v>43.675098419189503</v>
      </c>
      <c r="G3600" s="6">
        <v>43.724365234375</v>
      </c>
      <c r="H3600" s="6">
        <v>43.747306823730497</v>
      </c>
      <c r="I3600" s="6">
        <v>43.769416809082003</v>
      </c>
      <c r="J3600" s="6">
        <v>48.809608459472699</v>
      </c>
      <c r="K3600" s="6">
        <v>43.846530914306598</v>
      </c>
      <c r="L3600" s="6">
        <v>39.598194122314503</v>
      </c>
    </row>
    <row r="3601" spans="1:12" x14ac:dyDescent="0.25">
      <c r="A3601">
        <v>3140902</v>
      </c>
      <c r="B3601" t="str">
        <f t="shared" si="56"/>
        <v>MATIPO, MG, Brasil</v>
      </c>
      <c r="C3601" s="4" t="str">
        <f>_xlfn.XLOOKUP(A3601,[1]!DadosGHD[CD_GEOCMU],[1]!DadosGHD[Região])</f>
        <v>SD</v>
      </c>
      <c r="D3601" s="4" t="str">
        <f>_xlfn.XLOOKUP(A3601,[1]!DadosGHD[CD_GEOCMU],[1]!DadosGHD[uf])</f>
        <v>MG</v>
      </c>
      <c r="E3601" s="5" t="str">
        <f>_xlfn.XLOOKUP(A3601,[1]!DadosGHD[CD_GEOCMU],[1]!DadosGHD[MUNICIPIO])</f>
        <v>MATIPO</v>
      </c>
      <c r="F3601" s="6">
        <v>43.675544738769503</v>
      </c>
      <c r="G3601" s="6">
        <v>43.6882514953613</v>
      </c>
      <c r="H3601" s="6">
        <v>43.747829437255902</v>
      </c>
      <c r="I3601" s="6">
        <v>43.7021675109863</v>
      </c>
      <c r="J3601" s="6">
        <v>38.839340209960902</v>
      </c>
      <c r="K3601" s="6">
        <v>38.863822937011697</v>
      </c>
      <c r="L3601" s="6">
        <v>35.158653259277301</v>
      </c>
    </row>
    <row r="3602" spans="1:12" x14ac:dyDescent="0.25">
      <c r="A3602">
        <v>3300407</v>
      </c>
      <c r="B3602" t="str">
        <f t="shared" si="56"/>
        <v>BARRA MANSA, RJ, Brasil</v>
      </c>
      <c r="C3602" s="4" t="str">
        <f>_xlfn.XLOOKUP(A3602,[1]!DadosGHD[CD_GEOCMU],[1]!DadosGHD[Região])</f>
        <v>SD</v>
      </c>
      <c r="D3602" s="4" t="str">
        <f>_xlfn.XLOOKUP(A3602,[1]!DadosGHD[CD_GEOCMU],[1]!DadosGHD[uf])</f>
        <v>RJ</v>
      </c>
      <c r="E3602" s="5" t="str">
        <f>_xlfn.XLOOKUP(A3602,[1]!DadosGHD[CD_GEOCMU],[1]!DadosGHD[MUNICIPIO])</f>
        <v>BARRA MANSA</v>
      </c>
      <c r="F3602" s="6">
        <v>43.675674438476598</v>
      </c>
      <c r="G3602" s="6">
        <v>48.670688629150398</v>
      </c>
      <c r="H3602" s="6">
        <v>48.727672576904297</v>
      </c>
      <c r="I3602" s="6">
        <v>43.762172698974602</v>
      </c>
      <c r="J3602" s="6">
        <v>43.746139526367202</v>
      </c>
      <c r="K3602" s="6">
        <v>43.779838562011697</v>
      </c>
      <c r="L3602" s="6">
        <v>48.489368438720703</v>
      </c>
    </row>
    <row r="3603" spans="1:12" x14ac:dyDescent="0.25">
      <c r="A3603">
        <v>3537800</v>
      </c>
      <c r="B3603" t="str">
        <f t="shared" si="56"/>
        <v>PIEDADE, SP, Brasil</v>
      </c>
      <c r="C3603" s="4" t="str">
        <f>_xlfn.XLOOKUP(A3603,[1]!DadosGHD[CD_GEOCMU],[1]!DadosGHD[Região])</f>
        <v>SD</v>
      </c>
      <c r="D3603" s="4" t="str">
        <f>_xlfn.XLOOKUP(A3603,[1]!DadosGHD[CD_GEOCMU],[1]!DadosGHD[uf])</f>
        <v>SP</v>
      </c>
      <c r="E3603" s="5" t="str">
        <f>_xlfn.XLOOKUP(A3603,[1]!DadosGHD[CD_GEOCMU],[1]!DadosGHD[MUNICIPIO])</f>
        <v>PIEDADE</v>
      </c>
      <c r="F3603" s="6">
        <v>43.675701141357401</v>
      </c>
      <c r="G3603" s="6">
        <v>43.753929138183601</v>
      </c>
      <c r="H3603" s="6">
        <v>43.744426727294901</v>
      </c>
      <c r="I3603" s="6">
        <v>43.6935005187988</v>
      </c>
      <c r="J3603" s="6">
        <v>43.714664459228501</v>
      </c>
      <c r="K3603" s="6">
        <v>38.862724304199197</v>
      </c>
      <c r="L3603" s="6">
        <v>44.026771545410199</v>
      </c>
    </row>
    <row r="3604" spans="1:12" x14ac:dyDescent="0.25">
      <c r="A3604">
        <v>3541059</v>
      </c>
      <c r="B3604" t="str">
        <f t="shared" si="56"/>
        <v>PRATANIA, SP, Brasil</v>
      </c>
      <c r="C3604" s="4" t="str">
        <f>_xlfn.XLOOKUP(A3604,[1]!DadosGHD[CD_GEOCMU],[1]!DadosGHD[Região])</f>
        <v>SD</v>
      </c>
      <c r="D3604" s="4" t="str">
        <f>_xlfn.XLOOKUP(A3604,[1]!DadosGHD[CD_GEOCMU],[1]!DadosGHD[uf])</f>
        <v>SP</v>
      </c>
      <c r="E3604" s="5" t="str">
        <f>_xlfn.XLOOKUP(A3604,[1]!DadosGHD[CD_GEOCMU],[1]!DadosGHD[MUNICIPIO])</f>
        <v>PRATANIA</v>
      </c>
      <c r="F3604" s="6">
        <v>43.675716400146499</v>
      </c>
      <c r="G3604" s="6">
        <v>43.7368354797363</v>
      </c>
      <c r="H3604" s="6">
        <v>48.818580627441399</v>
      </c>
      <c r="I3604" s="6">
        <v>48.815696716308601</v>
      </c>
      <c r="J3604" s="6">
        <v>53.761665344238303</v>
      </c>
      <c r="K3604" s="6">
        <v>53.8133544921875</v>
      </c>
      <c r="L3604" s="6">
        <v>57.533565521240199</v>
      </c>
    </row>
    <row r="3605" spans="1:12" x14ac:dyDescent="0.25">
      <c r="A3605">
        <v>4104709</v>
      </c>
      <c r="B3605" t="str">
        <f t="shared" si="56"/>
        <v>CARLOPOLIS, PR, Brasil</v>
      </c>
      <c r="C3605" s="4" t="str">
        <f>_xlfn.XLOOKUP(A3605,[1]!DadosGHD[CD_GEOCMU],[1]!DadosGHD[Região])</f>
        <v>SL</v>
      </c>
      <c r="D3605" s="4" t="str">
        <f>_xlfn.XLOOKUP(A3605,[1]!DadosGHD[CD_GEOCMU],[1]!DadosGHD[uf])</f>
        <v>PR</v>
      </c>
      <c r="E3605" s="5" t="str">
        <f>_xlfn.XLOOKUP(A3605,[1]!DadosGHD[CD_GEOCMU],[1]!DadosGHD[MUNICIPIO])</f>
        <v>CARLOPOLIS</v>
      </c>
      <c r="F3605" s="6">
        <v>43.675979614257798</v>
      </c>
      <c r="G3605" s="6">
        <v>48.678279876708999</v>
      </c>
      <c r="H3605" s="6">
        <v>48.750648498535199</v>
      </c>
      <c r="I3605" s="6">
        <v>48.779373168945298</v>
      </c>
      <c r="J3605" s="6">
        <v>48.778751373291001</v>
      </c>
      <c r="K3605" s="6">
        <v>53.824375152587898</v>
      </c>
      <c r="L3605" s="6">
        <v>44.066165924072301</v>
      </c>
    </row>
    <row r="3606" spans="1:12" x14ac:dyDescent="0.25">
      <c r="A3606">
        <v>3141603</v>
      </c>
      <c r="B3606" t="str">
        <f t="shared" si="56"/>
        <v>MERCES, MG, Brasil</v>
      </c>
      <c r="C3606" s="4" t="str">
        <f>_xlfn.XLOOKUP(A3606,[1]!DadosGHD[CD_GEOCMU],[1]!DadosGHD[Região])</f>
        <v>SD</v>
      </c>
      <c r="D3606" s="4" t="str">
        <f>_xlfn.XLOOKUP(A3606,[1]!DadosGHD[CD_GEOCMU],[1]!DadosGHD[uf])</f>
        <v>MG</v>
      </c>
      <c r="E3606" s="5" t="str">
        <f>_xlfn.XLOOKUP(A3606,[1]!DadosGHD[CD_GEOCMU],[1]!DadosGHD[MUNICIPIO])</f>
        <v>MERCES</v>
      </c>
      <c r="F3606" s="6">
        <v>43.676239013671903</v>
      </c>
      <c r="G3606" s="6">
        <v>43.716701507568402</v>
      </c>
      <c r="H3606" s="6">
        <v>43.770137786865199</v>
      </c>
      <c r="I3606" s="6">
        <v>43.787105560302699</v>
      </c>
      <c r="J3606" s="6">
        <v>48.709568023681598</v>
      </c>
      <c r="K3606" s="6">
        <v>43.884803771972699</v>
      </c>
      <c r="L3606" s="6">
        <v>39.570838928222699</v>
      </c>
    </row>
    <row r="3607" spans="1:12" x14ac:dyDescent="0.25">
      <c r="A3607">
        <v>3537909</v>
      </c>
      <c r="B3607" t="str">
        <f t="shared" si="56"/>
        <v>PILAR DO SUL, SP, Brasil</v>
      </c>
      <c r="C3607" s="4" t="str">
        <f>_xlfn.XLOOKUP(A3607,[1]!DadosGHD[CD_GEOCMU],[1]!DadosGHD[Região])</f>
        <v>SD</v>
      </c>
      <c r="D3607" s="4" t="str">
        <f>_xlfn.XLOOKUP(A3607,[1]!DadosGHD[CD_GEOCMU],[1]!DadosGHD[uf])</f>
        <v>SP</v>
      </c>
      <c r="E3607" s="5" t="str">
        <f>_xlfn.XLOOKUP(A3607,[1]!DadosGHD[CD_GEOCMU],[1]!DadosGHD[MUNICIPIO])</f>
        <v>PILAR DO SUL</v>
      </c>
      <c r="F3607" s="6">
        <v>43.676383972167997</v>
      </c>
      <c r="G3607" s="6">
        <v>43.757965087890597</v>
      </c>
      <c r="H3607" s="6">
        <v>43.797908782958999</v>
      </c>
      <c r="I3607" s="6">
        <v>43.743629455566399</v>
      </c>
      <c r="J3607" s="6">
        <v>38.846328735351598</v>
      </c>
      <c r="K3607" s="6">
        <v>38.870841979980497</v>
      </c>
      <c r="L3607" s="6">
        <v>35.1322631835938</v>
      </c>
    </row>
    <row r="3608" spans="1:12" x14ac:dyDescent="0.25">
      <c r="A3608">
        <v>1721208</v>
      </c>
      <c r="B3608" t="str">
        <f t="shared" si="56"/>
        <v>TOCANTINOPOLIS, TO, Brasil</v>
      </c>
      <c r="C3608" s="4" t="str">
        <f>_xlfn.XLOOKUP(A3608,[1]!DadosGHD[CD_GEOCMU],[1]!DadosGHD[Região])</f>
        <v>NO</v>
      </c>
      <c r="D3608" s="4" t="str">
        <f>_xlfn.XLOOKUP(A3608,[1]!DadosGHD[CD_GEOCMU],[1]!DadosGHD[uf])</f>
        <v>TO</v>
      </c>
      <c r="E3608" s="5" t="str">
        <f>_xlfn.XLOOKUP(A3608,[1]!DadosGHD[CD_GEOCMU],[1]!DadosGHD[MUNICIPIO])</f>
        <v>TOCANTINOPOLIS</v>
      </c>
      <c r="F3608" s="6">
        <v>43.676460266113303</v>
      </c>
      <c r="G3608" s="6">
        <v>48.654132843017599</v>
      </c>
      <c r="H3608" s="6">
        <v>43.814144134521499</v>
      </c>
      <c r="I3608" s="6">
        <v>43.786258697509801</v>
      </c>
      <c r="J3608" s="6">
        <v>43.782875061035199</v>
      </c>
      <c r="K3608" s="6">
        <v>43.829010009765597</v>
      </c>
      <c r="L3608" s="6">
        <v>30.710962295532202</v>
      </c>
    </row>
    <row r="3609" spans="1:12" x14ac:dyDescent="0.25">
      <c r="A3609">
        <v>5201405</v>
      </c>
      <c r="B3609" t="str">
        <f t="shared" si="56"/>
        <v>APARECIDA DE GOIANIA, GO, Brasil</v>
      </c>
      <c r="C3609" s="4" t="str">
        <f>_xlfn.XLOOKUP(A3609,[1]!DadosGHD[CD_GEOCMU],[1]!DadosGHD[Região])</f>
        <v>CO</v>
      </c>
      <c r="D3609" s="4" t="str">
        <f>_xlfn.XLOOKUP(A3609,[1]!DadosGHD[CD_GEOCMU],[1]!DadosGHD[uf])</f>
        <v>GO</v>
      </c>
      <c r="E3609" s="5" t="str">
        <f>_xlfn.XLOOKUP(A3609,[1]!DadosGHD[CD_GEOCMU],[1]!DadosGHD[MUNICIPIO])</f>
        <v>APARECIDA DE GOIANIA</v>
      </c>
      <c r="F3609" s="6">
        <v>43.676780700683601</v>
      </c>
      <c r="G3609" s="6">
        <v>48.638313293457003</v>
      </c>
      <c r="H3609" s="6">
        <v>43.799026489257798</v>
      </c>
      <c r="I3609" s="6">
        <v>43.762786865234403</v>
      </c>
      <c r="J3609" s="6">
        <v>43.780723571777301</v>
      </c>
      <c r="K3609" s="6">
        <v>43.814945220947301</v>
      </c>
      <c r="L3609" s="6">
        <v>48.552326202392599</v>
      </c>
    </row>
    <row r="3610" spans="1:12" x14ac:dyDescent="0.25">
      <c r="A3610">
        <v>3141702</v>
      </c>
      <c r="B3610" t="str">
        <f t="shared" si="56"/>
        <v>MESQUITA, MG, Brasil</v>
      </c>
      <c r="C3610" s="4" t="str">
        <f>_xlfn.XLOOKUP(A3610,[1]!DadosGHD[CD_GEOCMU],[1]!DadosGHD[Região])</f>
        <v>SD</v>
      </c>
      <c r="D3610" s="4" t="str">
        <f>_xlfn.XLOOKUP(A3610,[1]!DadosGHD[CD_GEOCMU],[1]!DadosGHD[uf])</f>
        <v>MG</v>
      </c>
      <c r="E3610" s="5" t="str">
        <f>_xlfn.XLOOKUP(A3610,[1]!DadosGHD[CD_GEOCMU],[1]!DadosGHD[MUNICIPIO])</f>
        <v>MESQUITA</v>
      </c>
      <c r="F3610" s="6">
        <v>43.676906585693402</v>
      </c>
      <c r="G3610" s="6">
        <v>33.830940246582003</v>
      </c>
      <c r="H3610" s="6">
        <v>33.867000579833999</v>
      </c>
      <c r="I3610" s="6">
        <v>38.795158386230497</v>
      </c>
      <c r="J3610" s="6">
        <v>38.809703826904297</v>
      </c>
      <c r="K3610" s="6">
        <v>43.773323059082003</v>
      </c>
      <c r="L3610" s="6">
        <v>44.016307830810597</v>
      </c>
    </row>
    <row r="3611" spans="1:12" x14ac:dyDescent="0.25">
      <c r="A3611">
        <v>3169000</v>
      </c>
      <c r="B3611" t="str">
        <f t="shared" si="56"/>
        <v>TOCANTINS, MG, Brasil</v>
      </c>
      <c r="C3611" s="4" t="str">
        <f>_xlfn.XLOOKUP(A3611,[1]!DadosGHD[CD_GEOCMU],[1]!DadosGHD[Região])</f>
        <v>SD</v>
      </c>
      <c r="D3611" s="4" t="str">
        <f>_xlfn.XLOOKUP(A3611,[1]!DadosGHD[CD_GEOCMU],[1]!DadosGHD[uf])</f>
        <v>MG</v>
      </c>
      <c r="E3611" s="5" t="str">
        <f>_xlfn.XLOOKUP(A3611,[1]!DadosGHD[CD_GEOCMU],[1]!DadosGHD[MUNICIPIO])</f>
        <v>TOCANTINS</v>
      </c>
      <c r="F3611" s="6">
        <v>43.676959991455099</v>
      </c>
      <c r="G3611" s="6">
        <v>43.760036468505902</v>
      </c>
      <c r="H3611" s="6">
        <v>43.832462310791001</v>
      </c>
      <c r="I3611" s="6">
        <v>48.678256988525398</v>
      </c>
      <c r="J3611" s="6">
        <v>43.745914459228501</v>
      </c>
      <c r="K3611" s="6">
        <v>38.879295349121101</v>
      </c>
      <c r="L3611" s="6">
        <v>39.574863433837898</v>
      </c>
    </row>
    <row r="3612" spans="1:12" x14ac:dyDescent="0.25">
      <c r="A3612">
        <v>3507308</v>
      </c>
      <c r="B3612" t="str">
        <f t="shared" si="56"/>
        <v>BORACEIA, SP, Brasil</v>
      </c>
      <c r="C3612" s="4" t="str">
        <f>_xlfn.XLOOKUP(A3612,[1]!DadosGHD[CD_GEOCMU],[1]!DadosGHD[Região])</f>
        <v>SD</v>
      </c>
      <c r="D3612" s="4" t="str">
        <f>_xlfn.XLOOKUP(A3612,[1]!DadosGHD[CD_GEOCMU],[1]!DadosGHD[uf])</f>
        <v>SP</v>
      </c>
      <c r="E3612" s="5" t="str">
        <f>_xlfn.XLOOKUP(A3612,[1]!DadosGHD[CD_GEOCMU],[1]!DadosGHD[MUNICIPIO])</f>
        <v>BORACEIA</v>
      </c>
      <c r="F3612" s="6">
        <v>43.677051544189503</v>
      </c>
      <c r="G3612" s="6">
        <v>43.739917755127003</v>
      </c>
      <c r="H3612" s="6">
        <v>43.787376403808601</v>
      </c>
      <c r="I3612" s="6">
        <v>48.792934417724602</v>
      </c>
      <c r="J3612" s="6">
        <v>48.81689453125</v>
      </c>
      <c r="K3612" s="6">
        <v>53.837711334228501</v>
      </c>
      <c r="L3612" s="6">
        <v>53.033943176269503</v>
      </c>
    </row>
    <row r="3613" spans="1:12" x14ac:dyDescent="0.25">
      <c r="A3613">
        <v>4116406</v>
      </c>
      <c r="B3613" t="str">
        <f t="shared" si="56"/>
        <v>NOSSA SENHORA DAS GRACAS, PR, Brasil</v>
      </c>
      <c r="C3613" s="4" t="str">
        <f>_xlfn.XLOOKUP(A3613,[1]!DadosGHD[CD_GEOCMU],[1]!DadosGHD[Região])</f>
        <v>SL</v>
      </c>
      <c r="D3613" s="4" t="str">
        <f>_xlfn.XLOOKUP(A3613,[1]!DadosGHD[CD_GEOCMU],[1]!DadosGHD[uf])</f>
        <v>PR</v>
      </c>
      <c r="E3613" s="5" t="str">
        <f>_xlfn.XLOOKUP(A3613,[1]!DadosGHD[CD_GEOCMU],[1]!DadosGHD[MUNICIPIO])</f>
        <v>NOSSA SENHORA DAS GRACAS</v>
      </c>
      <c r="F3613" s="6">
        <v>43.677371978759801</v>
      </c>
      <c r="G3613" s="6">
        <v>43.699825286865199</v>
      </c>
      <c r="H3613" s="6">
        <v>43.805240631103501</v>
      </c>
      <c r="I3613" s="6">
        <v>43.800769805908203</v>
      </c>
      <c r="J3613" s="6">
        <v>48.730434417724602</v>
      </c>
      <c r="K3613" s="6">
        <v>48.852718353271499</v>
      </c>
      <c r="L3613" s="6">
        <v>53.027408599853501</v>
      </c>
    </row>
    <row r="3614" spans="1:12" x14ac:dyDescent="0.25">
      <c r="A3614">
        <v>5200308</v>
      </c>
      <c r="B3614" t="str">
        <f t="shared" si="56"/>
        <v>ALEXANIA, GO, Brasil</v>
      </c>
      <c r="C3614" s="4" t="str">
        <f>_xlfn.XLOOKUP(A3614,[1]!DadosGHD[CD_GEOCMU],[1]!DadosGHD[Região])</f>
        <v>CO</v>
      </c>
      <c r="D3614" s="4" t="str">
        <f>_xlfn.XLOOKUP(A3614,[1]!DadosGHD[CD_GEOCMU],[1]!DadosGHD[uf])</f>
        <v>GO</v>
      </c>
      <c r="E3614" s="5" t="str">
        <f>_xlfn.XLOOKUP(A3614,[1]!DadosGHD[CD_GEOCMU],[1]!DadosGHD[MUNICIPIO])</f>
        <v>ALEXANIA</v>
      </c>
      <c r="F3614" s="6">
        <v>43.677433013916001</v>
      </c>
      <c r="G3614" s="6">
        <v>43.744861602783203</v>
      </c>
      <c r="H3614" s="6">
        <v>43.810432434082003</v>
      </c>
      <c r="I3614" s="6">
        <v>48.676799774169901</v>
      </c>
      <c r="J3614" s="6">
        <v>43.825634002685597</v>
      </c>
      <c r="K3614" s="6">
        <v>43.811264038085902</v>
      </c>
      <c r="L3614" s="6">
        <v>39.5942993164063</v>
      </c>
    </row>
    <row r="3615" spans="1:12" x14ac:dyDescent="0.25">
      <c r="A3615">
        <v>4305355</v>
      </c>
      <c r="B3615" t="str">
        <f t="shared" si="56"/>
        <v>CHARQUEADAS, RS, Brasil</v>
      </c>
      <c r="C3615" s="4" t="str">
        <f>_xlfn.XLOOKUP(A3615,[1]!DadosGHD[CD_GEOCMU],[1]!DadosGHD[Região])</f>
        <v>SL</v>
      </c>
      <c r="D3615" s="4" t="str">
        <f>_xlfn.XLOOKUP(A3615,[1]!DadosGHD[CD_GEOCMU],[1]!DadosGHD[uf])</f>
        <v>RS</v>
      </c>
      <c r="E3615" s="5" t="str">
        <f>_xlfn.XLOOKUP(A3615,[1]!DadosGHD[CD_GEOCMU],[1]!DadosGHD[MUNICIPIO])</f>
        <v>CHARQUEADAS</v>
      </c>
      <c r="F3615" s="6">
        <v>43.677501678466797</v>
      </c>
      <c r="G3615" s="6">
        <v>43.725616455078097</v>
      </c>
      <c r="H3615" s="6">
        <v>43.789630889892599</v>
      </c>
      <c r="I3615" s="6">
        <v>43.728897094726598</v>
      </c>
      <c r="J3615" s="6">
        <v>48.802127838134801</v>
      </c>
      <c r="K3615" s="6">
        <v>48.876663208007798</v>
      </c>
      <c r="L3615" s="6">
        <v>57.563865661621101</v>
      </c>
    </row>
    <row r="3616" spans="1:12" x14ac:dyDescent="0.25">
      <c r="A3616">
        <v>4313011</v>
      </c>
      <c r="B3616" t="str">
        <f t="shared" si="56"/>
        <v>NOVA CANDELARIA, RS, Brasil</v>
      </c>
      <c r="C3616" s="4" t="str">
        <f>_xlfn.XLOOKUP(A3616,[1]!DadosGHD[CD_GEOCMU],[1]!DadosGHD[Região])</f>
        <v>SL</v>
      </c>
      <c r="D3616" s="4" t="str">
        <f>_xlfn.XLOOKUP(A3616,[1]!DadosGHD[CD_GEOCMU],[1]!DadosGHD[uf])</f>
        <v>RS</v>
      </c>
      <c r="E3616" s="5" t="str">
        <f>_xlfn.XLOOKUP(A3616,[1]!DadosGHD[CD_GEOCMU],[1]!DadosGHD[MUNICIPIO])</f>
        <v>NOVA CANDELARIA</v>
      </c>
      <c r="F3616" s="6">
        <v>43.677623748779297</v>
      </c>
      <c r="G3616" s="6">
        <v>53.803562164306598</v>
      </c>
      <c r="H3616" s="6">
        <v>53.887443542480497</v>
      </c>
      <c r="I3616" s="6">
        <v>53.852634429931598</v>
      </c>
      <c r="J3616" s="6">
        <v>53.875568389892599</v>
      </c>
      <c r="K3616" s="6">
        <v>64.091545104980497</v>
      </c>
      <c r="L3616" s="6">
        <v>57.5471000671387</v>
      </c>
    </row>
    <row r="3617" spans="1:12" x14ac:dyDescent="0.25">
      <c r="A3617">
        <v>3306156</v>
      </c>
      <c r="B3617" t="str">
        <f t="shared" si="56"/>
        <v>VARRE-SAI, RJ, Brasil</v>
      </c>
      <c r="C3617" s="4" t="str">
        <f>_xlfn.XLOOKUP(A3617,[1]!DadosGHD[CD_GEOCMU],[1]!DadosGHD[Região])</f>
        <v>SD</v>
      </c>
      <c r="D3617" s="4" t="str">
        <f>_xlfn.XLOOKUP(A3617,[1]!DadosGHD[CD_GEOCMU],[1]!DadosGHD[uf])</f>
        <v>RJ</v>
      </c>
      <c r="E3617" s="5" t="str">
        <f>_xlfn.XLOOKUP(A3617,[1]!DadosGHD[CD_GEOCMU],[1]!DadosGHD[MUNICIPIO])</f>
        <v>VARRE-SAI</v>
      </c>
      <c r="F3617" s="6">
        <v>43.677787780761697</v>
      </c>
      <c r="G3617" s="6">
        <v>43.750698089599602</v>
      </c>
      <c r="H3617" s="6">
        <v>43.7991752624512</v>
      </c>
      <c r="I3617" s="6">
        <v>48.715095520019503</v>
      </c>
      <c r="J3617" s="6">
        <v>43.777168273925803</v>
      </c>
      <c r="K3617" s="6">
        <v>43.859912872314503</v>
      </c>
      <c r="L3617" s="6">
        <v>35.149917602539098</v>
      </c>
    </row>
    <row r="3618" spans="1:12" x14ac:dyDescent="0.25">
      <c r="A3618">
        <v>2400802</v>
      </c>
      <c r="B3618" t="str">
        <f t="shared" si="56"/>
        <v>ANGICOS, RN, Brasil</v>
      </c>
      <c r="C3618" s="4" t="str">
        <f>_xlfn.XLOOKUP(A3618,[1]!DadosGHD[CD_GEOCMU],[1]!DadosGHD[Região])</f>
        <v>NE</v>
      </c>
      <c r="D3618" s="4" t="str">
        <f>_xlfn.XLOOKUP(A3618,[1]!DadosGHD[CD_GEOCMU],[1]!DadosGHD[uf])</f>
        <v>RN</v>
      </c>
      <c r="E3618" s="5" t="str">
        <f>_xlfn.XLOOKUP(A3618,[1]!DadosGHD[CD_GEOCMU],[1]!DadosGHD[MUNICIPIO])</f>
        <v>ANGICOS</v>
      </c>
      <c r="F3618" s="6">
        <v>43.6777954101563</v>
      </c>
      <c r="G3618" s="6">
        <v>48.762386322021499</v>
      </c>
      <c r="H3618" s="6">
        <v>48.8289184570313</v>
      </c>
      <c r="I3618" s="6">
        <v>48.745983123779297</v>
      </c>
      <c r="J3618" s="6">
        <v>48.770679473877003</v>
      </c>
      <c r="K3618" s="6">
        <v>48.845169067382798</v>
      </c>
      <c r="L3618" s="6">
        <v>39.561573028564503</v>
      </c>
    </row>
    <row r="3619" spans="1:12" x14ac:dyDescent="0.25">
      <c r="A3619">
        <v>3169406</v>
      </c>
      <c r="B3619" t="str">
        <f t="shared" si="56"/>
        <v>TRES PONTAS, MG, Brasil</v>
      </c>
      <c r="C3619" s="4" t="str">
        <f>_xlfn.XLOOKUP(A3619,[1]!DadosGHD[CD_GEOCMU],[1]!DadosGHD[Região])</f>
        <v>SD</v>
      </c>
      <c r="D3619" s="4" t="str">
        <f>_xlfn.XLOOKUP(A3619,[1]!DadosGHD[CD_GEOCMU],[1]!DadosGHD[uf])</f>
        <v>MG</v>
      </c>
      <c r="E3619" s="5" t="str">
        <f>_xlfn.XLOOKUP(A3619,[1]!DadosGHD[CD_GEOCMU],[1]!DadosGHD[MUNICIPIO])</f>
        <v>TRES PONTAS</v>
      </c>
      <c r="F3619" s="6">
        <v>43.678005218505902</v>
      </c>
      <c r="G3619" s="6">
        <v>48.640071868896499</v>
      </c>
      <c r="H3619" s="6">
        <v>43.826805114746101</v>
      </c>
      <c r="I3619" s="6">
        <v>43.796180725097699</v>
      </c>
      <c r="J3619" s="6">
        <v>43.818878173828097</v>
      </c>
      <c r="K3619" s="6">
        <v>43.878116607666001</v>
      </c>
      <c r="L3619" s="6">
        <v>39.595512390136697</v>
      </c>
    </row>
    <row r="3620" spans="1:12" x14ac:dyDescent="0.25">
      <c r="A3620">
        <v>4103107</v>
      </c>
      <c r="B3620" t="str">
        <f t="shared" si="56"/>
        <v>BOCAIUVA DO SUL, PR, Brasil</v>
      </c>
      <c r="C3620" s="4" t="str">
        <f>_xlfn.XLOOKUP(A3620,[1]!DadosGHD[CD_GEOCMU],[1]!DadosGHD[Região])</f>
        <v>SL</v>
      </c>
      <c r="D3620" s="4" t="str">
        <f>_xlfn.XLOOKUP(A3620,[1]!DadosGHD[CD_GEOCMU],[1]!DadosGHD[uf])</f>
        <v>PR</v>
      </c>
      <c r="E3620" s="5" t="str">
        <f>_xlfn.XLOOKUP(A3620,[1]!DadosGHD[CD_GEOCMU],[1]!DadosGHD[MUNICIPIO])</f>
        <v>BOCAIUVA DO SUL</v>
      </c>
      <c r="F3620" s="6">
        <v>43.678016662597699</v>
      </c>
      <c r="G3620" s="6">
        <v>48.670619964599602</v>
      </c>
      <c r="H3620" s="6">
        <v>48.736644744873097</v>
      </c>
      <c r="I3620" s="6">
        <v>48.680984497070298</v>
      </c>
      <c r="J3620" s="6">
        <v>38.845149993896499</v>
      </c>
      <c r="K3620" s="6">
        <v>43.787055969238303</v>
      </c>
      <c r="L3620" s="6">
        <v>35.144386291503899</v>
      </c>
    </row>
    <row r="3621" spans="1:12" x14ac:dyDescent="0.25">
      <c r="A3621">
        <v>1720655</v>
      </c>
      <c r="B3621" t="str">
        <f t="shared" si="56"/>
        <v>SILVANOPOLIS, TO, Brasil</v>
      </c>
      <c r="C3621" s="4" t="str">
        <f>_xlfn.XLOOKUP(A3621,[1]!DadosGHD[CD_GEOCMU],[1]!DadosGHD[Região])</f>
        <v>NO</v>
      </c>
      <c r="D3621" s="4" t="str">
        <f>_xlfn.XLOOKUP(A3621,[1]!DadosGHD[CD_GEOCMU],[1]!DadosGHD[uf])</f>
        <v>TO</v>
      </c>
      <c r="E3621" s="5" t="str">
        <f>_xlfn.XLOOKUP(A3621,[1]!DadosGHD[CD_GEOCMU],[1]!DadosGHD[MUNICIPIO])</f>
        <v>SILVANOPOLIS</v>
      </c>
      <c r="F3621" s="6">
        <v>43.678062438964801</v>
      </c>
      <c r="G3621" s="6">
        <v>48.653919219970703</v>
      </c>
      <c r="H3621" s="6">
        <v>48.757244110107401</v>
      </c>
      <c r="I3621" s="6">
        <v>48.755451202392599</v>
      </c>
      <c r="J3621" s="6">
        <v>48.7620849609375</v>
      </c>
      <c r="K3621" s="6">
        <v>48.853137969970703</v>
      </c>
      <c r="L3621" s="6">
        <v>35.151969909667997</v>
      </c>
    </row>
    <row r="3622" spans="1:12" x14ac:dyDescent="0.25">
      <c r="A3622">
        <v>5108303</v>
      </c>
      <c r="B3622" t="str">
        <f t="shared" si="56"/>
        <v>UNIAO DO SUL, MT, Brasil</v>
      </c>
      <c r="C3622" s="4" t="str">
        <f>_xlfn.XLOOKUP(A3622,[1]!DadosGHD[CD_GEOCMU],[1]!DadosGHD[Região])</f>
        <v>CO</v>
      </c>
      <c r="D3622" s="4" t="str">
        <f>_xlfn.XLOOKUP(A3622,[1]!DadosGHD[CD_GEOCMU],[1]!DadosGHD[uf])</f>
        <v>MT</v>
      </c>
      <c r="E3622" s="5" t="str">
        <f>_xlfn.XLOOKUP(A3622,[1]!DadosGHD[CD_GEOCMU],[1]!DadosGHD[MUNICIPIO])</f>
        <v>UNIAO DO SUL</v>
      </c>
      <c r="F3622" s="6">
        <v>43.678146362304702</v>
      </c>
      <c r="G3622" s="6">
        <v>48.746982574462898</v>
      </c>
      <c r="H3622" s="6">
        <v>48.766807556152301</v>
      </c>
      <c r="I3622" s="6">
        <v>48.729030609130902</v>
      </c>
      <c r="J3622" s="6">
        <v>48.745983123779297</v>
      </c>
      <c r="K3622" s="6">
        <v>48.903030395507798</v>
      </c>
      <c r="L3622" s="6">
        <v>39.603553771972699</v>
      </c>
    </row>
    <row r="3623" spans="1:12" x14ac:dyDescent="0.25">
      <c r="A3623">
        <v>5218052</v>
      </c>
      <c r="B3623" t="str">
        <f t="shared" si="56"/>
        <v>PORTEIRAO, GO, Brasil</v>
      </c>
      <c r="C3623" s="4" t="str">
        <f>_xlfn.XLOOKUP(A3623,[1]!DadosGHD[CD_GEOCMU],[1]!DadosGHD[Região])</f>
        <v>CO</v>
      </c>
      <c r="D3623" s="4" t="str">
        <f>_xlfn.XLOOKUP(A3623,[1]!DadosGHD[CD_GEOCMU],[1]!DadosGHD[uf])</f>
        <v>GO</v>
      </c>
      <c r="E3623" s="5" t="str">
        <f>_xlfn.XLOOKUP(A3623,[1]!DadosGHD[CD_GEOCMU],[1]!DadosGHD[MUNICIPIO])</f>
        <v>PORTEIRAO</v>
      </c>
      <c r="F3623" s="6">
        <v>43.678230285644503</v>
      </c>
      <c r="G3623" s="6">
        <v>43.716476440429702</v>
      </c>
      <c r="H3623" s="6">
        <v>43.7925415039063</v>
      </c>
      <c r="I3623" s="6">
        <v>43.726608276367202</v>
      </c>
      <c r="J3623" s="6">
        <v>38.810558319091797</v>
      </c>
      <c r="K3623" s="6">
        <v>43.806354522705099</v>
      </c>
      <c r="L3623" s="6">
        <v>39.605293273925803</v>
      </c>
    </row>
    <row r="3624" spans="1:12" x14ac:dyDescent="0.25">
      <c r="A3624">
        <v>5218003</v>
      </c>
      <c r="B3624" t="str">
        <f t="shared" si="56"/>
        <v>PORANGATU, GO, Brasil</v>
      </c>
      <c r="C3624" s="4" t="str">
        <f>_xlfn.XLOOKUP(A3624,[1]!DadosGHD[CD_GEOCMU],[1]!DadosGHD[Região])</f>
        <v>CO</v>
      </c>
      <c r="D3624" s="4" t="str">
        <f>_xlfn.XLOOKUP(A3624,[1]!DadosGHD[CD_GEOCMU],[1]!DadosGHD[uf])</f>
        <v>GO</v>
      </c>
      <c r="E3624" s="5" t="str">
        <f>_xlfn.XLOOKUP(A3624,[1]!DadosGHD[CD_GEOCMU],[1]!DadosGHD[MUNICIPIO])</f>
        <v>PORANGATU</v>
      </c>
      <c r="F3624" s="6">
        <v>43.678287506103501</v>
      </c>
      <c r="G3624" s="6">
        <v>48.709041595458999</v>
      </c>
      <c r="H3624" s="6">
        <v>48.758518218994098</v>
      </c>
      <c r="I3624" s="6">
        <v>48.739166259765597</v>
      </c>
      <c r="J3624" s="6">
        <v>48.767902374267599</v>
      </c>
      <c r="K3624" s="6">
        <v>53.8496284484863</v>
      </c>
      <c r="L3624" s="6">
        <v>48.5614013671875</v>
      </c>
    </row>
    <row r="3625" spans="1:12" x14ac:dyDescent="0.25">
      <c r="A3625">
        <v>4104006</v>
      </c>
      <c r="B3625" t="str">
        <f t="shared" si="56"/>
        <v>CAMPINA GRANDE DO SUL, PR, Brasil</v>
      </c>
      <c r="C3625" s="4" t="str">
        <f>_xlfn.XLOOKUP(A3625,[1]!DadosGHD[CD_GEOCMU],[1]!DadosGHD[Região])</f>
        <v>SL</v>
      </c>
      <c r="D3625" s="4" t="str">
        <f>_xlfn.XLOOKUP(A3625,[1]!DadosGHD[CD_GEOCMU],[1]!DadosGHD[uf])</f>
        <v>PR</v>
      </c>
      <c r="E3625" s="5" t="str">
        <f>_xlfn.XLOOKUP(A3625,[1]!DadosGHD[CD_GEOCMU],[1]!DadosGHD[MUNICIPIO])</f>
        <v>CAMPINA GRANDE DO SUL</v>
      </c>
      <c r="F3625" s="6">
        <v>43.678352355957003</v>
      </c>
      <c r="G3625" s="6">
        <v>48.6911811828613</v>
      </c>
      <c r="H3625" s="6">
        <v>48.739334106445298</v>
      </c>
      <c r="I3625" s="6">
        <v>53.729976654052699</v>
      </c>
      <c r="J3625" s="6">
        <v>43.792930603027301</v>
      </c>
      <c r="K3625" s="6">
        <v>43.786026000976598</v>
      </c>
      <c r="L3625" s="6">
        <v>44.019481658935597</v>
      </c>
    </row>
    <row r="3626" spans="1:12" x14ac:dyDescent="0.25">
      <c r="A3626">
        <v>4106571</v>
      </c>
      <c r="B3626" t="str">
        <f t="shared" si="56"/>
        <v>CRUZEIRO DO IGUACU, PR, Brasil</v>
      </c>
      <c r="C3626" s="4" t="str">
        <f>_xlfn.XLOOKUP(A3626,[1]!DadosGHD[CD_GEOCMU],[1]!DadosGHD[Região])</f>
        <v>SL</v>
      </c>
      <c r="D3626" s="4" t="str">
        <f>_xlfn.XLOOKUP(A3626,[1]!DadosGHD[CD_GEOCMU],[1]!DadosGHD[uf])</f>
        <v>PR</v>
      </c>
      <c r="E3626" s="5" t="str">
        <f>_xlfn.XLOOKUP(A3626,[1]!DadosGHD[CD_GEOCMU],[1]!DadosGHD[MUNICIPIO])</f>
        <v>CRUZEIRO DO IGUACU</v>
      </c>
      <c r="F3626" s="6">
        <v>43.678577423095703</v>
      </c>
      <c r="G3626" s="6">
        <v>48.741413116455099</v>
      </c>
      <c r="H3626" s="6">
        <v>53.903713226318402</v>
      </c>
      <c r="I3626" s="6">
        <v>48.738609313964801</v>
      </c>
      <c r="J3626" s="6">
        <v>48.763240814208999</v>
      </c>
      <c r="K3626" s="6">
        <v>48.822952270507798</v>
      </c>
      <c r="L3626" s="6">
        <v>35.138038635253899</v>
      </c>
    </row>
    <row r="3627" spans="1:12" x14ac:dyDescent="0.25">
      <c r="A3627">
        <v>4127502</v>
      </c>
      <c r="B3627" t="str">
        <f t="shared" si="56"/>
        <v>TIBAGI, PR, Brasil</v>
      </c>
      <c r="C3627" s="4" t="str">
        <f>_xlfn.XLOOKUP(A3627,[1]!DadosGHD[CD_GEOCMU],[1]!DadosGHD[Região])</f>
        <v>SL</v>
      </c>
      <c r="D3627" s="4" t="str">
        <f>_xlfn.XLOOKUP(A3627,[1]!DadosGHD[CD_GEOCMU],[1]!DadosGHD[uf])</f>
        <v>PR</v>
      </c>
      <c r="E3627" s="5" t="str">
        <f>_xlfn.XLOOKUP(A3627,[1]!DadosGHD[CD_GEOCMU],[1]!DadosGHD[MUNICIPIO])</f>
        <v>TIBAGI</v>
      </c>
      <c r="F3627" s="6">
        <v>43.678871154785199</v>
      </c>
      <c r="G3627" s="6">
        <v>43.763469696044901</v>
      </c>
      <c r="H3627" s="6">
        <v>43.833301544189503</v>
      </c>
      <c r="I3627" s="6">
        <v>48.718673706054702</v>
      </c>
      <c r="J3627" s="6">
        <v>48.749362945556598</v>
      </c>
      <c r="K3627" s="6">
        <v>48.805950164794901</v>
      </c>
      <c r="L3627" s="6">
        <v>44.054813385009801</v>
      </c>
    </row>
    <row r="3628" spans="1:12" x14ac:dyDescent="0.25">
      <c r="A3628">
        <v>3503604</v>
      </c>
      <c r="B3628" t="str">
        <f t="shared" si="56"/>
        <v>AREIOPOLIS, SP, Brasil</v>
      </c>
      <c r="C3628" s="4" t="str">
        <f>_xlfn.XLOOKUP(A3628,[1]!DadosGHD[CD_GEOCMU],[1]!DadosGHD[Região])</f>
        <v>SD</v>
      </c>
      <c r="D3628" s="4" t="str">
        <f>_xlfn.XLOOKUP(A3628,[1]!DadosGHD[CD_GEOCMU],[1]!DadosGHD[uf])</f>
        <v>SP</v>
      </c>
      <c r="E3628" s="5" t="str">
        <f>_xlfn.XLOOKUP(A3628,[1]!DadosGHD[CD_GEOCMU],[1]!DadosGHD[MUNICIPIO])</f>
        <v>AREIOPOLIS</v>
      </c>
      <c r="F3628" s="6">
        <v>43.679008483886697</v>
      </c>
      <c r="G3628" s="6">
        <v>43.698829650878899</v>
      </c>
      <c r="H3628" s="6">
        <v>43.763317108154297</v>
      </c>
      <c r="I3628" s="6">
        <v>43.685367584228501</v>
      </c>
      <c r="J3628" s="6">
        <v>43.760578155517599</v>
      </c>
      <c r="K3628" s="6">
        <v>43.819435119628899</v>
      </c>
      <c r="L3628" s="6">
        <v>44.068546295166001</v>
      </c>
    </row>
    <row r="3629" spans="1:12" x14ac:dyDescent="0.25">
      <c r="A3629">
        <v>5210406</v>
      </c>
      <c r="B3629" t="str">
        <f t="shared" si="56"/>
        <v>ITABERAI, GO, Brasil</v>
      </c>
      <c r="C3629" s="4" t="str">
        <f>_xlfn.XLOOKUP(A3629,[1]!DadosGHD[CD_GEOCMU],[1]!DadosGHD[Região])</f>
        <v>CO</v>
      </c>
      <c r="D3629" s="4" t="str">
        <f>_xlfn.XLOOKUP(A3629,[1]!DadosGHD[CD_GEOCMU],[1]!DadosGHD[uf])</f>
        <v>GO</v>
      </c>
      <c r="E3629" s="5" t="str">
        <f>_xlfn.XLOOKUP(A3629,[1]!DadosGHD[CD_GEOCMU],[1]!DadosGHD[MUNICIPIO])</f>
        <v>ITABERAI</v>
      </c>
      <c r="F3629" s="6">
        <v>43.679309844970703</v>
      </c>
      <c r="G3629" s="6">
        <v>48.643379211425803</v>
      </c>
      <c r="H3629" s="6">
        <v>48.721336364746101</v>
      </c>
      <c r="I3629" s="6">
        <v>48.6993408203125</v>
      </c>
      <c r="J3629" s="6">
        <v>43.8256645202637</v>
      </c>
      <c r="K3629" s="6">
        <v>43.8733520507813</v>
      </c>
      <c r="L3629" s="6">
        <v>35.155349731445298</v>
      </c>
    </row>
    <row r="3630" spans="1:12" x14ac:dyDescent="0.25">
      <c r="A3630">
        <v>4301651</v>
      </c>
      <c r="B3630" t="str">
        <f t="shared" si="56"/>
        <v>BARAO, RS, Brasil</v>
      </c>
      <c r="C3630" s="4" t="str">
        <f>_xlfn.XLOOKUP(A3630,[1]!DadosGHD[CD_GEOCMU],[1]!DadosGHD[Região])</f>
        <v>SL</v>
      </c>
      <c r="D3630" s="4" t="str">
        <f>_xlfn.XLOOKUP(A3630,[1]!DadosGHD[CD_GEOCMU],[1]!DadosGHD[uf])</f>
        <v>RS</v>
      </c>
      <c r="E3630" s="5" t="str">
        <f>_xlfn.XLOOKUP(A3630,[1]!DadosGHD[CD_GEOCMU],[1]!DadosGHD[MUNICIPIO])</f>
        <v>BARAO</v>
      </c>
      <c r="F3630" s="6">
        <v>43.679439544677699</v>
      </c>
      <c r="G3630" s="6">
        <v>43.688461303710902</v>
      </c>
      <c r="H3630" s="6">
        <v>48.770183563232401</v>
      </c>
      <c r="I3630" s="6">
        <v>53.708660125732401</v>
      </c>
      <c r="J3630" s="6">
        <v>43.781341552734403</v>
      </c>
      <c r="K3630" s="6">
        <v>43.812404632568402</v>
      </c>
      <c r="L3630" s="6">
        <v>39.567550659179702</v>
      </c>
    </row>
    <row r="3631" spans="1:12" x14ac:dyDescent="0.25">
      <c r="A3631">
        <v>3304003</v>
      </c>
      <c r="B3631" t="str">
        <f t="shared" si="56"/>
        <v>PIRAI, RJ, Brasil</v>
      </c>
      <c r="C3631" s="4" t="str">
        <f>_xlfn.XLOOKUP(A3631,[1]!DadosGHD[CD_GEOCMU],[1]!DadosGHD[Região])</f>
        <v>SD</v>
      </c>
      <c r="D3631" s="4" t="str">
        <f>_xlfn.XLOOKUP(A3631,[1]!DadosGHD[CD_GEOCMU],[1]!DadosGHD[uf])</f>
        <v>RJ</v>
      </c>
      <c r="E3631" s="5" t="str">
        <f>_xlfn.XLOOKUP(A3631,[1]!DadosGHD[CD_GEOCMU],[1]!DadosGHD[MUNICIPIO])</f>
        <v>PIRAI</v>
      </c>
      <c r="F3631" s="6">
        <v>43.679889678955099</v>
      </c>
      <c r="G3631" s="6">
        <v>48.706363677978501</v>
      </c>
      <c r="H3631" s="6">
        <v>48.723293304443402</v>
      </c>
      <c r="I3631" s="6">
        <v>48.729331970214801</v>
      </c>
      <c r="J3631" s="6">
        <v>48.713539123535199</v>
      </c>
      <c r="K3631" s="6">
        <v>43.7943725585938</v>
      </c>
      <c r="L3631" s="6">
        <v>39.583351135253899</v>
      </c>
    </row>
    <row r="3632" spans="1:12" x14ac:dyDescent="0.25">
      <c r="A3632">
        <v>3149309</v>
      </c>
      <c r="B3632" t="str">
        <f t="shared" si="56"/>
        <v>PEDRO LEOPOLDO, MG, Brasil</v>
      </c>
      <c r="C3632" s="4" t="str">
        <f>_xlfn.XLOOKUP(A3632,[1]!DadosGHD[CD_GEOCMU],[1]!DadosGHD[Região])</f>
        <v>SD</v>
      </c>
      <c r="D3632" s="4" t="str">
        <f>_xlfn.XLOOKUP(A3632,[1]!DadosGHD[CD_GEOCMU],[1]!DadosGHD[uf])</f>
        <v>MG</v>
      </c>
      <c r="E3632" s="5" t="str">
        <f>_xlfn.XLOOKUP(A3632,[1]!DadosGHD[CD_GEOCMU],[1]!DadosGHD[MUNICIPIO])</f>
        <v>PEDRO LEOPOLDO</v>
      </c>
      <c r="F3632" s="6">
        <v>43.679965972900398</v>
      </c>
      <c r="G3632" s="6">
        <v>43.747959136962898</v>
      </c>
      <c r="H3632" s="6">
        <v>43.759956359863303</v>
      </c>
      <c r="I3632" s="6">
        <v>43.806858062744098</v>
      </c>
      <c r="J3632" s="6">
        <v>48.752517700195298</v>
      </c>
      <c r="K3632" s="6">
        <v>43.861690521240199</v>
      </c>
      <c r="L3632" s="6">
        <v>52.978870391845703</v>
      </c>
    </row>
    <row r="3633" spans="1:12" x14ac:dyDescent="0.25">
      <c r="A3633">
        <v>3552700</v>
      </c>
      <c r="B3633" t="str">
        <f t="shared" si="56"/>
        <v>TABATINGA, SP, Brasil</v>
      </c>
      <c r="C3633" s="4" t="str">
        <f>_xlfn.XLOOKUP(A3633,[1]!DadosGHD[CD_GEOCMU],[1]!DadosGHD[Região])</f>
        <v>SD</v>
      </c>
      <c r="D3633" s="4" t="str">
        <f>_xlfn.XLOOKUP(A3633,[1]!DadosGHD[CD_GEOCMU],[1]!DadosGHD[uf])</f>
        <v>SP</v>
      </c>
      <c r="E3633" s="5" t="str">
        <f>_xlfn.XLOOKUP(A3633,[1]!DadosGHD[CD_GEOCMU],[1]!DadosGHD[MUNICIPIO])</f>
        <v>TABATINGA</v>
      </c>
      <c r="F3633" s="6">
        <v>43.680126190185597</v>
      </c>
      <c r="G3633" s="6">
        <v>48.664955139160199</v>
      </c>
      <c r="H3633" s="6">
        <v>48.730175018310597</v>
      </c>
      <c r="I3633" s="6">
        <v>43.764644622802699</v>
      </c>
      <c r="J3633" s="6">
        <v>48.8367919921875</v>
      </c>
      <c r="K3633" s="6">
        <v>43.852016448974602</v>
      </c>
      <c r="L3633" s="6">
        <v>57.512783050537102</v>
      </c>
    </row>
    <row r="3634" spans="1:12" x14ac:dyDescent="0.25">
      <c r="A3634">
        <v>3131000</v>
      </c>
      <c r="B3634" t="str">
        <f t="shared" si="56"/>
        <v>INHAUMA, MG, Brasil</v>
      </c>
      <c r="C3634" s="4" t="str">
        <f>_xlfn.XLOOKUP(A3634,[1]!DadosGHD[CD_GEOCMU],[1]!DadosGHD[Região])</f>
        <v>SD</v>
      </c>
      <c r="D3634" s="4" t="str">
        <f>_xlfn.XLOOKUP(A3634,[1]!DadosGHD[CD_GEOCMU],[1]!DadosGHD[uf])</f>
        <v>MG</v>
      </c>
      <c r="E3634" s="5" t="str">
        <f>_xlfn.XLOOKUP(A3634,[1]!DadosGHD[CD_GEOCMU],[1]!DadosGHD[MUNICIPIO])</f>
        <v>INHAUMA</v>
      </c>
      <c r="F3634" s="6">
        <v>43.680450439453097</v>
      </c>
      <c r="G3634" s="6">
        <v>43.754463195800803</v>
      </c>
      <c r="H3634" s="6">
        <v>43.825935363769503</v>
      </c>
      <c r="I3634" s="6">
        <v>48.677318572998097</v>
      </c>
      <c r="J3634" s="6">
        <v>43.819595336914098</v>
      </c>
      <c r="K3634" s="6">
        <v>38.891090393066399</v>
      </c>
      <c r="L3634" s="6">
        <v>44.021038055419901</v>
      </c>
    </row>
    <row r="3635" spans="1:12" x14ac:dyDescent="0.25">
      <c r="A3635">
        <v>3142106</v>
      </c>
      <c r="B3635" t="str">
        <f t="shared" si="56"/>
        <v>MIRADOURO, MG, Brasil</v>
      </c>
      <c r="C3635" s="4" t="str">
        <f>_xlfn.XLOOKUP(A3635,[1]!DadosGHD[CD_GEOCMU],[1]!DadosGHD[Região])</f>
        <v>SD</v>
      </c>
      <c r="D3635" s="4" t="str">
        <f>_xlfn.XLOOKUP(A3635,[1]!DadosGHD[CD_GEOCMU],[1]!DadosGHD[uf])</f>
        <v>MG</v>
      </c>
      <c r="E3635" s="5" t="str">
        <f>_xlfn.XLOOKUP(A3635,[1]!DadosGHD[CD_GEOCMU],[1]!DadosGHD[MUNICIPIO])</f>
        <v>MIRADOURO</v>
      </c>
      <c r="F3635" s="6">
        <v>43.680500030517599</v>
      </c>
      <c r="G3635" s="6">
        <v>43.741764068603501</v>
      </c>
      <c r="H3635" s="6">
        <v>43.825538635253899</v>
      </c>
      <c r="I3635" s="6">
        <v>48.682113647460902</v>
      </c>
      <c r="J3635" s="6">
        <v>48.750595092773402</v>
      </c>
      <c r="K3635" s="6">
        <v>48.787612915039098</v>
      </c>
      <c r="L3635" s="6">
        <v>44.017993927002003</v>
      </c>
    </row>
    <row r="3636" spans="1:12" x14ac:dyDescent="0.25">
      <c r="A3636">
        <v>4205191</v>
      </c>
      <c r="B3636" t="str">
        <f t="shared" si="56"/>
        <v>ERMO, SC, Brasil</v>
      </c>
      <c r="C3636" s="4" t="str">
        <f>_xlfn.XLOOKUP(A3636,[1]!DadosGHD[CD_GEOCMU],[1]!DadosGHD[Região])</f>
        <v>SL</v>
      </c>
      <c r="D3636" s="4" t="str">
        <f>_xlfn.XLOOKUP(A3636,[1]!DadosGHD[CD_GEOCMU],[1]!DadosGHD[uf])</f>
        <v>SC</v>
      </c>
      <c r="E3636" s="5" t="str">
        <f>_xlfn.XLOOKUP(A3636,[1]!DadosGHD[CD_GEOCMU],[1]!DadosGHD[MUNICIPIO])</f>
        <v>ERMO</v>
      </c>
      <c r="F3636" s="6">
        <v>43.680656433105497</v>
      </c>
      <c r="G3636" s="6">
        <v>63.8631591796875</v>
      </c>
      <c r="H3636" s="6">
        <v>63.978416442871101</v>
      </c>
      <c r="I3636" s="6">
        <v>28.925045013427699</v>
      </c>
      <c r="J3636" s="6">
        <v>28.9409065246582</v>
      </c>
      <c r="K3636" s="6">
        <v>28.9853420257568</v>
      </c>
      <c r="L3636" s="6">
        <v>35.138381958007798</v>
      </c>
    </row>
    <row r="3637" spans="1:12" x14ac:dyDescent="0.25">
      <c r="A3637">
        <v>4314209</v>
      </c>
      <c r="B3637" t="str">
        <f t="shared" si="56"/>
        <v>PEDRO OSORIO, RS, Brasil</v>
      </c>
      <c r="C3637" s="4" t="str">
        <f>_xlfn.XLOOKUP(A3637,[1]!DadosGHD[CD_GEOCMU],[1]!DadosGHD[Região])</f>
        <v>SL</v>
      </c>
      <c r="D3637" s="4" t="str">
        <f>_xlfn.XLOOKUP(A3637,[1]!DadosGHD[CD_GEOCMU],[1]!DadosGHD[uf])</f>
        <v>RS</v>
      </c>
      <c r="E3637" s="5" t="str">
        <f>_xlfn.XLOOKUP(A3637,[1]!DadosGHD[CD_GEOCMU],[1]!DadosGHD[MUNICIPIO])</f>
        <v>PEDRO OSORIO</v>
      </c>
      <c r="F3637" s="6">
        <v>43.680732727050803</v>
      </c>
      <c r="G3637" s="6">
        <v>48.696006774902301</v>
      </c>
      <c r="H3637" s="6">
        <v>48.787750244140597</v>
      </c>
      <c r="I3637" s="6">
        <v>48.777923583984403</v>
      </c>
      <c r="J3637" s="6">
        <v>48.715984344482401</v>
      </c>
      <c r="K3637" s="6">
        <v>43.879158020019503</v>
      </c>
      <c r="L3637" s="6">
        <v>39.5814018249512</v>
      </c>
    </row>
    <row r="3638" spans="1:12" x14ac:dyDescent="0.25">
      <c r="A3638">
        <v>3515152</v>
      </c>
      <c r="B3638" t="str">
        <f t="shared" si="56"/>
        <v>ENGENHEIRO COELHO, SP, Brasil</v>
      </c>
      <c r="C3638" s="4" t="str">
        <f>_xlfn.XLOOKUP(A3638,[1]!DadosGHD[CD_GEOCMU],[1]!DadosGHD[Região])</f>
        <v>SD</v>
      </c>
      <c r="D3638" s="4" t="str">
        <f>_xlfn.XLOOKUP(A3638,[1]!DadosGHD[CD_GEOCMU],[1]!DadosGHD[uf])</f>
        <v>SP</v>
      </c>
      <c r="E3638" s="5" t="str">
        <f>_xlfn.XLOOKUP(A3638,[1]!DadosGHD[CD_GEOCMU],[1]!DadosGHD[MUNICIPIO])</f>
        <v>ENGENHEIRO COELHO</v>
      </c>
      <c r="F3638" s="6">
        <v>43.680835723877003</v>
      </c>
      <c r="G3638" s="6">
        <v>43.693130493164098</v>
      </c>
      <c r="H3638" s="6">
        <v>43.744598388671903</v>
      </c>
      <c r="I3638" s="6">
        <v>43.72021484375</v>
      </c>
      <c r="J3638" s="6">
        <v>43.744991302490199</v>
      </c>
      <c r="K3638" s="6">
        <v>48.840187072753899</v>
      </c>
      <c r="L3638" s="6">
        <v>48.5595703125</v>
      </c>
    </row>
    <row r="3639" spans="1:12" x14ac:dyDescent="0.25">
      <c r="A3639">
        <v>3502754</v>
      </c>
      <c r="B3639" t="str">
        <f t="shared" si="56"/>
        <v>ARACARIGUAMA, SP, Brasil</v>
      </c>
      <c r="C3639" s="4" t="str">
        <f>_xlfn.XLOOKUP(A3639,[1]!DadosGHD[CD_GEOCMU],[1]!DadosGHD[Região])</f>
        <v>SD</v>
      </c>
      <c r="D3639" s="4" t="str">
        <f>_xlfn.XLOOKUP(A3639,[1]!DadosGHD[CD_GEOCMU],[1]!DadosGHD[uf])</f>
        <v>SP</v>
      </c>
      <c r="E3639" s="5" t="str">
        <f>_xlfn.XLOOKUP(A3639,[1]!DadosGHD[CD_GEOCMU],[1]!DadosGHD[MUNICIPIO])</f>
        <v>ARACARIGUAMA</v>
      </c>
      <c r="F3639" s="6">
        <v>43.681163787841797</v>
      </c>
      <c r="G3639" s="6">
        <v>43.721706390380902</v>
      </c>
      <c r="H3639" s="6">
        <v>43.721481323242202</v>
      </c>
      <c r="I3639" s="6">
        <v>38.766117095947301</v>
      </c>
      <c r="J3639" s="6">
        <v>33.879379272460902</v>
      </c>
      <c r="K3639" s="6">
        <v>33.901081085205099</v>
      </c>
      <c r="L3639" s="6">
        <v>35.1508979797363</v>
      </c>
    </row>
    <row r="3640" spans="1:12" x14ac:dyDescent="0.25">
      <c r="A3640">
        <v>5003751</v>
      </c>
      <c r="B3640" t="str">
        <f t="shared" si="56"/>
        <v>ELDORADO, MS, Brasil</v>
      </c>
      <c r="C3640" s="4" t="str">
        <f>_xlfn.XLOOKUP(A3640,[1]!DadosGHD[CD_GEOCMU],[1]!DadosGHD[Região])</f>
        <v>CO</v>
      </c>
      <c r="D3640" s="4" t="str">
        <f>_xlfn.XLOOKUP(A3640,[1]!DadosGHD[CD_GEOCMU],[1]!DadosGHD[uf])</f>
        <v>MS</v>
      </c>
      <c r="E3640" s="5" t="str">
        <f>_xlfn.XLOOKUP(A3640,[1]!DadosGHD[CD_GEOCMU],[1]!DadosGHD[MUNICIPIO])</f>
        <v>ELDORADO</v>
      </c>
      <c r="F3640" s="6">
        <v>43.681312561035199</v>
      </c>
      <c r="G3640" s="6">
        <v>43.708732604980497</v>
      </c>
      <c r="H3640" s="6">
        <v>43.792732238769503</v>
      </c>
      <c r="I3640" s="6">
        <v>48.676521301269503</v>
      </c>
      <c r="J3640" s="6">
        <v>43.747150421142599</v>
      </c>
      <c r="K3640" s="6">
        <v>43.804653167724602</v>
      </c>
      <c r="L3640" s="6">
        <v>39.591949462890597</v>
      </c>
    </row>
    <row r="3641" spans="1:12" x14ac:dyDescent="0.25">
      <c r="A3641">
        <v>5214507</v>
      </c>
      <c r="B3641" t="str">
        <f t="shared" si="56"/>
        <v>NEROPOLIS, GO, Brasil</v>
      </c>
      <c r="C3641" s="4" t="str">
        <f>_xlfn.XLOOKUP(A3641,[1]!DadosGHD[CD_GEOCMU],[1]!DadosGHD[Região])</f>
        <v>CO</v>
      </c>
      <c r="D3641" s="4" t="str">
        <f>_xlfn.XLOOKUP(A3641,[1]!DadosGHD[CD_GEOCMU],[1]!DadosGHD[uf])</f>
        <v>GO</v>
      </c>
      <c r="E3641" s="5" t="str">
        <f>_xlfn.XLOOKUP(A3641,[1]!DadosGHD[CD_GEOCMU],[1]!DadosGHD[MUNICIPIO])</f>
        <v>NEROPOLIS</v>
      </c>
      <c r="F3641" s="6">
        <v>43.681827545166001</v>
      </c>
      <c r="G3641" s="6">
        <v>43.758399963378899</v>
      </c>
      <c r="H3641" s="6">
        <v>48.823108673095703</v>
      </c>
      <c r="I3641" s="6">
        <v>48.8014945983887</v>
      </c>
      <c r="J3641" s="6">
        <v>48.7637748718262</v>
      </c>
      <c r="K3641" s="6">
        <v>48.775177001953097</v>
      </c>
      <c r="L3641" s="6">
        <v>35.121192932128899</v>
      </c>
    </row>
    <row r="3642" spans="1:12" x14ac:dyDescent="0.25">
      <c r="A3642">
        <v>3506607</v>
      </c>
      <c r="B3642" t="str">
        <f t="shared" si="56"/>
        <v>BIRITIBA-MIRIM, SP, Brasil</v>
      </c>
      <c r="C3642" s="4" t="str">
        <f>_xlfn.XLOOKUP(A3642,[1]!DadosGHD[CD_GEOCMU],[1]!DadosGHD[Região])</f>
        <v>SD</v>
      </c>
      <c r="D3642" s="4" t="str">
        <f>_xlfn.XLOOKUP(A3642,[1]!DadosGHD[CD_GEOCMU],[1]!DadosGHD[uf])</f>
        <v>SP</v>
      </c>
      <c r="E3642" s="5" t="str">
        <f>_xlfn.XLOOKUP(A3642,[1]!DadosGHD[CD_GEOCMU],[1]!DadosGHD[MUNICIPIO])</f>
        <v>BIRITIBA-MIRIM</v>
      </c>
      <c r="F3642" s="6">
        <v>43.6820259094238</v>
      </c>
      <c r="G3642" s="6">
        <v>43.7575492858887</v>
      </c>
      <c r="H3642" s="6">
        <v>43.731674194335902</v>
      </c>
      <c r="I3642" s="6">
        <v>38.806877136230497</v>
      </c>
      <c r="J3642" s="6">
        <v>38.838211059570298</v>
      </c>
      <c r="K3642" s="6">
        <v>43.769859313964801</v>
      </c>
      <c r="L3642" s="6">
        <v>44.070846557617202</v>
      </c>
    </row>
    <row r="3643" spans="1:12" x14ac:dyDescent="0.25">
      <c r="A3643">
        <v>3155306</v>
      </c>
      <c r="B3643" t="str">
        <f t="shared" si="56"/>
        <v>RIO MANSO, MG, Brasil</v>
      </c>
      <c r="C3643" s="4" t="str">
        <f>_xlfn.XLOOKUP(A3643,[1]!DadosGHD[CD_GEOCMU],[1]!DadosGHD[Região])</f>
        <v>SD</v>
      </c>
      <c r="D3643" s="4" t="str">
        <f>_xlfn.XLOOKUP(A3643,[1]!DadosGHD[CD_GEOCMU],[1]!DadosGHD[uf])</f>
        <v>MG</v>
      </c>
      <c r="E3643" s="5" t="str">
        <f>_xlfn.XLOOKUP(A3643,[1]!DadosGHD[CD_GEOCMU],[1]!DadosGHD[MUNICIPIO])</f>
        <v>RIO MANSO</v>
      </c>
      <c r="F3643" s="6">
        <v>43.683380126953097</v>
      </c>
      <c r="G3643" s="6">
        <v>43.728706359863303</v>
      </c>
      <c r="H3643" s="6">
        <v>43.766120910644503</v>
      </c>
      <c r="I3643" s="6">
        <v>43.726356506347699</v>
      </c>
      <c r="J3643" s="6">
        <v>38.787223815917997</v>
      </c>
      <c r="K3643" s="6">
        <v>38.891819000244098</v>
      </c>
      <c r="L3643" s="6">
        <v>39.598419189453097</v>
      </c>
    </row>
    <row r="3644" spans="1:12" x14ac:dyDescent="0.25">
      <c r="A3644">
        <v>5007208</v>
      </c>
      <c r="B3644" t="str">
        <f t="shared" si="56"/>
        <v>RIO BRILHANTE, MS, Brasil</v>
      </c>
      <c r="C3644" s="4" t="str">
        <f>_xlfn.XLOOKUP(A3644,[1]!DadosGHD[CD_GEOCMU],[1]!DadosGHD[Região])</f>
        <v>CO</v>
      </c>
      <c r="D3644" s="4" t="str">
        <f>_xlfn.XLOOKUP(A3644,[1]!DadosGHD[CD_GEOCMU],[1]!DadosGHD[uf])</f>
        <v>MS</v>
      </c>
      <c r="E3644" s="5" t="str">
        <f>_xlfn.XLOOKUP(A3644,[1]!DadosGHD[CD_GEOCMU],[1]!DadosGHD[MUNICIPIO])</f>
        <v>RIO BRILHANTE</v>
      </c>
      <c r="F3644" s="6">
        <v>43.683891296386697</v>
      </c>
      <c r="G3644" s="6">
        <v>48.660556793212898</v>
      </c>
      <c r="H3644" s="6">
        <v>43.832454681396499</v>
      </c>
      <c r="I3644" s="6">
        <v>43.802848815917997</v>
      </c>
      <c r="J3644" s="6">
        <v>43.776157379150398</v>
      </c>
      <c r="K3644" s="6">
        <v>38.8875541687012</v>
      </c>
      <c r="L3644" s="6">
        <v>30.710964202880898</v>
      </c>
    </row>
    <row r="3645" spans="1:12" x14ac:dyDescent="0.25">
      <c r="A3645">
        <v>4201257</v>
      </c>
      <c r="B3645" t="str">
        <f t="shared" si="56"/>
        <v>APIUNA, SC, Brasil</v>
      </c>
      <c r="C3645" s="4" t="str">
        <f>_xlfn.XLOOKUP(A3645,[1]!DadosGHD[CD_GEOCMU],[1]!DadosGHD[Região])</f>
        <v>SL</v>
      </c>
      <c r="D3645" s="4" t="str">
        <f>_xlfn.XLOOKUP(A3645,[1]!DadosGHD[CD_GEOCMU],[1]!DadosGHD[uf])</f>
        <v>SC</v>
      </c>
      <c r="E3645" s="5" t="str">
        <f>_xlfn.XLOOKUP(A3645,[1]!DadosGHD[CD_GEOCMU],[1]!DadosGHD[MUNICIPIO])</f>
        <v>APIUNA</v>
      </c>
      <c r="F3645" s="6">
        <v>48.537979125976598</v>
      </c>
      <c r="G3645" s="6">
        <v>48.662235260009801</v>
      </c>
      <c r="H3645" s="6">
        <v>53.776786804199197</v>
      </c>
      <c r="I3645" s="6">
        <v>48.706424713134801</v>
      </c>
      <c r="J3645" s="6">
        <v>43.811225891113303</v>
      </c>
      <c r="K3645" s="6">
        <v>43.879886627197301</v>
      </c>
      <c r="L3645" s="6">
        <v>48.493927001953097</v>
      </c>
    </row>
    <row r="3646" spans="1:12" x14ac:dyDescent="0.25">
      <c r="A3646">
        <v>5000609</v>
      </c>
      <c r="B3646" t="str">
        <f t="shared" si="56"/>
        <v>AMAMBAI, MS, Brasil</v>
      </c>
      <c r="C3646" s="4" t="str">
        <f>_xlfn.XLOOKUP(A3646,[1]!DadosGHD[CD_GEOCMU],[1]!DadosGHD[Região])</f>
        <v>CO</v>
      </c>
      <c r="D3646" s="4" t="str">
        <f>_xlfn.XLOOKUP(A3646,[1]!DadosGHD[CD_GEOCMU],[1]!DadosGHD[uf])</f>
        <v>MS</v>
      </c>
      <c r="E3646" s="5" t="str">
        <f>_xlfn.XLOOKUP(A3646,[1]!DadosGHD[CD_GEOCMU],[1]!DadosGHD[MUNICIPIO])</f>
        <v>AMAMBAI</v>
      </c>
      <c r="F3646" s="6">
        <v>48.538131713867202</v>
      </c>
      <c r="G3646" s="6">
        <v>48.630683898925803</v>
      </c>
      <c r="H3646" s="6">
        <v>48.723888397216797</v>
      </c>
      <c r="I3646" s="6">
        <v>48.7059516906738</v>
      </c>
      <c r="J3646" s="6">
        <v>48.711845397949197</v>
      </c>
      <c r="K3646" s="6">
        <v>48.763134002685597</v>
      </c>
      <c r="L3646" s="6">
        <v>39.561336517333999</v>
      </c>
    </row>
    <row r="3647" spans="1:12" x14ac:dyDescent="0.25">
      <c r="A3647">
        <v>1716109</v>
      </c>
      <c r="B3647" t="str">
        <f t="shared" si="56"/>
        <v>PARAISO DO TOCANTINS, TO, Brasil</v>
      </c>
      <c r="C3647" s="4" t="str">
        <f>_xlfn.XLOOKUP(A3647,[1]!DadosGHD[CD_GEOCMU],[1]!DadosGHD[Região])</f>
        <v>NO</v>
      </c>
      <c r="D3647" s="4" t="str">
        <f>_xlfn.XLOOKUP(A3647,[1]!DadosGHD[CD_GEOCMU],[1]!DadosGHD[uf])</f>
        <v>TO</v>
      </c>
      <c r="E3647" s="5" t="str">
        <f>_xlfn.XLOOKUP(A3647,[1]!DadosGHD[CD_GEOCMU],[1]!DadosGHD[MUNICIPIO])</f>
        <v>PARAISO DO TOCANTINS</v>
      </c>
      <c r="F3647" s="6">
        <v>48.538200378417997</v>
      </c>
      <c r="G3647" s="6">
        <v>48.660743713378899</v>
      </c>
      <c r="H3647" s="6">
        <v>43.836696624755902</v>
      </c>
      <c r="I3647" s="6">
        <v>43.804073333740199</v>
      </c>
      <c r="J3647" s="6">
        <v>43.806400299072301</v>
      </c>
      <c r="K3647" s="6">
        <v>43.873538970947301</v>
      </c>
      <c r="L3647" s="6">
        <v>35.156078338623097</v>
      </c>
    </row>
    <row r="3648" spans="1:12" x14ac:dyDescent="0.25">
      <c r="A3648">
        <v>3502002</v>
      </c>
      <c r="B3648" t="str">
        <f t="shared" si="56"/>
        <v>ANALANDIA, SP, Brasil</v>
      </c>
      <c r="C3648" s="4" t="str">
        <f>_xlfn.XLOOKUP(A3648,[1]!DadosGHD[CD_GEOCMU],[1]!DadosGHD[Região])</f>
        <v>SD</v>
      </c>
      <c r="D3648" s="4" t="str">
        <f>_xlfn.XLOOKUP(A3648,[1]!DadosGHD[CD_GEOCMU],[1]!DadosGHD[uf])</f>
        <v>SP</v>
      </c>
      <c r="E3648" s="5" t="str">
        <f>_xlfn.XLOOKUP(A3648,[1]!DadosGHD[CD_GEOCMU],[1]!DadosGHD[MUNICIPIO])</f>
        <v>ANALANDIA</v>
      </c>
      <c r="F3648" s="6">
        <v>48.538417816162102</v>
      </c>
      <c r="G3648" s="6">
        <v>43.717292785644503</v>
      </c>
      <c r="H3648" s="6">
        <v>43.751140594482401</v>
      </c>
      <c r="I3648" s="6">
        <v>43.7525024414063</v>
      </c>
      <c r="J3648" s="6">
        <v>43.779659271240199</v>
      </c>
      <c r="K3648" s="6">
        <v>43.808437347412102</v>
      </c>
      <c r="L3648" s="6">
        <v>44.051624298095703</v>
      </c>
    </row>
    <row r="3649" spans="1:12" x14ac:dyDescent="0.25">
      <c r="A3649">
        <v>5209200</v>
      </c>
      <c r="B3649" t="str">
        <f t="shared" si="56"/>
        <v>GUAPO, GO, Brasil</v>
      </c>
      <c r="C3649" s="4" t="str">
        <f>_xlfn.XLOOKUP(A3649,[1]!DadosGHD[CD_GEOCMU],[1]!DadosGHD[Região])</f>
        <v>CO</v>
      </c>
      <c r="D3649" s="4" t="str">
        <f>_xlfn.XLOOKUP(A3649,[1]!DadosGHD[CD_GEOCMU],[1]!DadosGHD[uf])</f>
        <v>GO</v>
      </c>
      <c r="E3649" s="5" t="str">
        <f>_xlfn.XLOOKUP(A3649,[1]!DadosGHD[CD_GEOCMU],[1]!DadosGHD[MUNICIPIO])</f>
        <v>GUAPO</v>
      </c>
      <c r="F3649" s="6">
        <v>48.538425445556598</v>
      </c>
      <c r="G3649" s="6">
        <v>48.761608123779297</v>
      </c>
      <c r="H3649" s="6">
        <v>53.755428314208999</v>
      </c>
      <c r="I3649" s="6">
        <v>53.709293365478501</v>
      </c>
      <c r="J3649" s="6">
        <v>43.818992614746101</v>
      </c>
      <c r="K3649" s="6">
        <v>43.789546966552699</v>
      </c>
      <c r="L3649" s="6">
        <v>35.139980316162102</v>
      </c>
    </row>
    <row r="3650" spans="1:12" x14ac:dyDescent="0.25">
      <c r="A3650">
        <v>4316758</v>
      </c>
      <c r="B3650" t="str">
        <f t="shared" si="56"/>
        <v>SANTA CLARA DO SUL, RS, Brasil</v>
      </c>
      <c r="C3650" s="4" t="str">
        <f>_xlfn.XLOOKUP(A3650,[1]!DadosGHD[CD_GEOCMU],[1]!DadosGHD[Região])</f>
        <v>SL</v>
      </c>
      <c r="D3650" s="4" t="str">
        <f>_xlfn.XLOOKUP(A3650,[1]!DadosGHD[CD_GEOCMU],[1]!DadosGHD[uf])</f>
        <v>RS</v>
      </c>
      <c r="E3650" s="5" t="str">
        <f>_xlfn.XLOOKUP(A3650,[1]!DadosGHD[CD_GEOCMU],[1]!DadosGHD[MUNICIPIO])</f>
        <v>SANTA CLARA DO SUL</v>
      </c>
      <c r="F3650" s="6">
        <v>48.538719177246101</v>
      </c>
      <c r="G3650" s="6">
        <v>48.6943550109863</v>
      </c>
      <c r="H3650" s="6">
        <v>48.733634948730497</v>
      </c>
      <c r="I3650" s="6">
        <v>48.753578186035199</v>
      </c>
      <c r="J3650" s="6">
        <v>48.810153961181598</v>
      </c>
      <c r="K3650" s="6">
        <v>48.856452941894503</v>
      </c>
      <c r="L3650" s="6">
        <v>44.052608489990199</v>
      </c>
    </row>
    <row r="3651" spans="1:12" x14ac:dyDescent="0.25">
      <c r="A3651">
        <v>4215208</v>
      </c>
      <c r="B3651" t="str">
        <f t="shared" si="56"/>
        <v>ROMELANDIA, SC, Brasil</v>
      </c>
      <c r="C3651" s="4" t="str">
        <f>_xlfn.XLOOKUP(A3651,[1]!DadosGHD[CD_GEOCMU],[1]!DadosGHD[Região])</f>
        <v>SL</v>
      </c>
      <c r="D3651" s="4" t="str">
        <f>_xlfn.XLOOKUP(A3651,[1]!DadosGHD[CD_GEOCMU],[1]!DadosGHD[uf])</f>
        <v>SC</v>
      </c>
      <c r="E3651" s="5" t="str">
        <f>_xlfn.XLOOKUP(A3651,[1]!DadosGHD[CD_GEOCMU],[1]!DadosGHD[MUNICIPIO])</f>
        <v>ROMELANDIA</v>
      </c>
      <c r="F3651" s="6">
        <v>48.539779663085902</v>
      </c>
      <c r="G3651" s="6">
        <v>48.774082183837898</v>
      </c>
      <c r="H3651" s="6">
        <v>53.8485298156738</v>
      </c>
      <c r="I3651" s="6">
        <v>58.884639739990199</v>
      </c>
      <c r="J3651" s="6">
        <v>58.966903686523402</v>
      </c>
      <c r="K3651" s="6">
        <v>59.073207855224602</v>
      </c>
      <c r="L3651" s="6">
        <v>48.506988525390597</v>
      </c>
    </row>
    <row r="3652" spans="1:12" x14ac:dyDescent="0.25">
      <c r="A3652">
        <v>1100049</v>
      </c>
      <c r="B3652" t="str">
        <f t="shared" ref="B3652:B3715" si="57">_xlfn.CONCAT(E3652, ", ", D3652, ", Brasil")</f>
        <v>CACOAL, RO, Brasil</v>
      </c>
      <c r="C3652" s="4" t="str">
        <f>_xlfn.XLOOKUP(A3652,[1]!DadosGHD[CD_GEOCMU],[1]!DadosGHD[Região])</f>
        <v>NO</v>
      </c>
      <c r="D3652" s="4" t="str">
        <f>_xlfn.XLOOKUP(A3652,[1]!DadosGHD[CD_GEOCMU],[1]!DadosGHD[uf])</f>
        <v>RO</v>
      </c>
      <c r="E3652" s="5" t="str">
        <f>_xlfn.XLOOKUP(A3652,[1]!DadosGHD[CD_GEOCMU],[1]!DadosGHD[MUNICIPIO])</f>
        <v>CACOAL</v>
      </c>
      <c r="F3652" s="6">
        <v>48.539840698242202</v>
      </c>
      <c r="G3652" s="6">
        <v>48.640861511230497</v>
      </c>
      <c r="H3652" s="6">
        <v>43.819534301757798</v>
      </c>
      <c r="I3652" s="6">
        <v>48.683261871337898</v>
      </c>
      <c r="J3652" s="6">
        <v>48.718994140625</v>
      </c>
      <c r="K3652" s="6">
        <v>48.7835693359375</v>
      </c>
      <c r="L3652" s="6">
        <v>44.059909820556598</v>
      </c>
    </row>
    <row r="3653" spans="1:12" x14ac:dyDescent="0.25">
      <c r="A3653">
        <v>3519402</v>
      </c>
      <c r="B3653" t="str">
        <f t="shared" si="57"/>
        <v>IBIRA, SP, Brasil</v>
      </c>
      <c r="C3653" s="4" t="str">
        <f>_xlfn.XLOOKUP(A3653,[1]!DadosGHD[CD_GEOCMU],[1]!DadosGHD[Região])</f>
        <v>SD</v>
      </c>
      <c r="D3653" s="4" t="str">
        <f>_xlfn.XLOOKUP(A3653,[1]!DadosGHD[CD_GEOCMU],[1]!DadosGHD[uf])</f>
        <v>SP</v>
      </c>
      <c r="E3653" s="5" t="str">
        <f>_xlfn.XLOOKUP(A3653,[1]!DadosGHD[CD_GEOCMU],[1]!DadosGHD[MUNICIPIO])</f>
        <v>IBIRA</v>
      </c>
      <c r="F3653" s="6">
        <v>48.540367126464801</v>
      </c>
      <c r="G3653" s="6">
        <v>43.7354125976563</v>
      </c>
      <c r="H3653" s="6">
        <v>43.756179809570298</v>
      </c>
      <c r="I3653" s="6">
        <v>43.726535797119098</v>
      </c>
      <c r="J3653" s="6">
        <v>43.722511291503899</v>
      </c>
      <c r="K3653" s="6">
        <v>43.779731750488303</v>
      </c>
      <c r="L3653" s="6">
        <v>39.569923400878899</v>
      </c>
    </row>
    <row r="3654" spans="1:12" x14ac:dyDescent="0.25">
      <c r="A3654">
        <v>3529500</v>
      </c>
      <c r="B3654" t="str">
        <f t="shared" si="57"/>
        <v>MENDONCA, SP, Brasil</v>
      </c>
      <c r="C3654" s="4" t="str">
        <f>_xlfn.XLOOKUP(A3654,[1]!DadosGHD[CD_GEOCMU],[1]!DadosGHD[Região])</f>
        <v>SD</v>
      </c>
      <c r="D3654" s="4" t="str">
        <f>_xlfn.XLOOKUP(A3654,[1]!DadosGHD[CD_GEOCMU],[1]!DadosGHD[uf])</f>
        <v>SP</v>
      </c>
      <c r="E3654" s="5" t="str">
        <f>_xlfn.XLOOKUP(A3654,[1]!DadosGHD[CD_GEOCMU],[1]!DadosGHD[MUNICIPIO])</f>
        <v>MENDONCA</v>
      </c>
      <c r="F3654" s="6">
        <v>48.540397644042997</v>
      </c>
      <c r="G3654" s="6">
        <v>48.674148559570298</v>
      </c>
      <c r="H3654" s="6">
        <v>48.813220977783203</v>
      </c>
      <c r="I3654" s="6">
        <v>53.711818695068402</v>
      </c>
      <c r="J3654" s="6">
        <v>53.894229888916001</v>
      </c>
      <c r="K3654" s="6">
        <v>48.7780151367188</v>
      </c>
      <c r="L3654" s="6">
        <v>52.994087219238303</v>
      </c>
    </row>
    <row r="3655" spans="1:12" x14ac:dyDescent="0.25">
      <c r="A3655">
        <v>3162575</v>
      </c>
      <c r="B3655" t="str">
        <f t="shared" si="57"/>
        <v>SAO JOAO DO MANTENINHA, MG, Brasil</v>
      </c>
      <c r="C3655" s="4" t="str">
        <f>_xlfn.XLOOKUP(A3655,[1]!DadosGHD[CD_GEOCMU],[1]!DadosGHD[Região])</f>
        <v>SD</v>
      </c>
      <c r="D3655" s="4" t="str">
        <f>_xlfn.XLOOKUP(A3655,[1]!DadosGHD[CD_GEOCMU],[1]!DadosGHD[uf])</f>
        <v>MG</v>
      </c>
      <c r="E3655" s="5" t="str">
        <f>_xlfn.XLOOKUP(A3655,[1]!DadosGHD[CD_GEOCMU],[1]!DadosGHD[MUNICIPIO])</f>
        <v>SAO JOAO DO MANTENINHA</v>
      </c>
      <c r="F3655" s="6">
        <v>48.540523529052699</v>
      </c>
      <c r="G3655" s="6">
        <v>48.657985687255902</v>
      </c>
      <c r="H3655" s="6">
        <v>48.773704528808601</v>
      </c>
      <c r="I3655" s="6">
        <v>48.794349670410199</v>
      </c>
      <c r="J3655" s="6">
        <v>43.817619323730497</v>
      </c>
      <c r="K3655" s="6">
        <v>43.830490112304702</v>
      </c>
      <c r="L3655" s="6">
        <v>39.555744171142599</v>
      </c>
    </row>
    <row r="3656" spans="1:12" x14ac:dyDescent="0.25">
      <c r="A3656">
        <v>3172004</v>
      </c>
      <c r="B3656" t="str">
        <f t="shared" si="57"/>
        <v>VISCONDE DO RIO BRANCO, MG, Brasil</v>
      </c>
      <c r="C3656" s="4" t="str">
        <f>_xlfn.XLOOKUP(A3656,[1]!DadosGHD[CD_GEOCMU],[1]!DadosGHD[Região])</f>
        <v>SD</v>
      </c>
      <c r="D3656" s="4" t="str">
        <f>_xlfn.XLOOKUP(A3656,[1]!DadosGHD[CD_GEOCMU],[1]!DadosGHD[uf])</f>
        <v>MG</v>
      </c>
      <c r="E3656" s="5" t="str">
        <f>_xlfn.XLOOKUP(A3656,[1]!DadosGHD[CD_GEOCMU],[1]!DadosGHD[MUNICIPIO])</f>
        <v>VISCONDE DO RIO BRANCO</v>
      </c>
      <c r="F3656" s="6">
        <v>48.540565490722699</v>
      </c>
      <c r="G3656" s="6">
        <v>48.6422119140625</v>
      </c>
      <c r="H3656" s="6">
        <v>48.730907440185597</v>
      </c>
      <c r="I3656" s="6">
        <v>43.797779083252003</v>
      </c>
      <c r="J3656" s="6">
        <v>43.794364929199197</v>
      </c>
      <c r="K3656" s="6">
        <v>43.802734375</v>
      </c>
      <c r="L3656" s="6">
        <v>48.538013458252003</v>
      </c>
    </row>
    <row r="3657" spans="1:12" x14ac:dyDescent="0.25">
      <c r="A3657">
        <v>4103479</v>
      </c>
      <c r="B3657" t="str">
        <f t="shared" si="57"/>
        <v>CAFEZAL DO SUL, PR, Brasil</v>
      </c>
      <c r="C3657" s="4" t="str">
        <f>_xlfn.XLOOKUP(A3657,[1]!DadosGHD[CD_GEOCMU],[1]!DadosGHD[Região])</f>
        <v>SL</v>
      </c>
      <c r="D3657" s="4" t="str">
        <f>_xlfn.XLOOKUP(A3657,[1]!DadosGHD[CD_GEOCMU],[1]!DadosGHD[uf])</f>
        <v>PR</v>
      </c>
      <c r="E3657" s="5" t="str">
        <f>_xlfn.XLOOKUP(A3657,[1]!DadosGHD[CD_GEOCMU],[1]!DadosGHD[MUNICIPIO])</f>
        <v>CAFEZAL DO SUL</v>
      </c>
      <c r="F3657" s="6">
        <v>48.5411987304688</v>
      </c>
      <c r="G3657" s="6">
        <v>48.731380462646499</v>
      </c>
      <c r="H3657" s="6">
        <v>48.809970855712898</v>
      </c>
      <c r="I3657" s="6">
        <v>48.8093452453613</v>
      </c>
      <c r="J3657" s="6">
        <v>48.812881469726598</v>
      </c>
      <c r="K3657" s="6">
        <v>53.824024200439503</v>
      </c>
      <c r="L3657" s="6">
        <v>48.488941192627003</v>
      </c>
    </row>
    <row r="3658" spans="1:12" x14ac:dyDescent="0.25">
      <c r="A3658">
        <v>3542503</v>
      </c>
      <c r="B3658" t="str">
        <f t="shared" si="57"/>
        <v>REGINOPOLIS, SP, Brasil</v>
      </c>
      <c r="C3658" s="4" t="str">
        <f>_xlfn.XLOOKUP(A3658,[1]!DadosGHD[CD_GEOCMU],[1]!DadosGHD[Região])</f>
        <v>SD</v>
      </c>
      <c r="D3658" s="4" t="str">
        <f>_xlfn.XLOOKUP(A3658,[1]!DadosGHD[CD_GEOCMU],[1]!DadosGHD[uf])</f>
        <v>SP</v>
      </c>
      <c r="E3658" s="5" t="str">
        <f>_xlfn.XLOOKUP(A3658,[1]!DadosGHD[CD_GEOCMU],[1]!DadosGHD[MUNICIPIO])</f>
        <v>REGINOPOLIS</v>
      </c>
      <c r="F3658" s="6">
        <v>48.541572570800803</v>
      </c>
      <c r="G3658" s="6">
        <v>43.712146759033203</v>
      </c>
      <c r="H3658" s="6">
        <v>43.732635498046903</v>
      </c>
      <c r="I3658" s="6">
        <v>43.706485748291001</v>
      </c>
      <c r="J3658" s="6">
        <v>43.737525939941399</v>
      </c>
      <c r="K3658" s="6">
        <v>38.874046325683601</v>
      </c>
      <c r="L3658" s="6">
        <v>39.587390899658203</v>
      </c>
    </row>
    <row r="3659" spans="1:12" x14ac:dyDescent="0.25">
      <c r="A3659">
        <v>4201703</v>
      </c>
      <c r="B3659" t="str">
        <f t="shared" si="57"/>
        <v>ASCURRA, SC, Brasil</v>
      </c>
      <c r="C3659" s="4" t="str">
        <f>_xlfn.XLOOKUP(A3659,[1]!DadosGHD[CD_GEOCMU],[1]!DadosGHD[Região])</f>
        <v>SL</v>
      </c>
      <c r="D3659" s="4" t="str">
        <f>_xlfn.XLOOKUP(A3659,[1]!DadosGHD[CD_GEOCMU],[1]!DadosGHD[uf])</f>
        <v>SC</v>
      </c>
      <c r="E3659" s="5" t="str">
        <f>_xlfn.XLOOKUP(A3659,[1]!DadosGHD[CD_GEOCMU],[1]!DadosGHD[MUNICIPIO])</f>
        <v>ASCURRA</v>
      </c>
      <c r="F3659" s="6">
        <v>48.541637420654297</v>
      </c>
      <c r="G3659" s="6">
        <v>48.724777221679702</v>
      </c>
      <c r="H3659" s="6">
        <v>58.878002166748097</v>
      </c>
      <c r="I3659" s="6">
        <v>53.766719818115199</v>
      </c>
      <c r="J3659" s="6">
        <v>58.821456909179702</v>
      </c>
      <c r="K3659" s="6">
        <v>59.054580688476598</v>
      </c>
      <c r="L3659" s="6">
        <v>57.589881896972699</v>
      </c>
    </row>
    <row r="3660" spans="1:12" x14ac:dyDescent="0.25">
      <c r="A3660">
        <v>3527009</v>
      </c>
      <c r="B3660" t="str">
        <f t="shared" si="57"/>
        <v>LINDOIA, SP, Brasil</v>
      </c>
      <c r="C3660" s="4" t="str">
        <f>_xlfn.XLOOKUP(A3660,[1]!DadosGHD[CD_GEOCMU],[1]!DadosGHD[Região])</f>
        <v>SD</v>
      </c>
      <c r="D3660" s="4" t="str">
        <f>_xlfn.XLOOKUP(A3660,[1]!DadosGHD[CD_GEOCMU],[1]!DadosGHD[uf])</f>
        <v>SP</v>
      </c>
      <c r="E3660" s="5" t="str">
        <f>_xlfn.XLOOKUP(A3660,[1]!DadosGHD[CD_GEOCMU],[1]!DadosGHD[MUNICIPIO])</f>
        <v>LINDOIA</v>
      </c>
      <c r="F3660" s="6">
        <v>48.541801452636697</v>
      </c>
      <c r="G3660" s="6">
        <v>43.736980438232401</v>
      </c>
      <c r="H3660" s="6">
        <v>43.738124847412102</v>
      </c>
      <c r="I3660" s="6">
        <v>38.801715850830099</v>
      </c>
      <c r="J3660" s="6">
        <v>38.768764495849602</v>
      </c>
      <c r="K3660" s="6">
        <v>38.847698211669901</v>
      </c>
      <c r="L3660" s="6">
        <v>35.1406860351563</v>
      </c>
    </row>
    <row r="3661" spans="1:12" x14ac:dyDescent="0.25">
      <c r="A3661">
        <v>5204102</v>
      </c>
      <c r="B3661" t="str">
        <f t="shared" si="57"/>
        <v>CACHOEIRA ALTA, GO, Brasil</v>
      </c>
      <c r="C3661" s="4" t="str">
        <f>_xlfn.XLOOKUP(A3661,[1]!DadosGHD[CD_GEOCMU],[1]!DadosGHD[Região])</f>
        <v>CO</v>
      </c>
      <c r="D3661" s="4" t="str">
        <f>_xlfn.XLOOKUP(A3661,[1]!DadosGHD[CD_GEOCMU],[1]!DadosGHD[uf])</f>
        <v>GO</v>
      </c>
      <c r="E3661" s="5" t="str">
        <f>_xlfn.XLOOKUP(A3661,[1]!DadosGHD[CD_GEOCMU],[1]!DadosGHD[MUNICIPIO])</f>
        <v>CACHOEIRA ALTA</v>
      </c>
      <c r="F3661" s="6">
        <v>48.541820526123097</v>
      </c>
      <c r="G3661" s="6">
        <v>48.666446685791001</v>
      </c>
      <c r="H3661" s="6">
        <v>43.788368225097699</v>
      </c>
      <c r="I3661" s="6">
        <v>43.729526519775398</v>
      </c>
      <c r="J3661" s="6">
        <v>43.741161346435597</v>
      </c>
      <c r="K3661" s="6">
        <v>43.770233154296903</v>
      </c>
      <c r="L3661" s="6">
        <v>35.131996154785199</v>
      </c>
    </row>
    <row r="3662" spans="1:12" x14ac:dyDescent="0.25">
      <c r="A3662">
        <v>4306007</v>
      </c>
      <c r="B3662" t="str">
        <f t="shared" si="57"/>
        <v>CRISSIUMAL, RS, Brasil</v>
      </c>
      <c r="C3662" s="4" t="str">
        <f>_xlfn.XLOOKUP(A3662,[1]!DadosGHD[CD_GEOCMU],[1]!DadosGHD[Região])</f>
        <v>SL</v>
      </c>
      <c r="D3662" s="4" t="str">
        <f>_xlfn.XLOOKUP(A3662,[1]!DadosGHD[CD_GEOCMU],[1]!DadosGHD[uf])</f>
        <v>RS</v>
      </c>
      <c r="E3662" s="5" t="str">
        <f>_xlfn.XLOOKUP(A3662,[1]!DadosGHD[CD_GEOCMU],[1]!DadosGHD[MUNICIPIO])</f>
        <v>CRISSIUMAL</v>
      </c>
      <c r="F3662" s="6">
        <v>48.541927337646499</v>
      </c>
      <c r="G3662" s="6">
        <v>48.723712921142599</v>
      </c>
      <c r="H3662" s="6">
        <v>48.8050537109375</v>
      </c>
      <c r="I3662" s="6">
        <v>48.799003601074197</v>
      </c>
      <c r="J3662" s="6">
        <v>48.814216613769503</v>
      </c>
      <c r="K3662" s="6">
        <v>48.861244201660199</v>
      </c>
      <c r="L3662" s="6">
        <v>39.571117401123097</v>
      </c>
    </row>
    <row r="3663" spans="1:12" x14ac:dyDescent="0.25">
      <c r="A3663">
        <v>3171808</v>
      </c>
      <c r="B3663" t="str">
        <f t="shared" si="57"/>
        <v>VIRGINOPOLIS, MG, Brasil</v>
      </c>
      <c r="C3663" s="4" t="str">
        <f>_xlfn.XLOOKUP(A3663,[1]!DadosGHD[CD_GEOCMU],[1]!DadosGHD[Região])</f>
        <v>SD</v>
      </c>
      <c r="D3663" s="4" t="str">
        <f>_xlfn.XLOOKUP(A3663,[1]!DadosGHD[CD_GEOCMU],[1]!DadosGHD[uf])</f>
        <v>MG</v>
      </c>
      <c r="E3663" s="5" t="str">
        <f>_xlfn.XLOOKUP(A3663,[1]!DadosGHD[CD_GEOCMU],[1]!DadosGHD[MUNICIPIO])</f>
        <v>VIRGINOPOLIS</v>
      </c>
      <c r="F3663" s="6">
        <v>48.541954040527301</v>
      </c>
      <c r="G3663" s="6">
        <v>48.632236480712898</v>
      </c>
      <c r="H3663" s="6">
        <v>48.713855743408203</v>
      </c>
      <c r="I3663" s="6">
        <v>48.708362579345703</v>
      </c>
      <c r="J3663" s="6">
        <v>48.714683532714801</v>
      </c>
      <c r="K3663" s="6">
        <v>43.881641387939503</v>
      </c>
      <c r="L3663" s="6">
        <v>35.134731292724602</v>
      </c>
    </row>
    <row r="3664" spans="1:12" x14ac:dyDescent="0.25">
      <c r="A3664">
        <v>4307054</v>
      </c>
      <c r="B3664" t="str">
        <f t="shared" si="57"/>
        <v>ERNESTINA, RS, Brasil</v>
      </c>
      <c r="C3664" s="4" t="str">
        <f>_xlfn.XLOOKUP(A3664,[1]!DadosGHD[CD_GEOCMU],[1]!DadosGHD[Região])</f>
        <v>SL</v>
      </c>
      <c r="D3664" s="4" t="str">
        <f>_xlfn.XLOOKUP(A3664,[1]!DadosGHD[CD_GEOCMU],[1]!DadosGHD[uf])</f>
        <v>RS</v>
      </c>
      <c r="E3664" s="5" t="str">
        <f>_xlfn.XLOOKUP(A3664,[1]!DadosGHD[CD_GEOCMU],[1]!DadosGHD[MUNICIPIO])</f>
        <v>ERNESTINA</v>
      </c>
      <c r="F3664" s="6">
        <v>48.5420112609863</v>
      </c>
      <c r="G3664" s="6">
        <v>53.771514892578097</v>
      </c>
      <c r="H3664" s="6">
        <v>53.842418670654297</v>
      </c>
      <c r="I3664" s="6">
        <v>58.950237274169901</v>
      </c>
      <c r="J3664" s="6">
        <v>64.028724670410199</v>
      </c>
      <c r="K3664" s="6">
        <v>64.1114501953125</v>
      </c>
      <c r="L3664" s="6">
        <v>57.589881896972699</v>
      </c>
    </row>
    <row r="3665" spans="1:12" x14ac:dyDescent="0.25">
      <c r="A3665">
        <v>3133204</v>
      </c>
      <c r="B3665" t="str">
        <f t="shared" si="57"/>
        <v>ITANHOMI, MG, Brasil</v>
      </c>
      <c r="C3665" s="4" t="str">
        <f>_xlfn.XLOOKUP(A3665,[1]!DadosGHD[CD_GEOCMU],[1]!DadosGHD[Região])</f>
        <v>SD</v>
      </c>
      <c r="D3665" s="4" t="str">
        <f>_xlfn.XLOOKUP(A3665,[1]!DadosGHD[CD_GEOCMU],[1]!DadosGHD[uf])</f>
        <v>MG</v>
      </c>
      <c r="E3665" s="5" t="str">
        <f>_xlfn.XLOOKUP(A3665,[1]!DadosGHD[CD_GEOCMU],[1]!DadosGHD[MUNICIPIO])</f>
        <v>ITANHOMI</v>
      </c>
      <c r="F3665" s="6">
        <v>48.5421142578125</v>
      </c>
      <c r="G3665" s="6">
        <v>48.628814697265597</v>
      </c>
      <c r="H3665" s="6">
        <v>43.818084716796903</v>
      </c>
      <c r="I3665" s="6">
        <v>43.779510498046903</v>
      </c>
      <c r="J3665" s="6">
        <v>43.775302886962898</v>
      </c>
      <c r="K3665" s="6">
        <v>43.797698974609403</v>
      </c>
      <c r="L3665" s="6">
        <v>39.583324432373097</v>
      </c>
    </row>
    <row r="3666" spans="1:12" x14ac:dyDescent="0.25">
      <c r="A3666">
        <v>2702207</v>
      </c>
      <c r="B3666" t="str">
        <f t="shared" si="57"/>
        <v>COQUEIRO SECO, AL, Brasil</v>
      </c>
      <c r="C3666" s="4" t="str">
        <f>_xlfn.XLOOKUP(A3666,[1]!DadosGHD[CD_GEOCMU],[1]!DadosGHD[Região])</f>
        <v>NE</v>
      </c>
      <c r="D3666" s="4" t="str">
        <f>_xlfn.XLOOKUP(A3666,[1]!DadosGHD[CD_GEOCMU],[1]!DadosGHD[uf])</f>
        <v>AL</v>
      </c>
      <c r="E3666" s="5" t="str">
        <f>_xlfn.XLOOKUP(A3666,[1]!DadosGHD[CD_GEOCMU],[1]!DadosGHD[MUNICIPIO])</f>
        <v>COQUEIRO SECO</v>
      </c>
      <c r="F3666" s="6">
        <v>48.542148590087898</v>
      </c>
      <c r="G3666" s="6">
        <v>43.687068939208999</v>
      </c>
      <c r="H3666" s="6">
        <v>43.738559722900398</v>
      </c>
      <c r="I3666" s="6">
        <v>43.696041107177699</v>
      </c>
      <c r="J3666" s="6">
        <v>43.720890045166001</v>
      </c>
      <c r="K3666" s="6">
        <v>43.770198822021499</v>
      </c>
      <c r="L3666" s="6">
        <v>39.605777740478501</v>
      </c>
    </row>
    <row r="3667" spans="1:12" x14ac:dyDescent="0.25">
      <c r="A3667">
        <v>4319364</v>
      </c>
      <c r="B3667" t="str">
        <f t="shared" si="57"/>
        <v>SAO PEDRO DAS MISSOES, RS, Brasil</v>
      </c>
      <c r="C3667" s="4" t="str">
        <f>_xlfn.XLOOKUP(A3667,[1]!DadosGHD[CD_GEOCMU],[1]!DadosGHD[Região])</f>
        <v>SL</v>
      </c>
      <c r="D3667" s="4" t="str">
        <f>_xlfn.XLOOKUP(A3667,[1]!DadosGHD[CD_GEOCMU],[1]!DadosGHD[uf])</f>
        <v>RS</v>
      </c>
      <c r="E3667" s="5" t="str">
        <f>_xlfn.XLOOKUP(A3667,[1]!DadosGHD[CD_GEOCMU],[1]!DadosGHD[MUNICIPIO])</f>
        <v>SAO PEDRO DAS MISSOES</v>
      </c>
      <c r="F3667" s="6">
        <v>48.542972564697301</v>
      </c>
      <c r="G3667" s="6">
        <v>43.679393768310597</v>
      </c>
      <c r="H3667" s="6">
        <v>43.7345581054688</v>
      </c>
      <c r="I3667" s="6">
        <v>43.707080841064503</v>
      </c>
      <c r="J3667" s="6">
        <v>43.726009368896499</v>
      </c>
      <c r="K3667" s="6">
        <v>43.7679252624512</v>
      </c>
      <c r="L3667" s="6">
        <v>35.118053436279297</v>
      </c>
    </row>
    <row r="3668" spans="1:12" x14ac:dyDescent="0.25">
      <c r="A3668">
        <v>4313466</v>
      </c>
      <c r="B3668" t="str">
        <f t="shared" si="57"/>
        <v>NOVO XINGU, RS, Brasil</v>
      </c>
      <c r="C3668" s="4" t="str">
        <f>_xlfn.XLOOKUP(A3668,[1]!DadosGHD[CD_GEOCMU],[1]!DadosGHD[Região])</f>
        <v>SL</v>
      </c>
      <c r="D3668" s="4" t="str">
        <f>_xlfn.XLOOKUP(A3668,[1]!DadosGHD[CD_GEOCMU],[1]!DadosGHD[uf])</f>
        <v>RS</v>
      </c>
      <c r="E3668" s="5" t="str">
        <f>_xlfn.XLOOKUP(A3668,[1]!DadosGHD[CD_GEOCMU],[1]!DadosGHD[MUNICIPIO])</f>
        <v>NOVO XINGU</v>
      </c>
      <c r="F3668" s="6">
        <v>48.542972564697301</v>
      </c>
      <c r="G3668" s="6">
        <v>43.679393768310597</v>
      </c>
      <c r="H3668" s="6">
        <v>48.8598022460938</v>
      </c>
      <c r="I3668" s="6">
        <v>53.724369049072301</v>
      </c>
      <c r="J3668" s="6">
        <v>53.764518737792997</v>
      </c>
      <c r="K3668" s="6">
        <v>53.846271514892599</v>
      </c>
      <c r="L3668" s="6">
        <v>44.017219543457003</v>
      </c>
    </row>
    <row r="3669" spans="1:12" x14ac:dyDescent="0.25">
      <c r="A3669">
        <v>5212055</v>
      </c>
      <c r="B3669" t="str">
        <f t="shared" si="57"/>
        <v>JESUPOLIS, GO, Brasil</v>
      </c>
      <c r="C3669" s="4" t="str">
        <f>_xlfn.XLOOKUP(A3669,[1]!DadosGHD[CD_GEOCMU],[1]!DadosGHD[Região])</f>
        <v>CO</v>
      </c>
      <c r="D3669" s="4" t="str">
        <f>_xlfn.XLOOKUP(A3669,[1]!DadosGHD[CD_GEOCMU],[1]!DadosGHD[uf])</f>
        <v>GO</v>
      </c>
      <c r="E3669" s="5" t="str">
        <f>_xlfn.XLOOKUP(A3669,[1]!DadosGHD[CD_GEOCMU],[1]!DadosGHD[MUNICIPIO])</f>
        <v>JESUPOLIS</v>
      </c>
      <c r="F3669" s="6">
        <v>48.542972564697301</v>
      </c>
      <c r="G3669" s="6">
        <v>43.6861763000488</v>
      </c>
      <c r="H3669" s="6">
        <v>43.839626312255902</v>
      </c>
      <c r="I3669" s="6">
        <v>48.716133117675803</v>
      </c>
      <c r="J3669" s="6">
        <v>48.753726959228501</v>
      </c>
      <c r="K3669" s="6">
        <v>48.784374237060597</v>
      </c>
      <c r="L3669" s="6">
        <v>39.609867095947301</v>
      </c>
    </row>
    <row r="3670" spans="1:12" x14ac:dyDescent="0.25">
      <c r="A3670">
        <v>4308052</v>
      </c>
      <c r="B3670" t="str">
        <f t="shared" si="57"/>
        <v>FAXINALZINHO, RS, Brasil</v>
      </c>
      <c r="C3670" s="4" t="str">
        <f>_xlfn.XLOOKUP(A3670,[1]!DadosGHD[CD_GEOCMU],[1]!DadosGHD[Região])</f>
        <v>SL</v>
      </c>
      <c r="D3670" s="4" t="str">
        <f>_xlfn.XLOOKUP(A3670,[1]!DadosGHD[CD_GEOCMU],[1]!DadosGHD[uf])</f>
        <v>RS</v>
      </c>
      <c r="E3670" s="5" t="str">
        <f>_xlfn.XLOOKUP(A3670,[1]!DadosGHD[CD_GEOCMU],[1]!DadosGHD[MUNICIPIO])</f>
        <v>FAXINALZINHO</v>
      </c>
      <c r="F3670" s="6">
        <v>48.542972564697301</v>
      </c>
      <c r="G3670" s="6">
        <v>58.716251373291001</v>
      </c>
      <c r="H3670" s="6">
        <v>53.890785217285199</v>
      </c>
      <c r="I3670" s="6">
        <v>53.854648590087898</v>
      </c>
      <c r="J3670" s="6">
        <v>53.875568389892599</v>
      </c>
      <c r="K3670" s="6">
        <v>53.9274711608887</v>
      </c>
      <c r="L3670" s="6">
        <v>39.592464447021499</v>
      </c>
    </row>
    <row r="3671" spans="1:12" x14ac:dyDescent="0.25">
      <c r="A3671">
        <v>4304853</v>
      </c>
      <c r="B3671" t="str">
        <f t="shared" si="57"/>
        <v>CARLOS GOMES, RS, Brasil</v>
      </c>
      <c r="C3671" s="4" t="str">
        <f>_xlfn.XLOOKUP(A3671,[1]!DadosGHD[CD_GEOCMU],[1]!DadosGHD[Região])</f>
        <v>SL</v>
      </c>
      <c r="D3671" s="4" t="str">
        <f>_xlfn.XLOOKUP(A3671,[1]!DadosGHD[CD_GEOCMU],[1]!DadosGHD[uf])</f>
        <v>RS</v>
      </c>
      <c r="E3671" s="5" t="str">
        <f>_xlfn.XLOOKUP(A3671,[1]!DadosGHD[CD_GEOCMU],[1]!DadosGHD[MUNICIPIO])</f>
        <v>CARLOS GOMES</v>
      </c>
      <c r="F3671" s="6">
        <v>48.542972564697301</v>
      </c>
      <c r="G3671" s="6">
        <v>48.665374755859403</v>
      </c>
      <c r="H3671" s="6">
        <v>48.727245330810597</v>
      </c>
      <c r="I3671" s="6">
        <v>48.695926666259801</v>
      </c>
      <c r="J3671" s="6">
        <v>48.734279632568402</v>
      </c>
      <c r="K3671" s="6">
        <v>48.862514495849602</v>
      </c>
      <c r="L3671" s="6">
        <v>39.594841003417997</v>
      </c>
    </row>
    <row r="3672" spans="1:12" x14ac:dyDescent="0.25">
      <c r="A3672">
        <v>3532843</v>
      </c>
      <c r="B3672" t="str">
        <f t="shared" si="57"/>
        <v>NOVA CANAA PAULISTA, SP, Brasil</v>
      </c>
      <c r="C3672" s="4" t="str">
        <f>_xlfn.XLOOKUP(A3672,[1]!DadosGHD[CD_GEOCMU],[1]!DadosGHD[Região])</f>
        <v>SD</v>
      </c>
      <c r="D3672" s="4" t="str">
        <f>_xlfn.XLOOKUP(A3672,[1]!DadosGHD[CD_GEOCMU],[1]!DadosGHD[uf])</f>
        <v>SP</v>
      </c>
      <c r="E3672" s="5" t="str">
        <f>_xlfn.XLOOKUP(A3672,[1]!DadosGHD[CD_GEOCMU],[1]!DadosGHD[MUNICIPIO])</f>
        <v>NOVA CANAA PAULISTA</v>
      </c>
      <c r="F3672" s="6">
        <v>48.542972564697301</v>
      </c>
      <c r="G3672" s="6">
        <v>28.907878875732401</v>
      </c>
      <c r="H3672" s="6">
        <v>28.942651748657202</v>
      </c>
      <c r="I3672" s="6">
        <v>28.925045013427699</v>
      </c>
      <c r="J3672" s="6">
        <v>28.9409065246582</v>
      </c>
      <c r="K3672" s="6">
        <v>28.9686679840088</v>
      </c>
      <c r="L3672" s="6">
        <v>26.2798957824707</v>
      </c>
    </row>
    <row r="3673" spans="1:12" x14ac:dyDescent="0.25">
      <c r="A3673">
        <v>4310652</v>
      </c>
      <c r="B3673" t="str">
        <f t="shared" si="57"/>
        <v>ITATI, RS, Brasil</v>
      </c>
      <c r="C3673" s="4" t="str">
        <f>_xlfn.XLOOKUP(A3673,[1]!DadosGHD[CD_GEOCMU],[1]!DadosGHD[Região])</f>
        <v>SL</v>
      </c>
      <c r="D3673" s="4" t="str">
        <f>_xlfn.XLOOKUP(A3673,[1]!DadosGHD[CD_GEOCMU],[1]!DadosGHD[uf])</f>
        <v>RS</v>
      </c>
      <c r="E3673" s="5" t="str">
        <f>_xlfn.XLOOKUP(A3673,[1]!DadosGHD[CD_GEOCMU],[1]!DadosGHD[MUNICIPIO])</f>
        <v>ITATI</v>
      </c>
      <c r="F3673" s="6">
        <v>48.542972564697301</v>
      </c>
      <c r="G3673" s="6">
        <v>53.677101135253899</v>
      </c>
      <c r="H3673" s="6">
        <v>48.8598022460938</v>
      </c>
      <c r="I3673" s="6">
        <v>53.710487365722699</v>
      </c>
      <c r="J3673" s="6">
        <v>53.732135772705099</v>
      </c>
      <c r="K3673" s="6">
        <v>43.7679252624512</v>
      </c>
      <c r="L3673" s="6">
        <v>39.566177368164098</v>
      </c>
    </row>
    <row r="3674" spans="1:12" x14ac:dyDescent="0.25">
      <c r="A3674">
        <v>3123502</v>
      </c>
      <c r="B3674" t="str">
        <f t="shared" si="57"/>
        <v>DOURADOQUARA, MG, Brasil</v>
      </c>
      <c r="C3674" s="4" t="str">
        <f>_xlfn.XLOOKUP(A3674,[1]!DadosGHD[CD_GEOCMU],[1]!DadosGHD[Região])</f>
        <v>SD</v>
      </c>
      <c r="D3674" s="4" t="str">
        <f>_xlfn.XLOOKUP(A3674,[1]!DadosGHD[CD_GEOCMU],[1]!DadosGHD[uf])</f>
        <v>MG</v>
      </c>
      <c r="E3674" s="5" t="str">
        <f>_xlfn.XLOOKUP(A3674,[1]!DadosGHD[CD_GEOCMU],[1]!DadosGHD[MUNICIPIO])</f>
        <v>DOURADOQUARA</v>
      </c>
      <c r="F3674" s="6">
        <v>48.542972564697301</v>
      </c>
      <c r="G3674" s="6">
        <v>43.679393768310597</v>
      </c>
      <c r="H3674" s="6">
        <v>43.7345581054688</v>
      </c>
      <c r="I3674" s="6">
        <v>53.710487365722699</v>
      </c>
      <c r="J3674" s="6">
        <v>53.732505798339801</v>
      </c>
      <c r="K3674" s="6">
        <v>48.894378662109403</v>
      </c>
      <c r="L3674" s="6">
        <v>35.139533996582003</v>
      </c>
    </row>
    <row r="3675" spans="1:12" x14ac:dyDescent="0.25">
      <c r="A3675">
        <v>4205357</v>
      </c>
      <c r="B3675" t="str">
        <f t="shared" si="57"/>
        <v>FLOR DO SERTAO, SC, Brasil</v>
      </c>
      <c r="C3675" s="4" t="str">
        <f>_xlfn.XLOOKUP(A3675,[1]!DadosGHD[CD_GEOCMU],[1]!DadosGHD[Região])</f>
        <v>SL</v>
      </c>
      <c r="D3675" s="4" t="str">
        <f>_xlfn.XLOOKUP(A3675,[1]!DadosGHD[CD_GEOCMU],[1]!DadosGHD[uf])</f>
        <v>SC</v>
      </c>
      <c r="E3675" s="5" t="str">
        <f>_xlfn.XLOOKUP(A3675,[1]!DadosGHD[CD_GEOCMU],[1]!DadosGHD[MUNICIPIO])</f>
        <v>FLOR DO SERTAO</v>
      </c>
      <c r="F3675" s="6">
        <v>48.542972564697301</v>
      </c>
      <c r="G3675" s="6">
        <v>53.821487426757798</v>
      </c>
      <c r="H3675" s="6">
        <v>58.860118865966797</v>
      </c>
      <c r="I3675" s="6">
        <v>53.749401092529297</v>
      </c>
      <c r="J3675" s="6">
        <v>53.8364868164063</v>
      </c>
      <c r="K3675" s="6">
        <v>53.898471832275398</v>
      </c>
      <c r="L3675" s="6">
        <v>53.013671875</v>
      </c>
    </row>
    <row r="3676" spans="1:12" x14ac:dyDescent="0.25">
      <c r="A3676">
        <v>3166402</v>
      </c>
      <c r="B3676" t="str">
        <f t="shared" si="57"/>
        <v>SERITINGA, MG, Brasil</v>
      </c>
      <c r="C3676" s="4" t="str">
        <f>_xlfn.XLOOKUP(A3676,[1]!DadosGHD[CD_GEOCMU],[1]!DadosGHD[Região])</f>
        <v>SD</v>
      </c>
      <c r="D3676" s="4" t="str">
        <f>_xlfn.XLOOKUP(A3676,[1]!DadosGHD[CD_GEOCMU],[1]!DadosGHD[uf])</f>
        <v>MG</v>
      </c>
      <c r="E3676" s="5" t="str">
        <f>_xlfn.XLOOKUP(A3676,[1]!DadosGHD[CD_GEOCMU],[1]!DadosGHD[MUNICIPIO])</f>
        <v>SERITINGA</v>
      </c>
      <c r="F3676" s="6">
        <v>48.542972564697301</v>
      </c>
      <c r="G3676" s="6">
        <v>43.681922912597699</v>
      </c>
      <c r="H3676" s="6">
        <v>43.747974395752003</v>
      </c>
      <c r="I3676" s="6">
        <v>43.754138946533203</v>
      </c>
      <c r="J3676" s="6">
        <v>33.8629760742188</v>
      </c>
      <c r="K3676" s="6">
        <v>33.862316131591797</v>
      </c>
      <c r="L3676" s="6">
        <v>39.565299987792997</v>
      </c>
    </row>
    <row r="3677" spans="1:12" x14ac:dyDescent="0.25">
      <c r="A3677">
        <v>4315073</v>
      </c>
      <c r="B3677" t="str">
        <f t="shared" si="57"/>
        <v>PORTO VERA CRUZ, RS, Brasil</v>
      </c>
      <c r="C3677" s="4" t="str">
        <f>_xlfn.XLOOKUP(A3677,[1]!DadosGHD[CD_GEOCMU],[1]!DadosGHD[Região])</f>
        <v>SL</v>
      </c>
      <c r="D3677" s="4" t="str">
        <f>_xlfn.XLOOKUP(A3677,[1]!DadosGHD[CD_GEOCMU],[1]!DadosGHD[uf])</f>
        <v>RS</v>
      </c>
      <c r="E3677" s="5" t="str">
        <f>_xlfn.XLOOKUP(A3677,[1]!DadosGHD[CD_GEOCMU],[1]!DadosGHD[MUNICIPIO])</f>
        <v>PORTO VERA CRUZ</v>
      </c>
      <c r="F3677" s="6">
        <v>48.542972564697301</v>
      </c>
      <c r="G3677" s="6">
        <v>53.677101135253899</v>
      </c>
      <c r="H3677" s="6">
        <v>48.8598022460938</v>
      </c>
      <c r="I3677" s="6">
        <v>53.710487365722699</v>
      </c>
      <c r="J3677" s="6">
        <v>53.732135772705099</v>
      </c>
      <c r="K3677" s="6">
        <v>58.934463500976598</v>
      </c>
      <c r="L3677" s="6">
        <v>48.492881774902301</v>
      </c>
    </row>
    <row r="3678" spans="1:12" x14ac:dyDescent="0.25">
      <c r="A3678">
        <v>4305157</v>
      </c>
      <c r="B3678" t="str">
        <f t="shared" si="57"/>
        <v>CERRO GRANDE, RS, Brasil</v>
      </c>
      <c r="C3678" s="4" t="str">
        <f>_xlfn.XLOOKUP(A3678,[1]!DadosGHD[CD_GEOCMU],[1]!DadosGHD[Região])</f>
        <v>SL</v>
      </c>
      <c r="D3678" s="4" t="str">
        <f>_xlfn.XLOOKUP(A3678,[1]!DadosGHD[CD_GEOCMU],[1]!DadosGHD[uf])</f>
        <v>RS</v>
      </c>
      <c r="E3678" s="5" t="str">
        <f>_xlfn.XLOOKUP(A3678,[1]!DadosGHD[CD_GEOCMU],[1]!DadosGHD[MUNICIPIO])</f>
        <v>CERRO GRANDE</v>
      </c>
      <c r="F3678" s="6">
        <v>48.542972564697301</v>
      </c>
      <c r="G3678" s="6">
        <v>48.694068908691399</v>
      </c>
      <c r="H3678" s="6">
        <v>48.788459777832003</v>
      </c>
      <c r="I3678" s="6">
        <v>53.758522033691399</v>
      </c>
      <c r="J3678" s="6">
        <v>53.742660522460902</v>
      </c>
      <c r="K3678" s="6">
        <v>48.903594970703097</v>
      </c>
      <c r="L3678" s="6">
        <v>48.498748779296903</v>
      </c>
    </row>
    <row r="3679" spans="1:12" x14ac:dyDescent="0.25">
      <c r="A3679">
        <v>5208608</v>
      </c>
      <c r="B3679" t="str">
        <f t="shared" si="57"/>
        <v>GOIANESIA, GO, Brasil</v>
      </c>
      <c r="C3679" s="4" t="str">
        <f>_xlfn.XLOOKUP(A3679,[1]!DadosGHD[CD_GEOCMU],[1]!DadosGHD[Região])</f>
        <v>CO</v>
      </c>
      <c r="D3679" s="4" t="str">
        <f>_xlfn.XLOOKUP(A3679,[1]!DadosGHD[CD_GEOCMU],[1]!DadosGHD[uf])</f>
        <v>GO</v>
      </c>
      <c r="E3679" s="5" t="str">
        <f>_xlfn.XLOOKUP(A3679,[1]!DadosGHD[CD_GEOCMU],[1]!DadosGHD[MUNICIPIO])</f>
        <v>GOIANESIA</v>
      </c>
      <c r="F3679" s="6">
        <v>48.543056488037102</v>
      </c>
      <c r="G3679" s="6">
        <v>48.735855102539098</v>
      </c>
      <c r="H3679" s="6">
        <v>48.764949798583999</v>
      </c>
      <c r="I3679" s="6">
        <v>43.698886871337898</v>
      </c>
      <c r="J3679" s="6">
        <v>43.746532440185597</v>
      </c>
      <c r="K3679" s="6">
        <v>43.825839996337898</v>
      </c>
      <c r="L3679" s="6">
        <v>44.032707214355497</v>
      </c>
    </row>
    <row r="3680" spans="1:12" x14ac:dyDescent="0.25">
      <c r="A3680">
        <v>3538204</v>
      </c>
      <c r="B3680" t="str">
        <f t="shared" si="57"/>
        <v>PINHALZINHO, SP, Brasil</v>
      </c>
      <c r="C3680" s="4" t="str">
        <f>_xlfn.XLOOKUP(A3680,[1]!DadosGHD[CD_GEOCMU],[1]!DadosGHD[Região])</f>
        <v>SD</v>
      </c>
      <c r="D3680" s="4" t="str">
        <f>_xlfn.XLOOKUP(A3680,[1]!DadosGHD[CD_GEOCMU],[1]!DadosGHD[uf])</f>
        <v>SP</v>
      </c>
      <c r="E3680" s="5" t="str">
        <f>_xlfn.XLOOKUP(A3680,[1]!DadosGHD[CD_GEOCMU],[1]!DadosGHD[MUNICIPIO])</f>
        <v>PINHALZINHO</v>
      </c>
      <c r="F3680" s="6">
        <v>48.543441772460902</v>
      </c>
      <c r="G3680" s="6">
        <v>43.730564117431598</v>
      </c>
      <c r="H3680" s="6">
        <v>43.816493988037102</v>
      </c>
      <c r="I3680" s="6">
        <v>43.789115905761697</v>
      </c>
      <c r="J3680" s="6">
        <v>43.781284332275398</v>
      </c>
      <c r="K3680" s="6">
        <v>43.786216735839801</v>
      </c>
      <c r="L3680" s="6">
        <v>39.607006072998097</v>
      </c>
    </row>
    <row r="3681" spans="1:12" x14ac:dyDescent="0.25">
      <c r="A3681">
        <v>3119955</v>
      </c>
      <c r="B3681" t="str">
        <f t="shared" si="57"/>
        <v>CORREGO FUNDO, MG, Brasil</v>
      </c>
      <c r="C3681" s="4" t="str">
        <f>_xlfn.XLOOKUP(A3681,[1]!DadosGHD[CD_GEOCMU],[1]!DadosGHD[Região])</f>
        <v>SD</v>
      </c>
      <c r="D3681" s="4" t="str">
        <f>_xlfn.XLOOKUP(A3681,[1]!DadosGHD[CD_GEOCMU],[1]!DadosGHD[uf])</f>
        <v>MG</v>
      </c>
      <c r="E3681" s="5" t="str">
        <f>_xlfn.XLOOKUP(A3681,[1]!DadosGHD[CD_GEOCMU],[1]!DadosGHD[MUNICIPIO])</f>
        <v>CORREGO FUNDO</v>
      </c>
      <c r="F3681" s="6">
        <v>48.543453216552699</v>
      </c>
      <c r="G3681" s="6">
        <v>43.696006774902301</v>
      </c>
      <c r="H3681" s="6">
        <v>43.835697174072301</v>
      </c>
      <c r="I3681" s="6">
        <v>48.723087310791001</v>
      </c>
      <c r="J3681" s="6">
        <v>43.7877388000488</v>
      </c>
      <c r="K3681" s="6">
        <v>43.768775939941399</v>
      </c>
      <c r="L3681" s="6">
        <v>44.031021118164098</v>
      </c>
    </row>
    <row r="3682" spans="1:12" x14ac:dyDescent="0.25">
      <c r="A3682">
        <v>4202875</v>
      </c>
      <c r="B3682" t="str">
        <f t="shared" si="57"/>
        <v>BRUNOPOLIS, SC, Brasil</v>
      </c>
      <c r="C3682" s="4" t="str">
        <f>_xlfn.XLOOKUP(A3682,[1]!DadosGHD[CD_GEOCMU],[1]!DadosGHD[Região])</f>
        <v>SL</v>
      </c>
      <c r="D3682" s="4" t="str">
        <f>_xlfn.XLOOKUP(A3682,[1]!DadosGHD[CD_GEOCMU],[1]!DadosGHD[uf])</f>
        <v>SC</v>
      </c>
      <c r="E3682" s="5" t="str">
        <f>_xlfn.XLOOKUP(A3682,[1]!DadosGHD[CD_GEOCMU],[1]!DadosGHD[MUNICIPIO])</f>
        <v>BRUNOPOLIS</v>
      </c>
      <c r="F3682" s="6">
        <v>48.543479919433601</v>
      </c>
      <c r="G3682" s="6">
        <v>53.821487426757798</v>
      </c>
      <c r="H3682" s="6">
        <v>48.7327690124512</v>
      </c>
      <c r="I3682" s="6">
        <v>48.697547912597699</v>
      </c>
      <c r="J3682" s="6">
        <v>48.725055694580099</v>
      </c>
      <c r="K3682" s="6">
        <v>48.800422668457003</v>
      </c>
      <c r="L3682" s="6">
        <v>57.589881896972699</v>
      </c>
    </row>
    <row r="3683" spans="1:12" x14ac:dyDescent="0.25">
      <c r="A3683">
        <v>3532900</v>
      </c>
      <c r="B3683" t="str">
        <f t="shared" si="57"/>
        <v>NOVA EUROPA, SP, Brasil</v>
      </c>
      <c r="C3683" s="4" t="str">
        <f>_xlfn.XLOOKUP(A3683,[1]!DadosGHD[CD_GEOCMU],[1]!DadosGHD[Região])</f>
        <v>SD</v>
      </c>
      <c r="D3683" s="4" t="str">
        <f>_xlfn.XLOOKUP(A3683,[1]!DadosGHD[CD_GEOCMU],[1]!DadosGHD[uf])</f>
        <v>SP</v>
      </c>
      <c r="E3683" s="5" t="str">
        <f>_xlfn.XLOOKUP(A3683,[1]!DadosGHD[CD_GEOCMU],[1]!DadosGHD[MUNICIPIO])</f>
        <v>NOVA EUROPA</v>
      </c>
      <c r="F3683" s="6">
        <v>48.543567657470703</v>
      </c>
      <c r="G3683" s="6">
        <v>43.728073120117202</v>
      </c>
      <c r="H3683" s="6">
        <v>43.778312683105497</v>
      </c>
      <c r="I3683" s="6">
        <v>48.718086242675803</v>
      </c>
      <c r="J3683" s="6">
        <v>48.834877014160199</v>
      </c>
      <c r="K3683" s="6">
        <v>48.781181335449197</v>
      </c>
      <c r="L3683" s="6">
        <v>53.046562194824197</v>
      </c>
    </row>
    <row r="3684" spans="1:12" x14ac:dyDescent="0.25">
      <c r="A3684">
        <v>5001508</v>
      </c>
      <c r="B3684" t="str">
        <f t="shared" si="57"/>
        <v>BANDEIRANTES, MS, Brasil</v>
      </c>
      <c r="C3684" s="4" t="str">
        <f>_xlfn.XLOOKUP(A3684,[1]!DadosGHD[CD_GEOCMU],[1]!DadosGHD[Região])</f>
        <v>CO</v>
      </c>
      <c r="D3684" s="4" t="str">
        <f>_xlfn.XLOOKUP(A3684,[1]!DadosGHD[CD_GEOCMU],[1]!DadosGHD[uf])</f>
        <v>MS</v>
      </c>
      <c r="E3684" s="5" t="str">
        <f>_xlfn.XLOOKUP(A3684,[1]!DadosGHD[CD_GEOCMU],[1]!DadosGHD[MUNICIPIO])</f>
        <v>BANDEIRANTES</v>
      </c>
      <c r="F3684" s="6">
        <v>48.543704986572301</v>
      </c>
      <c r="G3684" s="6">
        <v>43.697555541992202</v>
      </c>
      <c r="H3684" s="6">
        <v>43.842056274414098</v>
      </c>
      <c r="I3684" s="6">
        <v>53.722324371337898</v>
      </c>
      <c r="J3684" s="6">
        <v>48.769699096679702</v>
      </c>
      <c r="K3684" s="6">
        <v>48.770172119140597</v>
      </c>
      <c r="L3684" s="6">
        <v>35.118846893310597</v>
      </c>
    </row>
    <row r="3685" spans="1:12" x14ac:dyDescent="0.25">
      <c r="A3685">
        <v>4312153</v>
      </c>
      <c r="B3685" t="str">
        <f t="shared" si="57"/>
        <v>MATO LEITAO, RS, Brasil</v>
      </c>
      <c r="C3685" s="4" t="str">
        <f>_xlfn.XLOOKUP(A3685,[1]!DadosGHD[CD_GEOCMU],[1]!DadosGHD[Região])</f>
        <v>SL</v>
      </c>
      <c r="D3685" s="4" t="str">
        <f>_xlfn.XLOOKUP(A3685,[1]!DadosGHD[CD_GEOCMU],[1]!DadosGHD[uf])</f>
        <v>RS</v>
      </c>
      <c r="E3685" s="5" t="str">
        <f>_xlfn.XLOOKUP(A3685,[1]!DadosGHD[CD_GEOCMU],[1]!DadosGHD[MUNICIPIO])</f>
        <v>MATO LEITAO</v>
      </c>
      <c r="F3685" s="6">
        <v>48.543872833252003</v>
      </c>
      <c r="G3685" s="6">
        <v>48.7439994812012</v>
      </c>
      <c r="H3685" s="6">
        <v>48.764392852783203</v>
      </c>
      <c r="I3685" s="6">
        <v>48.719635009765597</v>
      </c>
      <c r="J3685" s="6">
        <v>48.7398681640625</v>
      </c>
      <c r="K3685" s="6">
        <v>48.806526184082003</v>
      </c>
      <c r="L3685" s="6">
        <v>39.603462219238303</v>
      </c>
    </row>
    <row r="3686" spans="1:12" x14ac:dyDescent="0.25">
      <c r="A3686">
        <v>5209150</v>
      </c>
      <c r="B3686" t="str">
        <f t="shared" si="57"/>
        <v>GOUVELANDIA, GO, Brasil</v>
      </c>
      <c r="C3686" s="4" t="str">
        <f>_xlfn.XLOOKUP(A3686,[1]!DadosGHD[CD_GEOCMU],[1]!DadosGHD[Região])</f>
        <v>CO</v>
      </c>
      <c r="D3686" s="4" t="str">
        <f>_xlfn.XLOOKUP(A3686,[1]!DadosGHD[CD_GEOCMU],[1]!DadosGHD[uf])</f>
        <v>GO</v>
      </c>
      <c r="E3686" s="5" t="str">
        <f>_xlfn.XLOOKUP(A3686,[1]!DadosGHD[CD_GEOCMU],[1]!DadosGHD[MUNICIPIO])</f>
        <v>GOUVELANDIA</v>
      </c>
      <c r="F3686" s="6">
        <v>48.544364929199197</v>
      </c>
      <c r="G3686" s="6">
        <v>48.6802978515625</v>
      </c>
      <c r="H3686" s="6">
        <v>43.836872100830099</v>
      </c>
      <c r="I3686" s="6">
        <v>48.688838958740199</v>
      </c>
      <c r="J3686" s="6">
        <v>48.721019744873097</v>
      </c>
      <c r="K3686" s="6">
        <v>48.770183563232401</v>
      </c>
      <c r="L3686" s="6">
        <v>35.118350982666001</v>
      </c>
    </row>
    <row r="3687" spans="1:12" x14ac:dyDescent="0.25">
      <c r="A3687">
        <v>3548104</v>
      </c>
      <c r="B3687" t="str">
        <f t="shared" si="57"/>
        <v>SANTO ANTONIO DO JARDIM, SP, Brasil</v>
      </c>
      <c r="C3687" s="4" t="str">
        <f>_xlfn.XLOOKUP(A3687,[1]!DadosGHD[CD_GEOCMU],[1]!DadosGHD[Região])</f>
        <v>SD</v>
      </c>
      <c r="D3687" s="4" t="str">
        <f>_xlfn.XLOOKUP(A3687,[1]!DadosGHD[CD_GEOCMU],[1]!DadosGHD[uf])</f>
        <v>SP</v>
      </c>
      <c r="E3687" s="5" t="str">
        <f>_xlfn.XLOOKUP(A3687,[1]!DadosGHD[CD_GEOCMU],[1]!DadosGHD[MUNICIPIO])</f>
        <v>SANTO ANTONIO DO JARDIM</v>
      </c>
      <c r="F3687" s="6">
        <v>48.544727325439503</v>
      </c>
      <c r="G3687" s="6">
        <v>48.707889556884801</v>
      </c>
      <c r="H3687" s="6">
        <v>48.769660949707003</v>
      </c>
      <c r="I3687" s="6">
        <v>53.713504791259801</v>
      </c>
      <c r="J3687" s="6">
        <v>58.820411682128899</v>
      </c>
      <c r="K3687" s="6">
        <v>53.892574310302699</v>
      </c>
      <c r="L3687" s="6">
        <v>57.5229682922363</v>
      </c>
    </row>
    <row r="3688" spans="1:12" x14ac:dyDescent="0.25">
      <c r="A3688">
        <v>3545308</v>
      </c>
      <c r="B3688" t="str">
        <f t="shared" si="57"/>
        <v>SALTO DE PIRAPORA, SP, Brasil</v>
      </c>
      <c r="C3688" s="4" t="str">
        <f>_xlfn.XLOOKUP(A3688,[1]!DadosGHD[CD_GEOCMU],[1]!DadosGHD[Região])</f>
        <v>SD</v>
      </c>
      <c r="D3688" s="4" t="str">
        <f>_xlfn.XLOOKUP(A3688,[1]!DadosGHD[CD_GEOCMU],[1]!DadosGHD[uf])</f>
        <v>SP</v>
      </c>
      <c r="E3688" s="5" t="str">
        <f>_xlfn.XLOOKUP(A3688,[1]!DadosGHD[CD_GEOCMU],[1]!DadosGHD[MUNICIPIO])</f>
        <v>SALTO DE PIRAPORA</v>
      </c>
      <c r="F3688" s="6">
        <v>48.544864654541001</v>
      </c>
      <c r="G3688" s="6">
        <v>43.717227935791001</v>
      </c>
      <c r="H3688" s="6">
        <v>43.725109100341797</v>
      </c>
      <c r="I3688" s="6">
        <v>43.694976806640597</v>
      </c>
      <c r="J3688" s="6">
        <v>43.804325103759801</v>
      </c>
      <c r="K3688" s="6">
        <v>48.775821685791001</v>
      </c>
      <c r="L3688" s="6">
        <v>52.982948303222699</v>
      </c>
    </row>
    <row r="3689" spans="1:12" x14ac:dyDescent="0.25">
      <c r="A3689">
        <v>5108857</v>
      </c>
      <c r="B3689" t="str">
        <f t="shared" si="57"/>
        <v>NOVA MARILANDIA, MT, Brasil</v>
      </c>
      <c r="C3689" s="4" t="str">
        <f>_xlfn.XLOOKUP(A3689,[1]!DadosGHD[CD_GEOCMU],[1]!DadosGHD[Região])</f>
        <v>CO</v>
      </c>
      <c r="D3689" s="4" t="str">
        <f>_xlfn.XLOOKUP(A3689,[1]!DadosGHD[CD_GEOCMU],[1]!DadosGHD[uf])</f>
        <v>MT</v>
      </c>
      <c r="E3689" s="5" t="str">
        <f>_xlfn.XLOOKUP(A3689,[1]!DadosGHD[CD_GEOCMU],[1]!DadosGHD[MUNICIPIO])</f>
        <v>NOVA MARILANDIA</v>
      </c>
      <c r="F3689" s="6">
        <v>48.5453071594238</v>
      </c>
      <c r="G3689" s="6">
        <v>48.768497467041001</v>
      </c>
      <c r="H3689" s="6">
        <v>48.791336059570298</v>
      </c>
      <c r="I3689" s="6">
        <v>48.758136749267599</v>
      </c>
      <c r="J3689" s="6">
        <v>48.779289245605497</v>
      </c>
      <c r="K3689" s="6">
        <v>53.8692626953125</v>
      </c>
      <c r="L3689" s="6">
        <v>44.0791206359863</v>
      </c>
    </row>
    <row r="3690" spans="1:12" x14ac:dyDescent="0.25">
      <c r="A3690">
        <v>3167004</v>
      </c>
      <c r="B3690" t="str">
        <f t="shared" si="57"/>
        <v>SERRANOS, MG, Brasil</v>
      </c>
      <c r="C3690" s="4" t="str">
        <f>_xlfn.XLOOKUP(A3690,[1]!DadosGHD[CD_GEOCMU],[1]!DadosGHD[Região])</f>
        <v>SD</v>
      </c>
      <c r="D3690" s="4" t="str">
        <f>_xlfn.XLOOKUP(A3690,[1]!DadosGHD[CD_GEOCMU],[1]!DadosGHD[uf])</f>
        <v>MG</v>
      </c>
      <c r="E3690" s="5" t="str">
        <f>_xlfn.XLOOKUP(A3690,[1]!DadosGHD[CD_GEOCMU],[1]!DadosGHD[MUNICIPIO])</f>
        <v>SERRANOS</v>
      </c>
      <c r="F3690" s="6">
        <v>48.545814514160199</v>
      </c>
      <c r="G3690" s="6">
        <v>43.694065093994098</v>
      </c>
      <c r="H3690" s="6">
        <v>43.755844116210902</v>
      </c>
      <c r="I3690" s="6">
        <v>43.732242584228501</v>
      </c>
      <c r="J3690" s="6">
        <v>43.7784423828125</v>
      </c>
      <c r="K3690" s="6">
        <v>33.855377197265597</v>
      </c>
      <c r="L3690" s="6">
        <v>30.706264495849599</v>
      </c>
    </row>
    <row r="3691" spans="1:12" x14ac:dyDescent="0.25">
      <c r="A3691">
        <v>3304102</v>
      </c>
      <c r="B3691" t="str">
        <f t="shared" si="57"/>
        <v>PORCIUNCULA, RJ, Brasil</v>
      </c>
      <c r="C3691" s="4" t="str">
        <f>_xlfn.XLOOKUP(A3691,[1]!DadosGHD[CD_GEOCMU],[1]!DadosGHD[Região])</f>
        <v>SD</v>
      </c>
      <c r="D3691" s="4" t="str">
        <f>_xlfn.XLOOKUP(A3691,[1]!DadosGHD[CD_GEOCMU],[1]!DadosGHD[uf])</f>
        <v>RJ</v>
      </c>
      <c r="E3691" s="5" t="str">
        <f>_xlfn.XLOOKUP(A3691,[1]!DadosGHD[CD_GEOCMU],[1]!DadosGHD[MUNICIPIO])</f>
        <v>PORCIUNCULA</v>
      </c>
      <c r="F3691" s="6">
        <v>48.545845031738303</v>
      </c>
      <c r="G3691" s="6">
        <v>43.7219047546387</v>
      </c>
      <c r="H3691" s="6">
        <v>43.819225311279297</v>
      </c>
      <c r="I3691" s="6">
        <v>48.698379516601598</v>
      </c>
      <c r="J3691" s="6">
        <v>48.788578033447301</v>
      </c>
      <c r="K3691" s="6">
        <v>53.864089965820298</v>
      </c>
      <c r="L3691" s="6">
        <v>48.5336723327637</v>
      </c>
    </row>
    <row r="3692" spans="1:12" x14ac:dyDescent="0.25">
      <c r="A3692">
        <v>1100254</v>
      </c>
      <c r="B3692" t="str">
        <f t="shared" si="57"/>
        <v>PRESIDENTE MEDICI, RO, Brasil</v>
      </c>
      <c r="C3692" s="4" t="str">
        <f>_xlfn.XLOOKUP(A3692,[1]!DadosGHD[CD_GEOCMU],[1]!DadosGHD[Região])</f>
        <v>NO</v>
      </c>
      <c r="D3692" s="4" t="str">
        <f>_xlfn.XLOOKUP(A3692,[1]!DadosGHD[CD_GEOCMU],[1]!DadosGHD[uf])</f>
        <v>RO</v>
      </c>
      <c r="E3692" s="5" t="str">
        <f>_xlfn.XLOOKUP(A3692,[1]!DadosGHD[CD_GEOCMU],[1]!DadosGHD[MUNICIPIO])</f>
        <v>PRESIDENTE MEDICI</v>
      </c>
      <c r="F3692" s="6">
        <v>48.5462837219238</v>
      </c>
      <c r="G3692" s="6">
        <v>48.686233520507798</v>
      </c>
      <c r="H3692" s="6">
        <v>48.835845947265597</v>
      </c>
      <c r="I3692" s="6">
        <v>53.71142578125</v>
      </c>
      <c r="J3692" s="6">
        <v>48.7914848327637</v>
      </c>
      <c r="K3692" s="6">
        <v>53.848892211914098</v>
      </c>
      <c r="L3692" s="6">
        <v>48.525009155273402</v>
      </c>
    </row>
    <row r="3693" spans="1:12" x14ac:dyDescent="0.25">
      <c r="A3693">
        <v>3529807</v>
      </c>
      <c r="B3693" t="str">
        <f t="shared" si="57"/>
        <v>MINEIROS DO TIETE, SP, Brasil</v>
      </c>
      <c r="C3693" s="4" t="str">
        <f>_xlfn.XLOOKUP(A3693,[1]!DadosGHD[CD_GEOCMU],[1]!DadosGHD[Região])</f>
        <v>SD</v>
      </c>
      <c r="D3693" s="4" t="str">
        <f>_xlfn.XLOOKUP(A3693,[1]!DadosGHD[CD_GEOCMU],[1]!DadosGHD[uf])</f>
        <v>SP</v>
      </c>
      <c r="E3693" s="5" t="str">
        <f>_xlfn.XLOOKUP(A3693,[1]!DadosGHD[CD_GEOCMU],[1]!DadosGHD[MUNICIPIO])</f>
        <v>MINEIROS DO TIETE</v>
      </c>
      <c r="F3693" s="6">
        <v>48.546554565429702</v>
      </c>
      <c r="G3693" s="6">
        <v>43.721168518066399</v>
      </c>
      <c r="H3693" s="6">
        <v>43.8187866210938</v>
      </c>
      <c r="I3693" s="6">
        <v>48.708866119384801</v>
      </c>
      <c r="J3693" s="6">
        <v>48.797988891601598</v>
      </c>
      <c r="K3693" s="6">
        <v>48.905765533447301</v>
      </c>
      <c r="L3693" s="6">
        <v>57.577110290527301</v>
      </c>
    </row>
    <row r="3694" spans="1:12" x14ac:dyDescent="0.25">
      <c r="A3694">
        <v>3155900</v>
      </c>
      <c r="B3694" t="str">
        <f t="shared" si="57"/>
        <v>RIO PRETO, MG, Brasil</v>
      </c>
      <c r="C3694" s="4" t="str">
        <f>_xlfn.XLOOKUP(A3694,[1]!DadosGHD[CD_GEOCMU],[1]!DadosGHD[Região])</f>
        <v>SD</v>
      </c>
      <c r="D3694" s="4" t="str">
        <f>_xlfn.XLOOKUP(A3694,[1]!DadosGHD[CD_GEOCMU],[1]!DadosGHD[uf])</f>
        <v>MG</v>
      </c>
      <c r="E3694" s="5" t="str">
        <f>_xlfn.XLOOKUP(A3694,[1]!DadosGHD[CD_GEOCMU],[1]!DadosGHD[MUNICIPIO])</f>
        <v>RIO PRETO</v>
      </c>
      <c r="F3694" s="6">
        <v>48.546802520752003</v>
      </c>
      <c r="G3694" s="6">
        <v>43.740421295166001</v>
      </c>
      <c r="H3694" s="6">
        <v>43.714870452880902</v>
      </c>
      <c r="I3694" s="6">
        <v>43.752876281738303</v>
      </c>
      <c r="J3694" s="6">
        <v>43.752044677734403</v>
      </c>
      <c r="K3694" s="6">
        <v>43.848892211914098</v>
      </c>
      <c r="L3694" s="6">
        <v>44.047275543212898</v>
      </c>
    </row>
    <row r="3695" spans="1:12" x14ac:dyDescent="0.25">
      <c r="A3695">
        <v>4119251</v>
      </c>
      <c r="B3695" t="str">
        <f t="shared" si="57"/>
        <v>PINHAL DE SAO BENTO, PR, Brasil</v>
      </c>
      <c r="C3695" s="4" t="str">
        <f>_xlfn.XLOOKUP(A3695,[1]!DadosGHD[CD_GEOCMU],[1]!DadosGHD[Região])</f>
        <v>SL</v>
      </c>
      <c r="D3695" s="4" t="str">
        <f>_xlfn.XLOOKUP(A3695,[1]!DadosGHD[CD_GEOCMU],[1]!DadosGHD[uf])</f>
        <v>PR</v>
      </c>
      <c r="E3695" s="5" t="str">
        <f>_xlfn.XLOOKUP(A3695,[1]!DadosGHD[CD_GEOCMU],[1]!DadosGHD[MUNICIPIO])</f>
        <v>PINHAL DE SAO BENTO</v>
      </c>
      <c r="F3695" s="6">
        <v>48.546909332275398</v>
      </c>
      <c r="G3695" s="6">
        <v>48.664150238037102</v>
      </c>
      <c r="H3695" s="6">
        <v>48.722049713134801</v>
      </c>
      <c r="I3695" s="6">
        <v>58.920749664306598</v>
      </c>
      <c r="J3695" s="6">
        <v>48.791149139404297</v>
      </c>
      <c r="K3695" s="6">
        <v>48.864704132080099</v>
      </c>
      <c r="L3695" s="6">
        <v>44.053031921386697</v>
      </c>
    </row>
    <row r="3696" spans="1:12" x14ac:dyDescent="0.25">
      <c r="A3696">
        <v>3304151</v>
      </c>
      <c r="B3696" t="str">
        <f t="shared" si="57"/>
        <v>QUISSAMA, RJ, Brasil</v>
      </c>
      <c r="C3696" s="4" t="str">
        <f>_xlfn.XLOOKUP(A3696,[1]!DadosGHD[CD_GEOCMU],[1]!DadosGHD[Região])</f>
        <v>SD</v>
      </c>
      <c r="D3696" s="4" t="str">
        <f>_xlfn.XLOOKUP(A3696,[1]!DadosGHD[CD_GEOCMU],[1]!DadosGHD[uf])</f>
        <v>RJ</v>
      </c>
      <c r="E3696" s="5" t="str">
        <f>_xlfn.XLOOKUP(A3696,[1]!DadosGHD[CD_GEOCMU],[1]!DadosGHD[MUNICIPIO])</f>
        <v>QUISSAMA</v>
      </c>
      <c r="F3696" s="6">
        <v>48.547328948974602</v>
      </c>
      <c r="G3696" s="6">
        <v>43.716594696044901</v>
      </c>
      <c r="H3696" s="6">
        <v>48.725021362304702</v>
      </c>
      <c r="I3696" s="6">
        <v>43.734317779541001</v>
      </c>
      <c r="J3696" s="6">
        <v>43.757087707519503</v>
      </c>
      <c r="K3696" s="6">
        <v>43.759689331054702</v>
      </c>
      <c r="L3696" s="6">
        <v>44.0239868164063</v>
      </c>
    </row>
    <row r="3697" spans="1:12" x14ac:dyDescent="0.25">
      <c r="A3697">
        <v>4210001</v>
      </c>
      <c r="B3697" t="str">
        <f t="shared" si="57"/>
        <v>LUIZ ALVES, SC, Brasil</v>
      </c>
      <c r="C3697" s="4" t="str">
        <f>_xlfn.XLOOKUP(A3697,[1]!DadosGHD[CD_GEOCMU],[1]!DadosGHD[Região])</f>
        <v>SL</v>
      </c>
      <c r="D3697" s="4" t="str">
        <f>_xlfn.XLOOKUP(A3697,[1]!DadosGHD[CD_GEOCMU],[1]!DadosGHD[uf])</f>
        <v>SC</v>
      </c>
      <c r="E3697" s="5" t="str">
        <f>_xlfn.XLOOKUP(A3697,[1]!DadosGHD[CD_GEOCMU],[1]!DadosGHD[MUNICIPIO])</f>
        <v>LUIZ ALVES</v>
      </c>
      <c r="F3697" s="6">
        <v>48.548049926757798</v>
      </c>
      <c r="G3697" s="6">
        <v>48.765762329101598</v>
      </c>
      <c r="H3697" s="6">
        <v>53.792675018310597</v>
      </c>
      <c r="I3697" s="6">
        <v>48.7807426452637</v>
      </c>
      <c r="J3697" s="6">
        <v>48.779403686523402</v>
      </c>
      <c r="K3697" s="6">
        <v>48.830055236816399</v>
      </c>
      <c r="L3697" s="6">
        <v>52.979347229003899</v>
      </c>
    </row>
    <row r="3698" spans="1:12" x14ac:dyDescent="0.25">
      <c r="A3698">
        <v>4212205</v>
      </c>
      <c r="B3698" t="str">
        <f t="shared" si="57"/>
        <v>PAPANDUVA, SC, Brasil</v>
      </c>
      <c r="C3698" s="4" t="str">
        <f>_xlfn.XLOOKUP(A3698,[1]!DadosGHD[CD_GEOCMU],[1]!DadosGHD[Região])</f>
        <v>SL</v>
      </c>
      <c r="D3698" s="4" t="str">
        <f>_xlfn.XLOOKUP(A3698,[1]!DadosGHD[CD_GEOCMU],[1]!DadosGHD[uf])</f>
        <v>SC</v>
      </c>
      <c r="E3698" s="5" t="str">
        <f>_xlfn.XLOOKUP(A3698,[1]!DadosGHD[CD_GEOCMU],[1]!DadosGHD[MUNICIPIO])</f>
        <v>PAPANDUVA</v>
      </c>
      <c r="F3698" s="6">
        <v>48.548511505127003</v>
      </c>
      <c r="G3698" s="6">
        <v>48.74755859375</v>
      </c>
      <c r="H3698" s="6">
        <v>48.776973724365199</v>
      </c>
      <c r="I3698" s="6">
        <v>48.737339019775398</v>
      </c>
      <c r="J3698" s="6">
        <v>48.741485595703097</v>
      </c>
      <c r="K3698" s="6">
        <v>48.864810943603501</v>
      </c>
      <c r="L3698" s="6">
        <v>44.061355590820298</v>
      </c>
    </row>
    <row r="3699" spans="1:12" x14ac:dyDescent="0.25">
      <c r="A3699">
        <v>4120358</v>
      </c>
      <c r="B3699" t="str">
        <f t="shared" si="57"/>
        <v>PRANCHITA, PR, Brasil</v>
      </c>
      <c r="C3699" s="4" t="str">
        <f>_xlfn.XLOOKUP(A3699,[1]!DadosGHD[CD_GEOCMU],[1]!DadosGHD[Região])</f>
        <v>SL</v>
      </c>
      <c r="D3699" s="4" t="str">
        <f>_xlfn.XLOOKUP(A3699,[1]!DadosGHD[CD_GEOCMU],[1]!DadosGHD[uf])</f>
        <v>PR</v>
      </c>
      <c r="E3699" s="5" t="str">
        <f>_xlfn.XLOOKUP(A3699,[1]!DadosGHD[CD_GEOCMU],[1]!DadosGHD[MUNICIPIO])</f>
        <v>PRANCHITA</v>
      </c>
      <c r="F3699" s="6">
        <v>48.548538208007798</v>
      </c>
      <c r="G3699" s="6">
        <v>48.7606811523438</v>
      </c>
      <c r="H3699" s="6">
        <v>48.848426818847699</v>
      </c>
      <c r="I3699" s="6">
        <v>64.000221252441406</v>
      </c>
      <c r="J3699" s="6">
        <v>53.863883972167997</v>
      </c>
      <c r="K3699" s="6">
        <v>58.924549102783203</v>
      </c>
      <c r="L3699" s="6">
        <v>53.004524230957003</v>
      </c>
    </row>
    <row r="3700" spans="1:12" x14ac:dyDescent="0.25">
      <c r="A3700">
        <v>4207858</v>
      </c>
      <c r="B3700" t="str">
        <f t="shared" si="57"/>
        <v>IRATI, SC, Brasil</v>
      </c>
      <c r="C3700" s="4" t="str">
        <f>_xlfn.XLOOKUP(A3700,[1]!DadosGHD[CD_GEOCMU],[1]!DadosGHD[Região])</f>
        <v>SL</v>
      </c>
      <c r="D3700" s="4" t="str">
        <f>_xlfn.XLOOKUP(A3700,[1]!DadosGHD[CD_GEOCMU],[1]!DadosGHD[uf])</f>
        <v>SC</v>
      </c>
      <c r="E3700" s="5" t="str">
        <f>_xlfn.XLOOKUP(A3700,[1]!DadosGHD[CD_GEOCMU],[1]!DadosGHD[MUNICIPIO])</f>
        <v>IRATI</v>
      </c>
      <c r="F3700" s="6">
        <v>48.548877716064503</v>
      </c>
      <c r="G3700" s="6">
        <v>53.821487426757798</v>
      </c>
      <c r="H3700" s="6">
        <v>48.727245330810597</v>
      </c>
      <c r="I3700" s="6">
        <v>48.695926666259801</v>
      </c>
      <c r="J3700" s="6">
        <v>48.757743835449197</v>
      </c>
      <c r="K3700" s="6">
        <v>48.819793701171903</v>
      </c>
      <c r="L3700" s="6">
        <v>48.489131927490199</v>
      </c>
    </row>
    <row r="3701" spans="1:12" x14ac:dyDescent="0.25">
      <c r="A3701">
        <v>4218103</v>
      </c>
      <c r="B3701" t="str">
        <f t="shared" si="57"/>
        <v>TIMBE DO SUL, SC, Brasil</v>
      </c>
      <c r="C3701" s="4" t="str">
        <f>_xlfn.XLOOKUP(A3701,[1]!DadosGHD[CD_GEOCMU],[1]!DadosGHD[Região])</f>
        <v>SL</v>
      </c>
      <c r="D3701" s="4" t="str">
        <f>_xlfn.XLOOKUP(A3701,[1]!DadosGHD[CD_GEOCMU],[1]!DadosGHD[uf])</f>
        <v>SC</v>
      </c>
      <c r="E3701" s="5" t="str">
        <f>_xlfn.XLOOKUP(A3701,[1]!DadosGHD[CD_GEOCMU],[1]!DadosGHD[MUNICIPIO])</f>
        <v>TIMBE DO SUL</v>
      </c>
      <c r="F3701" s="6">
        <v>48.549453735351598</v>
      </c>
      <c r="G3701" s="6">
        <v>48.7417182922363</v>
      </c>
      <c r="H3701" s="6">
        <v>48.763710021972699</v>
      </c>
      <c r="I3701" s="6">
        <v>48.747226715087898</v>
      </c>
      <c r="J3701" s="6">
        <v>48.8064155578613</v>
      </c>
      <c r="K3701" s="6">
        <v>48.895118713378899</v>
      </c>
      <c r="L3701" s="6">
        <v>44.072242736816399</v>
      </c>
    </row>
    <row r="3702" spans="1:12" x14ac:dyDescent="0.25">
      <c r="A3702">
        <v>3503505</v>
      </c>
      <c r="B3702" t="str">
        <f t="shared" si="57"/>
        <v>AREIAS, SP, Brasil</v>
      </c>
      <c r="C3702" s="4" t="str">
        <f>_xlfn.XLOOKUP(A3702,[1]!DadosGHD[CD_GEOCMU],[1]!DadosGHD[Região])</f>
        <v>SD</v>
      </c>
      <c r="D3702" s="4" t="str">
        <f>_xlfn.XLOOKUP(A3702,[1]!DadosGHD[CD_GEOCMU],[1]!DadosGHD[uf])</f>
        <v>SP</v>
      </c>
      <c r="E3702" s="5" t="str">
        <f>_xlfn.XLOOKUP(A3702,[1]!DadosGHD[CD_GEOCMU],[1]!DadosGHD[MUNICIPIO])</f>
        <v>AREIAS</v>
      </c>
      <c r="F3702" s="6">
        <v>48.549461364746101</v>
      </c>
      <c r="G3702" s="6">
        <v>43.710914611816399</v>
      </c>
      <c r="H3702" s="6">
        <v>43.756210327148402</v>
      </c>
      <c r="I3702" s="6">
        <v>43.699615478515597</v>
      </c>
      <c r="J3702" s="6">
        <v>43.743625640869098</v>
      </c>
      <c r="K3702" s="6">
        <v>43.7958793640137</v>
      </c>
      <c r="L3702" s="6">
        <v>39.6036376953125</v>
      </c>
    </row>
    <row r="3703" spans="1:12" x14ac:dyDescent="0.25">
      <c r="A3703">
        <v>4316477</v>
      </c>
      <c r="B3703" t="str">
        <f t="shared" si="57"/>
        <v>SALVADOR DAS MISSOES, RS, Brasil</v>
      </c>
      <c r="C3703" s="4" t="str">
        <f>_xlfn.XLOOKUP(A3703,[1]!DadosGHD[CD_GEOCMU],[1]!DadosGHD[Região])</f>
        <v>SL</v>
      </c>
      <c r="D3703" s="4" t="str">
        <f>_xlfn.XLOOKUP(A3703,[1]!DadosGHD[CD_GEOCMU],[1]!DadosGHD[uf])</f>
        <v>RS</v>
      </c>
      <c r="E3703" s="5" t="str">
        <f>_xlfn.XLOOKUP(A3703,[1]!DadosGHD[CD_GEOCMU],[1]!DadosGHD[MUNICIPIO])</f>
        <v>SALVADOR DAS MISSOES</v>
      </c>
      <c r="F3703" s="6">
        <v>48.549709320068402</v>
      </c>
      <c r="G3703" s="6">
        <v>58.767036437988303</v>
      </c>
      <c r="H3703" s="6">
        <v>58.895126342773402</v>
      </c>
      <c r="I3703" s="6">
        <v>58.947505950927699</v>
      </c>
      <c r="J3703" s="6">
        <v>58.955982208252003</v>
      </c>
      <c r="K3703" s="6">
        <v>58.947525024414098</v>
      </c>
      <c r="L3703" s="6">
        <v>44.069549560546903</v>
      </c>
    </row>
    <row r="3704" spans="1:12" x14ac:dyDescent="0.25">
      <c r="A3704">
        <v>3536406</v>
      </c>
      <c r="B3704" t="str">
        <f t="shared" si="57"/>
        <v>PAULICEIA, SP, Brasil</v>
      </c>
      <c r="C3704" s="4" t="str">
        <f>_xlfn.XLOOKUP(A3704,[1]!DadosGHD[CD_GEOCMU],[1]!DadosGHD[Região])</f>
        <v>SD</v>
      </c>
      <c r="D3704" s="4" t="str">
        <f>_xlfn.XLOOKUP(A3704,[1]!DadosGHD[CD_GEOCMU],[1]!DadosGHD[uf])</f>
        <v>SP</v>
      </c>
      <c r="E3704" s="5" t="str">
        <f>_xlfn.XLOOKUP(A3704,[1]!DadosGHD[CD_GEOCMU],[1]!DadosGHD[MUNICIPIO])</f>
        <v>PAULICEIA</v>
      </c>
      <c r="F3704" s="6">
        <v>48.549880981445298</v>
      </c>
      <c r="G3704" s="6">
        <v>43.747409820556598</v>
      </c>
      <c r="H3704" s="6">
        <v>43.768123626708999</v>
      </c>
      <c r="I3704" s="6">
        <v>43.745647430419901</v>
      </c>
      <c r="J3704" s="6">
        <v>43.765953063964801</v>
      </c>
      <c r="K3704" s="6">
        <v>43.815013885498097</v>
      </c>
      <c r="L3704" s="6">
        <v>39.588714599609403</v>
      </c>
    </row>
    <row r="3705" spans="1:12" x14ac:dyDescent="0.25">
      <c r="A3705">
        <v>3510609</v>
      </c>
      <c r="B3705" t="str">
        <f t="shared" si="57"/>
        <v>CARAPICUIBA, SP, Brasil</v>
      </c>
      <c r="C3705" s="4" t="str">
        <f>_xlfn.XLOOKUP(A3705,[1]!DadosGHD[CD_GEOCMU],[1]!DadosGHD[Região])</f>
        <v>SD</v>
      </c>
      <c r="D3705" s="4" t="str">
        <f>_xlfn.XLOOKUP(A3705,[1]!DadosGHD[CD_GEOCMU],[1]!DadosGHD[uf])</f>
        <v>SP</v>
      </c>
      <c r="E3705" s="5" t="str">
        <f>_xlfn.XLOOKUP(A3705,[1]!DadosGHD[CD_GEOCMU],[1]!DadosGHD[MUNICIPIO])</f>
        <v>CARAPICUIBA</v>
      </c>
      <c r="F3705" s="6">
        <v>48.549964904785199</v>
      </c>
      <c r="G3705" s="6">
        <v>43.752269744873097</v>
      </c>
      <c r="H3705" s="6">
        <v>43.7628173828125</v>
      </c>
      <c r="I3705" s="6">
        <v>43.714317321777301</v>
      </c>
      <c r="J3705" s="6">
        <v>43.715030670166001</v>
      </c>
      <c r="K3705" s="6">
        <v>38.8851509094238</v>
      </c>
      <c r="L3705" s="6">
        <v>44.066982269287102</v>
      </c>
    </row>
    <row r="3706" spans="1:12" x14ac:dyDescent="0.25">
      <c r="A3706">
        <v>3523008</v>
      </c>
      <c r="B3706" t="str">
        <f t="shared" si="57"/>
        <v>ITAPURA, SP, Brasil</v>
      </c>
      <c r="C3706" s="4" t="str">
        <f>_xlfn.XLOOKUP(A3706,[1]!DadosGHD[CD_GEOCMU],[1]!DadosGHD[Região])</f>
        <v>SD</v>
      </c>
      <c r="D3706" s="4" t="str">
        <f>_xlfn.XLOOKUP(A3706,[1]!DadosGHD[CD_GEOCMU],[1]!DadosGHD[uf])</f>
        <v>SP</v>
      </c>
      <c r="E3706" s="5" t="str">
        <f>_xlfn.XLOOKUP(A3706,[1]!DadosGHD[CD_GEOCMU],[1]!DadosGHD[MUNICIPIO])</f>
        <v>ITAPURA</v>
      </c>
      <c r="F3706" s="6">
        <v>48.550102233886697</v>
      </c>
      <c r="G3706" s="6">
        <v>43.661144256591797</v>
      </c>
      <c r="H3706" s="6">
        <v>43.756118774414098</v>
      </c>
      <c r="I3706" s="6">
        <v>43.795669555664098</v>
      </c>
      <c r="J3706" s="6">
        <v>48.710628509521499</v>
      </c>
      <c r="K3706" s="6">
        <v>48.790084838867202</v>
      </c>
      <c r="L3706" s="6">
        <v>57.516326904296903</v>
      </c>
    </row>
    <row r="3707" spans="1:12" x14ac:dyDescent="0.25">
      <c r="A3707">
        <v>3117702</v>
      </c>
      <c r="B3707" t="str">
        <f t="shared" si="57"/>
        <v>CONCEICAO DO RIO VERDE, MG, Brasil</v>
      </c>
      <c r="C3707" s="4" t="str">
        <f>_xlfn.XLOOKUP(A3707,[1]!DadosGHD[CD_GEOCMU],[1]!DadosGHD[Região])</f>
        <v>SD</v>
      </c>
      <c r="D3707" s="4" t="str">
        <f>_xlfn.XLOOKUP(A3707,[1]!DadosGHD[CD_GEOCMU],[1]!DadosGHD[uf])</f>
        <v>MG</v>
      </c>
      <c r="E3707" s="5" t="str">
        <f>_xlfn.XLOOKUP(A3707,[1]!DadosGHD[CD_GEOCMU],[1]!DadosGHD[MUNICIPIO])</f>
        <v>CONCEICAO DO RIO VERDE</v>
      </c>
      <c r="F3707" s="6">
        <v>48.550479888916001</v>
      </c>
      <c r="G3707" s="6">
        <v>48.647052764892599</v>
      </c>
      <c r="H3707" s="6">
        <v>48.7153930664063</v>
      </c>
      <c r="I3707" s="6">
        <v>48.675930023193402</v>
      </c>
      <c r="J3707" s="6">
        <v>48.708538055419901</v>
      </c>
      <c r="K3707" s="6">
        <v>48.878047943115199</v>
      </c>
      <c r="L3707" s="6">
        <v>48.512294769287102</v>
      </c>
    </row>
    <row r="3708" spans="1:12" x14ac:dyDescent="0.25">
      <c r="A3708">
        <v>4105805</v>
      </c>
      <c r="B3708" t="str">
        <f t="shared" si="57"/>
        <v>COLOMBO, PR, Brasil</v>
      </c>
      <c r="C3708" s="4" t="str">
        <f>_xlfn.XLOOKUP(A3708,[1]!DadosGHD[CD_GEOCMU],[1]!DadosGHD[Região])</f>
        <v>SL</v>
      </c>
      <c r="D3708" s="4" t="str">
        <f>_xlfn.XLOOKUP(A3708,[1]!DadosGHD[CD_GEOCMU],[1]!DadosGHD[uf])</f>
        <v>PR</v>
      </c>
      <c r="E3708" s="5" t="str">
        <f>_xlfn.XLOOKUP(A3708,[1]!DadosGHD[CD_GEOCMU],[1]!DadosGHD[MUNICIPIO])</f>
        <v>COLOMBO</v>
      </c>
      <c r="F3708" s="6">
        <v>48.550846099853501</v>
      </c>
      <c r="G3708" s="6">
        <v>48.661952972412102</v>
      </c>
      <c r="H3708" s="6">
        <v>48.716091156005902</v>
      </c>
      <c r="I3708" s="6">
        <v>43.806362152099602</v>
      </c>
      <c r="J3708" s="6">
        <v>48.708587646484403</v>
      </c>
      <c r="K3708" s="6">
        <v>43.863670349121101</v>
      </c>
      <c r="L3708" s="6">
        <v>53.0234375</v>
      </c>
    </row>
    <row r="3709" spans="1:12" x14ac:dyDescent="0.25">
      <c r="A3709">
        <v>5213053</v>
      </c>
      <c r="B3709" t="str">
        <f t="shared" si="57"/>
        <v>MIMOSO DE GOIAS, GO, Brasil</v>
      </c>
      <c r="C3709" s="4" t="str">
        <f>_xlfn.XLOOKUP(A3709,[1]!DadosGHD[CD_GEOCMU],[1]!DadosGHD[Região])</f>
        <v>CO</v>
      </c>
      <c r="D3709" s="4" t="str">
        <f>_xlfn.XLOOKUP(A3709,[1]!DadosGHD[CD_GEOCMU],[1]!DadosGHD[uf])</f>
        <v>GO</v>
      </c>
      <c r="E3709" s="5" t="str">
        <f>_xlfn.XLOOKUP(A3709,[1]!DadosGHD[CD_GEOCMU],[1]!DadosGHD[MUNICIPIO])</f>
        <v>MIMOSO DE GOIAS</v>
      </c>
      <c r="F3709" s="6">
        <v>48.551059722900398</v>
      </c>
      <c r="G3709" s="6">
        <v>43.6840209960938</v>
      </c>
      <c r="H3709" s="6">
        <v>43.7345581054688</v>
      </c>
      <c r="I3709" s="6">
        <v>43.712783813476598</v>
      </c>
      <c r="J3709" s="6">
        <v>43.754096984863303</v>
      </c>
      <c r="K3709" s="6">
        <v>43.801177978515597</v>
      </c>
      <c r="L3709" s="6">
        <v>35.134162902832003</v>
      </c>
    </row>
    <row r="3710" spans="1:12" x14ac:dyDescent="0.25">
      <c r="A3710">
        <v>3139409</v>
      </c>
      <c r="B3710" t="str">
        <f t="shared" si="57"/>
        <v>MANHUACU, MG, Brasil</v>
      </c>
      <c r="C3710" s="4" t="str">
        <f>_xlfn.XLOOKUP(A3710,[1]!DadosGHD[CD_GEOCMU],[1]!DadosGHD[Região])</f>
        <v>SD</v>
      </c>
      <c r="D3710" s="4" t="str">
        <f>_xlfn.XLOOKUP(A3710,[1]!DadosGHD[CD_GEOCMU],[1]!DadosGHD[uf])</f>
        <v>MG</v>
      </c>
      <c r="E3710" s="5" t="str">
        <f>_xlfn.XLOOKUP(A3710,[1]!DadosGHD[CD_GEOCMU],[1]!DadosGHD[MUNICIPIO])</f>
        <v>MANHUACU</v>
      </c>
      <c r="F3710" s="6">
        <v>48.551090240478501</v>
      </c>
      <c r="G3710" s="6">
        <v>43.747676849365199</v>
      </c>
      <c r="H3710" s="6">
        <v>43.790210723877003</v>
      </c>
      <c r="I3710" s="6">
        <v>43.786754608154297</v>
      </c>
      <c r="J3710" s="6">
        <v>48.719326019287102</v>
      </c>
      <c r="K3710" s="6">
        <v>48.8212890625</v>
      </c>
      <c r="L3710" s="6">
        <v>44.073371887207003</v>
      </c>
    </row>
    <row r="3711" spans="1:12" x14ac:dyDescent="0.25">
      <c r="A3711">
        <v>3104304</v>
      </c>
      <c r="B3711" t="str">
        <f t="shared" si="57"/>
        <v>AREADO, MG, Brasil</v>
      </c>
      <c r="C3711" s="4" t="str">
        <f>_xlfn.XLOOKUP(A3711,[1]!DadosGHD[CD_GEOCMU],[1]!DadosGHD[Região])</f>
        <v>SD</v>
      </c>
      <c r="D3711" s="4" t="str">
        <f>_xlfn.XLOOKUP(A3711,[1]!DadosGHD[CD_GEOCMU],[1]!DadosGHD[uf])</f>
        <v>MG</v>
      </c>
      <c r="E3711" s="5" t="str">
        <f>_xlfn.XLOOKUP(A3711,[1]!DadosGHD[CD_GEOCMU],[1]!DadosGHD[MUNICIPIO])</f>
        <v>AREADO</v>
      </c>
      <c r="F3711" s="6">
        <v>48.551143646240199</v>
      </c>
      <c r="G3711" s="6">
        <v>43.760280609130902</v>
      </c>
      <c r="H3711" s="6">
        <v>43.811367034912102</v>
      </c>
      <c r="I3711" s="6">
        <v>48.695766448974602</v>
      </c>
      <c r="J3711" s="6">
        <v>48.799160003662102</v>
      </c>
      <c r="K3711" s="6">
        <v>48.8923530578613</v>
      </c>
      <c r="L3711" s="6">
        <v>52.994266510009801</v>
      </c>
    </row>
    <row r="3712" spans="1:12" x14ac:dyDescent="0.25">
      <c r="A3712">
        <v>3305307</v>
      </c>
      <c r="B3712" t="str">
        <f t="shared" si="57"/>
        <v>SAO SEBASTIAO DO ALTO, RJ, Brasil</v>
      </c>
      <c r="C3712" s="4" t="str">
        <f>_xlfn.XLOOKUP(A3712,[1]!DadosGHD[CD_GEOCMU],[1]!DadosGHD[Região])</f>
        <v>SD</v>
      </c>
      <c r="D3712" s="4" t="str">
        <f>_xlfn.XLOOKUP(A3712,[1]!DadosGHD[CD_GEOCMU],[1]!DadosGHD[uf])</f>
        <v>RJ</v>
      </c>
      <c r="E3712" s="5" t="str">
        <f>_xlfn.XLOOKUP(A3712,[1]!DadosGHD[CD_GEOCMU],[1]!DadosGHD[MUNICIPIO])</f>
        <v>SAO SEBASTIAO DO ALTO</v>
      </c>
      <c r="F3712" s="6">
        <v>48.551380157470703</v>
      </c>
      <c r="G3712" s="6">
        <v>48.698776245117202</v>
      </c>
      <c r="H3712" s="6">
        <v>43.777656555175803</v>
      </c>
      <c r="I3712" s="6">
        <v>43.754367828369098</v>
      </c>
      <c r="J3712" s="6">
        <v>48.763431549072301</v>
      </c>
      <c r="K3712" s="6">
        <v>43.818080902099602</v>
      </c>
      <c r="L3712" s="6">
        <v>44.069412231445298</v>
      </c>
    </row>
    <row r="3713" spans="1:12" x14ac:dyDescent="0.25">
      <c r="A3713">
        <v>3100807</v>
      </c>
      <c r="B3713" t="str">
        <f t="shared" si="57"/>
        <v>AGUANIL, MG, Brasil</v>
      </c>
      <c r="C3713" s="4" t="str">
        <f>_xlfn.XLOOKUP(A3713,[1]!DadosGHD[CD_GEOCMU],[1]!DadosGHD[Região])</f>
        <v>SD</v>
      </c>
      <c r="D3713" s="4" t="str">
        <f>_xlfn.XLOOKUP(A3713,[1]!DadosGHD[CD_GEOCMU],[1]!DadosGHD[uf])</f>
        <v>MG</v>
      </c>
      <c r="E3713" s="5" t="str">
        <f>_xlfn.XLOOKUP(A3713,[1]!DadosGHD[CD_GEOCMU],[1]!DadosGHD[MUNICIPIO])</f>
        <v>AGUANIL</v>
      </c>
      <c r="F3713" s="6">
        <v>48.551479339599602</v>
      </c>
      <c r="G3713" s="6">
        <v>43.664295196533203</v>
      </c>
      <c r="H3713" s="6">
        <v>43.736209869384801</v>
      </c>
      <c r="I3713" s="6">
        <v>43.792411804199197</v>
      </c>
      <c r="J3713" s="6">
        <v>43.817569732666001</v>
      </c>
      <c r="K3713" s="6">
        <v>53.827392578125</v>
      </c>
      <c r="L3713" s="6">
        <v>57.498931884765597</v>
      </c>
    </row>
    <row r="3714" spans="1:12" x14ac:dyDescent="0.25">
      <c r="A3714">
        <v>3507704</v>
      </c>
      <c r="B3714" t="str">
        <f t="shared" si="57"/>
        <v>BRAUNA, SP, Brasil</v>
      </c>
      <c r="C3714" s="4" t="str">
        <f>_xlfn.XLOOKUP(A3714,[1]!DadosGHD[CD_GEOCMU],[1]!DadosGHD[Região])</f>
        <v>SD</v>
      </c>
      <c r="D3714" s="4" t="str">
        <f>_xlfn.XLOOKUP(A3714,[1]!DadosGHD[CD_GEOCMU],[1]!DadosGHD[uf])</f>
        <v>SP</v>
      </c>
      <c r="E3714" s="5" t="str">
        <f>_xlfn.XLOOKUP(A3714,[1]!DadosGHD[CD_GEOCMU],[1]!DadosGHD[MUNICIPIO])</f>
        <v>BRAUNA</v>
      </c>
      <c r="F3714" s="6">
        <v>48.551620483398402</v>
      </c>
      <c r="G3714" s="6">
        <v>43.752819061279297</v>
      </c>
      <c r="H3714" s="6">
        <v>43.810951232910199</v>
      </c>
      <c r="I3714" s="6">
        <v>43.775882720947301</v>
      </c>
      <c r="J3714" s="6">
        <v>43.777667999267599</v>
      </c>
      <c r="K3714" s="6">
        <v>38.886283874511697</v>
      </c>
      <c r="L3714" s="6">
        <v>44.025279998779297</v>
      </c>
    </row>
    <row r="3715" spans="1:12" x14ac:dyDescent="0.25">
      <c r="A3715">
        <v>3204955</v>
      </c>
      <c r="B3715" t="str">
        <f t="shared" si="57"/>
        <v>SAO ROQUE DO CANAA, ES, Brasil</v>
      </c>
      <c r="C3715" s="4" t="str">
        <f>_xlfn.XLOOKUP(A3715,[1]!DadosGHD[CD_GEOCMU],[1]!DadosGHD[Região])</f>
        <v>SD</v>
      </c>
      <c r="D3715" s="4" t="str">
        <f>_xlfn.XLOOKUP(A3715,[1]!DadosGHD[CD_GEOCMU],[1]!DadosGHD[uf])</f>
        <v>ES</v>
      </c>
      <c r="E3715" s="5" t="str">
        <f>_xlfn.XLOOKUP(A3715,[1]!DadosGHD[CD_GEOCMU],[1]!DadosGHD[MUNICIPIO])</f>
        <v>SAO ROQUE DO CANAA</v>
      </c>
      <c r="F3715" s="6">
        <v>48.551685333252003</v>
      </c>
      <c r="G3715" s="6">
        <v>43.7643852233887</v>
      </c>
      <c r="H3715" s="6">
        <v>43.798419952392599</v>
      </c>
      <c r="I3715" s="6">
        <v>43.773200988769503</v>
      </c>
      <c r="J3715" s="6">
        <v>48.721519470214801</v>
      </c>
      <c r="K3715" s="6">
        <v>48.813869476318402</v>
      </c>
      <c r="L3715" s="6">
        <v>44.0552368164063</v>
      </c>
    </row>
    <row r="3716" spans="1:12" x14ac:dyDescent="0.25">
      <c r="A3716">
        <v>3512803</v>
      </c>
      <c r="B3716" t="str">
        <f t="shared" ref="B3716:B3779" si="58">_xlfn.CONCAT(E3716, ", ", D3716, ", Brasil")</f>
        <v>COSMOPOLIS, SP, Brasil</v>
      </c>
      <c r="C3716" s="4" t="str">
        <f>_xlfn.XLOOKUP(A3716,[1]!DadosGHD[CD_GEOCMU],[1]!DadosGHD[Região])</f>
        <v>SD</v>
      </c>
      <c r="D3716" s="4" t="str">
        <f>_xlfn.XLOOKUP(A3716,[1]!DadosGHD[CD_GEOCMU],[1]!DadosGHD[uf])</f>
        <v>SP</v>
      </c>
      <c r="E3716" s="5" t="str">
        <f>_xlfn.XLOOKUP(A3716,[1]!DadosGHD[CD_GEOCMU],[1]!DadosGHD[MUNICIPIO])</f>
        <v>COSMOPOLIS</v>
      </c>
      <c r="F3716" s="6">
        <v>48.552135467529297</v>
      </c>
      <c r="G3716" s="6">
        <v>43.710819244384801</v>
      </c>
      <c r="H3716" s="6">
        <v>43.723869323730497</v>
      </c>
      <c r="I3716" s="6">
        <v>38.8017578125</v>
      </c>
      <c r="J3716" s="6">
        <v>38.790428161621101</v>
      </c>
      <c r="K3716" s="6">
        <v>38.840072631835902</v>
      </c>
      <c r="L3716" s="6">
        <v>44.038738250732401</v>
      </c>
    </row>
    <row r="3717" spans="1:12" x14ac:dyDescent="0.25">
      <c r="A3717">
        <v>5107198</v>
      </c>
      <c r="B3717" t="str">
        <f t="shared" si="58"/>
        <v>RIBEIRAOZINHO, MT, Brasil</v>
      </c>
      <c r="C3717" s="4" t="str">
        <f>_xlfn.XLOOKUP(A3717,[1]!DadosGHD[CD_GEOCMU],[1]!DadosGHD[Região])</f>
        <v>CO</v>
      </c>
      <c r="D3717" s="4" t="str">
        <f>_xlfn.XLOOKUP(A3717,[1]!DadosGHD[CD_GEOCMU],[1]!DadosGHD[uf])</f>
        <v>MT</v>
      </c>
      <c r="E3717" s="5" t="str">
        <f>_xlfn.XLOOKUP(A3717,[1]!DadosGHD[CD_GEOCMU],[1]!DadosGHD[MUNICIPIO])</f>
        <v>RIBEIRAOZINHO</v>
      </c>
      <c r="F3717" s="6">
        <v>48.552154541015597</v>
      </c>
      <c r="G3717" s="6">
        <v>38.749107360839801</v>
      </c>
      <c r="H3717" s="6">
        <v>43.710399627685597</v>
      </c>
      <c r="I3717" s="6">
        <v>43.738231658935597</v>
      </c>
      <c r="J3717" s="6">
        <v>43.736312866210902</v>
      </c>
      <c r="K3717" s="6">
        <v>43.7953071594238</v>
      </c>
      <c r="L3717" s="6">
        <v>44.052299499511697</v>
      </c>
    </row>
    <row r="3718" spans="1:12" x14ac:dyDescent="0.25">
      <c r="A3718">
        <v>3522406</v>
      </c>
      <c r="B3718" t="str">
        <f t="shared" si="58"/>
        <v>ITAPEVA, SP, Brasil</v>
      </c>
      <c r="C3718" s="4" t="str">
        <f>_xlfn.XLOOKUP(A3718,[1]!DadosGHD[CD_GEOCMU],[1]!DadosGHD[Região])</f>
        <v>SD</v>
      </c>
      <c r="D3718" s="4" t="str">
        <f>_xlfn.XLOOKUP(A3718,[1]!DadosGHD[CD_GEOCMU],[1]!DadosGHD[uf])</f>
        <v>SP</v>
      </c>
      <c r="E3718" s="5" t="str">
        <f>_xlfn.XLOOKUP(A3718,[1]!DadosGHD[CD_GEOCMU],[1]!DadosGHD[MUNICIPIO])</f>
        <v>ITAPEVA</v>
      </c>
      <c r="F3718" s="6">
        <v>48.552268981933601</v>
      </c>
      <c r="G3718" s="6">
        <v>48.631755828857401</v>
      </c>
      <c r="H3718" s="6">
        <v>43.758903503417997</v>
      </c>
      <c r="I3718" s="6">
        <v>43.717933654785199</v>
      </c>
      <c r="J3718" s="6">
        <v>43.764820098877003</v>
      </c>
      <c r="K3718" s="6">
        <v>43.869270324707003</v>
      </c>
      <c r="L3718" s="6">
        <v>48.492401123046903</v>
      </c>
    </row>
    <row r="3719" spans="1:12" x14ac:dyDescent="0.25">
      <c r="A3719">
        <v>3139102</v>
      </c>
      <c r="B3719" t="str">
        <f t="shared" si="58"/>
        <v>MADRE DE DEUS DE MINAS, MG, Brasil</v>
      </c>
      <c r="C3719" s="4" t="str">
        <f>_xlfn.XLOOKUP(A3719,[1]!DadosGHD[CD_GEOCMU],[1]!DadosGHD[Região])</f>
        <v>SD</v>
      </c>
      <c r="D3719" s="4" t="str">
        <f>_xlfn.XLOOKUP(A3719,[1]!DadosGHD[CD_GEOCMU],[1]!DadosGHD[uf])</f>
        <v>MG</v>
      </c>
      <c r="E3719" s="5" t="str">
        <f>_xlfn.XLOOKUP(A3719,[1]!DadosGHD[CD_GEOCMU],[1]!DadosGHD[MUNICIPIO])</f>
        <v>MADRE DE DEUS DE MINAS</v>
      </c>
      <c r="F3719" s="6">
        <v>48.552616119384801</v>
      </c>
      <c r="G3719" s="6">
        <v>48.689964294433601</v>
      </c>
      <c r="H3719" s="6">
        <v>43.7890625</v>
      </c>
      <c r="I3719" s="6">
        <v>43.807659149169901</v>
      </c>
      <c r="J3719" s="6">
        <v>48.7740287780762</v>
      </c>
      <c r="K3719" s="6">
        <v>48.834121704101598</v>
      </c>
      <c r="L3719" s="6">
        <v>52.998096466064503</v>
      </c>
    </row>
    <row r="3720" spans="1:12" x14ac:dyDescent="0.25">
      <c r="A3720">
        <v>5106372</v>
      </c>
      <c r="B3720" t="str">
        <f t="shared" si="58"/>
        <v>PEDRA PRETA, MT, Brasil</v>
      </c>
      <c r="C3720" s="4" t="str">
        <f>_xlfn.XLOOKUP(A3720,[1]!DadosGHD[CD_GEOCMU],[1]!DadosGHD[Região])</f>
        <v>CO</v>
      </c>
      <c r="D3720" s="4" t="str">
        <f>_xlfn.XLOOKUP(A3720,[1]!DadosGHD[CD_GEOCMU],[1]!DadosGHD[uf])</f>
        <v>MT</v>
      </c>
      <c r="E3720" s="5" t="str">
        <f>_xlfn.XLOOKUP(A3720,[1]!DadosGHD[CD_GEOCMU],[1]!DadosGHD[MUNICIPIO])</f>
        <v>PEDRA PRETA</v>
      </c>
      <c r="F3720" s="6">
        <v>48.552864074707003</v>
      </c>
      <c r="G3720" s="6">
        <v>43.755813598632798</v>
      </c>
      <c r="H3720" s="6">
        <v>43.767452239990199</v>
      </c>
      <c r="I3720" s="6">
        <v>43.706832885742202</v>
      </c>
      <c r="J3720" s="6">
        <v>43.716438293457003</v>
      </c>
      <c r="K3720" s="6">
        <v>38.874423980712898</v>
      </c>
      <c r="L3720" s="6">
        <v>35.120750427246101</v>
      </c>
    </row>
    <row r="3721" spans="1:12" x14ac:dyDescent="0.25">
      <c r="A3721">
        <v>4110300</v>
      </c>
      <c r="B3721" t="str">
        <f t="shared" si="58"/>
        <v>INAJA, PR, Brasil</v>
      </c>
      <c r="C3721" s="4" t="str">
        <f>_xlfn.XLOOKUP(A3721,[1]!DadosGHD[CD_GEOCMU],[1]!DadosGHD[Região])</f>
        <v>SL</v>
      </c>
      <c r="D3721" s="4" t="str">
        <f>_xlfn.XLOOKUP(A3721,[1]!DadosGHD[CD_GEOCMU],[1]!DadosGHD[uf])</f>
        <v>PR</v>
      </c>
      <c r="E3721" s="5" t="str">
        <f>_xlfn.XLOOKUP(A3721,[1]!DadosGHD[CD_GEOCMU],[1]!DadosGHD[MUNICIPIO])</f>
        <v>INAJA</v>
      </c>
      <c r="F3721" s="6">
        <v>48.552982330322301</v>
      </c>
      <c r="G3721" s="6">
        <v>43.704929351806598</v>
      </c>
      <c r="H3721" s="6">
        <v>43.750156402587898</v>
      </c>
      <c r="I3721" s="6">
        <v>48.683948516845703</v>
      </c>
      <c r="J3721" s="6">
        <v>48.760879516601598</v>
      </c>
      <c r="K3721" s="6">
        <v>48.817546844482401</v>
      </c>
      <c r="L3721" s="6">
        <v>44.061801910400398</v>
      </c>
    </row>
    <row r="3722" spans="1:12" x14ac:dyDescent="0.25">
      <c r="A3722">
        <v>4201653</v>
      </c>
      <c r="B3722" t="str">
        <f t="shared" si="58"/>
        <v>ARVOREDO, SC, Brasil</v>
      </c>
      <c r="C3722" s="4" t="str">
        <f>_xlfn.XLOOKUP(A3722,[1]!DadosGHD[CD_GEOCMU],[1]!DadosGHD[Região])</f>
        <v>SL</v>
      </c>
      <c r="D3722" s="4" t="str">
        <f>_xlfn.XLOOKUP(A3722,[1]!DadosGHD[CD_GEOCMU],[1]!DadosGHD[uf])</f>
        <v>SC</v>
      </c>
      <c r="E3722" s="5" t="str">
        <f>_xlfn.XLOOKUP(A3722,[1]!DadosGHD[CD_GEOCMU],[1]!DadosGHD[MUNICIPIO])</f>
        <v>ARVOREDO</v>
      </c>
      <c r="F3722" s="6">
        <v>48.5531005859375</v>
      </c>
      <c r="G3722" s="6">
        <v>58.718162536621101</v>
      </c>
      <c r="H3722" s="6">
        <v>58.8450927734375</v>
      </c>
      <c r="I3722" s="6">
        <v>53.745105743408203</v>
      </c>
      <c r="J3722" s="6">
        <v>53.7846069335938</v>
      </c>
      <c r="K3722" s="6">
        <v>48.909492492675803</v>
      </c>
      <c r="L3722" s="6">
        <v>39.592464447021499</v>
      </c>
    </row>
    <row r="3723" spans="1:12" x14ac:dyDescent="0.25">
      <c r="A3723">
        <v>5212006</v>
      </c>
      <c r="B3723" t="str">
        <f t="shared" si="58"/>
        <v>JAUPACI, GO, Brasil</v>
      </c>
      <c r="C3723" s="4" t="str">
        <f>_xlfn.XLOOKUP(A3723,[1]!DadosGHD[CD_GEOCMU],[1]!DadosGHD[Região])</f>
        <v>CO</v>
      </c>
      <c r="D3723" s="4" t="str">
        <f>_xlfn.XLOOKUP(A3723,[1]!DadosGHD[CD_GEOCMU],[1]!DadosGHD[uf])</f>
        <v>GO</v>
      </c>
      <c r="E3723" s="5" t="str">
        <f>_xlfn.XLOOKUP(A3723,[1]!DadosGHD[CD_GEOCMU],[1]!DadosGHD[MUNICIPIO])</f>
        <v>JAUPACI</v>
      </c>
      <c r="F3723" s="6">
        <v>48.553142547607401</v>
      </c>
      <c r="G3723" s="6">
        <v>43.690643310546903</v>
      </c>
      <c r="H3723" s="6">
        <v>43.7582397460938</v>
      </c>
      <c r="I3723" s="6">
        <v>43.709144592285199</v>
      </c>
      <c r="J3723" s="6">
        <v>43.718204498291001</v>
      </c>
      <c r="K3723" s="6">
        <v>43.756591796875</v>
      </c>
      <c r="L3723" s="6">
        <v>30.722152709960898</v>
      </c>
    </row>
    <row r="3724" spans="1:12" x14ac:dyDescent="0.25">
      <c r="A3724">
        <v>4311627</v>
      </c>
      <c r="B3724" t="str">
        <f t="shared" si="58"/>
        <v>LINDOLFO COLLOR, RS, Brasil</v>
      </c>
      <c r="C3724" s="4" t="str">
        <f>_xlfn.XLOOKUP(A3724,[1]!DadosGHD[CD_GEOCMU],[1]!DadosGHD[Região])</f>
        <v>SL</v>
      </c>
      <c r="D3724" s="4" t="str">
        <f>_xlfn.XLOOKUP(A3724,[1]!DadosGHD[CD_GEOCMU],[1]!DadosGHD[uf])</f>
        <v>RS</v>
      </c>
      <c r="E3724" s="5" t="str">
        <f>_xlfn.XLOOKUP(A3724,[1]!DadosGHD[CD_GEOCMU],[1]!DadosGHD[MUNICIPIO])</f>
        <v>LINDOLFO COLLOR</v>
      </c>
      <c r="F3724" s="6">
        <v>48.553184509277301</v>
      </c>
      <c r="G3724" s="6">
        <v>48.677547454833999</v>
      </c>
      <c r="H3724" s="6">
        <v>48.732734680175803</v>
      </c>
      <c r="I3724" s="6">
        <v>48.738395690917997</v>
      </c>
      <c r="J3724" s="6">
        <v>48.788482666015597</v>
      </c>
      <c r="K3724" s="6">
        <v>53.826908111572301</v>
      </c>
      <c r="L3724" s="6">
        <v>57.529075622558601</v>
      </c>
    </row>
    <row r="3725" spans="1:12" x14ac:dyDescent="0.25">
      <c r="A3725">
        <v>3526308</v>
      </c>
      <c r="B3725" t="str">
        <f t="shared" si="58"/>
        <v>LAGOINHA, SP, Brasil</v>
      </c>
      <c r="C3725" s="4" t="str">
        <f>_xlfn.XLOOKUP(A3725,[1]!DadosGHD[CD_GEOCMU],[1]!DadosGHD[Região])</f>
        <v>SD</v>
      </c>
      <c r="D3725" s="4" t="str">
        <f>_xlfn.XLOOKUP(A3725,[1]!DadosGHD[CD_GEOCMU],[1]!DadosGHD[uf])</f>
        <v>SP</v>
      </c>
      <c r="E3725" s="5" t="str">
        <f>_xlfn.XLOOKUP(A3725,[1]!DadosGHD[CD_GEOCMU],[1]!DadosGHD[MUNICIPIO])</f>
        <v>LAGOINHA</v>
      </c>
      <c r="F3725" s="6">
        <v>48.553218841552699</v>
      </c>
      <c r="G3725" s="6">
        <v>43.6439018249512</v>
      </c>
      <c r="H3725" s="6">
        <v>38.764461517333999</v>
      </c>
      <c r="I3725" s="6">
        <v>38.723335266113303</v>
      </c>
      <c r="J3725" s="6">
        <v>33.8860473632813</v>
      </c>
      <c r="K3725" s="6">
        <v>33.899383544921903</v>
      </c>
      <c r="L3725" s="6">
        <v>35.127403259277301</v>
      </c>
    </row>
    <row r="3726" spans="1:12" x14ac:dyDescent="0.25">
      <c r="A3726">
        <v>3114808</v>
      </c>
      <c r="B3726" t="str">
        <f t="shared" si="58"/>
        <v>CARVALHOS, MG, Brasil</v>
      </c>
      <c r="C3726" s="4" t="str">
        <f>_xlfn.XLOOKUP(A3726,[1]!DadosGHD[CD_GEOCMU],[1]!DadosGHD[Região])</f>
        <v>SD</v>
      </c>
      <c r="D3726" s="4" t="str">
        <f>_xlfn.XLOOKUP(A3726,[1]!DadosGHD[CD_GEOCMU],[1]!DadosGHD[uf])</f>
        <v>MG</v>
      </c>
      <c r="E3726" s="5" t="str">
        <f>_xlfn.XLOOKUP(A3726,[1]!DadosGHD[CD_GEOCMU],[1]!DadosGHD[MUNICIPIO])</f>
        <v>CARVALHOS</v>
      </c>
      <c r="F3726" s="6">
        <v>48.553695678710902</v>
      </c>
      <c r="G3726" s="6">
        <v>48.665184020996101</v>
      </c>
      <c r="H3726" s="6">
        <v>48.731311798095703</v>
      </c>
      <c r="I3726" s="6">
        <v>38.794441223144503</v>
      </c>
      <c r="J3726" s="6">
        <v>43.7326850891113</v>
      </c>
      <c r="K3726" s="6">
        <v>43.763782501220703</v>
      </c>
      <c r="L3726" s="6">
        <v>44.070762634277301</v>
      </c>
    </row>
    <row r="3727" spans="1:12" x14ac:dyDescent="0.25">
      <c r="A3727">
        <v>4300638</v>
      </c>
      <c r="B3727" t="str">
        <f t="shared" si="58"/>
        <v>AMARAL FERRADOR, RS, Brasil</v>
      </c>
      <c r="C3727" s="4" t="str">
        <f>_xlfn.XLOOKUP(A3727,[1]!DadosGHD[CD_GEOCMU],[1]!DadosGHD[Região])</f>
        <v>SL</v>
      </c>
      <c r="D3727" s="4" t="str">
        <f>_xlfn.XLOOKUP(A3727,[1]!DadosGHD[CD_GEOCMU],[1]!DadosGHD[uf])</f>
        <v>RS</v>
      </c>
      <c r="E3727" s="5" t="str">
        <f>_xlfn.XLOOKUP(A3727,[1]!DadosGHD[CD_GEOCMU],[1]!DadosGHD[MUNICIPIO])</f>
        <v>AMARAL FERRADOR</v>
      </c>
      <c r="F3727" s="6">
        <v>48.554183959960902</v>
      </c>
      <c r="G3727" s="6">
        <v>53.672256469726598</v>
      </c>
      <c r="H3727" s="6">
        <v>43.763607025146499</v>
      </c>
      <c r="I3727" s="6">
        <v>43.765968322753899</v>
      </c>
      <c r="J3727" s="6">
        <v>38.840816497802699</v>
      </c>
      <c r="K3727" s="6">
        <v>38.885784149169901</v>
      </c>
      <c r="L3727" s="6">
        <v>53.020286560058601</v>
      </c>
    </row>
    <row r="3728" spans="1:12" x14ac:dyDescent="0.25">
      <c r="A3728">
        <v>3121506</v>
      </c>
      <c r="B3728" t="str">
        <f t="shared" si="58"/>
        <v>DESTERRO DO MELO, MG, Brasil</v>
      </c>
      <c r="C3728" s="4" t="str">
        <f>_xlfn.XLOOKUP(A3728,[1]!DadosGHD[CD_GEOCMU],[1]!DadosGHD[Região])</f>
        <v>SD</v>
      </c>
      <c r="D3728" s="4" t="str">
        <f>_xlfn.XLOOKUP(A3728,[1]!DadosGHD[CD_GEOCMU],[1]!DadosGHD[uf])</f>
        <v>MG</v>
      </c>
      <c r="E3728" s="5" t="str">
        <f>_xlfn.XLOOKUP(A3728,[1]!DadosGHD[CD_GEOCMU],[1]!DadosGHD[MUNICIPIO])</f>
        <v>DESTERRO DO MELO</v>
      </c>
      <c r="F3728" s="6">
        <v>48.554222106933601</v>
      </c>
      <c r="G3728" s="6">
        <v>43.702033996582003</v>
      </c>
      <c r="H3728" s="6">
        <v>43.753734588623097</v>
      </c>
      <c r="I3728" s="6">
        <v>43.801097869873097</v>
      </c>
      <c r="J3728" s="6">
        <v>48.726242065429702</v>
      </c>
      <c r="K3728" s="6">
        <v>48.7850341796875</v>
      </c>
      <c r="L3728" s="6">
        <v>39.583950042724602</v>
      </c>
    </row>
    <row r="3729" spans="1:12" x14ac:dyDescent="0.25">
      <c r="A3729">
        <v>4120333</v>
      </c>
      <c r="B3729" t="str">
        <f t="shared" si="58"/>
        <v>PRADO FERREIRA, PR, Brasil</v>
      </c>
      <c r="C3729" s="4" t="str">
        <f>_xlfn.XLOOKUP(A3729,[1]!DadosGHD[CD_GEOCMU],[1]!DadosGHD[Região])</f>
        <v>SL</v>
      </c>
      <c r="D3729" s="4" t="str">
        <f>_xlfn.XLOOKUP(A3729,[1]!DadosGHD[CD_GEOCMU],[1]!DadosGHD[uf])</f>
        <v>PR</v>
      </c>
      <c r="E3729" s="5" t="str">
        <f>_xlfn.XLOOKUP(A3729,[1]!DadosGHD[CD_GEOCMU],[1]!DadosGHD[MUNICIPIO])</f>
        <v>PRADO FERREIRA</v>
      </c>
      <c r="F3729" s="6">
        <v>48.554496765136697</v>
      </c>
      <c r="G3729" s="6">
        <v>48.768108367919901</v>
      </c>
      <c r="H3729" s="6">
        <v>48.806312561035199</v>
      </c>
      <c r="I3729" s="6">
        <v>48.763671875</v>
      </c>
      <c r="J3729" s="6">
        <v>48.797122955322301</v>
      </c>
      <c r="K3729" s="6">
        <v>43.797359466552699</v>
      </c>
      <c r="L3729" s="6">
        <v>44.058261871337898</v>
      </c>
    </row>
    <row r="3730" spans="1:12" x14ac:dyDescent="0.25">
      <c r="A3730">
        <v>4314050</v>
      </c>
      <c r="B3730" t="str">
        <f t="shared" si="58"/>
        <v>PAROBE, RS, Brasil</v>
      </c>
      <c r="C3730" s="4" t="str">
        <f>_xlfn.XLOOKUP(A3730,[1]!DadosGHD[CD_GEOCMU],[1]!DadosGHD[Região])</f>
        <v>SL</v>
      </c>
      <c r="D3730" s="4" t="str">
        <f>_xlfn.XLOOKUP(A3730,[1]!DadosGHD[CD_GEOCMU],[1]!DadosGHD[uf])</f>
        <v>RS</v>
      </c>
      <c r="E3730" s="5" t="str">
        <f>_xlfn.XLOOKUP(A3730,[1]!DadosGHD[CD_GEOCMU],[1]!DadosGHD[MUNICIPIO])</f>
        <v>PAROBE</v>
      </c>
      <c r="F3730" s="6">
        <v>48.554538726806598</v>
      </c>
      <c r="G3730" s="6">
        <v>43.724681854248097</v>
      </c>
      <c r="H3730" s="6">
        <v>43.740909576416001</v>
      </c>
      <c r="I3730" s="6">
        <v>43.7549438476563</v>
      </c>
      <c r="J3730" s="6">
        <v>43.778415679931598</v>
      </c>
      <c r="K3730" s="6">
        <v>43.7556343078613</v>
      </c>
      <c r="L3730" s="6">
        <v>39.577564239502003</v>
      </c>
    </row>
    <row r="3731" spans="1:12" x14ac:dyDescent="0.25">
      <c r="A3731">
        <v>1707652</v>
      </c>
      <c r="B3731" t="str">
        <f t="shared" si="58"/>
        <v>FIGUEIROPOLIS, TO, Brasil</v>
      </c>
      <c r="C3731" s="4" t="str">
        <f>_xlfn.XLOOKUP(A3731,[1]!DadosGHD[CD_GEOCMU],[1]!DadosGHD[Região])</f>
        <v>NO</v>
      </c>
      <c r="D3731" s="4" t="str">
        <f>_xlfn.XLOOKUP(A3731,[1]!DadosGHD[CD_GEOCMU],[1]!DadosGHD[uf])</f>
        <v>TO</v>
      </c>
      <c r="E3731" s="5" t="str">
        <f>_xlfn.XLOOKUP(A3731,[1]!DadosGHD[CD_GEOCMU],[1]!DadosGHD[MUNICIPIO])</f>
        <v>FIGUEIROPOLIS</v>
      </c>
      <c r="F3731" s="6">
        <v>48.554855346679702</v>
      </c>
      <c r="G3731" s="6">
        <v>38.739036560058601</v>
      </c>
      <c r="H3731" s="6">
        <v>38.765693664550803</v>
      </c>
      <c r="I3731" s="6">
        <v>38.732582092285199</v>
      </c>
      <c r="J3731" s="6">
        <v>38.740894317627003</v>
      </c>
      <c r="K3731" s="6">
        <v>33.917327880859403</v>
      </c>
      <c r="L3731" s="6">
        <v>30.689455032348601</v>
      </c>
    </row>
    <row r="3732" spans="1:12" x14ac:dyDescent="0.25">
      <c r="A3732">
        <v>3130705</v>
      </c>
      <c r="B3732" t="str">
        <f t="shared" si="58"/>
        <v>INDIANOPOLIS, MG, Brasil</v>
      </c>
      <c r="C3732" s="4" t="str">
        <f>_xlfn.XLOOKUP(A3732,[1]!DadosGHD[CD_GEOCMU],[1]!DadosGHD[Região])</f>
        <v>SD</v>
      </c>
      <c r="D3732" s="4" t="str">
        <f>_xlfn.XLOOKUP(A3732,[1]!DadosGHD[CD_GEOCMU],[1]!DadosGHD[uf])</f>
        <v>MG</v>
      </c>
      <c r="E3732" s="5" t="str">
        <f>_xlfn.XLOOKUP(A3732,[1]!DadosGHD[CD_GEOCMU],[1]!DadosGHD[MUNICIPIO])</f>
        <v>INDIANOPOLIS</v>
      </c>
      <c r="F3732" s="6">
        <v>48.554908752441399</v>
      </c>
      <c r="G3732" s="6">
        <v>48.677879333496101</v>
      </c>
      <c r="H3732" s="6">
        <v>48.7774658203125</v>
      </c>
      <c r="I3732" s="6">
        <v>48.725070953369098</v>
      </c>
      <c r="J3732" s="6">
        <v>48.7159614562988</v>
      </c>
      <c r="K3732" s="6">
        <v>43.856834411621101</v>
      </c>
      <c r="L3732" s="6">
        <v>35.158451080322301</v>
      </c>
    </row>
    <row r="3733" spans="1:12" x14ac:dyDescent="0.25">
      <c r="A3733">
        <v>3204203</v>
      </c>
      <c r="B3733" t="str">
        <f t="shared" si="58"/>
        <v>PIUMA, ES, Brasil</v>
      </c>
      <c r="C3733" s="4" t="str">
        <f>_xlfn.XLOOKUP(A3733,[1]!DadosGHD[CD_GEOCMU],[1]!DadosGHD[Região])</f>
        <v>SD</v>
      </c>
      <c r="D3733" s="4" t="str">
        <f>_xlfn.XLOOKUP(A3733,[1]!DadosGHD[CD_GEOCMU],[1]!DadosGHD[uf])</f>
        <v>ES</v>
      </c>
      <c r="E3733" s="5" t="str">
        <f>_xlfn.XLOOKUP(A3733,[1]!DadosGHD[CD_GEOCMU],[1]!DadosGHD[MUNICIPIO])</f>
        <v>PIUMA</v>
      </c>
      <c r="F3733" s="6">
        <v>48.555118560791001</v>
      </c>
      <c r="G3733" s="6">
        <v>48.650577545166001</v>
      </c>
      <c r="H3733" s="6">
        <v>43.797199249267599</v>
      </c>
      <c r="I3733" s="6">
        <v>43.755504608154297</v>
      </c>
      <c r="J3733" s="6">
        <v>43.809268951416001</v>
      </c>
      <c r="K3733" s="6">
        <v>48.793380737304702</v>
      </c>
      <c r="L3733" s="6">
        <v>53.007137298583999</v>
      </c>
    </row>
    <row r="3734" spans="1:12" x14ac:dyDescent="0.25">
      <c r="A3734">
        <v>2209609</v>
      </c>
      <c r="B3734" t="str">
        <f t="shared" si="58"/>
        <v>SAO FELIX DO PIAUI, PI, Brasil</v>
      </c>
      <c r="C3734" s="4" t="str">
        <f>_xlfn.XLOOKUP(A3734,[1]!DadosGHD[CD_GEOCMU],[1]!DadosGHD[Região])</f>
        <v>NE</v>
      </c>
      <c r="D3734" s="4" t="str">
        <f>_xlfn.XLOOKUP(A3734,[1]!DadosGHD[CD_GEOCMU],[1]!DadosGHD[uf])</f>
        <v>PI</v>
      </c>
      <c r="E3734" s="5" t="str">
        <f>_xlfn.XLOOKUP(A3734,[1]!DadosGHD[CD_GEOCMU],[1]!DadosGHD[MUNICIPIO])</f>
        <v>SAO FELIX DO PIAUI</v>
      </c>
      <c r="F3734" s="6">
        <v>48.555133819580099</v>
      </c>
      <c r="G3734" s="6">
        <v>43.6917915344238</v>
      </c>
      <c r="H3734" s="6">
        <v>43.7168159484863</v>
      </c>
      <c r="I3734" s="6">
        <v>43.679744720458999</v>
      </c>
      <c r="J3734" s="6">
        <v>38.844444274902301</v>
      </c>
      <c r="K3734" s="6">
        <v>38.877796173095703</v>
      </c>
      <c r="L3734" s="6">
        <v>30.7160835266113</v>
      </c>
    </row>
    <row r="3735" spans="1:12" x14ac:dyDescent="0.25">
      <c r="A3735">
        <v>3119005</v>
      </c>
      <c r="B3735" t="str">
        <f t="shared" si="58"/>
        <v>CORDISLANDIA, MG, Brasil</v>
      </c>
      <c r="C3735" s="4" t="str">
        <f>_xlfn.XLOOKUP(A3735,[1]!DadosGHD[CD_GEOCMU],[1]!DadosGHD[Região])</f>
        <v>SD</v>
      </c>
      <c r="D3735" s="4" t="str">
        <f>_xlfn.XLOOKUP(A3735,[1]!DadosGHD[CD_GEOCMU],[1]!DadosGHD[uf])</f>
        <v>MG</v>
      </c>
      <c r="E3735" s="5" t="str">
        <f>_xlfn.XLOOKUP(A3735,[1]!DadosGHD[CD_GEOCMU],[1]!DadosGHD[MUNICIPIO])</f>
        <v>CORDISLANDIA</v>
      </c>
      <c r="F3735" s="6">
        <v>48.555309295654297</v>
      </c>
      <c r="G3735" s="6">
        <v>43.731884002685597</v>
      </c>
      <c r="H3735" s="6">
        <v>43.792892456054702</v>
      </c>
      <c r="I3735" s="6">
        <v>43.769931793212898</v>
      </c>
      <c r="J3735" s="6">
        <v>43.817665100097699</v>
      </c>
      <c r="K3735" s="6">
        <v>43.850364685058601</v>
      </c>
      <c r="L3735" s="6">
        <v>48.492019653320298</v>
      </c>
    </row>
    <row r="3736" spans="1:12" x14ac:dyDescent="0.25">
      <c r="A3736">
        <v>4112207</v>
      </c>
      <c r="B3736" t="str">
        <f t="shared" si="58"/>
        <v>JANIOPOLIS, PR, Brasil</v>
      </c>
      <c r="C3736" s="4" t="str">
        <f>_xlfn.XLOOKUP(A3736,[1]!DadosGHD[CD_GEOCMU],[1]!DadosGHD[Região])</f>
        <v>SL</v>
      </c>
      <c r="D3736" s="4" t="str">
        <f>_xlfn.XLOOKUP(A3736,[1]!DadosGHD[CD_GEOCMU],[1]!DadosGHD[uf])</f>
        <v>PR</v>
      </c>
      <c r="E3736" s="5" t="str">
        <f>_xlfn.XLOOKUP(A3736,[1]!DadosGHD[CD_GEOCMU],[1]!DadosGHD[MUNICIPIO])</f>
        <v>JANIOPOLIS</v>
      </c>
      <c r="F3736" s="6">
        <v>48.555629730224602</v>
      </c>
      <c r="G3736" s="6">
        <v>43.671916961669901</v>
      </c>
      <c r="H3736" s="6">
        <v>43.738834381103501</v>
      </c>
      <c r="I3736" s="6">
        <v>48.811840057373097</v>
      </c>
      <c r="J3736" s="6">
        <v>48.807662963867202</v>
      </c>
      <c r="K3736" s="6">
        <v>48.874828338623097</v>
      </c>
      <c r="L3736" s="6">
        <v>30.7206630706787</v>
      </c>
    </row>
    <row r="3737" spans="1:12" x14ac:dyDescent="0.25">
      <c r="A3737">
        <v>4125357</v>
      </c>
      <c r="B3737" t="str">
        <f t="shared" si="58"/>
        <v>SAO JORGE DO PATROCINIO, PR, Brasil</v>
      </c>
      <c r="C3737" s="4" t="str">
        <f>_xlfn.XLOOKUP(A3737,[1]!DadosGHD[CD_GEOCMU],[1]!DadosGHD[Região])</f>
        <v>SL</v>
      </c>
      <c r="D3737" s="4" t="str">
        <f>_xlfn.XLOOKUP(A3737,[1]!DadosGHD[CD_GEOCMU],[1]!DadosGHD[uf])</f>
        <v>PR</v>
      </c>
      <c r="E3737" s="5" t="str">
        <f>_xlfn.XLOOKUP(A3737,[1]!DadosGHD[CD_GEOCMU],[1]!DadosGHD[MUNICIPIO])</f>
        <v>SAO JORGE DO PATROCINIO</v>
      </c>
      <c r="F3737" s="6">
        <v>48.555698394775398</v>
      </c>
      <c r="G3737" s="6">
        <v>48.754928588867202</v>
      </c>
      <c r="H3737" s="6">
        <v>48.841632843017599</v>
      </c>
      <c r="I3737" s="6">
        <v>53.7637939453125</v>
      </c>
      <c r="J3737" s="6">
        <v>48.764369964599602</v>
      </c>
      <c r="K3737" s="6">
        <v>48.841766357421903</v>
      </c>
      <c r="L3737" s="6">
        <v>39.611637115478501</v>
      </c>
    </row>
    <row r="3738" spans="1:12" x14ac:dyDescent="0.25">
      <c r="A3738">
        <v>3153509</v>
      </c>
      <c r="B3738" t="str">
        <f t="shared" si="58"/>
        <v>ALTO JEQUITIBA, MG, Brasil</v>
      </c>
      <c r="C3738" s="4" t="str">
        <f>_xlfn.XLOOKUP(A3738,[1]!DadosGHD[CD_GEOCMU],[1]!DadosGHD[Região])</f>
        <v>SD</v>
      </c>
      <c r="D3738" s="4" t="str">
        <f>_xlfn.XLOOKUP(A3738,[1]!DadosGHD[CD_GEOCMU],[1]!DadosGHD[uf])</f>
        <v>MG</v>
      </c>
      <c r="E3738" s="5" t="str">
        <f>_xlfn.XLOOKUP(A3738,[1]!DadosGHD[CD_GEOCMU],[1]!DadosGHD[MUNICIPIO])</f>
        <v>ALTO JEQUITIBA</v>
      </c>
      <c r="F3738" s="6">
        <v>48.555908203125</v>
      </c>
      <c r="G3738" s="6">
        <v>48.683013916015597</v>
      </c>
      <c r="H3738" s="6">
        <v>43.828693389892599</v>
      </c>
      <c r="I3738" s="6">
        <v>43.773563385009801</v>
      </c>
      <c r="J3738" s="6">
        <v>48.795181274414098</v>
      </c>
      <c r="K3738" s="6">
        <v>53.862907409667997</v>
      </c>
      <c r="L3738" s="6">
        <v>48.548336029052699</v>
      </c>
    </row>
    <row r="3739" spans="1:12" x14ac:dyDescent="0.25">
      <c r="A3739">
        <v>3140704</v>
      </c>
      <c r="B3739" t="str">
        <f t="shared" si="58"/>
        <v>MATEUS LEME, MG, Brasil</v>
      </c>
      <c r="C3739" s="4" t="str">
        <f>_xlfn.XLOOKUP(A3739,[1]!DadosGHD[CD_GEOCMU],[1]!DadosGHD[Região])</f>
        <v>SD</v>
      </c>
      <c r="D3739" s="4" t="str">
        <f>_xlfn.XLOOKUP(A3739,[1]!DadosGHD[CD_GEOCMU],[1]!DadosGHD[uf])</f>
        <v>MG</v>
      </c>
      <c r="E3739" s="5" t="str">
        <f>_xlfn.XLOOKUP(A3739,[1]!DadosGHD[CD_GEOCMU],[1]!DadosGHD[MUNICIPIO])</f>
        <v>MATEUS LEME</v>
      </c>
      <c r="F3739" s="6">
        <v>48.5559272766113</v>
      </c>
      <c r="G3739" s="6">
        <v>43.762420654296903</v>
      </c>
      <c r="H3739" s="6">
        <v>43.833549499511697</v>
      </c>
      <c r="I3739" s="6">
        <v>43.779636383056598</v>
      </c>
      <c r="J3739" s="6">
        <v>43.773426055908203</v>
      </c>
      <c r="K3739" s="6">
        <v>43.8456840515137</v>
      </c>
      <c r="L3739" s="6">
        <v>39.5886039733887</v>
      </c>
    </row>
    <row r="3740" spans="1:12" x14ac:dyDescent="0.25">
      <c r="A3740">
        <v>3105400</v>
      </c>
      <c r="B3740" t="str">
        <f t="shared" si="58"/>
        <v>BARAO DE COCAIS, MG, Brasil</v>
      </c>
      <c r="C3740" s="4" t="str">
        <f>_xlfn.XLOOKUP(A3740,[1]!DadosGHD[CD_GEOCMU],[1]!DadosGHD[Região])</f>
        <v>SD</v>
      </c>
      <c r="D3740" s="4" t="str">
        <f>_xlfn.XLOOKUP(A3740,[1]!DadosGHD[CD_GEOCMU],[1]!DadosGHD[uf])</f>
        <v>MG</v>
      </c>
      <c r="E3740" s="5" t="str">
        <f>_xlfn.XLOOKUP(A3740,[1]!DadosGHD[CD_GEOCMU],[1]!DadosGHD[MUNICIPIO])</f>
        <v>BARAO DE COCAIS</v>
      </c>
      <c r="F3740" s="6">
        <v>48.556354522705099</v>
      </c>
      <c r="G3740" s="6">
        <v>48.720046997070298</v>
      </c>
      <c r="H3740" s="6">
        <v>48.755977630615199</v>
      </c>
      <c r="I3740" s="6">
        <v>48.7397651672363</v>
      </c>
      <c r="J3740" s="6">
        <v>48.790126800537102</v>
      </c>
      <c r="K3740" s="6">
        <v>48.837390899658203</v>
      </c>
      <c r="L3740" s="6">
        <v>53.039684295654297</v>
      </c>
    </row>
    <row r="3741" spans="1:12" x14ac:dyDescent="0.25">
      <c r="A3741">
        <v>5106752</v>
      </c>
      <c r="B3741" t="str">
        <f t="shared" si="58"/>
        <v>PONTES E LACERDA, MT, Brasil</v>
      </c>
      <c r="C3741" s="4" t="str">
        <f>_xlfn.XLOOKUP(A3741,[1]!DadosGHD[CD_GEOCMU],[1]!DadosGHD[Região])</f>
        <v>CO</v>
      </c>
      <c r="D3741" s="4" t="str">
        <f>_xlfn.XLOOKUP(A3741,[1]!DadosGHD[CD_GEOCMU],[1]!DadosGHD[uf])</f>
        <v>MT</v>
      </c>
      <c r="E3741" s="5" t="str">
        <f>_xlfn.XLOOKUP(A3741,[1]!DadosGHD[CD_GEOCMU],[1]!DadosGHD[MUNICIPIO])</f>
        <v>PONTES E LACERDA</v>
      </c>
      <c r="F3741" s="6">
        <v>48.556541442871101</v>
      </c>
      <c r="G3741" s="6">
        <v>48.681888580322301</v>
      </c>
      <c r="H3741" s="6">
        <v>48.762992858886697</v>
      </c>
      <c r="I3741" s="6">
        <v>48.806297302246101</v>
      </c>
      <c r="J3741" s="6">
        <v>53.753734588623097</v>
      </c>
      <c r="K3741" s="6">
        <v>53.830986022949197</v>
      </c>
      <c r="L3741" s="6">
        <v>35.155277252197301</v>
      </c>
    </row>
    <row r="3742" spans="1:12" x14ac:dyDescent="0.25">
      <c r="A3742">
        <v>4103370</v>
      </c>
      <c r="B3742" t="str">
        <f t="shared" si="58"/>
        <v>BRASILANDIA DO SUL, PR, Brasil</v>
      </c>
      <c r="C3742" s="4" t="str">
        <f>_xlfn.XLOOKUP(A3742,[1]!DadosGHD[CD_GEOCMU],[1]!DadosGHD[Região])</f>
        <v>SL</v>
      </c>
      <c r="D3742" s="4" t="str">
        <f>_xlfn.XLOOKUP(A3742,[1]!DadosGHD[CD_GEOCMU],[1]!DadosGHD[uf])</f>
        <v>PR</v>
      </c>
      <c r="E3742" s="5" t="str">
        <f>_xlfn.XLOOKUP(A3742,[1]!DadosGHD[CD_GEOCMU],[1]!DadosGHD[MUNICIPIO])</f>
        <v>BRASILANDIA DO SUL</v>
      </c>
      <c r="F3742" s="6">
        <v>48.556838989257798</v>
      </c>
      <c r="G3742" s="6">
        <v>53.683582305908203</v>
      </c>
      <c r="H3742" s="6">
        <v>53.833091735839801</v>
      </c>
      <c r="I3742" s="6">
        <v>63.933921813964801</v>
      </c>
      <c r="J3742" s="6">
        <v>63.977344512939503</v>
      </c>
      <c r="K3742" s="6">
        <v>59.122383117675803</v>
      </c>
      <c r="L3742" s="6">
        <v>44.018352508544901</v>
      </c>
    </row>
    <row r="3743" spans="1:12" x14ac:dyDescent="0.25">
      <c r="A3743">
        <v>3109907</v>
      </c>
      <c r="B3743" t="str">
        <f t="shared" si="58"/>
        <v>CAETANOPOLIS, MG, Brasil</v>
      </c>
      <c r="C3743" s="4" t="str">
        <f>_xlfn.XLOOKUP(A3743,[1]!DadosGHD[CD_GEOCMU],[1]!DadosGHD[Região])</f>
        <v>SD</v>
      </c>
      <c r="D3743" s="4" t="str">
        <f>_xlfn.XLOOKUP(A3743,[1]!DadosGHD[CD_GEOCMU],[1]!DadosGHD[uf])</f>
        <v>MG</v>
      </c>
      <c r="E3743" s="5" t="str">
        <f>_xlfn.XLOOKUP(A3743,[1]!DadosGHD[CD_GEOCMU],[1]!DadosGHD[MUNICIPIO])</f>
        <v>CAETANOPOLIS</v>
      </c>
      <c r="F3743" s="6">
        <v>48.557106018066399</v>
      </c>
      <c r="G3743" s="6">
        <v>43.6974906921387</v>
      </c>
      <c r="H3743" s="6">
        <v>43.7415580749512</v>
      </c>
      <c r="I3743" s="6">
        <v>38.793079376220703</v>
      </c>
      <c r="J3743" s="6">
        <v>38.790718078613303</v>
      </c>
      <c r="K3743" s="6">
        <v>38.8452339172363</v>
      </c>
      <c r="L3743" s="6">
        <v>35.150665283203097</v>
      </c>
    </row>
    <row r="3744" spans="1:12" x14ac:dyDescent="0.25">
      <c r="A3744">
        <v>4211876</v>
      </c>
      <c r="B3744" t="str">
        <f t="shared" si="58"/>
        <v>PAIAL, SC, Brasil</v>
      </c>
      <c r="C3744" s="4" t="str">
        <f>_xlfn.XLOOKUP(A3744,[1]!DadosGHD[CD_GEOCMU],[1]!DadosGHD[Região])</f>
        <v>SL</v>
      </c>
      <c r="D3744" s="4" t="str">
        <f>_xlfn.XLOOKUP(A3744,[1]!DadosGHD[CD_GEOCMU],[1]!DadosGHD[uf])</f>
        <v>SC</v>
      </c>
      <c r="E3744" s="5" t="str">
        <f>_xlfn.XLOOKUP(A3744,[1]!DadosGHD[CD_GEOCMU],[1]!DadosGHD[MUNICIPIO])</f>
        <v>PAIAL</v>
      </c>
      <c r="F3744" s="6">
        <v>48.557258605957003</v>
      </c>
      <c r="G3744" s="6">
        <v>58.731414794921903</v>
      </c>
      <c r="H3744" s="6">
        <v>53.909683227539098</v>
      </c>
      <c r="I3744" s="6">
        <v>48.743381500244098</v>
      </c>
      <c r="J3744" s="6">
        <v>48.760173797607401</v>
      </c>
      <c r="K3744" s="6">
        <v>48.799850463867202</v>
      </c>
      <c r="L3744" s="6">
        <v>35.140720367431598</v>
      </c>
    </row>
    <row r="3745" spans="1:12" x14ac:dyDescent="0.25">
      <c r="A3745">
        <v>1702554</v>
      </c>
      <c r="B3745" t="str">
        <f t="shared" si="58"/>
        <v>AUGUSTINOPOLIS, TO, Brasil</v>
      </c>
      <c r="C3745" s="4" t="str">
        <f>_xlfn.XLOOKUP(A3745,[1]!DadosGHD[CD_GEOCMU],[1]!DadosGHD[Região])</f>
        <v>NO</v>
      </c>
      <c r="D3745" s="4" t="str">
        <f>_xlfn.XLOOKUP(A3745,[1]!DadosGHD[CD_GEOCMU],[1]!DadosGHD[uf])</f>
        <v>TO</v>
      </c>
      <c r="E3745" s="5" t="str">
        <f>_xlfn.XLOOKUP(A3745,[1]!DadosGHD[CD_GEOCMU],[1]!DadosGHD[MUNICIPIO])</f>
        <v>AUGUSTINOPOLIS</v>
      </c>
      <c r="F3745" s="6">
        <v>48.557407379150398</v>
      </c>
      <c r="G3745" s="6">
        <v>48.641368865966797</v>
      </c>
      <c r="H3745" s="6">
        <v>43.829654693603501</v>
      </c>
      <c r="I3745" s="6">
        <v>43.786617279052699</v>
      </c>
      <c r="J3745" s="6">
        <v>43.792472839355497</v>
      </c>
      <c r="K3745" s="6">
        <v>43.803382873535199</v>
      </c>
      <c r="L3745" s="6">
        <v>30.722059249877901</v>
      </c>
    </row>
    <row r="3746" spans="1:12" x14ac:dyDescent="0.25">
      <c r="A3746">
        <v>3136306</v>
      </c>
      <c r="B3746" t="str">
        <f t="shared" si="58"/>
        <v>JOAO PINHEIRO, MG, Brasil</v>
      </c>
      <c r="C3746" s="4" t="str">
        <f>_xlfn.XLOOKUP(A3746,[1]!DadosGHD[CD_GEOCMU],[1]!DadosGHD[Região])</f>
        <v>SD</v>
      </c>
      <c r="D3746" s="4" t="str">
        <f>_xlfn.XLOOKUP(A3746,[1]!DadosGHD[CD_GEOCMU],[1]!DadosGHD[uf])</f>
        <v>MG</v>
      </c>
      <c r="E3746" s="5" t="str">
        <f>_xlfn.XLOOKUP(A3746,[1]!DadosGHD[CD_GEOCMU],[1]!DadosGHD[MUNICIPIO])</f>
        <v>JOAO PINHEIRO</v>
      </c>
      <c r="F3746" s="6">
        <v>48.557571411132798</v>
      </c>
      <c r="G3746" s="6">
        <v>43.753246307373097</v>
      </c>
      <c r="H3746" s="6">
        <v>43.798885345458999</v>
      </c>
      <c r="I3746" s="6">
        <v>43.784572601318402</v>
      </c>
      <c r="J3746" s="6">
        <v>48.709964752197301</v>
      </c>
      <c r="K3746" s="6">
        <v>43.874893188476598</v>
      </c>
      <c r="L3746" s="6">
        <v>39.560043334960902</v>
      </c>
    </row>
    <row r="3747" spans="1:12" x14ac:dyDescent="0.25">
      <c r="A3747">
        <v>5210901</v>
      </c>
      <c r="B3747" t="str">
        <f t="shared" si="58"/>
        <v>ITAPACI, GO, Brasil</v>
      </c>
      <c r="C3747" s="4" t="str">
        <f>_xlfn.XLOOKUP(A3747,[1]!DadosGHD[CD_GEOCMU],[1]!DadosGHD[Região])</f>
        <v>CO</v>
      </c>
      <c r="D3747" s="4" t="str">
        <f>_xlfn.XLOOKUP(A3747,[1]!DadosGHD[CD_GEOCMU],[1]!DadosGHD[uf])</f>
        <v>GO</v>
      </c>
      <c r="E3747" s="5" t="str">
        <f>_xlfn.XLOOKUP(A3747,[1]!DadosGHD[CD_GEOCMU],[1]!DadosGHD[MUNICIPIO])</f>
        <v>ITAPACI</v>
      </c>
      <c r="F3747" s="6">
        <v>48.5580444335938</v>
      </c>
      <c r="G3747" s="6">
        <v>43.750709533691399</v>
      </c>
      <c r="H3747" s="6">
        <v>43.799381256103501</v>
      </c>
      <c r="I3747" s="6">
        <v>43.761032104492202</v>
      </c>
      <c r="J3747" s="6">
        <v>43.813705444335902</v>
      </c>
      <c r="K3747" s="6">
        <v>43.840049743652301</v>
      </c>
      <c r="L3747" s="6">
        <v>35.151168823242202</v>
      </c>
    </row>
    <row r="3748" spans="1:12" x14ac:dyDescent="0.25">
      <c r="A3748">
        <v>3304128</v>
      </c>
      <c r="B3748" t="str">
        <f t="shared" si="58"/>
        <v>QUATIS, RJ, Brasil</v>
      </c>
      <c r="C3748" s="4" t="str">
        <f>_xlfn.XLOOKUP(A3748,[1]!DadosGHD[CD_GEOCMU],[1]!DadosGHD[Região])</f>
        <v>SD</v>
      </c>
      <c r="D3748" s="4" t="str">
        <f>_xlfn.XLOOKUP(A3748,[1]!DadosGHD[CD_GEOCMU],[1]!DadosGHD[uf])</f>
        <v>RJ</v>
      </c>
      <c r="E3748" s="5" t="str">
        <f>_xlfn.XLOOKUP(A3748,[1]!DadosGHD[CD_GEOCMU],[1]!DadosGHD[MUNICIPIO])</f>
        <v>QUATIS</v>
      </c>
      <c r="F3748" s="6">
        <v>48.558052062988303</v>
      </c>
      <c r="G3748" s="6">
        <v>48.6549682617188</v>
      </c>
      <c r="H3748" s="6">
        <v>43.805225372314503</v>
      </c>
      <c r="I3748" s="6">
        <v>48.6987915039063</v>
      </c>
      <c r="J3748" s="6">
        <v>48.839485168457003</v>
      </c>
      <c r="K3748" s="6">
        <v>48.875129699707003</v>
      </c>
      <c r="L3748" s="6">
        <v>57.505096435546903</v>
      </c>
    </row>
    <row r="3749" spans="1:12" x14ac:dyDescent="0.25">
      <c r="A3749">
        <v>3139607</v>
      </c>
      <c r="B3749" t="str">
        <f t="shared" si="58"/>
        <v>MANTENA, MG, Brasil</v>
      </c>
      <c r="C3749" s="4" t="str">
        <f>_xlfn.XLOOKUP(A3749,[1]!DadosGHD[CD_GEOCMU],[1]!DadosGHD[Região])</f>
        <v>SD</v>
      </c>
      <c r="D3749" s="4" t="str">
        <f>_xlfn.XLOOKUP(A3749,[1]!DadosGHD[CD_GEOCMU],[1]!DadosGHD[uf])</f>
        <v>MG</v>
      </c>
      <c r="E3749" s="5" t="str">
        <f>_xlfn.XLOOKUP(A3749,[1]!DadosGHD[CD_GEOCMU],[1]!DadosGHD[MUNICIPIO])</f>
        <v>MANTENA</v>
      </c>
      <c r="F3749" s="6">
        <v>48.558063507080099</v>
      </c>
      <c r="G3749" s="6">
        <v>43.758312225341797</v>
      </c>
      <c r="H3749" s="6">
        <v>43.797172546386697</v>
      </c>
      <c r="I3749" s="6">
        <v>43.769271850585902</v>
      </c>
      <c r="J3749" s="6">
        <v>43.791519165039098</v>
      </c>
      <c r="K3749" s="6">
        <v>43.834064483642599</v>
      </c>
      <c r="L3749" s="6">
        <v>39.58154296875</v>
      </c>
    </row>
    <row r="3750" spans="1:12" x14ac:dyDescent="0.25">
      <c r="A3750">
        <v>5002159</v>
      </c>
      <c r="B3750" t="str">
        <f t="shared" si="58"/>
        <v>BODOQUENA, MS, Brasil</v>
      </c>
      <c r="C3750" s="4" t="str">
        <f>_xlfn.XLOOKUP(A3750,[1]!DadosGHD[CD_GEOCMU],[1]!DadosGHD[Região])</f>
        <v>CO</v>
      </c>
      <c r="D3750" s="4" t="str">
        <f>_xlfn.XLOOKUP(A3750,[1]!DadosGHD[CD_GEOCMU],[1]!DadosGHD[uf])</f>
        <v>MS</v>
      </c>
      <c r="E3750" s="5" t="str">
        <f>_xlfn.XLOOKUP(A3750,[1]!DadosGHD[CD_GEOCMU],[1]!DadosGHD[MUNICIPIO])</f>
        <v>BODOQUENA</v>
      </c>
      <c r="F3750" s="6">
        <v>48.558948516845703</v>
      </c>
      <c r="G3750" s="6">
        <v>43.733840942382798</v>
      </c>
      <c r="H3750" s="6">
        <v>43.757633209228501</v>
      </c>
      <c r="I3750" s="6">
        <v>43.705757141113303</v>
      </c>
      <c r="J3750" s="6">
        <v>43.721920013427699</v>
      </c>
      <c r="K3750" s="6">
        <v>43.759071350097699</v>
      </c>
      <c r="L3750" s="6">
        <v>35.122348785400398</v>
      </c>
    </row>
    <row r="3751" spans="1:12" x14ac:dyDescent="0.25">
      <c r="A3751">
        <v>5106216</v>
      </c>
      <c r="B3751" t="str">
        <f t="shared" si="58"/>
        <v>NOVA CANAA DO NORTE, MT, Brasil</v>
      </c>
      <c r="C3751" s="4" t="str">
        <f>_xlfn.XLOOKUP(A3751,[1]!DadosGHD[CD_GEOCMU],[1]!DadosGHD[Região])</f>
        <v>CO</v>
      </c>
      <c r="D3751" s="4" t="str">
        <f>_xlfn.XLOOKUP(A3751,[1]!DadosGHD[CD_GEOCMU],[1]!DadosGHD[uf])</f>
        <v>MT</v>
      </c>
      <c r="E3751" s="5" t="str">
        <f>_xlfn.XLOOKUP(A3751,[1]!DadosGHD[CD_GEOCMU],[1]!DadosGHD[MUNICIPIO])</f>
        <v>NOVA CANAA DO NORTE</v>
      </c>
      <c r="F3751" s="6">
        <v>48.5589790344238</v>
      </c>
      <c r="G3751" s="6">
        <v>48.710525512695298</v>
      </c>
      <c r="H3751" s="6">
        <v>48.792915344238303</v>
      </c>
      <c r="I3751" s="6">
        <v>48.735073089599602</v>
      </c>
      <c r="J3751" s="6">
        <v>48.7478637695313</v>
      </c>
      <c r="K3751" s="6">
        <v>53.868278503417997</v>
      </c>
      <c r="L3751" s="6">
        <v>48.521873474121101</v>
      </c>
    </row>
    <row r="3752" spans="1:12" x14ac:dyDescent="0.25">
      <c r="A3752">
        <v>4306130</v>
      </c>
      <c r="B3752" t="str">
        <f t="shared" si="58"/>
        <v>CRUZALTENSE, RS, Brasil</v>
      </c>
      <c r="C3752" s="4" t="str">
        <f>_xlfn.XLOOKUP(A3752,[1]!DadosGHD[CD_GEOCMU],[1]!DadosGHD[Região])</f>
        <v>SL</v>
      </c>
      <c r="D3752" s="4" t="str">
        <f>_xlfn.XLOOKUP(A3752,[1]!DadosGHD[CD_GEOCMU],[1]!DadosGHD[uf])</f>
        <v>RS</v>
      </c>
      <c r="E3752" s="5" t="str">
        <f>_xlfn.XLOOKUP(A3752,[1]!DadosGHD[CD_GEOCMU],[1]!DadosGHD[MUNICIPIO])</f>
        <v>CRUZALTENSE</v>
      </c>
      <c r="F3752" s="6">
        <v>48.559150695800803</v>
      </c>
      <c r="G3752" s="6">
        <v>58.7274360656738</v>
      </c>
      <c r="H3752" s="6">
        <v>53.890785217285199</v>
      </c>
      <c r="I3752" s="6">
        <v>53.876968383789098</v>
      </c>
      <c r="J3752" s="6">
        <v>58.8257446289063</v>
      </c>
      <c r="K3752" s="6">
        <v>53.991268157958999</v>
      </c>
      <c r="L3752" s="6">
        <v>44.059253692627003</v>
      </c>
    </row>
    <row r="3753" spans="1:12" x14ac:dyDescent="0.25">
      <c r="A3753">
        <v>5103809</v>
      </c>
      <c r="B3753" t="str">
        <f t="shared" si="58"/>
        <v>FIGUEIROPOLIS D'OESTE, MT, Brasil</v>
      </c>
      <c r="C3753" s="4" t="str">
        <f>_xlfn.XLOOKUP(A3753,[1]!DadosGHD[CD_GEOCMU],[1]!DadosGHD[Região])</f>
        <v>CO</v>
      </c>
      <c r="D3753" s="4" t="str">
        <f>_xlfn.XLOOKUP(A3753,[1]!DadosGHD[CD_GEOCMU],[1]!DadosGHD[uf])</f>
        <v>MT</v>
      </c>
      <c r="E3753" s="5" t="str">
        <f>_xlfn.XLOOKUP(A3753,[1]!DadosGHD[CD_GEOCMU],[1]!DadosGHD[MUNICIPIO])</f>
        <v>FIGUEIROPOLIS D'OESTE</v>
      </c>
      <c r="F3753" s="6">
        <v>48.559177398681598</v>
      </c>
      <c r="G3753" s="6">
        <v>53.708461761474602</v>
      </c>
      <c r="H3753" s="6">
        <v>53.755710601806598</v>
      </c>
      <c r="I3753" s="6">
        <v>53.726600646972699</v>
      </c>
      <c r="J3753" s="6">
        <v>53.745075225830099</v>
      </c>
      <c r="K3753" s="6">
        <v>43.795562744140597</v>
      </c>
      <c r="L3753" s="6">
        <v>39.584217071533203</v>
      </c>
    </row>
    <row r="3754" spans="1:12" x14ac:dyDescent="0.25">
      <c r="A3754">
        <v>5208004</v>
      </c>
      <c r="B3754" t="str">
        <f t="shared" si="58"/>
        <v>FORMOSA, GO, Brasil</v>
      </c>
      <c r="C3754" s="4" t="str">
        <f>_xlfn.XLOOKUP(A3754,[1]!DadosGHD[CD_GEOCMU],[1]!DadosGHD[Região])</f>
        <v>CO</v>
      </c>
      <c r="D3754" s="4" t="str">
        <f>_xlfn.XLOOKUP(A3754,[1]!DadosGHD[CD_GEOCMU],[1]!DadosGHD[uf])</f>
        <v>GO</v>
      </c>
      <c r="E3754" s="5" t="str">
        <f>_xlfn.XLOOKUP(A3754,[1]!DadosGHD[CD_GEOCMU],[1]!DadosGHD[MUNICIPIO])</f>
        <v>FORMOSA</v>
      </c>
      <c r="F3754" s="6">
        <v>48.559188842773402</v>
      </c>
      <c r="G3754" s="6">
        <v>48.641193389892599</v>
      </c>
      <c r="H3754" s="6">
        <v>43.812698364257798</v>
      </c>
      <c r="I3754" s="6">
        <v>43.780841827392599</v>
      </c>
      <c r="J3754" s="6">
        <v>43.751720428466797</v>
      </c>
      <c r="K3754" s="6">
        <v>43.763938903808601</v>
      </c>
      <c r="L3754" s="6">
        <v>35.142570495605497</v>
      </c>
    </row>
    <row r="3755" spans="1:12" x14ac:dyDescent="0.25">
      <c r="A3755">
        <v>3103108</v>
      </c>
      <c r="B3755" t="str">
        <f t="shared" si="58"/>
        <v>ANTONIO PRADO DE MINAS, MG, Brasil</v>
      </c>
      <c r="C3755" s="4" t="str">
        <f>_xlfn.XLOOKUP(A3755,[1]!DadosGHD[CD_GEOCMU],[1]!DadosGHD[Região])</f>
        <v>SD</v>
      </c>
      <c r="D3755" s="4" t="str">
        <f>_xlfn.XLOOKUP(A3755,[1]!DadosGHD[CD_GEOCMU],[1]!DadosGHD[uf])</f>
        <v>MG</v>
      </c>
      <c r="E3755" s="5" t="str">
        <f>_xlfn.XLOOKUP(A3755,[1]!DadosGHD[CD_GEOCMU],[1]!DadosGHD[MUNICIPIO])</f>
        <v>ANTONIO PRADO DE MINAS</v>
      </c>
      <c r="F3755" s="6">
        <v>48.559371948242202</v>
      </c>
      <c r="G3755" s="6">
        <v>43.680812835693402</v>
      </c>
      <c r="H3755" s="6">
        <v>43.7345581054688</v>
      </c>
      <c r="I3755" s="6">
        <v>43.707080841064503</v>
      </c>
      <c r="J3755" s="6">
        <v>43.792331695556598</v>
      </c>
      <c r="K3755" s="6">
        <v>38.7942504882813</v>
      </c>
      <c r="L3755" s="6">
        <v>30.720067977905298</v>
      </c>
    </row>
    <row r="3756" spans="1:12" x14ac:dyDescent="0.25">
      <c r="A3756">
        <v>3164407</v>
      </c>
      <c r="B3756" t="str">
        <f t="shared" si="58"/>
        <v>SAO SEBASTIAO DA BELA VISTA, MG, Brasil</v>
      </c>
      <c r="C3756" s="4" t="str">
        <f>_xlfn.XLOOKUP(A3756,[1]!DadosGHD[CD_GEOCMU],[1]!DadosGHD[Região])</f>
        <v>SD</v>
      </c>
      <c r="D3756" s="4" t="str">
        <f>_xlfn.XLOOKUP(A3756,[1]!DadosGHD[CD_GEOCMU],[1]!DadosGHD[uf])</f>
        <v>MG</v>
      </c>
      <c r="E3756" s="5" t="str">
        <f>_xlfn.XLOOKUP(A3756,[1]!DadosGHD[CD_GEOCMU],[1]!DadosGHD[MUNICIPIO])</f>
        <v>SAO SEBASTIAO DA BELA VISTA</v>
      </c>
      <c r="F3756" s="6">
        <v>48.559539794921903</v>
      </c>
      <c r="G3756" s="6">
        <v>43.7243843078613</v>
      </c>
      <c r="H3756" s="6">
        <v>38.806755065917997</v>
      </c>
      <c r="I3756" s="6">
        <v>38.800769805908203</v>
      </c>
      <c r="J3756" s="6">
        <v>43.7732124328613</v>
      </c>
      <c r="K3756" s="6">
        <v>38.865135192871101</v>
      </c>
      <c r="L3756" s="6">
        <v>39.589626312255902</v>
      </c>
    </row>
    <row r="3757" spans="1:12" x14ac:dyDescent="0.25">
      <c r="A3757">
        <v>4207700</v>
      </c>
      <c r="B3757" t="str">
        <f t="shared" si="58"/>
        <v>IPUMIRIM, SC, Brasil</v>
      </c>
      <c r="C3757" s="4" t="str">
        <f>_xlfn.XLOOKUP(A3757,[1]!DadosGHD[CD_GEOCMU],[1]!DadosGHD[Região])</f>
        <v>SL</v>
      </c>
      <c r="D3757" s="4" t="str">
        <f>_xlfn.XLOOKUP(A3757,[1]!DadosGHD[CD_GEOCMU],[1]!DadosGHD[uf])</f>
        <v>SC</v>
      </c>
      <c r="E3757" s="5" t="str">
        <f>_xlfn.XLOOKUP(A3757,[1]!DadosGHD[CD_GEOCMU],[1]!DadosGHD[MUNICIPIO])</f>
        <v>IPUMIRIM</v>
      </c>
      <c r="F3757" s="6">
        <v>48.559894561767599</v>
      </c>
      <c r="G3757" s="6">
        <v>53.655101776123097</v>
      </c>
      <c r="H3757" s="6">
        <v>48.798557281494098</v>
      </c>
      <c r="I3757" s="6">
        <v>58.896980285644503</v>
      </c>
      <c r="J3757" s="6">
        <v>63.9393501281738</v>
      </c>
      <c r="K3757" s="6">
        <v>64.13623046875</v>
      </c>
      <c r="L3757" s="6">
        <v>57.589881896972699</v>
      </c>
    </row>
    <row r="3758" spans="1:12" x14ac:dyDescent="0.25">
      <c r="A3758">
        <v>3138302</v>
      </c>
      <c r="B3758" t="str">
        <f t="shared" si="58"/>
        <v>LEANDRO FERREIRA, MG, Brasil</v>
      </c>
      <c r="C3758" s="4" t="str">
        <f>_xlfn.XLOOKUP(A3758,[1]!DadosGHD[CD_GEOCMU],[1]!DadosGHD[Região])</f>
        <v>SD</v>
      </c>
      <c r="D3758" s="4" t="str">
        <f>_xlfn.XLOOKUP(A3758,[1]!DadosGHD[CD_GEOCMU],[1]!DadosGHD[uf])</f>
        <v>MG</v>
      </c>
      <c r="E3758" s="5" t="str">
        <f>_xlfn.XLOOKUP(A3758,[1]!DadosGHD[CD_GEOCMU],[1]!DadosGHD[MUNICIPIO])</f>
        <v>LEANDRO FERREIRA</v>
      </c>
      <c r="F3758" s="6">
        <v>48.560131072998097</v>
      </c>
      <c r="G3758" s="6">
        <v>43.689968109130902</v>
      </c>
      <c r="H3758" s="6">
        <v>43.754390716552699</v>
      </c>
      <c r="I3758" s="6">
        <v>43.724693298339801</v>
      </c>
      <c r="J3758" s="6">
        <v>43.737922668457003</v>
      </c>
      <c r="K3758" s="6">
        <v>43.831844329833999</v>
      </c>
      <c r="L3758" s="6">
        <v>48.552383422851598</v>
      </c>
    </row>
    <row r="3759" spans="1:12" x14ac:dyDescent="0.25">
      <c r="A3759">
        <v>3124500</v>
      </c>
      <c r="B3759" t="str">
        <f t="shared" si="58"/>
        <v>ESTIVA, MG, Brasil</v>
      </c>
      <c r="C3759" s="4" t="str">
        <f>_xlfn.XLOOKUP(A3759,[1]!DadosGHD[CD_GEOCMU],[1]!DadosGHD[Região])</f>
        <v>SD</v>
      </c>
      <c r="D3759" s="4" t="str">
        <f>_xlfn.XLOOKUP(A3759,[1]!DadosGHD[CD_GEOCMU],[1]!DadosGHD[uf])</f>
        <v>MG</v>
      </c>
      <c r="E3759" s="5" t="str">
        <f>_xlfn.XLOOKUP(A3759,[1]!DadosGHD[CD_GEOCMU],[1]!DadosGHD[MUNICIPIO])</f>
        <v>ESTIVA</v>
      </c>
      <c r="F3759" s="6">
        <v>48.560207366943402</v>
      </c>
      <c r="G3759" s="6">
        <v>48.640220642089801</v>
      </c>
      <c r="H3759" s="6">
        <v>43.776622772216797</v>
      </c>
      <c r="I3759" s="6">
        <v>43.743366241455099</v>
      </c>
      <c r="J3759" s="6">
        <v>43.747398376464801</v>
      </c>
      <c r="K3759" s="6">
        <v>43.7715873718262</v>
      </c>
      <c r="L3759" s="6">
        <v>35.138545989990199</v>
      </c>
    </row>
    <row r="3760" spans="1:12" x14ac:dyDescent="0.25">
      <c r="A3760">
        <v>1100189</v>
      </c>
      <c r="B3760" t="str">
        <f t="shared" si="58"/>
        <v>PIMENTA BUENO, RO, Brasil</v>
      </c>
      <c r="C3760" s="4" t="str">
        <f>_xlfn.XLOOKUP(A3760,[1]!DadosGHD[CD_GEOCMU],[1]!DadosGHD[Região])</f>
        <v>NO</v>
      </c>
      <c r="D3760" s="4" t="str">
        <f>_xlfn.XLOOKUP(A3760,[1]!DadosGHD[CD_GEOCMU],[1]!DadosGHD[uf])</f>
        <v>RO</v>
      </c>
      <c r="E3760" s="5" t="str">
        <f>_xlfn.XLOOKUP(A3760,[1]!DadosGHD[CD_GEOCMU],[1]!DadosGHD[MUNICIPIO])</f>
        <v>PIMENTA BUENO</v>
      </c>
      <c r="F3760" s="6">
        <v>48.560207366943402</v>
      </c>
      <c r="G3760" s="6">
        <v>43.726608276367202</v>
      </c>
      <c r="H3760" s="6">
        <v>43.758827209472699</v>
      </c>
      <c r="I3760" s="6">
        <v>43.756301879882798</v>
      </c>
      <c r="J3760" s="6">
        <v>43.786899566650398</v>
      </c>
      <c r="K3760" s="6">
        <v>43.806606292724602</v>
      </c>
      <c r="L3760" s="6">
        <v>39.6060180664063</v>
      </c>
    </row>
    <row r="3761" spans="1:12" x14ac:dyDescent="0.25">
      <c r="A3761">
        <v>4213708</v>
      </c>
      <c r="B3761" t="str">
        <f t="shared" si="58"/>
        <v>POUSO REDONDO, SC, Brasil</v>
      </c>
      <c r="C3761" s="4" t="str">
        <f>_xlfn.XLOOKUP(A3761,[1]!DadosGHD[CD_GEOCMU],[1]!DadosGHD[Região])</f>
        <v>SL</v>
      </c>
      <c r="D3761" s="4" t="str">
        <f>_xlfn.XLOOKUP(A3761,[1]!DadosGHD[CD_GEOCMU],[1]!DadosGHD[uf])</f>
        <v>SC</v>
      </c>
      <c r="E3761" s="5" t="str">
        <f>_xlfn.XLOOKUP(A3761,[1]!DadosGHD[CD_GEOCMU],[1]!DadosGHD[MUNICIPIO])</f>
        <v>POUSO REDONDO</v>
      </c>
      <c r="F3761" s="6">
        <v>48.560302734375</v>
      </c>
      <c r="G3761" s="6">
        <v>48.639553070068402</v>
      </c>
      <c r="H3761" s="6">
        <v>43.8363227844238</v>
      </c>
      <c r="I3761" s="6">
        <v>48.677413940429702</v>
      </c>
      <c r="J3761" s="6">
        <v>48.738693237304702</v>
      </c>
      <c r="K3761" s="6">
        <v>48.797111511230497</v>
      </c>
      <c r="L3761" s="6">
        <v>39.595611572265597</v>
      </c>
    </row>
    <row r="3762" spans="1:12" x14ac:dyDescent="0.25">
      <c r="A3762">
        <v>4204350</v>
      </c>
      <c r="B3762" t="str">
        <f t="shared" si="58"/>
        <v>CORDILHEIRA ALTA, SC, Brasil</v>
      </c>
      <c r="C3762" s="4" t="str">
        <f>_xlfn.XLOOKUP(A3762,[1]!DadosGHD[CD_GEOCMU],[1]!DadosGHD[Região])</f>
        <v>SL</v>
      </c>
      <c r="D3762" s="4" t="str">
        <f>_xlfn.XLOOKUP(A3762,[1]!DadosGHD[CD_GEOCMU],[1]!DadosGHD[uf])</f>
        <v>SC</v>
      </c>
      <c r="E3762" s="5" t="str">
        <f>_xlfn.XLOOKUP(A3762,[1]!DadosGHD[CD_GEOCMU],[1]!DadosGHD[MUNICIPIO])</f>
        <v>CORDILHEIRA ALTA</v>
      </c>
      <c r="F3762" s="6">
        <v>48.560825347900398</v>
      </c>
      <c r="G3762" s="6">
        <v>48.742565155029297</v>
      </c>
      <c r="H3762" s="6">
        <v>48.788764953613303</v>
      </c>
      <c r="I3762" s="6">
        <v>48.810176849365199</v>
      </c>
      <c r="J3762" s="6">
        <v>53.726036071777301</v>
      </c>
      <c r="K3762" s="6">
        <v>53.858249664306598</v>
      </c>
      <c r="L3762" s="6">
        <v>44.040042877197301</v>
      </c>
    </row>
    <row r="3763" spans="1:12" x14ac:dyDescent="0.25">
      <c r="A3763">
        <v>3505609</v>
      </c>
      <c r="B3763" t="str">
        <f t="shared" si="58"/>
        <v>BARRINHA, SP, Brasil</v>
      </c>
      <c r="C3763" s="4" t="str">
        <f>_xlfn.XLOOKUP(A3763,[1]!DadosGHD[CD_GEOCMU],[1]!DadosGHD[Região])</f>
        <v>SD</v>
      </c>
      <c r="D3763" s="4" t="str">
        <f>_xlfn.XLOOKUP(A3763,[1]!DadosGHD[CD_GEOCMU],[1]!DadosGHD[uf])</f>
        <v>SP</v>
      </c>
      <c r="E3763" s="5" t="str">
        <f>_xlfn.XLOOKUP(A3763,[1]!DadosGHD[CD_GEOCMU],[1]!DadosGHD[MUNICIPIO])</f>
        <v>BARRINHA</v>
      </c>
      <c r="F3763" s="6">
        <v>48.561000823974602</v>
      </c>
      <c r="G3763" s="6">
        <v>43.762153625488303</v>
      </c>
      <c r="H3763" s="6">
        <v>43.758876800537102</v>
      </c>
      <c r="I3763" s="6">
        <v>43.7418403625488</v>
      </c>
      <c r="J3763" s="6">
        <v>43.743949890136697</v>
      </c>
      <c r="K3763" s="6">
        <v>43.869544982910199</v>
      </c>
      <c r="L3763" s="6">
        <v>52.984607696533203</v>
      </c>
    </row>
    <row r="3764" spans="1:12" x14ac:dyDescent="0.25">
      <c r="A3764">
        <v>3158805</v>
      </c>
      <c r="B3764" t="str">
        <f t="shared" si="58"/>
        <v>SANTANA DO JACARE, MG, Brasil</v>
      </c>
      <c r="C3764" s="4" t="str">
        <f>_xlfn.XLOOKUP(A3764,[1]!DadosGHD[CD_GEOCMU],[1]!DadosGHD[Região])</f>
        <v>SD</v>
      </c>
      <c r="D3764" s="4" t="str">
        <f>_xlfn.XLOOKUP(A3764,[1]!DadosGHD[CD_GEOCMU],[1]!DadosGHD[uf])</f>
        <v>MG</v>
      </c>
      <c r="E3764" s="5" t="str">
        <f>_xlfn.XLOOKUP(A3764,[1]!DadosGHD[CD_GEOCMU],[1]!DadosGHD[MUNICIPIO])</f>
        <v>SANTANA DO JACARE</v>
      </c>
      <c r="F3764" s="6">
        <v>48.561069488525398</v>
      </c>
      <c r="G3764" s="6">
        <v>43.751659393310597</v>
      </c>
      <c r="H3764" s="6">
        <v>43.764636993408203</v>
      </c>
      <c r="I3764" s="6">
        <v>43.711483001708999</v>
      </c>
      <c r="J3764" s="6">
        <v>48.732879638671903</v>
      </c>
      <c r="K3764" s="6">
        <v>48.812191009521499</v>
      </c>
      <c r="L3764" s="6">
        <v>53.028678894042997</v>
      </c>
    </row>
    <row r="3765" spans="1:12" x14ac:dyDescent="0.25">
      <c r="A3765">
        <v>3545506</v>
      </c>
      <c r="B3765" t="str">
        <f t="shared" si="58"/>
        <v>SANDOVALINA, SP, Brasil</v>
      </c>
      <c r="C3765" s="4" t="str">
        <f>_xlfn.XLOOKUP(A3765,[1]!DadosGHD[CD_GEOCMU],[1]!DadosGHD[Região])</f>
        <v>SD</v>
      </c>
      <c r="D3765" s="4" t="str">
        <f>_xlfn.XLOOKUP(A3765,[1]!DadosGHD[CD_GEOCMU],[1]!DadosGHD[uf])</f>
        <v>SP</v>
      </c>
      <c r="E3765" s="5" t="str">
        <f>_xlfn.XLOOKUP(A3765,[1]!DadosGHD[CD_GEOCMU],[1]!DadosGHD[MUNICIPIO])</f>
        <v>SANDOVALINA</v>
      </c>
      <c r="F3765" s="6">
        <v>48.5612602233887</v>
      </c>
      <c r="G3765" s="6">
        <v>48.636173248291001</v>
      </c>
      <c r="H3765" s="6">
        <v>43.826759338378899</v>
      </c>
      <c r="I3765" s="6">
        <v>43.7886352539063</v>
      </c>
      <c r="J3765" s="6">
        <v>43.775558471679702</v>
      </c>
      <c r="K3765" s="6">
        <v>43.756599426269503</v>
      </c>
      <c r="L3765" s="6">
        <v>35.151329040527301</v>
      </c>
    </row>
    <row r="3766" spans="1:12" x14ac:dyDescent="0.25">
      <c r="A3766">
        <v>5210307</v>
      </c>
      <c r="B3766" t="str">
        <f t="shared" si="58"/>
        <v>ISRAELANDIA, GO, Brasil</v>
      </c>
      <c r="C3766" s="4" t="str">
        <f>_xlfn.XLOOKUP(A3766,[1]!DadosGHD[CD_GEOCMU],[1]!DadosGHD[Região])</f>
        <v>CO</v>
      </c>
      <c r="D3766" s="4" t="str">
        <f>_xlfn.XLOOKUP(A3766,[1]!DadosGHD[CD_GEOCMU],[1]!DadosGHD[uf])</f>
        <v>GO</v>
      </c>
      <c r="E3766" s="5" t="str">
        <f>_xlfn.XLOOKUP(A3766,[1]!DadosGHD[CD_GEOCMU],[1]!DadosGHD[MUNICIPIO])</f>
        <v>ISRAELANDIA</v>
      </c>
      <c r="F3766" s="6">
        <v>48.561428070068402</v>
      </c>
      <c r="G3766" s="6">
        <v>43.698818206787102</v>
      </c>
      <c r="H3766" s="6">
        <v>43.769840240478501</v>
      </c>
      <c r="I3766" s="6">
        <v>43.735355377197301</v>
      </c>
      <c r="J3766" s="6">
        <v>43.752738952636697</v>
      </c>
      <c r="K3766" s="6">
        <v>43.7820014953613</v>
      </c>
      <c r="L3766" s="6">
        <v>35.114387512207003</v>
      </c>
    </row>
    <row r="3767" spans="1:12" x14ac:dyDescent="0.25">
      <c r="A3767">
        <v>4306924</v>
      </c>
      <c r="B3767" t="str">
        <f t="shared" si="58"/>
        <v>ENGENHO VELHO, RS, Brasil</v>
      </c>
      <c r="C3767" s="4" t="str">
        <f>_xlfn.XLOOKUP(A3767,[1]!DadosGHD[CD_GEOCMU],[1]!DadosGHD[Região])</f>
        <v>SL</v>
      </c>
      <c r="D3767" s="4" t="str">
        <f>_xlfn.XLOOKUP(A3767,[1]!DadosGHD[CD_GEOCMU],[1]!DadosGHD[uf])</f>
        <v>RS</v>
      </c>
      <c r="E3767" s="5" t="str">
        <f>_xlfn.XLOOKUP(A3767,[1]!DadosGHD[CD_GEOCMU],[1]!DadosGHD[MUNICIPIO])</f>
        <v>ENGENHO VELHO</v>
      </c>
      <c r="F3767" s="6">
        <v>48.561485290527301</v>
      </c>
      <c r="G3767" s="6">
        <v>53.693984985351598</v>
      </c>
      <c r="H3767" s="6">
        <v>53.754528045654297</v>
      </c>
      <c r="I3767" s="6">
        <v>53.713092803955099</v>
      </c>
      <c r="J3767" s="6">
        <v>53.741119384765597</v>
      </c>
      <c r="K3767" s="6">
        <v>48.915420532226598</v>
      </c>
      <c r="L3767" s="6">
        <v>39.576553344726598</v>
      </c>
    </row>
    <row r="3768" spans="1:12" x14ac:dyDescent="0.25">
      <c r="A3768">
        <v>2403251</v>
      </c>
      <c r="B3768" t="str">
        <f t="shared" si="58"/>
        <v>PARNAMIRIM, RN, Brasil</v>
      </c>
      <c r="C3768" s="4" t="str">
        <f>_xlfn.XLOOKUP(A3768,[1]!DadosGHD[CD_GEOCMU],[1]!DadosGHD[Região])</f>
        <v>NE</v>
      </c>
      <c r="D3768" s="4" t="str">
        <f>_xlfn.XLOOKUP(A3768,[1]!DadosGHD[CD_GEOCMU],[1]!DadosGHD[uf])</f>
        <v>RN</v>
      </c>
      <c r="E3768" s="5" t="str">
        <f>_xlfn.XLOOKUP(A3768,[1]!DadosGHD[CD_GEOCMU],[1]!DadosGHD[MUNICIPIO])</f>
        <v>PARNAMIRIM</v>
      </c>
      <c r="F3768" s="6">
        <v>48.561744689941399</v>
      </c>
      <c r="G3768" s="6">
        <v>48.666057586669901</v>
      </c>
      <c r="H3768" s="6">
        <v>48.730155944824197</v>
      </c>
      <c r="I3768" s="6">
        <v>48.697307586669901</v>
      </c>
      <c r="J3768" s="6">
        <v>48.729225158691399</v>
      </c>
      <c r="K3768" s="6">
        <v>43.880054473877003</v>
      </c>
      <c r="L3768" s="6">
        <v>57.515087127685597</v>
      </c>
    </row>
    <row r="3769" spans="1:12" x14ac:dyDescent="0.25">
      <c r="A3769">
        <v>4116307</v>
      </c>
      <c r="B3769" t="str">
        <f t="shared" si="58"/>
        <v>MUNHOZ DE MELO, PR, Brasil</v>
      </c>
      <c r="C3769" s="4" t="str">
        <f>_xlfn.XLOOKUP(A3769,[1]!DadosGHD[CD_GEOCMU],[1]!DadosGHD[Região])</f>
        <v>SL</v>
      </c>
      <c r="D3769" s="4" t="str">
        <f>_xlfn.XLOOKUP(A3769,[1]!DadosGHD[CD_GEOCMU],[1]!DadosGHD[uf])</f>
        <v>PR</v>
      </c>
      <c r="E3769" s="5" t="str">
        <f>_xlfn.XLOOKUP(A3769,[1]!DadosGHD[CD_GEOCMU],[1]!DadosGHD[MUNICIPIO])</f>
        <v>MUNHOZ DE MELO</v>
      </c>
      <c r="F3769" s="6">
        <v>48.562198638916001</v>
      </c>
      <c r="G3769" s="6">
        <v>48.7706298828125</v>
      </c>
      <c r="H3769" s="6">
        <v>53.800457000732401</v>
      </c>
      <c r="I3769" s="6">
        <v>53.7492065429688</v>
      </c>
      <c r="J3769" s="6">
        <v>53.732246398925803</v>
      </c>
      <c r="K3769" s="6">
        <v>48.841770172119098</v>
      </c>
      <c r="L3769" s="6">
        <v>53.062679290771499</v>
      </c>
    </row>
    <row r="3770" spans="1:12" x14ac:dyDescent="0.25">
      <c r="A3770">
        <v>1707553</v>
      </c>
      <c r="B3770" t="str">
        <f t="shared" si="58"/>
        <v>FATIMA, TO, Brasil</v>
      </c>
      <c r="C3770" s="4" t="str">
        <f>_xlfn.XLOOKUP(A3770,[1]!DadosGHD[CD_GEOCMU],[1]!DadosGHD[Região])</f>
        <v>NO</v>
      </c>
      <c r="D3770" s="4" t="str">
        <f>_xlfn.XLOOKUP(A3770,[1]!DadosGHD[CD_GEOCMU],[1]!DadosGHD[uf])</f>
        <v>TO</v>
      </c>
      <c r="E3770" s="5" t="str">
        <f>_xlfn.XLOOKUP(A3770,[1]!DadosGHD[CD_GEOCMU],[1]!DadosGHD[MUNICIPIO])</f>
        <v>FATIMA</v>
      </c>
      <c r="F3770" s="6">
        <v>48.562294006347699</v>
      </c>
      <c r="G3770" s="6">
        <v>38.780036926269503</v>
      </c>
      <c r="H3770" s="6">
        <v>33.831668853759801</v>
      </c>
      <c r="I3770" s="6">
        <v>28.925045013427699</v>
      </c>
      <c r="J3770" s="6">
        <v>28.9409065246582</v>
      </c>
      <c r="K3770" s="6">
        <v>33.926174163818402</v>
      </c>
      <c r="L3770" s="6">
        <v>30.7131538391113</v>
      </c>
    </row>
    <row r="3771" spans="1:12" x14ac:dyDescent="0.25">
      <c r="A3771">
        <v>3124203</v>
      </c>
      <c r="B3771" t="str">
        <f t="shared" si="58"/>
        <v>ESPERA FELIZ, MG, Brasil</v>
      </c>
      <c r="C3771" s="4" t="str">
        <f>_xlfn.XLOOKUP(A3771,[1]!DadosGHD[CD_GEOCMU],[1]!DadosGHD[Região])</f>
        <v>SD</v>
      </c>
      <c r="D3771" s="4" t="str">
        <f>_xlfn.XLOOKUP(A3771,[1]!DadosGHD[CD_GEOCMU],[1]!DadosGHD[uf])</f>
        <v>MG</v>
      </c>
      <c r="E3771" s="5" t="str">
        <f>_xlfn.XLOOKUP(A3771,[1]!DadosGHD[CD_GEOCMU],[1]!DadosGHD[MUNICIPIO])</f>
        <v>ESPERA FELIZ</v>
      </c>
      <c r="F3771" s="6">
        <v>48.562343597412102</v>
      </c>
      <c r="G3771" s="6">
        <v>43.728614807128899</v>
      </c>
      <c r="H3771" s="6">
        <v>43.759967803955099</v>
      </c>
      <c r="I3771" s="6">
        <v>43.736953735351598</v>
      </c>
      <c r="J3771" s="6">
        <v>48.717681884765597</v>
      </c>
      <c r="K3771" s="6">
        <v>48.839675903320298</v>
      </c>
      <c r="L3771" s="6">
        <v>48.553680419921903</v>
      </c>
    </row>
    <row r="3772" spans="1:12" x14ac:dyDescent="0.25">
      <c r="A3772">
        <v>4322343</v>
      </c>
      <c r="B3772" t="str">
        <f t="shared" si="58"/>
        <v>UBIRETAMA, RS, Brasil</v>
      </c>
      <c r="C3772" s="4" t="str">
        <f>_xlfn.XLOOKUP(A3772,[1]!DadosGHD[CD_GEOCMU],[1]!DadosGHD[Região])</f>
        <v>SL</v>
      </c>
      <c r="D3772" s="4" t="str">
        <f>_xlfn.XLOOKUP(A3772,[1]!DadosGHD[CD_GEOCMU],[1]!DadosGHD[uf])</f>
        <v>RS</v>
      </c>
      <c r="E3772" s="5" t="str">
        <f>_xlfn.XLOOKUP(A3772,[1]!DadosGHD[CD_GEOCMU],[1]!DadosGHD[MUNICIPIO])</f>
        <v>UBIRETAMA</v>
      </c>
      <c r="F3772" s="6">
        <v>48.5623588562012</v>
      </c>
      <c r="G3772" s="6">
        <v>58.737537384033203</v>
      </c>
      <c r="H3772" s="6">
        <v>58.815887451171903</v>
      </c>
      <c r="I3772" s="6">
        <v>58.804153442382798</v>
      </c>
      <c r="J3772" s="6">
        <v>58.847137451171903</v>
      </c>
      <c r="K3772" s="6">
        <v>59.072986602783203</v>
      </c>
      <c r="L3772" s="6">
        <v>48.4914360046387</v>
      </c>
    </row>
    <row r="3773" spans="1:12" x14ac:dyDescent="0.25">
      <c r="A3773">
        <v>4121901</v>
      </c>
      <c r="B3773" t="str">
        <f t="shared" si="58"/>
        <v>RIBEIRAO DO PINHAL, PR, Brasil</v>
      </c>
      <c r="C3773" s="4" t="str">
        <f>_xlfn.XLOOKUP(A3773,[1]!DadosGHD[CD_GEOCMU],[1]!DadosGHD[Região])</f>
        <v>SL</v>
      </c>
      <c r="D3773" s="4" t="str">
        <f>_xlfn.XLOOKUP(A3773,[1]!DadosGHD[CD_GEOCMU],[1]!DadosGHD[uf])</f>
        <v>PR</v>
      </c>
      <c r="E3773" s="5" t="str">
        <f>_xlfn.XLOOKUP(A3773,[1]!DadosGHD[CD_GEOCMU],[1]!DadosGHD[MUNICIPIO])</f>
        <v>RIBEIRAO DO PINHAL</v>
      </c>
      <c r="F3773" s="6">
        <v>48.562446594238303</v>
      </c>
      <c r="G3773" s="6">
        <v>48.694068908691399</v>
      </c>
      <c r="H3773" s="6">
        <v>48.7650756835938</v>
      </c>
      <c r="I3773" s="6">
        <v>48.7072563171387</v>
      </c>
      <c r="J3773" s="6">
        <v>43.8214111328125</v>
      </c>
      <c r="K3773" s="6">
        <v>43.840965270996101</v>
      </c>
      <c r="L3773" s="6">
        <v>57.589881896972699</v>
      </c>
    </row>
    <row r="3774" spans="1:12" x14ac:dyDescent="0.25">
      <c r="A3774">
        <v>4124707</v>
      </c>
      <c r="B3774" t="str">
        <f t="shared" si="58"/>
        <v>SAO JERONIMO DA SERRA, PR, Brasil</v>
      </c>
      <c r="C3774" s="4" t="str">
        <f>_xlfn.XLOOKUP(A3774,[1]!DadosGHD[CD_GEOCMU],[1]!DadosGHD[Região])</f>
        <v>SL</v>
      </c>
      <c r="D3774" s="4" t="str">
        <f>_xlfn.XLOOKUP(A3774,[1]!DadosGHD[CD_GEOCMU],[1]!DadosGHD[uf])</f>
        <v>PR</v>
      </c>
      <c r="E3774" s="5" t="str">
        <f>_xlfn.XLOOKUP(A3774,[1]!DadosGHD[CD_GEOCMU],[1]!DadosGHD[MUNICIPIO])</f>
        <v>SAO JERONIMO DA SERRA</v>
      </c>
      <c r="F3774" s="6">
        <v>48.562973022460902</v>
      </c>
      <c r="G3774" s="6">
        <v>48.677684783935597</v>
      </c>
      <c r="H3774" s="6">
        <v>48.761524200439503</v>
      </c>
      <c r="I3774" s="6">
        <v>43.805484771728501</v>
      </c>
      <c r="J3774" s="6">
        <v>43.819934844970703</v>
      </c>
      <c r="K3774" s="6">
        <v>43.834182739257798</v>
      </c>
      <c r="L3774" s="6">
        <v>35.133529663085902</v>
      </c>
    </row>
    <row r="3775" spans="1:12" x14ac:dyDescent="0.25">
      <c r="A3775">
        <v>1714203</v>
      </c>
      <c r="B3775" t="str">
        <f t="shared" si="58"/>
        <v>NATIVIDADE, TO, Brasil</v>
      </c>
      <c r="C3775" s="4" t="str">
        <f>_xlfn.XLOOKUP(A3775,[1]!DadosGHD[CD_GEOCMU],[1]!DadosGHD[Região])</f>
        <v>NO</v>
      </c>
      <c r="D3775" s="4" t="str">
        <f>_xlfn.XLOOKUP(A3775,[1]!DadosGHD[CD_GEOCMU],[1]!DadosGHD[uf])</f>
        <v>TO</v>
      </c>
      <c r="E3775" s="5" t="str">
        <f>_xlfn.XLOOKUP(A3775,[1]!DadosGHD[CD_GEOCMU],[1]!DadosGHD[MUNICIPIO])</f>
        <v>NATIVIDADE</v>
      </c>
      <c r="F3775" s="6">
        <v>48.563152313232401</v>
      </c>
      <c r="G3775" s="6">
        <v>43.695354461669901</v>
      </c>
      <c r="H3775" s="6">
        <v>43.744071960449197</v>
      </c>
      <c r="I3775" s="6">
        <v>38.769893646240199</v>
      </c>
      <c r="J3775" s="6">
        <v>38.773830413818402</v>
      </c>
      <c r="K3775" s="6">
        <v>38.844406127929702</v>
      </c>
      <c r="L3775" s="6">
        <v>35.125476837158203</v>
      </c>
    </row>
    <row r="3776" spans="1:12" x14ac:dyDescent="0.25">
      <c r="A3776">
        <v>5217104</v>
      </c>
      <c r="B3776" t="str">
        <f t="shared" si="58"/>
        <v>PIRACANJUBA, GO, Brasil</v>
      </c>
      <c r="C3776" s="4" t="str">
        <f>_xlfn.XLOOKUP(A3776,[1]!DadosGHD[CD_GEOCMU],[1]!DadosGHD[Região])</f>
        <v>CO</v>
      </c>
      <c r="D3776" s="4" t="str">
        <f>_xlfn.XLOOKUP(A3776,[1]!DadosGHD[CD_GEOCMU],[1]!DadosGHD[uf])</f>
        <v>GO</v>
      </c>
      <c r="E3776" s="5" t="str">
        <f>_xlfn.XLOOKUP(A3776,[1]!DadosGHD[CD_GEOCMU],[1]!DadosGHD[MUNICIPIO])</f>
        <v>PIRACANJUBA</v>
      </c>
      <c r="F3776" s="6">
        <v>48.563220977783203</v>
      </c>
      <c r="G3776" s="6">
        <v>48.644874572753899</v>
      </c>
      <c r="H3776" s="6">
        <v>48.7188911437988</v>
      </c>
      <c r="I3776" s="6">
        <v>48.738597869873097</v>
      </c>
      <c r="J3776" s="6">
        <v>48.787151336669901</v>
      </c>
      <c r="K3776" s="6">
        <v>48.869239807128899</v>
      </c>
      <c r="L3776" s="6">
        <v>44.052658081054702</v>
      </c>
    </row>
    <row r="3777" spans="1:12" x14ac:dyDescent="0.25">
      <c r="A3777">
        <v>3137205</v>
      </c>
      <c r="B3777" t="str">
        <f t="shared" si="58"/>
        <v>LAGOA DA PRATA, MG, Brasil</v>
      </c>
      <c r="C3777" s="4" t="str">
        <f>_xlfn.XLOOKUP(A3777,[1]!DadosGHD[CD_GEOCMU],[1]!DadosGHD[Região])</f>
        <v>SD</v>
      </c>
      <c r="D3777" s="4" t="str">
        <f>_xlfn.XLOOKUP(A3777,[1]!DadosGHD[CD_GEOCMU],[1]!DadosGHD[uf])</f>
        <v>MG</v>
      </c>
      <c r="E3777" s="5" t="str">
        <f>_xlfn.XLOOKUP(A3777,[1]!DadosGHD[CD_GEOCMU],[1]!DadosGHD[MUNICIPIO])</f>
        <v>LAGOA DA PRATA</v>
      </c>
      <c r="F3777" s="6">
        <v>48.563240051269503</v>
      </c>
      <c r="G3777" s="6">
        <v>48.658988952636697</v>
      </c>
      <c r="H3777" s="6">
        <v>48.737167358398402</v>
      </c>
      <c r="I3777" s="6">
        <v>48.705432891845703</v>
      </c>
      <c r="J3777" s="6">
        <v>48.714271545410199</v>
      </c>
      <c r="K3777" s="6">
        <v>43.858722686767599</v>
      </c>
      <c r="L3777" s="6">
        <v>48.535411834716797</v>
      </c>
    </row>
    <row r="3778" spans="1:12" x14ac:dyDescent="0.25">
      <c r="A3778">
        <v>4205159</v>
      </c>
      <c r="B3778" t="str">
        <f t="shared" si="58"/>
        <v>DOUTOR PEDRINHO, SC, Brasil</v>
      </c>
      <c r="C3778" s="4" t="str">
        <f>_xlfn.XLOOKUP(A3778,[1]!DadosGHD[CD_GEOCMU],[1]!DadosGHD[Região])</f>
        <v>SL</v>
      </c>
      <c r="D3778" s="4" t="str">
        <f>_xlfn.XLOOKUP(A3778,[1]!DadosGHD[CD_GEOCMU],[1]!DadosGHD[uf])</f>
        <v>SC</v>
      </c>
      <c r="E3778" s="5" t="str">
        <f>_xlfn.XLOOKUP(A3778,[1]!DadosGHD[CD_GEOCMU],[1]!DadosGHD[MUNICIPIO])</f>
        <v>DOUTOR PEDRINHO</v>
      </c>
      <c r="F3778" s="6">
        <v>48.563270568847699</v>
      </c>
      <c r="G3778" s="6">
        <v>48.766624450683601</v>
      </c>
      <c r="H3778" s="6">
        <v>48.745532989502003</v>
      </c>
      <c r="I3778" s="6">
        <v>48.701114654541001</v>
      </c>
      <c r="J3778" s="6">
        <v>58.855781555175803</v>
      </c>
      <c r="K3778" s="6">
        <v>59.087554931640597</v>
      </c>
      <c r="L3778" s="6">
        <v>57.589881896972699</v>
      </c>
    </row>
    <row r="3779" spans="1:12" x14ac:dyDescent="0.25">
      <c r="A3779">
        <v>4200754</v>
      </c>
      <c r="B3779" t="str">
        <f t="shared" si="58"/>
        <v>ALTO BELA VISTA, SC, Brasil</v>
      </c>
      <c r="C3779" s="4" t="str">
        <f>_xlfn.XLOOKUP(A3779,[1]!DadosGHD[CD_GEOCMU],[1]!DadosGHD[Região])</f>
        <v>SL</v>
      </c>
      <c r="D3779" s="4" t="str">
        <f>_xlfn.XLOOKUP(A3779,[1]!DadosGHD[CD_GEOCMU],[1]!DadosGHD[uf])</f>
        <v>SC</v>
      </c>
      <c r="E3779" s="5" t="str">
        <f>_xlfn.XLOOKUP(A3779,[1]!DadosGHD[CD_GEOCMU],[1]!DadosGHD[MUNICIPIO])</f>
        <v>ALTO BELA VISTA</v>
      </c>
      <c r="F3779" s="6">
        <v>48.563377380371101</v>
      </c>
      <c r="G3779" s="6">
        <v>63.966358184814503</v>
      </c>
      <c r="H3779" s="6">
        <v>64.026092529296903</v>
      </c>
      <c r="I3779" s="6">
        <v>64.000221252441406</v>
      </c>
      <c r="J3779" s="6">
        <v>63.941776275634801</v>
      </c>
      <c r="K3779" s="6">
        <v>59.034919738769503</v>
      </c>
      <c r="L3779" s="6">
        <v>53.017223358154297</v>
      </c>
    </row>
    <row r="3780" spans="1:12" x14ac:dyDescent="0.25">
      <c r="A3780">
        <v>3139706</v>
      </c>
      <c r="B3780" t="str">
        <f t="shared" ref="B3780:B3843" si="59">_xlfn.CONCAT(E3780, ", ", D3780, ", Brasil")</f>
        <v>MARAVILHAS, MG, Brasil</v>
      </c>
      <c r="C3780" s="4" t="str">
        <f>_xlfn.XLOOKUP(A3780,[1]!DadosGHD[CD_GEOCMU],[1]!DadosGHD[Região])</f>
        <v>SD</v>
      </c>
      <c r="D3780" s="4" t="str">
        <f>_xlfn.XLOOKUP(A3780,[1]!DadosGHD[CD_GEOCMU],[1]!DadosGHD[uf])</f>
        <v>MG</v>
      </c>
      <c r="E3780" s="5" t="str">
        <f>_xlfn.XLOOKUP(A3780,[1]!DadosGHD[CD_GEOCMU],[1]!DadosGHD[MUNICIPIO])</f>
        <v>MARAVILHAS</v>
      </c>
      <c r="F3780" s="6">
        <v>48.563552856445298</v>
      </c>
      <c r="G3780" s="6">
        <v>48.731189727783203</v>
      </c>
      <c r="H3780" s="6">
        <v>48.851238250732401</v>
      </c>
      <c r="I3780" s="6">
        <v>53.763816833496101</v>
      </c>
      <c r="J3780" s="6">
        <v>53.776691436767599</v>
      </c>
      <c r="K3780" s="6">
        <v>43.802078247070298</v>
      </c>
      <c r="L3780" s="6">
        <v>44.019809722900398</v>
      </c>
    </row>
    <row r="3781" spans="1:12" x14ac:dyDescent="0.25">
      <c r="A3781">
        <v>3154408</v>
      </c>
      <c r="B3781" t="str">
        <f t="shared" si="59"/>
        <v>RESSAQUINHA, MG, Brasil</v>
      </c>
      <c r="C3781" s="4" t="str">
        <f>_xlfn.XLOOKUP(A3781,[1]!DadosGHD[CD_GEOCMU],[1]!DadosGHD[Região])</f>
        <v>SD</v>
      </c>
      <c r="D3781" s="4" t="str">
        <f>_xlfn.XLOOKUP(A3781,[1]!DadosGHD[CD_GEOCMU],[1]!DadosGHD[uf])</f>
        <v>MG</v>
      </c>
      <c r="E3781" s="5" t="str">
        <f>_xlfn.XLOOKUP(A3781,[1]!DadosGHD[CD_GEOCMU],[1]!DadosGHD[MUNICIPIO])</f>
        <v>RESSAQUINHA</v>
      </c>
      <c r="F3781" s="6">
        <v>48.563899993896499</v>
      </c>
      <c r="G3781" s="6">
        <v>38.786964416503899</v>
      </c>
      <c r="H3781" s="6">
        <v>43.715232849121101</v>
      </c>
      <c r="I3781" s="6">
        <v>43.722209930419901</v>
      </c>
      <c r="J3781" s="6">
        <v>43.747722625732401</v>
      </c>
      <c r="K3781" s="6">
        <v>43.814296722412102</v>
      </c>
      <c r="L3781" s="6">
        <v>39.603816986083999</v>
      </c>
    </row>
    <row r="3782" spans="1:12" x14ac:dyDescent="0.25">
      <c r="A3782">
        <v>3521606</v>
      </c>
      <c r="B3782" t="str">
        <f t="shared" si="59"/>
        <v>IRAPURU, SP, Brasil</v>
      </c>
      <c r="C3782" s="4" t="str">
        <f>_xlfn.XLOOKUP(A3782,[1]!DadosGHD[CD_GEOCMU],[1]!DadosGHD[Região])</f>
        <v>SD</v>
      </c>
      <c r="D3782" s="4" t="str">
        <f>_xlfn.XLOOKUP(A3782,[1]!DadosGHD[CD_GEOCMU],[1]!DadosGHD[uf])</f>
        <v>SP</v>
      </c>
      <c r="E3782" s="5" t="str">
        <f>_xlfn.XLOOKUP(A3782,[1]!DadosGHD[CD_GEOCMU],[1]!DadosGHD[MUNICIPIO])</f>
        <v>IRAPURU</v>
      </c>
      <c r="F3782" s="6">
        <v>48.563915252685597</v>
      </c>
      <c r="G3782" s="6">
        <v>43.742481231689503</v>
      </c>
      <c r="H3782" s="6">
        <v>43.775562286377003</v>
      </c>
      <c r="I3782" s="6">
        <v>43.757331848144503</v>
      </c>
      <c r="J3782" s="6">
        <v>43.716896057128899</v>
      </c>
      <c r="K3782" s="6">
        <v>38.891544342041001</v>
      </c>
      <c r="L3782" s="6">
        <v>39.587825775146499</v>
      </c>
    </row>
    <row r="3783" spans="1:12" x14ac:dyDescent="0.25">
      <c r="A3783">
        <v>5220108</v>
      </c>
      <c r="B3783" t="str">
        <f t="shared" si="59"/>
        <v>SAO LUIS DE MONTES BELOS, GO, Brasil</v>
      </c>
      <c r="C3783" s="4" t="str">
        <f>_xlfn.XLOOKUP(A3783,[1]!DadosGHD[CD_GEOCMU],[1]!DadosGHD[Região])</f>
        <v>CO</v>
      </c>
      <c r="D3783" s="4" t="str">
        <f>_xlfn.XLOOKUP(A3783,[1]!DadosGHD[CD_GEOCMU],[1]!DadosGHD[uf])</f>
        <v>GO</v>
      </c>
      <c r="E3783" s="5" t="str">
        <f>_xlfn.XLOOKUP(A3783,[1]!DadosGHD[CD_GEOCMU],[1]!DadosGHD[MUNICIPIO])</f>
        <v>SAO LUIS DE MONTES BELOS</v>
      </c>
      <c r="F3783" s="6">
        <v>48.5648384094238</v>
      </c>
      <c r="G3783" s="6">
        <v>48.6619682312012</v>
      </c>
      <c r="H3783" s="6">
        <v>43.838768005371101</v>
      </c>
      <c r="I3783" s="6">
        <v>48.703166961669901</v>
      </c>
      <c r="J3783" s="6">
        <v>48.760276794433601</v>
      </c>
      <c r="K3783" s="6">
        <v>43.885688781738303</v>
      </c>
      <c r="L3783" s="6">
        <v>35.158843994140597</v>
      </c>
    </row>
    <row r="3784" spans="1:12" x14ac:dyDescent="0.25">
      <c r="A3784">
        <v>3204708</v>
      </c>
      <c r="B3784" t="str">
        <f t="shared" si="59"/>
        <v>SAO GABRIEL DA PALHA, ES, Brasil</v>
      </c>
      <c r="C3784" s="4" t="str">
        <f>_xlfn.XLOOKUP(A3784,[1]!DadosGHD[CD_GEOCMU],[1]!DadosGHD[Região])</f>
        <v>SD</v>
      </c>
      <c r="D3784" s="4" t="str">
        <f>_xlfn.XLOOKUP(A3784,[1]!DadosGHD[CD_GEOCMU],[1]!DadosGHD[uf])</f>
        <v>ES</v>
      </c>
      <c r="E3784" s="5" t="str">
        <f>_xlfn.XLOOKUP(A3784,[1]!DadosGHD[CD_GEOCMU],[1]!DadosGHD[MUNICIPIO])</f>
        <v>SAO GABRIEL DA PALHA</v>
      </c>
      <c r="F3784" s="6">
        <v>48.564910888671903</v>
      </c>
      <c r="G3784" s="6">
        <v>48.643642425537102</v>
      </c>
      <c r="H3784" s="6">
        <v>43.80126953125</v>
      </c>
      <c r="I3784" s="6">
        <v>43.768230438232401</v>
      </c>
      <c r="J3784" s="6">
        <v>43.772495269775398</v>
      </c>
      <c r="K3784" s="6">
        <v>43.803058624267599</v>
      </c>
      <c r="L3784" s="6">
        <v>39.569023132324197</v>
      </c>
    </row>
    <row r="3785" spans="1:12" x14ac:dyDescent="0.25">
      <c r="A3785">
        <v>3516507</v>
      </c>
      <c r="B3785" t="str">
        <f t="shared" si="59"/>
        <v>GABRIEL MONTEIRO, SP, Brasil</v>
      </c>
      <c r="C3785" s="4" t="str">
        <f>_xlfn.XLOOKUP(A3785,[1]!DadosGHD[CD_GEOCMU],[1]!DadosGHD[Região])</f>
        <v>SD</v>
      </c>
      <c r="D3785" s="4" t="str">
        <f>_xlfn.XLOOKUP(A3785,[1]!DadosGHD[CD_GEOCMU],[1]!DadosGHD[uf])</f>
        <v>SP</v>
      </c>
      <c r="E3785" s="5" t="str">
        <f>_xlfn.XLOOKUP(A3785,[1]!DadosGHD[CD_GEOCMU],[1]!DadosGHD[MUNICIPIO])</f>
        <v>GABRIEL MONTEIRO</v>
      </c>
      <c r="F3785" s="6">
        <v>48.564994812011697</v>
      </c>
      <c r="G3785" s="6">
        <v>48.767463684082003</v>
      </c>
      <c r="H3785" s="6">
        <v>48.7800903320313</v>
      </c>
      <c r="I3785" s="6">
        <v>48.726806640625</v>
      </c>
      <c r="J3785" s="6">
        <v>48.717433929443402</v>
      </c>
      <c r="K3785" s="6">
        <v>48.858264923095703</v>
      </c>
      <c r="L3785" s="6">
        <v>44.069267272949197</v>
      </c>
    </row>
    <row r="3786" spans="1:12" x14ac:dyDescent="0.25">
      <c r="A3786">
        <v>3115201</v>
      </c>
      <c r="B3786" t="str">
        <f t="shared" si="59"/>
        <v>CONCEICAO DA BARRA DE MINAS, MG, Brasil</v>
      </c>
      <c r="C3786" s="4" t="str">
        <f>_xlfn.XLOOKUP(A3786,[1]!DadosGHD[CD_GEOCMU],[1]!DadosGHD[Região])</f>
        <v>SD</v>
      </c>
      <c r="D3786" s="4" t="str">
        <f>_xlfn.XLOOKUP(A3786,[1]!DadosGHD[CD_GEOCMU],[1]!DadosGHD[uf])</f>
        <v>MG</v>
      </c>
      <c r="E3786" s="5" t="str">
        <f>_xlfn.XLOOKUP(A3786,[1]!DadosGHD[CD_GEOCMU],[1]!DadosGHD[MUNICIPIO])</f>
        <v>CONCEICAO DA BARRA DE MINAS</v>
      </c>
      <c r="F3786" s="6">
        <v>48.565216064453097</v>
      </c>
      <c r="G3786" s="6">
        <v>48.702938079833999</v>
      </c>
      <c r="H3786" s="6">
        <v>48.855495452880902</v>
      </c>
      <c r="I3786" s="6">
        <v>53.768581390380902</v>
      </c>
      <c r="J3786" s="6">
        <v>53.833950042724602</v>
      </c>
      <c r="K3786" s="6">
        <v>53.888221740722699</v>
      </c>
      <c r="L3786" s="6">
        <v>52.987586975097699</v>
      </c>
    </row>
    <row r="3787" spans="1:12" x14ac:dyDescent="0.25">
      <c r="A3787">
        <v>3304409</v>
      </c>
      <c r="B3787" t="str">
        <f t="shared" si="59"/>
        <v>RIO CLARO, RJ, Brasil</v>
      </c>
      <c r="C3787" s="4" t="str">
        <f>_xlfn.XLOOKUP(A3787,[1]!DadosGHD[CD_GEOCMU],[1]!DadosGHD[Região])</f>
        <v>SD</v>
      </c>
      <c r="D3787" s="4" t="str">
        <f>_xlfn.XLOOKUP(A3787,[1]!DadosGHD[CD_GEOCMU],[1]!DadosGHD[uf])</f>
        <v>RJ</v>
      </c>
      <c r="E3787" s="5" t="str">
        <f>_xlfn.XLOOKUP(A3787,[1]!DadosGHD[CD_GEOCMU],[1]!DadosGHD[MUNICIPIO])</f>
        <v>RIO CLARO</v>
      </c>
      <c r="F3787" s="6">
        <v>48.565258026123097</v>
      </c>
      <c r="G3787" s="6">
        <v>48.694889068603501</v>
      </c>
      <c r="H3787" s="6">
        <v>53.847286224365199</v>
      </c>
      <c r="I3787" s="6">
        <v>53.725536346435597</v>
      </c>
      <c r="J3787" s="6">
        <v>53.804084777832003</v>
      </c>
      <c r="K3787" s="6">
        <v>53.900516510009801</v>
      </c>
      <c r="L3787" s="6">
        <v>30.6981410980225</v>
      </c>
    </row>
    <row r="3788" spans="1:12" x14ac:dyDescent="0.25">
      <c r="A3788">
        <v>3503802</v>
      </c>
      <c r="B3788" t="str">
        <f t="shared" si="59"/>
        <v>ARTUR NOGUEIRA, SP, Brasil</v>
      </c>
      <c r="C3788" s="4" t="str">
        <f>_xlfn.XLOOKUP(A3788,[1]!DadosGHD[CD_GEOCMU],[1]!DadosGHD[Região])</f>
        <v>SD</v>
      </c>
      <c r="D3788" s="4" t="str">
        <f>_xlfn.XLOOKUP(A3788,[1]!DadosGHD[CD_GEOCMU],[1]!DadosGHD[uf])</f>
        <v>SP</v>
      </c>
      <c r="E3788" s="5" t="str">
        <f>_xlfn.XLOOKUP(A3788,[1]!DadosGHD[CD_GEOCMU],[1]!DadosGHD[MUNICIPIO])</f>
        <v>ARTUR NOGUEIRA</v>
      </c>
      <c r="F3788" s="6">
        <v>48.565380096435597</v>
      </c>
      <c r="G3788" s="6">
        <v>43.7112007141113</v>
      </c>
      <c r="H3788" s="6">
        <v>43.745021820068402</v>
      </c>
      <c r="I3788" s="6">
        <v>43.747344970703097</v>
      </c>
      <c r="J3788" s="6">
        <v>43.782333374023402</v>
      </c>
      <c r="K3788" s="6">
        <v>43.853488922119098</v>
      </c>
      <c r="L3788" s="6">
        <v>48.523323059082003</v>
      </c>
    </row>
    <row r="3789" spans="1:12" x14ac:dyDescent="0.25">
      <c r="A3789">
        <v>3514304</v>
      </c>
      <c r="B3789" t="str">
        <f t="shared" si="59"/>
        <v>DOURADO, SP, Brasil</v>
      </c>
      <c r="C3789" s="4" t="str">
        <f>_xlfn.XLOOKUP(A3789,[1]!DadosGHD[CD_GEOCMU],[1]!DadosGHD[Região])</f>
        <v>SD</v>
      </c>
      <c r="D3789" s="4" t="str">
        <f>_xlfn.XLOOKUP(A3789,[1]!DadosGHD[CD_GEOCMU],[1]!DadosGHD[uf])</f>
        <v>SP</v>
      </c>
      <c r="E3789" s="5" t="str">
        <f>_xlfn.XLOOKUP(A3789,[1]!DadosGHD[CD_GEOCMU],[1]!DadosGHD[MUNICIPIO])</f>
        <v>DOURADO</v>
      </c>
      <c r="F3789" s="6">
        <v>48.565517425537102</v>
      </c>
      <c r="G3789" s="6">
        <v>48.674186706542997</v>
      </c>
      <c r="H3789" s="6">
        <v>48.717399597167997</v>
      </c>
      <c r="I3789" s="6">
        <v>43.739795684814503</v>
      </c>
      <c r="J3789" s="6">
        <v>48.8257026672363</v>
      </c>
      <c r="K3789" s="6">
        <v>48.855064392089801</v>
      </c>
      <c r="L3789" s="6">
        <v>53.0609130859375</v>
      </c>
    </row>
    <row r="3790" spans="1:12" x14ac:dyDescent="0.25">
      <c r="A3790">
        <v>5204250</v>
      </c>
      <c r="B3790" t="str">
        <f t="shared" si="59"/>
        <v>CACHOEIRA DOURADA, GO, Brasil</v>
      </c>
      <c r="C3790" s="4" t="str">
        <f>_xlfn.XLOOKUP(A3790,[1]!DadosGHD[CD_GEOCMU],[1]!DadosGHD[Região])</f>
        <v>CO</v>
      </c>
      <c r="D3790" s="4" t="str">
        <f>_xlfn.XLOOKUP(A3790,[1]!DadosGHD[CD_GEOCMU],[1]!DadosGHD[uf])</f>
        <v>GO</v>
      </c>
      <c r="E3790" s="5" t="str">
        <f>_xlfn.XLOOKUP(A3790,[1]!DadosGHD[CD_GEOCMU],[1]!DadosGHD[MUNICIPIO])</f>
        <v>CACHOEIRA DOURADA</v>
      </c>
      <c r="F3790" s="6">
        <v>48.565620422363303</v>
      </c>
      <c r="G3790" s="6">
        <v>48.698474884033203</v>
      </c>
      <c r="H3790" s="6">
        <v>48.828659057617202</v>
      </c>
      <c r="I3790" s="6">
        <v>48.783191680908203</v>
      </c>
      <c r="J3790" s="6">
        <v>43.747329711914098</v>
      </c>
      <c r="K3790" s="6">
        <v>38.874687194824197</v>
      </c>
      <c r="L3790" s="6">
        <v>35.155666351318402</v>
      </c>
    </row>
    <row r="3791" spans="1:12" x14ac:dyDescent="0.25">
      <c r="A3791">
        <v>5106190</v>
      </c>
      <c r="B3791" t="str">
        <f t="shared" si="59"/>
        <v>NOVA SANTA HELENA, MT, Brasil</v>
      </c>
      <c r="C3791" s="4" t="str">
        <f>_xlfn.XLOOKUP(A3791,[1]!DadosGHD[CD_GEOCMU],[1]!DadosGHD[Região])</f>
        <v>CO</v>
      </c>
      <c r="D3791" s="4" t="str">
        <f>_xlfn.XLOOKUP(A3791,[1]!DadosGHD[CD_GEOCMU],[1]!DadosGHD[uf])</f>
        <v>MT</v>
      </c>
      <c r="E3791" s="5" t="str">
        <f>_xlfn.XLOOKUP(A3791,[1]!DadosGHD[CD_GEOCMU],[1]!DadosGHD[MUNICIPIO])</f>
        <v>NOVA SANTA HELENA</v>
      </c>
      <c r="F3791" s="6">
        <v>48.56591796875</v>
      </c>
      <c r="G3791" s="6">
        <v>53.656452178955099</v>
      </c>
      <c r="H3791" s="6">
        <v>53.778202056884801</v>
      </c>
      <c r="I3791" s="6">
        <v>53.722816467285199</v>
      </c>
      <c r="J3791" s="6">
        <v>48.821502685546903</v>
      </c>
      <c r="K3791" s="6">
        <v>43.850318908691399</v>
      </c>
      <c r="L3791" s="6">
        <v>48.5022163391113</v>
      </c>
    </row>
    <row r="3792" spans="1:12" x14ac:dyDescent="0.25">
      <c r="A3792">
        <v>2208007</v>
      </c>
      <c r="B3792" t="str">
        <f t="shared" si="59"/>
        <v>PICOS, PI, Brasil</v>
      </c>
      <c r="C3792" s="4" t="str">
        <f>_xlfn.XLOOKUP(A3792,[1]!DadosGHD[CD_GEOCMU],[1]!DadosGHD[Região])</f>
        <v>NE</v>
      </c>
      <c r="D3792" s="4" t="str">
        <f>_xlfn.XLOOKUP(A3792,[1]!DadosGHD[CD_GEOCMU],[1]!DadosGHD[uf])</f>
        <v>PI</v>
      </c>
      <c r="E3792" s="5" t="str">
        <f>_xlfn.XLOOKUP(A3792,[1]!DadosGHD[CD_GEOCMU],[1]!DadosGHD[MUNICIPIO])</f>
        <v>PICOS</v>
      </c>
      <c r="F3792" s="6">
        <v>48.566024780273402</v>
      </c>
      <c r="G3792" s="6">
        <v>43.756191253662102</v>
      </c>
      <c r="H3792" s="6">
        <v>48.714210510253899</v>
      </c>
      <c r="I3792" s="6">
        <v>48.7932739257813</v>
      </c>
      <c r="J3792" s="6">
        <v>53.779945373535199</v>
      </c>
      <c r="K3792" s="6">
        <v>53.838653564453097</v>
      </c>
      <c r="L3792" s="6">
        <v>48.542522430419901</v>
      </c>
    </row>
    <row r="3793" spans="1:12" x14ac:dyDescent="0.25">
      <c r="A3793">
        <v>4201406</v>
      </c>
      <c r="B3793" t="str">
        <f t="shared" si="59"/>
        <v>ARARANGUA, SC, Brasil</v>
      </c>
      <c r="C3793" s="4" t="str">
        <f>_xlfn.XLOOKUP(A3793,[1]!DadosGHD[CD_GEOCMU],[1]!DadosGHD[Região])</f>
        <v>SL</v>
      </c>
      <c r="D3793" s="4" t="str">
        <f>_xlfn.XLOOKUP(A3793,[1]!DadosGHD[CD_GEOCMU],[1]!DadosGHD[uf])</f>
        <v>SC</v>
      </c>
      <c r="E3793" s="5" t="str">
        <f>_xlfn.XLOOKUP(A3793,[1]!DadosGHD[CD_GEOCMU],[1]!DadosGHD[MUNICIPIO])</f>
        <v>ARARANGUA</v>
      </c>
      <c r="F3793" s="6">
        <v>48.566116333007798</v>
      </c>
      <c r="G3793" s="6">
        <v>48.652793884277301</v>
      </c>
      <c r="H3793" s="6">
        <v>48.7314453125</v>
      </c>
      <c r="I3793" s="6">
        <v>53.737052917480497</v>
      </c>
      <c r="J3793" s="6">
        <v>58.822868347167997</v>
      </c>
      <c r="K3793" s="6">
        <v>58.924453735351598</v>
      </c>
      <c r="L3793" s="6">
        <v>57.574878692627003</v>
      </c>
    </row>
    <row r="3794" spans="1:12" x14ac:dyDescent="0.25">
      <c r="A3794">
        <v>4101853</v>
      </c>
      <c r="B3794" t="str">
        <f t="shared" si="59"/>
        <v>ARIRANHA DO IVAI, PR, Brasil</v>
      </c>
      <c r="C3794" s="4" t="str">
        <f>_xlfn.XLOOKUP(A3794,[1]!DadosGHD[CD_GEOCMU],[1]!DadosGHD[Região])</f>
        <v>SL</v>
      </c>
      <c r="D3794" s="4" t="str">
        <f>_xlfn.XLOOKUP(A3794,[1]!DadosGHD[CD_GEOCMU],[1]!DadosGHD[uf])</f>
        <v>PR</v>
      </c>
      <c r="E3794" s="5" t="str">
        <f>_xlfn.XLOOKUP(A3794,[1]!DadosGHD[CD_GEOCMU],[1]!DadosGHD[MUNICIPIO])</f>
        <v>ARIRANHA DO IVAI</v>
      </c>
      <c r="F3794" s="6">
        <v>48.566364288330099</v>
      </c>
      <c r="G3794" s="6">
        <v>43.697395324707003</v>
      </c>
      <c r="H3794" s="6">
        <v>28.954593658447301</v>
      </c>
      <c r="I3794" s="6">
        <v>28.925045013427699</v>
      </c>
      <c r="J3794" s="6">
        <v>28.9409065246582</v>
      </c>
      <c r="K3794" s="6">
        <v>38.841361999511697</v>
      </c>
      <c r="L3794" s="6">
        <v>39.583236694335902</v>
      </c>
    </row>
    <row r="3795" spans="1:12" x14ac:dyDescent="0.25">
      <c r="A3795">
        <v>3553906</v>
      </c>
      <c r="B3795" t="str">
        <f t="shared" si="59"/>
        <v>TARABAI, SP, Brasil</v>
      </c>
      <c r="C3795" s="4" t="str">
        <f>_xlfn.XLOOKUP(A3795,[1]!DadosGHD[CD_GEOCMU],[1]!DadosGHD[Região])</f>
        <v>SD</v>
      </c>
      <c r="D3795" s="4" t="str">
        <f>_xlfn.XLOOKUP(A3795,[1]!DadosGHD[CD_GEOCMU],[1]!DadosGHD[uf])</f>
        <v>SP</v>
      </c>
      <c r="E3795" s="5" t="str">
        <f>_xlfn.XLOOKUP(A3795,[1]!DadosGHD[CD_GEOCMU],[1]!DadosGHD[MUNICIPIO])</f>
        <v>TARABAI</v>
      </c>
      <c r="F3795" s="6">
        <v>48.566825866699197</v>
      </c>
      <c r="G3795" s="6">
        <v>48.687141418457003</v>
      </c>
      <c r="H3795" s="6">
        <v>48.741863250732401</v>
      </c>
      <c r="I3795" s="6">
        <v>48.714591979980497</v>
      </c>
      <c r="J3795" s="6">
        <v>48.723503112792997</v>
      </c>
      <c r="K3795" s="6">
        <v>43.859184265136697</v>
      </c>
      <c r="L3795" s="6">
        <v>39.557968139648402</v>
      </c>
    </row>
    <row r="3796" spans="1:12" x14ac:dyDescent="0.25">
      <c r="A3796">
        <v>3115706</v>
      </c>
      <c r="B3796" t="str">
        <f t="shared" si="59"/>
        <v>CENTRAL DE MINAS, MG, Brasil</v>
      </c>
      <c r="C3796" s="4" t="str">
        <f>_xlfn.XLOOKUP(A3796,[1]!DadosGHD[CD_GEOCMU],[1]!DadosGHD[Região])</f>
        <v>SD</v>
      </c>
      <c r="D3796" s="4" t="str">
        <f>_xlfn.XLOOKUP(A3796,[1]!DadosGHD[CD_GEOCMU],[1]!DadosGHD[uf])</f>
        <v>MG</v>
      </c>
      <c r="E3796" s="5" t="str">
        <f>_xlfn.XLOOKUP(A3796,[1]!DadosGHD[CD_GEOCMU],[1]!DadosGHD[MUNICIPIO])</f>
        <v>CENTRAL DE MINAS</v>
      </c>
      <c r="F3796" s="6">
        <v>48.5668754577637</v>
      </c>
      <c r="G3796" s="6">
        <v>43.708641052246101</v>
      </c>
      <c r="H3796" s="6">
        <v>43.735725402832003</v>
      </c>
      <c r="I3796" s="6">
        <v>43.724170684814503</v>
      </c>
      <c r="J3796" s="6">
        <v>38.832462310791001</v>
      </c>
      <c r="K3796" s="6">
        <v>38.839385986328097</v>
      </c>
      <c r="L3796" s="6">
        <v>53.052047729492202</v>
      </c>
    </row>
    <row r="3797" spans="1:12" x14ac:dyDescent="0.25">
      <c r="A3797">
        <v>4319802</v>
      </c>
      <c r="B3797" t="str">
        <f t="shared" si="59"/>
        <v>SAO VICENTE DO SUL, RS, Brasil</v>
      </c>
      <c r="C3797" s="4" t="str">
        <f>_xlfn.XLOOKUP(A3797,[1]!DadosGHD[CD_GEOCMU],[1]!DadosGHD[Região])</f>
        <v>SL</v>
      </c>
      <c r="D3797" s="4" t="str">
        <f>_xlfn.XLOOKUP(A3797,[1]!DadosGHD[CD_GEOCMU],[1]!DadosGHD[uf])</f>
        <v>RS</v>
      </c>
      <c r="E3797" s="5" t="str">
        <f>_xlfn.XLOOKUP(A3797,[1]!DadosGHD[CD_GEOCMU],[1]!DadosGHD[MUNICIPIO])</f>
        <v>SAO VICENTE DO SUL</v>
      </c>
      <c r="F3797" s="6">
        <v>48.566982269287102</v>
      </c>
      <c r="G3797" s="6">
        <v>48.689262390136697</v>
      </c>
      <c r="H3797" s="6">
        <v>48.766029357910199</v>
      </c>
      <c r="I3797" s="6">
        <v>48.813987731933601</v>
      </c>
      <c r="J3797" s="6">
        <v>53.755661010742202</v>
      </c>
      <c r="K3797" s="6">
        <v>53.8637084960938</v>
      </c>
      <c r="L3797" s="6">
        <v>48.492137908935597</v>
      </c>
    </row>
    <row r="3798" spans="1:12" x14ac:dyDescent="0.25">
      <c r="A3798">
        <v>5107107</v>
      </c>
      <c r="B3798" t="str">
        <f t="shared" si="59"/>
        <v>SAO JOSE DOS QUATRO MARCOS, MT, Brasil</v>
      </c>
      <c r="C3798" s="4" t="str">
        <f>_xlfn.XLOOKUP(A3798,[1]!DadosGHD[CD_GEOCMU],[1]!DadosGHD[Região])</f>
        <v>CO</v>
      </c>
      <c r="D3798" s="4" t="str">
        <f>_xlfn.XLOOKUP(A3798,[1]!DadosGHD[CD_GEOCMU],[1]!DadosGHD[uf])</f>
        <v>MT</v>
      </c>
      <c r="E3798" s="5" t="str">
        <f>_xlfn.XLOOKUP(A3798,[1]!DadosGHD[CD_GEOCMU],[1]!DadosGHD[MUNICIPIO])</f>
        <v>SAO JOSE DOS QUATRO MARCOS</v>
      </c>
      <c r="F3798" s="6">
        <v>48.567333221435597</v>
      </c>
      <c r="G3798" s="6">
        <v>48.672935485839801</v>
      </c>
      <c r="H3798" s="6">
        <v>48.724899291992202</v>
      </c>
      <c r="I3798" s="6">
        <v>43.7947387695313</v>
      </c>
      <c r="J3798" s="6">
        <v>43.7913627624512</v>
      </c>
      <c r="K3798" s="6">
        <v>48.779300689697301</v>
      </c>
      <c r="L3798" s="6">
        <v>39.588150024414098</v>
      </c>
    </row>
    <row r="3799" spans="1:12" x14ac:dyDescent="0.25">
      <c r="A3799">
        <v>4318457</v>
      </c>
      <c r="B3799" t="str">
        <f t="shared" si="59"/>
        <v>SAO JOSE DAS MISSOES, RS, Brasil</v>
      </c>
      <c r="C3799" s="4" t="str">
        <f>_xlfn.XLOOKUP(A3799,[1]!DadosGHD[CD_GEOCMU],[1]!DadosGHD[Região])</f>
        <v>SL</v>
      </c>
      <c r="D3799" s="4" t="str">
        <f>_xlfn.XLOOKUP(A3799,[1]!DadosGHD[CD_GEOCMU],[1]!DadosGHD[uf])</f>
        <v>RS</v>
      </c>
      <c r="E3799" s="5" t="str">
        <f>_xlfn.XLOOKUP(A3799,[1]!DadosGHD[CD_GEOCMU],[1]!DadosGHD[MUNICIPIO])</f>
        <v>SAO JOSE DAS MISSOES</v>
      </c>
      <c r="F3799" s="6">
        <v>48.567531585693402</v>
      </c>
      <c r="G3799" s="6">
        <v>53.704586029052699</v>
      </c>
      <c r="H3799" s="6">
        <v>53.767066955566399</v>
      </c>
      <c r="I3799" s="6">
        <v>53.729866027832003</v>
      </c>
      <c r="J3799" s="6">
        <v>53.732696533203097</v>
      </c>
      <c r="K3799" s="6">
        <v>53.816963195800803</v>
      </c>
      <c r="L3799" s="6">
        <v>39.595500946044901</v>
      </c>
    </row>
    <row r="3800" spans="1:12" x14ac:dyDescent="0.25">
      <c r="A3800">
        <v>4314555</v>
      </c>
      <c r="B3800" t="str">
        <f t="shared" si="59"/>
        <v>PIRAPO, RS, Brasil</v>
      </c>
      <c r="C3800" s="4" t="str">
        <f>_xlfn.XLOOKUP(A3800,[1]!DadosGHD[CD_GEOCMU],[1]!DadosGHD[Região])</f>
        <v>SL</v>
      </c>
      <c r="D3800" s="4" t="str">
        <f>_xlfn.XLOOKUP(A3800,[1]!DadosGHD[CD_GEOCMU],[1]!DadosGHD[uf])</f>
        <v>RS</v>
      </c>
      <c r="E3800" s="5" t="str">
        <f>_xlfn.XLOOKUP(A3800,[1]!DadosGHD[CD_GEOCMU],[1]!DadosGHD[MUNICIPIO])</f>
        <v>PIRAPO</v>
      </c>
      <c r="F3800" s="6">
        <v>48.567604064941399</v>
      </c>
      <c r="G3800" s="6">
        <v>43.696041107177699</v>
      </c>
      <c r="H3800" s="6">
        <v>53.754383087158203</v>
      </c>
      <c r="I3800" s="6">
        <v>53.710487365722699</v>
      </c>
      <c r="J3800" s="6">
        <v>53.732135772705099</v>
      </c>
      <c r="K3800" s="6">
        <v>64.095184326171903</v>
      </c>
      <c r="L3800" s="6">
        <v>44.071052551269503</v>
      </c>
    </row>
    <row r="3801" spans="1:12" x14ac:dyDescent="0.25">
      <c r="A3801">
        <v>5221577</v>
      </c>
      <c r="B3801" t="str">
        <f t="shared" si="59"/>
        <v>UIRAPURU, GO, Brasil</v>
      </c>
      <c r="C3801" s="4" t="str">
        <f>_xlfn.XLOOKUP(A3801,[1]!DadosGHD[CD_GEOCMU],[1]!DadosGHD[Região])</f>
        <v>CO</v>
      </c>
      <c r="D3801" s="4" t="str">
        <f>_xlfn.XLOOKUP(A3801,[1]!DadosGHD[CD_GEOCMU],[1]!DadosGHD[uf])</f>
        <v>GO</v>
      </c>
      <c r="E3801" s="5" t="str">
        <f>_xlfn.XLOOKUP(A3801,[1]!DadosGHD[CD_GEOCMU],[1]!DadosGHD[MUNICIPIO])</f>
        <v>UIRAPURU</v>
      </c>
      <c r="F3801" s="6">
        <v>48.567733764648402</v>
      </c>
      <c r="G3801" s="6">
        <v>43.69677734375</v>
      </c>
      <c r="H3801" s="6">
        <v>43.758098602294901</v>
      </c>
      <c r="I3801" s="6">
        <v>43.743419647216797</v>
      </c>
      <c r="J3801" s="6">
        <v>43.766117095947301</v>
      </c>
      <c r="K3801" s="6">
        <v>43.779262542724602</v>
      </c>
      <c r="L3801" s="6">
        <v>30.697877883911101</v>
      </c>
    </row>
    <row r="3802" spans="1:12" x14ac:dyDescent="0.25">
      <c r="A3802">
        <v>5101001</v>
      </c>
      <c r="B3802" t="str">
        <f t="shared" si="59"/>
        <v>ARAGUAIANA, MT, Brasil</v>
      </c>
      <c r="C3802" s="4" t="str">
        <f>_xlfn.XLOOKUP(A3802,[1]!DadosGHD[CD_GEOCMU],[1]!DadosGHD[Região])</f>
        <v>CO</v>
      </c>
      <c r="D3802" s="4" t="str">
        <f>_xlfn.XLOOKUP(A3802,[1]!DadosGHD[CD_GEOCMU],[1]!DadosGHD[uf])</f>
        <v>MT</v>
      </c>
      <c r="E3802" s="5" t="str">
        <f>_xlfn.XLOOKUP(A3802,[1]!DadosGHD[CD_GEOCMU],[1]!DadosGHD[MUNICIPIO])</f>
        <v>ARAGUAIANA</v>
      </c>
      <c r="F3802" s="6">
        <v>48.567760467529297</v>
      </c>
      <c r="G3802" s="6">
        <v>43.708995819091797</v>
      </c>
      <c r="H3802" s="6">
        <v>43.734771728515597</v>
      </c>
      <c r="I3802" s="6">
        <v>43.6947021484375</v>
      </c>
      <c r="J3802" s="6">
        <v>38.836174011230497</v>
      </c>
      <c r="K3802" s="6">
        <v>48.7931098937988</v>
      </c>
      <c r="L3802" s="6">
        <v>44.018344879150398</v>
      </c>
    </row>
    <row r="3803" spans="1:12" x14ac:dyDescent="0.25">
      <c r="A3803">
        <v>5006408</v>
      </c>
      <c r="B3803" t="str">
        <f t="shared" si="59"/>
        <v>PEDRO GOMES, MS, Brasil</v>
      </c>
      <c r="C3803" s="4" t="str">
        <f>_xlfn.XLOOKUP(A3803,[1]!DadosGHD[CD_GEOCMU],[1]!DadosGHD[Região])</f>
        <v>CO</v>
      </c>
      <c r="D3803" s="4" t="str">
        <f>_xlfn.XLOOKUP(A3803,[1]!DadosGHD[CD_GEOCMU],[1]!DadosGHD[uf])</f>
        <v>MS</v>
      </c>
      <c r="E3803" s="5" t="str">
        <f>_xlfn.XLOOKUP(A3803,[1]!DadosGHD[CD_GEOCMU],[1]!DadosGHD[MUNICIPIO])</f>
        <v>PEDRO GOMES</v>
      </c>
      <c r="F3803" s="6">
        <v>48.568595886230497</v>
      </c>
      <c r="G3803" s="6">
        <v>48.6706352233887</v>
      </c>
      <c r="H3803" s="6">
        <v>43.832340240478501</v>
      </c>
      <c r="I3803" s="6">
        <v>43.7612915039063</v>
      </c>
      <c r="J3803" s="6">
        <v>43.739639282226598</v>
      </c>
      <c r="K3803" s="6">
        <v>43.755264282226598</v>
      </c>
      <c r="L3803" s="6">
        <v>39.595657348632798</v>
      </c>
    </row>
    <row r="3804" spans="1:12" x14ac:dyDescent="0.25">
      <c r="A3804">
        <v>4305850</v>
      </c>
      <c r="B3804" t="str">
        <f t="shared" si="59"/>
        <v>COQUEIROS DO SUL, RS, Brasil</v>
      </c>
      <c r="C3804" s="4" t="str">
        <f>_xlfn.XLOOKUP(A3804,[1]!DadosGHD[CD_GEOCMU],[1]!DadosGHD[Região])</f>
        <v>SL</v>
      </c>
      <c r="D3804" s="4" t="str">
        <f>_xlfn.XLOOKUP(A3804,[1]!DadosGHD[CD_GEOCMU],[1]!DadosGHD[uf])</f>
        <v>RS</v>
      </c>
      <c r="E3804" s="5" t="str">
        <f>_xlfn.XLOOKUP(A3804,[1]!DadosGHD[CD_GEOCMU],[1]!DadosGHD[MUNICIPIO])</f>
        <v>COQUEIROS DO SUL</v>
      </c>
      <c r="F3804" s="6">
        <v>48.568679809570298</v>
      </c>
      <c r="G3804" s="6">
        <v>63.945625305175803</v>
      </c>
      <c r="H3804" s="6">
        <v>53.890785217285199</v>
      </c>
      <c r="I3804" s="6">
        <v>53.854648590087898</v>
      </c>
      <c r="J3804" s="6">
        <v>48.716281890869098</v>
      </c>
      <c r="K3804" s="6">
        <v>48.7630615234375</v>
      </c>
      <c r="L3804" s="6">
        <v>35.140720367431598</v>
      </c>
    </row>
    <row r="3805" spans="1:12" x14ac:dyDescent="0.25">
      <c r="A3805">
        <v>4214904</v>
      </c>
      <c r="B3805" t="str">
        <f t="shared" si="59"/>
        <v>RIO FORTUNA, SC, Brasil</v>
      </c>
      <c r="C3805" s="4" t="str">
        <f>_xlfn.XLOOKUP(A3805,[1]!DadosGHD[CD_GEOCMU],[1]!DadosGHD[Região])</f>
        <v>SL</v>
      </c>
      <c r="D3805" s="4" t="str">
        <f>_xlfn.XLOOKUP(A3805,[1]!DadosGHD[CD_GEOCMU],[1]!DadosGHD[uf])</f>
        <v>SC</v>
      </c>
      <c r="E3805" s="5" t="str">
        <f>_xlfn.XLOOKUP(A3805,[1]!DadosGHD[CD_GEOCMU],[1]!DadosGHD[MUNICIPIO])</f>
        <v>RIO FORTUNA</v>
      </c>
      <c r="F3805" s="6">
        <v>48.568931579589801</v>
      </c>
      <c r="G3805" s="6">
        <v>48.752159118652301</v>
      </c>
      <c r="H3805" s="6">
        <v>43.827125549316399</v>
      </c>
      <c r="I3805" s="6">
        <v>43.803924560546903</v>
      </c>
      <c r="J3805" s="6">
        <v>48.749153137207003</v>
      </c>
      <c r="K3805" s="6">
        <v>48.901790618896499</v>
      </c>
      <c r="L3805" s="6">
        <v>48.532363891601598</v>
      </c>
    </row>
    <row r="3806" spans="1:12" x14ac:dyDescent="0.25">
      <c r="A3806">
        <v>4123006</v>
      </c>
      <c r="B3806" t="str">
        <f t="shared" si="59"/>
        <v>SALTO DO LONTRA, PR, Brasil</v>
      </c>
      <c r="C3806" s="4" t="str">
        <f>_xlfn.XLOOKUP(A3806,[1]!DadosGHD[CD_GEOCMU],[1]!DadosGHD[Região])</f>
        <v>SL</v>
      </c>
      <c r="D3806" s="4" t="str">
        <f>_xlfn.XLOOKUP(A3806,[1]!DadosGHD[CD_GEOCMU],[1]!DadosGHD[uf])</f>
        <v>PR</v>
      </c>
      <c r="E3806" s="5" t="str">
        <f>_xlfn.XLOOKUP(A3806,[1]!DadosGHD[CD_GEOCMU],[1]!DadosGHD[MUNICIPIO])</f>
        <v>SALTO DO LONTRA</v>
      </c>
      <c r="F3806" s="6">
        <v>48.569015502929702</v>
      </c>
      <c r="G3806" s="6">
        <v>48.695514678955099</v>
      </c>
      <c r="H3806" s="6">
        <v>48.7785453796387</v>
      </c>
      <c r="I3806" s="6">
        <v>48.794178009033203</v>
      </c>
      <c r="J3806" s="6">
        <v>53.818916320800803</v>
      </c>
      <c r="K3806" s="6">
        <v>53.928684234619098</v>
      </c>
      <c r="L3806" s="6">
        <v>52.978927612304702</v>
      </c>
    </row>
    <row r="3807" spans="1:12" x14ac:dyDescent="0.25">
      <c r="A3807">
        <v>3306107</v>
      </c>
      <c r="B3807" t="str">
        <f t="shared" si="59"/>
        <v>VALENCA, RJ, Brasil</v>
      </c>
      <c r="C3807" s="4" t="str">
        <f>_xlfn.XLOOKUP(A3807,[1]!DadosGHD[CD_GEOCMU],[1]!DadosGHD[Região])</f>
        <v>SD</v>
      </c>
      <c r="D3807" s="4" t="str">
        <f>_xlfn.XLOOKUP(A3807,[1]!DadosGHD[CD_GEOCMU],[1]!DadosGHD[uf])</f>
        <v>RJ</v>
      </c>
      <c r="E3807" s="5" t="str">
        <f>_xlfn.XLOOKUP(A3807,[1]!DadosGHD[CD_GEOCMU],[1]!DadosGHD[MUNICIPIO])</f>
        <v>VALENCA</v>
      </c>
      <c r="F3807" s="6">
        <v>48.569137573242202</v>
      </c>
      <c r="G3807" s="6">
        <v>48.6369018554688</v>
      </c>
      <c r="H3807" s="6">
        <v>43.798221588134801</v>
      </c>
      <c r="I3807" s="6">
        <v>43.720481872558601</v>
      </c>
      <c r="J3807" s="6">
        <v>38.833019256591797</v>
      </c>
      <c r="K3807" s="6">
        <v>43.834403991699197</v>
      </c>
      <c r="L3807" s="6">
        <v>48.555580139160199</v>
      </c>
    </row>
    <row r="3808" spans="1:12" x14ac:dyDescent="0.25">
      <c r="A3808">
        <v>5107883</v>
      </c>
      <c r="B3808" t="str">
        <f t="shared" si="59"/>
        <v>SERRA NOVA DOURADA, MT, Brasil</v>
      </c>
      <c r="C3808" s="4" t="str">
        <f>_xlfn.XLOOKUP(A3808,[1]!DadosGHD[CD_GEOCMU],[1]!DadosGHD[Região])</f>
        <v>CO</v>
      </c>
      <c r="D3808" s="4" t="str">
        <f>_xlfn.XLOOKUP(A3808,[1]!DadosGHD[CD_GEOCMU],[1]!DadosGHD[uf])</f>
        <v>MT</v>
      </c>
      <c r="E3808" s="5" t="str">
        <f>_xlfn.XLOOKUP(A3808,[1]!DadosGHD[CD_GEOCMU],[1]!DadosGHD[MUNICIPIO])</f>
        <v>SERRA NOVA DOURADA</v>
      </c>
      <c r="F3808" s="6">
        <v>48.569351196289098</v>
      </c>
      <c r="G3808" s="6">
        <v>43.700103759765597</v>
      </c>
      <c r="H3808" s="6">
        <v>43.751007080078097</v>
      </c>
      <c r="I3808" s="6">
        <v>43.717430114746101</v>
      </c>
      <c r="J3808" s="6">
        <v>43.7297172546387</v>
      </c>
      <c r="K3808" s="6">
        <v>43.7679252624512</v>
      </c>
      <c r="L3808" s="6">
        <v>26.2962341308594</v>
      </c>
    </row>
    <row r="3809" spans="1:12" x14ac:dyDescent="0.25">
      <c r="A3809">
        <v>5104500</v>
      </c>
      <c r="B3809" t="str">
        <f t="shared" si="59"/>
        <v>INDIAVAI, MT, Brasil</v>
      </c>
      <c r="C3809" s="4" t="str">
        <f>_xlfn.XLOOKUP(A3809,[1]!DadosGHD[CD_GEOCMU],[1]!DadosGHD[Região])</f>
        <v>CO</v>
      </c>
      <c r="D3809" s="4" t="str">
        <f>_xlfn.XLOOKUP(A3809,[1]!DadosGHD[CD_GEOCMU],[1]!DadosGHD[uf])</f>
        <v>MT</v>
      </c>
      <c r="E3809" s="5" t="str">
        <f>_xlfn.XLOOKUP(A3809,[1]!DadosGHD[CD_GEOCMU],[1]!DadosGHD[MUNICIPIO])</f>
        <v>INDIAVAI</v>
      </c>
      <c r="F3809" s="6">
        <v>48.569499969482401</v>
      </c>
      <c r="G3809" s="6">
        <v>43.713592529296903</v>
      </c>
      <c r="H3809" s="6">
        <v>43.769718170166001</v>
      </c>
      <c r="I3809" s="6">
        <v>53.745903015136697</v>
      </c>
      <c r="J3809" s="6">
        <v>53.725986480712898</v>
      </c>
      <c r="K3809" s="6">
        <v>43.795658111572301</v>
      </c>
      <c r="L3809" s="6">
        <v>39.563915252685597</v>
      </c>
    </row>
    <row r="3810" spans="1:12" x14ac:dyDescent="0.25">
      <c r="A3810">
        <v>5005152</v>
      </c>
      <c r="B3810" t="str">
        <f t="shared" si="59"/>
        <v>JUTI, MS, Brasil</v>
      </c>
      <c r="C3810" s="4" t="str">
        <f>_xlfn.XLOOKUP(A3810,[1]!DadosGHD[CD_GEOCMU],[1]!DadosGHD[Região])</f>
        <v>CO</v>
      </c>
      <c r="D3810" s="4" t="str">
        <f>_xlfn.XLOOKUP(A3810,[1]!DadosGHD[CD_GEOCMU],[1]!DadosGHD[uf])</f>
        <v>MS</v>
      </c>
      <c r="E3810" s="5" t="str">
        <f>_xlfn.XLOOKUP(A3810,[1]!DadosGHD[CD_GEOCMU],[1]!DadosGHD[MUNICIPIO])</f>
        <v>JUTI</v>
      </c>
      <c r="F3810" s="6">
        <v>48.569549560546903</v>
      </c>
      <c r="G3810" s="6">
        <v>43.709526062011697</v>
      </c>
      <c r="H3810" s="6">
        <v>43.811531066894503</v>
      </c>
      <c r="I3810" s="6">
        <v>43.784572601318402</v>
      </c>
      <c r="J3810" s="6">
        <v>48.7627563476563</v>
      </c>
      <c r="K3810" s="6">
        <v>48.863491058349602</v>
      </c>
      <c r="L3810" s="6">
        <v>48.562442779541001</v>
      </c>
    </row>
    <row r="3811" spans="1:12" x14ac:dyDescent="0.25">
      <c r="A3811">
        <v>3144300</v>
      </c>
      <c r="B3811" t="str">
        <f t="shared" si="59"/>
        <v>NANUQUE, MG, Brasil</v>
      </c>
      <c r="C3811" s="4" t="str">
        <f>_xlfn.XLOOKUP(A3811,[1]!DadosGHD[CD_GEOCMU],[1]!DadosGHD[Região])</f>
        <v>SD</v>
      </c>
      <c r="D3811" s="4" t="str">
        <f>_xlfn.XLOOKUP(A3811,[1]!DadosGHD[CD_GEOCMU],[1]!DadosGHD[uf])</f>
        <v>MG</v>
      </c>
      <c r="E3811" s="5" t="str">
        <f>_xlfn.XLOOKUP(A3811,[1]!DadosGHD[CD_GEOCMU],[1]!DadosGHD[MUNICIPIO])</f>
        <v>NANUQUE</v>
      </c>
      <c r="F3811" s="6">
        <v>48.569595336914098</v>
      </c>
      <c r="G3811" s="6">
        <v>48.635829925537102</v>
      </c>
      <c r="H3811" s="6">
        <v>48.718925476074197</v>
      </c>
      <c r="I3811" s="6">
        <v>48.688591003417997</v>
      </c>
      <c r="J3811" s="6">
        <v>43.816432952880902</v>
      </c>
      <c r="K3811" s="6">
        <v>38.8897514343262</v>
      </c>
      <c r="L3811" s="6">
        <v>30.707105636596701</v>
      </c>
    </row>
    <row r="3812" spans="1:12" x14ac:dyDescent="0.25">
      <c r="A3812">
        <v>4125753</v>
      </c>
      <c r="B3812" t="str">
        <f t="shared" si="59"/>
        <v>SAO PEDRO DO IGUACU, PR, Brasil</v>
      </c>
      <c r="C3812" s="4" t="str">
        <f>_xlfn.XLOOKUP(A3812,[1]!DadosGHD[CD_GEOCMU],[1]!DadosGHD[Região])</f>
        <v>SL</v>
      </c>
      <c r="D3812" s="4" t="str">
        <f>_xlfn.XLOOKUP(A3812,[1]!DadosGHD[CD_GEOCMU],[1]!DadosGHD[uf])</f>
        <v>PR</v>
      </c>
      <c r="E3812" s="5" t="str">
        <f>_xlfn.XLOOKUP(A3812,[1]!DadosGHD[CD_GEOCMU],[1]!DadosGHD[MUNICIPIO])</f>
        <v>SAO PEDRO DO IGUACU</v>
      </c>
      <c r="F3812" s="6">
        <v>48.569644927978501</v>
      </c>
      <c r="G3812" s="6">
        <v>43.7371826171875</v>
      </c>
      <c r="H3812" s="6">
        <v>43.784397125244098</v>
      </c>
      <c r="I3812" s="6">
        <v>43.773593902587898</v>
      </c>
      <c r="J3812" s="6">
        <v>48.7294921875</v>
      </c>
      <c r="K3812" s="6">
        <v>53.819099426269503</v>
      </c>
      <c r="L3812" s="6">
        <v>48.530719757080099</v>
      </c>
    </row>
    <row r="3813" spans="1:12" x14ac:dyDescent="0.25">
      <c r="A3813">
        <v>1100114</v>
      </c>
      <c r="B3813" t="str">
        <f t="shared" si="59"/>
        <v>JARU, RO, Brasil</v>
      </c>
      <c r="C3813" s="4" t="str">
        <f>_xlfn.XLOOKUP(A3813,[1]!DadosGHD[CD_GEOCMU],[1]!DadosGHD[Região])</f>
        <v>NO</v>
      </c>
      <c r="D3813" s="4" t="str">
        <f>_xlfn.XLOOKUP(A3813,[1]!DadosGHD[CD_GEOCMU],[1]!DadosGHD[uf])</f>
        <v>RO</v>
      </c>
      <c r="E3813" s="5" t="str">
        <f>_xlfn.XLOOKUP(A3813,[1]!DadosGHD[CD_GEOCMU],[1]!DadosGHD[MUNICIPIO])</f>
        <v>JARU</v>
      </c>
      <c r="F3813" s="6">
        <v>48.569652557373097</v>
      </c>
      <c r="G3813" s="6">
        <v>48.660045623779297</v>
      </c>
      <c r="H3813" s="6">
        <v>48.746612548828097</v>
      </c>
      <c r="I3813" s="6">
        <v>48.747955322265597</v>
      </c>
      <c r="J3813" s="6">
        <v>53.7271728515625</v>
      </c>
      <c r="K3813" s="6">
        <v>53.884727478027301</v>
      </c>
      <c r="L3813" s="6">
        <v>48.548900604248097</v>
      </c>
    </row>
    <row r="3814" spans="1:12" x14ac:dyDescent="0.25">
      <c r="A3814">
        <v>3555307</v>
      </c>
      <c r="B3814" t="str">
        <f t="shared" si="59"/>
        <v>TURMALINA, SP, Brasil</v>
      </c>
      <c r="C3814" s="4" t="str">
        <f>_xlfn.XLOOKUP(A3814,[1]!DadosGHD[CD_GEOCMU],[1]!DadosGHD[Região])</f>
        <v>SD</v>
      </c>
      <c r="D3814" s="4" t="str">
        <f>_xlfn.XLOOKUP(A3814,[1]!DadosGHD[CD_GEOCMU],[1]!DadosGHD[uf])</f>
        <v>SP</v>
      </c>
      <c r="E3814" s="5" t="str">
        <f>_xlfn.XLOOKUP(A3814,[1]!DadosGHD[CD_GEOCMU],[1]!DadosGHD[MUNICIPIO])</f>
        <v>TURMALINA</v>
      </c>
      <c r="F3814" s="6">
        <v>48.570590972900398</v>
      </c>
      <c r="G3814" s="6">
        <v>43.711929321289098</v>
      </c>
      <c r="H3814" s="6">
        <v>43.767326354980497</v>
      </c>
      <c r="I3814" s="6">
        <v>43.723747253417997</v>
      </c>
      <c r="J3814" s="6">
        <v>43.732410430908203</v>
      </c>
      <c r="K3814" s="6">
        <v>43.774250030517599</v>
      </c>
      <c r="L3814" s="6">
        <v>35.118019104003899</v>
      </c>
    </row>
    <row r="3815" spans="1:12" x14ac:dyDescent="0.25">
      <c r="A3815">
        <v>5203302</v>
      </c>
      <c r="B3815" t="str">
        <f t="shared" si="59"/>
        <v>BELA VISTA DE GOIAS, GO, Brasil</v>
      </c>
      <c r="C3815" s="4" t="str">
        <f>_xlfn.XLOOKUP(A3815,[1]!DadosGHD[CD_GEOCMU],[1]!DadosGHD[Região])</f>
        <v>CO</v>
      </c>
      <c r="D3815" s="4" t="str">
        <f>_xlfn.XLOOKUP(A3815,[1]!DadosGHD[CD_GEOCMU],[1]!DadosGHD[uf])</f>
        <v>GO</v>
      </c>
      <c r="E3815" s="5" t="str">
        <f>_xlfn.XLOOKUP(A3815,[1]!DadosGHD[CD_GEOCMU],[1]!DadosGHD[MUNICIPIO])</f>
        <v>BELA VISTA DE GOIAS</v>
      </c>
      <c r="F3815" s="6">
        <v>48.570888519287102</v>
      </c>
      <c r="G3815" s="6">
        <v>48.732105255127003</v>
      </c>
      <c r="H3815" s="6">
        <v>48.854824066162102</v>
      </c>
      <c r="I3815" s="6">
        <v>53.741561889648402</v>
      </c>
      <c r="J3815" s="6">
        <v>48.782356262207003</v>
      </c>
      <c r="K3815" s="6">
        <v>43.773193359375</v>
      </c>
      <c r="L3815" s="6">
        <v>35.1435356140137</v>
      </c>
    </row>
    <row r="3816" spans="1:12" x14ac:dyDescent="0.25">
      <c r="A3816">
        <v>3119807</v>
      </c>
      <c r="B3816" t="str">
        <f t="shared" si="59"/>
        <v>CORREGO DANTA, MG, Brasil</v>
      </c>
      <c r="C3816" s="4" t="str">
        <f>_xlfn.XLOOKUP(A3816,[1]!DadosGHD[CD_GEOCMU],[1]!DadosGHD[Região])</f>
        <v>SD</v>
      </c>
      <c r="D3816" s="4" t="str">
        <f>_xlfn.XLOOKUP(A3816,[1]!DadosGHD[CD_GEOCMU],[1]!DadosGHD[uf])</f>
        <v>MG</v>
      </c>
      <c r="E3816" s="5" t="str">
        <f>_xlfn.XLOOKUP(A3816,[1]!DadosGHD[CD_GEOCMU],[1]!DadosGHD[MUNICIPIO])</f>
        <v>CORREGO DANTA</v>
      </c>
      <c r="F3816" s="6">
        <v>48.570999145507798</v>
      </c>
      <c r="G3816" s="6">
        <v>53.697975158691399</v>
      </c>
      <c r="H3816" s="6">
        <v>53.806232452392599</v>
      </c>
      <c r="I3816" s="6">
        <v>53.808059692382798</v>
      </c>
      <c r="J3816" s="6">
        <v>53.884433746337898</v>
      </c>
      <c r="K3816" s="6">
        <v>53.934047698974602</v>
      </c>
      <c r="L3816" s="6">
        <v>39.609607696533203</v>
      </c>
    </row>
    <row r="3817" spans="1:12" x14ac:dyDescent="0.25">
      <c r="A3817">
        <v>3301108</v>
      </c>
      <c r="B3817" t="str">
        <f t="shared" si="59"/>
        <v>CANTAGALO, RJ, Brasil</v>
      </c>
      <c r="C3817" s="4" t="str">
        <f>_xlfn.XLOOKUP(A3817,[1]!DadosGHD[CD_GEOCMU],[1]!DadosGHD[Região])</f>
        <v>SD</v>
      </c>
      <c r="D3817" s="4" t="str">
        <f>_xlfn.XLOOKUP(A3817,[1]!DadosGHD[CD_GEOCMU],[1]!DadosGHD[uf])</f>
        <v>RJ</v>
      </c>
      <c r="E3817" s="5" t="str">
        <f>_xlfn.XLOOKUP(A3817,[1]!DadosGHD[CD_GEOCMU],[1]!DadosGHD[MUNICIPIO])</f>
        <v>CANTAGALO</v>
      </c>
      <c r="F3817" s="6">
        <v>48.571304321289098</v>
      </c>
      <c r="G3817" s="6">
        <v>43.745368957519503</v>
      </c>
      <c r="H3817" s="6">
        <v>43.823429107666001</v>
      </c>
      <c r="I3817" s="6">
        <v>43.803173065185597</v>
      </c>
      <c r="J3817" s="6">
        <v>48.703563690185597</v>
      </c>
      <c r="K3817" s="6">
        <v>58.934883117675803</v>
      </c>
      <c r="L3817" s="6">
        <v>57.589237213134801</v>
      </c>
    </row>
    <row r="3818" spans="1:12" x14ac:dyDescent="0.25">
      <c r="A3818">
        <v>3168804</v>
      </c>
      <c r="B3818" t="str">
        <f t="shared" si="59"/>
        <v>TIRADENTES, MG, Brasil</v>
      </c>
      <c r="C3818" s="4" t="str">
        <f>_xlfn.XLOOKUP(A3818,[1]!DadosGHD[CD_GEOCMU],[1]!DadosGHD[Região])</f>
        <v>SD</v>
      </c>
      <c r="D3818" s="4" t="str">
        <f>_xlfn.XLOOKUP(A3818,[1]!DadosGHD[CD_GEOCMU],[1]!DadosGHD[uf])</f>
        <v>MG</v>
      </c>
      <c r="E3818" s="5" t="str">
        <f>_xlfn.XLOOKUP(A3818,[1]!DadosGHD[CD_GEOCMU],[1]!DadosGHD[MUNICIPIO])</f>
        <v>TIRADENTES</v>
      </c>
      <c r="F3818" s="6">
        <v>48.571361541748097</v>
      </c>
      <c r="G3818" s="6">
        <v>43.752021789550803</v>
      </c>
      <c r="H3818" s="6">
        <v>48.853111267089801</v>
      </c>
      <c r="I3818" s="6">
        <v>53.820163726806598</v>
      </c>
      <c r="J3818" s="6">
        <v>53.888839721679702</v>
      </c>
      <c r="K3818" s="6">
        <v>53.884536743164098</v>
      </c>
      <c r="L3818" s="6">
        <v>57.583683013916001</v>
      </c>
    </row>
    <row r="3819" spans="1:12" x14ac:dyDescent="0.25">
      <c r="A3819">
        <v>3550506</v>
      </c>
      <c r="B3819" t="str">
        <f t="shared" si="59"/>
        <v>SAO PEDRO DO TURVO, SP, Brasil</v>
      </c>
      <c r="C3819" s="4" t="str">
        <f>_xlfn.XLOOKUP(A3819,[1]!DadosGHD[CD_GEOCMU],[1]!DadosGHD[Região])</f>
        <v>SD</v>
      </c>
      <c r="D3819" s="4" t="str">
        <f>_xlfn.XLOOKUP(A3819,[1]!DadosGHD[CD_GEOCMU],[1]!DadosGHD[uf])</f>
        <v>SP</v>
      </c>
      <c r="E3819" s="5" t="str">
        <f>_xlfn.XLOOKUP(A3819,[1]!DadosGHD[CD_GEOCMU],[1]!DadosGHD[MUNICIPIO])</f>
        <v>SAO PEDRO DO TURVO</v>
      </c>
      <c r="F3819" s="6">
        <v>48.571949005127003</v>
      </c>
      <c r="G3819" s="6">
        <v>43.745513916015597</v>
      </c>
      <c r="H3819" s="6">
        <v>43.775417327880902</v>
      </c>
      <c r="I3819" s="6">
        <v>43.779811859130902</v>
      </c>
      <c r="J3819" s="6">
        <v>48.819225311279297</v>
      </c>
      <c r="K3819" s="6">
        <v>43.8704833984375</v>
      </c>
      <c r="L3819" s="6">
        <v>39.588420867919901</v>
      </c>
    </row>
    <row r="3820" spans="1:12" x14ac:dyDescent="0.25">
      <c r="A3820">
        <v>3105004</v>
      </c>
      <c r="B3820" t="str">
        <f t="shared" si="59"/>
        <v>BALDIM, MG, Brasil</v>
      </c>
      <c r="C3820" s="4" t="str">
        <f>_xlfn.XLOOKUP(A3820,[1]!DadosGHD[CD_GEOCMU],[1]!DadosGHD[Região])</f>
        <v>SD</v>
      </c>
      <c r="D3820" s="4" t="str">
        <f>_xlfn.XLOOKUP(A3820,[1]!DadosGHD[CD_GEOCMU],[1]!DadosGHD[uf])</f>
        <v>MG</v>
      </c>
      <c r="E3820" s="5" t="str">
        <f>_xlfn.XLOOKUP(A3820,[1]!DadosGHD[CD_GEOCMU],[1]!DadosGHD[MUNICIPIO])</f>
        <v>BALDIM</v>
      </c>
      <c r="F3820" s="6">
        <v>48.571952819824197</v>
      </c>
      <c r="G3820" s="6">
        <v>43.716434478759801</v>
      </c>
      <c r="H3820" s="6">
        <v>38.808372497558601</v>
      </c>
      <c r="I3820" s="6">
        <v>38.769767761230497</v>
      </c>
      <c r="J3820" s="6">
        <v>38.789112091064503</v>
      </c>
      <c r="K3820" s="6">
        <v>38.827960968017599</v>
      </c>
      <c r="L3820" s="6">
        <v>44.037075042724602</v>
      </c>
    </row>
    <row r="3821" spans="1:12" x14ac:dyDescent="0.25">
      <c r="A3821">
        <v>3168606</v>
      </c>
      <c r="B3821" t="str">
        <f t="shared" si="59"/>
        <v>TEOFILO OTONI, MG, Brasil</v>
      </c>
      <c r="C3821" s="4" t="str">
        <f>_xlfn.XLOOKUP(A3821,[1]!DadosGHD[CD_GEOCMU],[1]!DadosGHD[Região])</f>
        <v>SD</v>
      </c>
      <c r="D3821" s="4" t="str">
        <f>_xlfn.XLOOKUP(A3821,[1]!DadosGHD[CD_GEOCMU],[1]!DadosGHD[uf])</f>
        <v>MG</v>
      </c>
      <c r="E3821" s="5" t="str">
        <f>_xlfn.XLOOKUP(A3821,[1]!DadosGHD[CD_GEOCMU],[1]!DadosGHD[MUNICIPIO])</f>
        <v>TEOFILO OTONI</v>
      </c>
      <c r="F3821" s="6">
        <v>48.572048187255902</v>
      </c>
      <c r="G3821" s="6">
        <v>43.760349273681598</v>
      </c>
      <c r="H3821" s="6">
        <v>43.7954292297363</v>
      </c>
      <c r="I3821" s="6">
        <v>43.764671325683601</v>
      </c>
      <c r="J3821" s="6">
        <v>43.825248718261697</v>
      </c>
      <c r="K3821" s="6">
        <v>43.822956085205099</v>
      </c>
      <c r="L3821" s="6">
        <v>39.5856323242188</v>
      </c>
    </row>
    <row r="3822" spans="1:12" x14ac:dyDescent="0.25">
      <c r="A3822">
        <v>3114600</v>
      </c>
      <c r="B3822" t="str">
        <f t="shared" si="59"/>
        <v>CARRANCAS, MG, Brasil</v>
      </c>
      <c r="C3822" s="4" t="str">
        <f>_xlfn.XLOOKUP(A3822,[1]!DadosGHD[CD_GEOCMU],[1]!DadosGHD[Região])</f>
        <v>SD</v>
      </c>
      <c r="D3822" s="4" t="str">
        <f>_xlfn.XLOOKUP(A3822,[1]!DadosGHD[CD_GEOCMU],[1]!DadosGHD[uf])</f>
        <v>MG</v>
      </c>
      <c r="E3822" s="5" t="str">
        <f>_xlfn.XLOOKUP(A3822,[1]!DadosGHD[CD_GEOCMU],[1]!DadosGHD[MUNICIPIO])</f>
        <v>CARRANCAS</v>
      </c>
      <c r="F3822" s="6">
        <v>48.572055816650398</v>
      </c>
      <c r="G3822" s="6">
        <v>38.7827339172363</v>
      </c>
      <c r="H3822" s="6">
        <v>38.823219299316399</v>
      </c>
      <c r="I3822" s="6">
        <v>48.702995300292997</v>
      </c>
      <c r="J3822" s="6">
        <v>48.699428558349602</v>
      </c>
      <c r="K3822" s="6">
        <v>53.915359497070298</v>
      </c>
      <c r="L3822" s="6">
        <v>57.529777526855497</v>
      </c>
    </row>
    <row r="3823" spans="1:12" x14ac:dyDescent="0.25">
      <c r="A3823">
        <v>3520004</v>
      </c>
      <c r="B3823" t="str">
        <f t="shared" si="59"/>
        <v>IGARACU DO TIETE, SP, Brasil</v>
      </c>
      <c r="C3823" s="4" t="str">
        <f>_xlfn.XLOOKUP(A3823,[1]!DadosGHD[CD_GEOCMU],[1]!DadosGHD[Região])</f>
        <v>SD</v>
      </c>
      <c r="D3823" s="4" t="str">
        <f>_xlfn.XLOOKUP(A3823,[1]!DadosGHD[CD_GEOCMU],[1]!DadosGHD[uf])</f>
        <v>SP</v>
      </c>
      <c r="E3823" s="5" t="str">
        <f>_xlfn.XLOOKUP(A3823,[1]!DadosGHD[CD_GEOCMU],[1]!DadosGHD[MUNICIPIO])</f>
        <v>IGARACU DO TIETE</v>
      </c>
      <c r="F3823" s="6">
        <v>48.572551727294901</v>
      </c>
      <c r="G3823" s="6">
        <v>48.665390014648402</v>
      </c>
      <c r="H3823" s="6">
        <v>48.750465393066399</v>
      </c>
      <c r="I3823" s="6">
        <v>43.769100189208999</v>
      </c>
      <c r="J3823" s="6">
        <v>48.828540802002003</v>
      </c>
      <c r="K3823" s="6">
        <v>48.8346138000488</v>
      </c>
      <c r="L3823" s="6">
        <v>53.043045043945298</v>
      </c>
    </row>
    <row r="3824" spans="1:12" x14ac:dyDescent="0.25">
      <c r="A3824">
        <v>1706258</v>
      </c>
      <c r="B3824" t="str">
        <f t="shared" si="59"/>
        <v>CRIXAS DO TOCANTINS, TO, Brasil</v>
      </c>
      <c r="C3824" s="4" t="str">
        <f>_xlfn.XLOOKUP(A3824,[1]!DadosGHD[CD_GEOCMU],[1]!DadosGHD[Região])</f>
        <v>NO</v>
      </c>
      <c r="D3824" s="4" t="str">
        <f>_xlfn.XLOOKUP(A3824,[1]!DadosGHD[CD_GEOCMU],[1]!DadosGHD[uf])</f>
        <v>TO</v>
      </c>
      <c r="E3824" s="5" t="str">
        <f>_xlfn.XLOOKUP(A3824,[1]!DadosGHD[CD_GEOCMU],[1]!DadosGHD[MUNICIPIO])</f>
        <v>CRIXAS DO TOCANTINS</v>
      </c>
      <c r="F3824" s="6">
        <v>48.5726318359375</v>
      </c>
      <c r="G3824" s="6">
        <v>43.702259063720703</v>
      </c>
      <c r="H3824" s="6">
        <v>43.751178741455099</v>
      </c>
      <c r="I3824" s="6">
        <v>43.718265533447301</v>
      </c>
      <c r="J3824" s="6">
        <v>43.727989196777301</v>
      </c>
      <c r="K3824" s="6">
        <v>43.7679252624512</v>
      </c>
      <c r="L3824" s="6">
        <v>26.2962341308594</v>
      </c>
    </row>
    <row r="3825" spans="1:12" x14ac:dyDescent="0.25">
      <c r="A3825">
        <v>5205059</v>
      </c>
      <c r="B3825" t="str">
        <f t="shared" si="59"/>
        <v>CASTELANDIA, GO, Brasil</v>
      </c>
      <c r="C3825" s="4" t="str">
        <f>_xlfn.XLOOKUP(A3825,[1]!DadosGHD[CD_GEOCMU],[1]!DadosGHD[Região])</f>
        <v>CO</v>
      </c>
      <c r="D3825" s="4" t="str">
        <f>_xlfn.XLOOKUP(A3825,[1]!DadosGHD[CD_GEOCMU],[1]!DadosGHD[uf])</f>
        <v>GO</v>
      </c>
      <c r="E3825" s="5" t="str">
        <f>_xlfn.XLOOKUP(A3825,[1]!DadosGHD[CD_GEOCMU],[1]!DadosGHD[MUNICIPIO])</f>
        <v>CASTELANDIA</v>
      </c>
      <c r="F3825" s="6">
        <v>48.572948455810597</v>
      </c>
      <c r="G3825" s="6">
        <v>43.754306793212898</v>
      </c>
      <c r="H3825" s="6">
        <v>43.792278289794901</v>
      </c>
      <c r="I3825" s="6">
        <v>43.781349182128899</v>
      </c>
      <c r="J3825" s="6">
        <v>43.790977478027301</v>
      </c>
      <c r="K3825" s="6">
        <v>43.8292236328125</v>
      </c>
      <c r="L3825" s="6">
        <v>39.563533782958999</v>
      </c>
    </row>
    <row r="3826" spans="1:12" x14ac:dyDescent="0.25">
      <c r="A3826">
        <v>3104908</v>
      </c>
      <c r="B3826" t="str">
        <f t="shared" si="59"/>
        <v>BAEPENDI, MG, Brasil</v>
      </c>
      <c r="C3826" s="4" t="str">
        <f>_xlfn.XLOOKUP(A3826,[1]!DadosGHD[CD_GEOCMU],[1]!DadosGHD[Região])</f>
        <v>SD</v>
      </c>
      <c r="D3826" s="4" t="str">
        <f>_xlfn.XLOOKUP(A3826,[1]!DadosGHD[CD_GEOCMU],[1]!DadosGHD[uf])</f>
        <v>MG</v>
      </c>
      <c r="E3826" s="5" t="str">
        <f>_xlfn.XLOOKUP(A3826,[1]!DadosGHD[CD_GEOCMU],[1]!DadosGHD[MUNICIPIO])</f>
        <v>BAEPENDI</v>
      </c>
      <c r="F3826" s="6">
        <v>48.573062896728501</v>
      </c>
      <c r="G3826" s="6">
        <v>48.688301086425803</v>
      </c>
      <c r="H3826" s="6">
        <v>48.736286163330099</v>
      </c>
      <c r="I3826" s="6">
        <v>48.697669982910199</v>
      </c>
      <c r="J3826" s="6">
        <v>48.706100463867202</v>
      </c>
      <c r="K3826" s="6">
        <v>43.820083618164098</v>
      </c>
      <c r="L3826" s="6">
        <v>39.573226928710902</v>
      </c>
    </row>
    <row r="3827" spans="1:12" x14ac:dyDescent="0.25">
      <c r="A3827">
        <v>4112702</v>
      </c>
      <c r="B3827" t="str">
        <f t="shared" si="59"/>
        <v>JATAIZINHO, PR, Brasil</v>
      </c>
      <c r="C3827" s="4" t="str">
        <f>_xlfn.XLOOKUP(A3827,[1]!DadosGHD[CD_GEOCMU],[1]!DadosGHD[Região])</f>
        <v>SL</v>
      </c>
      <c r="D3827" s="4" t="str">
        <f>_xlfn.XLOOKUP(A3827,[1]!DadosGHD[CD_GEOCMU],[1]!DadosGHD[uf])</f>
        <v>PR</v>
      </c>
      <c r="E3827" s="5" t="str">
        <f>_xlfn.XLOOKUP(A3827,[1]!DadosGHD[CD_GEOCMU],[1]!DadosGHD[MUNICIPIO])</f>
        <v>JATAIZINHO</v>
      </c>
      <c r="F3827" s="6">
        <v>48.573177337646499</v>
      </c>
      <c r="G3827" s="6">
        <v>48.6966361999512</v>
      </c>
      <c r="H3827" s="6">
        <v>48.745777130127003</v>
      </c>
      <c r="I3827" s="6">
        <v>43.802444458007798</v>
      </c>
      <c r="J3827" s="6">
        <v>48.764541625976598</v>
      </c>
      <c r="K3827" s="6">
        <v>43.837352752685597</v>
      </c>
      <c r="L3827" s="6">
        <v>39.577781677246101</v>
      </c>
    </row>
    <row r="3828" spans="1:12" x14ac:dyDescent="0.25">
      <c r="A3828">
        <v>3117504</v>
      </c>
      <c r="B3828" t="str">
        <f t="shared" si="59"/>
        <v>CONCEICAO DO MATO DENTRO, MG, Brasil</v>
      </c>
      <c r="C3828" s="4" t="str">
        <f>_xlfn.XLOOKUP(A3828,[1]!DadosGHD[CD_GEOCMU],[1]!DadosGHD[Região])</f>
        <v>SD</v>
      </c>
      <c r="D3828" s="4" t="str">
        <f>_xlfn.XLOOKUP(A3828,[1]!DadosGHD[CD_GEOCMU],[1]!DadosGHD[uf])</f>
        <v>MG</v>
      </c>
      <c r="E3828" s="5" t="str">
        <f>_xlfn.XLOOKUP(A3828,[1]!DadosGHD[CD_GEOCMU],[1]!DadosGHD[MUNICIPIO])</f>
        <v>CONCEICAO DO MATO DENTRO</v>
      </c>
      <c r="F3828" s="6">
        <v>48.573204040527301</v>
      </c>
      <c r="G3828" s="6">
        <v>58.792778015136697</v>
      </c>
      <c r="H3828" s="6">
        <v>58.898811340332003</v>
      </c>
      <c r="I3828" s="6">
        <v>58.839813232421903</v>
      </c>
      <c r="J3828" s="6">
        <v>58.8702201843262</v>
      </c>
      <c r="K3828" s="6">
        <v>48.881858825683601</v>
      </c>
      <c r="L3828" s="6">
        <v>48.561805725097699</v>
      </c>
    </row>
    <row r="3829" spans="1:12" x14ac:dyDescent="0.25">
      <c r="A3829">
        <v>3102050</v>
      </c>
      <c r="B3829" t="str">
        <f t="shared" si="59"/>
        <v>ALTO CAPARAO, MG, Brasil</v>
      </c>
      <c r="C3829" s="4" t="str">
        <f>_xlfn.XLOOKUP(A3829,[1]!DadosGHD[CD_GEOCMU],[1]!DadosGHD[Região])</f>
        <v>SD</v>
      </c>
      <c r="D3829" s="4" t="str">
        <f>_xlfn.XLOOKUP(A3829,[1]!DadosGHD[CD_GEOCMU],[1]!DadosGHD[uf])</f>
        <v>MG</v>
      </c>
      <c r="E3829" s="5" t="str">
        <f>_xlfn.XLOOKUP(A3829,[1]!DadosGHD[CD_GEOCMU],[1]!DadosGHD[MUNICIPIO])</f>
        <v>ALTO CAPARAO</v>
      </c>
      <c r="F3829" s="6">
        <v>48.573204040527301</v>
      </c>
      <c r="G3829" s="6">
        <v>48.6612548828125</v>
      </c>
      <c r="H3829" s="6">
        <v>43.776355743408203</v>
      </c>
      <c r="I3829" s="6">
        <v>43.685001373291001</v>
      </c>
      <c r="J3829" s="6">
        <v>48.7775688171387</v>
      </c>
      <c r="K3829" s="6">
        <v>53.851039886474602</v>
      </c>
      <c r="L3829" s="6">
        <v>57.533519744873097</v>
      </c>
    </row>
    <row r="3830" spans="1:12" x14ac:dyDescent="0.25">
      <c r="A3830">
        <v>3115805</v>
      </c>
      <c r="B3830" t="str">
        <f t="shared" si="59"/>
        <v>CENTRALINA, MG, Brasil</v>
      </c>
      <c r="C3830" s="4" t="str">
        <f>_xlfn.XLOOKUP(A3830,[1]!DadosGHD[CD_GEOCMU],[1]!DadosGHD[Região])</f>
        <v>SD</v>
      </c>
      <c r="D3830" s="4" t="str">
        <f>_xlfn.XLOOKUP(A3830,[1]!DadosGHD[CD_GEOCMU],[1]!DadosGHD[uf])</f>
        <v>MG</v>
      </c>
      <c r="E3830" s="5" t="str">
        <f>_xlfn.XLOOKUP(A3830,[1]!DadosGHD[CD_GEOCMU],[1]!DadosGHD[MUNICIPIO])</f>
        <v>CENTRALINA</v>
      </c>
      <c r="F3830" s="6">
        <v>48.573810577392599</v>
      </c>
      <c r="G3830" s="6">
        <v>48.686595916748097</v>
      </c>
      <c r="H3830" s="6">
        <v>48.758129119873097</v>
      </c>
      <c r="I3830" s="6">
        <v>48.749435424804702</v>
      </c>
      <c r="J3830" s="6">
        <v>48.774791717529297</v>
      </c>
      <c r="K3830" s="6">
        <v>48.813514709472699</v>
      </c>
      <c r="L3830" s="6">
        <v>44.066066741943402</v>
      </c>
    </row>
    <row r="3831" spans="1:12" x14ac:dyDescent="0.25">
      <c r="A3831">
        <v>3117306</v>
      </c>
      <c r="B3831" t="str">
        <f t="shared" si="59"/>
        <v>CONCEICAO DAS ALAGOAS, MG, Brasil</v>
      </c>
      <c r="C3831" s="4" t="str">
        <f>_xlfn.XLOOKUP(A3831,[1]!DadosGHD[CD_GEOCMU],[1]!DadosGHD[Região])</f>
        <v>SD</v>
      </c>
      <c r="D3831" s="4" t="str">
        <f>_xlfn.XLOOKUP(A3831,[1]!DadosGHD[CD_GEOCMU],[1]!DadosGHD[uf])</f>
        <v>MG</v>
      </c>
      <c r="E3831" s="5" t="str">
        <f>_xlfn.XLOOKUP(A3831,[1]!DadosGHD[CD_GEOCMU],[1]!DadosGHD[MUNICIPIO])</f>
        <v>CONCEICAO DAS ALAGOAS</v>
      </c>
      <c r="F3831" s="6">
        <v>48.573890686035199</v>
      </c>
      <c r="G3831" s="6">
        <v>43.755729675292997</v>
      </c>
      <c r="H3831" s="6">
        <v>43.806793212890597</v>
      </c>
      <c r="I3831" s="6">
        <v>48.7121391296387</v>
      </c>
      <c r="J3831" s="6">
        <v>48.760757446289098</v>
      </c>
      <c r="K3831" s="6">
        <v>48.846057891845703</v>
      </c>
      <c r="L3831" s="6">
        <v>48.527046203613303</v>
      </c>
    </row>
    <row r="3832" spans="1:12" x14ac:dyDescent="0.25">
      <c r="A3832">
        <v>4317756</v>
      </c>
      <c r="B3832" t="str">
        <f t="shared" si="59"/>
        <v>SANTO ANTONIO DO PLANALTO, RS, Brasil</v>
      </c>
      <c r="C3832" s="4" t="str">
        <f>_xlfn.XLOOKUP(A3832,[1]!DadosGHD[CD_GEOCMU],[1]!DadosGHD[Região])</f>
        <v>SL</v>
      </c>
      <c r="D3832" s="4" t="str">
        <f>_xlfn.XLOOKUP(A3832,[1]!DadosGHD[CD_GEOCMU],[1]!DadosGHD[uf])</f>
        <v>RS</v>
      </c>
      <c r="E3832" s="5" t="str">
        <f>_xlfn.XLOOKUP(A3832,[1]!DadosGHD[CD_GEOCMU],[1]!DadosGHD[MUNICIPIO])</f>
        <v>SANTO ANTONIO DO PLANALTO</v>
      </c>
      <c r="F3832" s="6">
        <v>48.5740776062012</v>
      </c>
      <c r="G3832" s="6">
        <v>58.7501029968262</v>
      </c>
      <c r="H3832" s="6">
        <v>58.825725555419901</v>
      </c>
      <c r="I3832" s="6">
        <v>58.789150238037102</v>
      </c>
      <c r="J3832" s="6">
        <v>58.809104919433601</v>
      </c>
      <c r="K3832" s="6">
        <v>53.9633598327637</v>
      </c>
      <c r="L3832" s="6">
        <v>39.595485687255902</v>
      </c>
    </row>
    <row r="3833" spans="1:12" x14ac:dyDescent="0.25">
      <c r="A3833">
        <v>5214705</v>
      </c>
      <c r="B3833" t="str">
        <f t="shared" si="59"/>
        <v>NOVA AMERICA, GO, Brasil</v>
      </c>
      <c r="C3833" s="4" t="str">
        <f>_xlfn.XLOOKUP(A3833,[1]!DadosGHD[CD_GEOCMU],[1]!DadosGHD[Região])</f>
        <v>CO</v>
      </c>
      <c r="D3833" s="4" t="str">
        <f>_xlfn.XLOOKUP(A3833,[1]!DadosGHD[CD_GEOCMU],[1]!DadosGHD[uf])</f>
        <v>GO</v>
      </c>
      <c r="E3833" s="5" t="str">
        <f>_xlfn.XLOOKUP(A3833,[1]!DadosGHD[CD_GEOCMU],[1]!DadosGHD[MUNICIPIO])</f>
        <v>NOVA AMERICA</v>
      </c>
      <c r="F3833" s="6">
        <v>48.574378967285199</v>
      </c>
      <c r="G3833" s="6">
        <v>43.700599670410199</v>
      </c>
      <c r="H3833" s="6">
        <v>43.751415252685597</v>
      </c>
      <c r="I3833" s="6">
        <v>43.715862274169901</v>
      </c>
      <c r="J3833" s="6">
        <v>33.823463439941399</v>
      </c>
      <c r="K3833" s="6">
        <v>38.789085388183601</v>
      </c>
      <c r="L3833" s="6">
        <v>30.718833923339801</v>
      </c>
    </row>
    <row r="3834" spans="1:12" x14ac:dyDescent="0.25">
      <c r="A3834">
        <v>4319372</v>
      </c>
      <c r="B3834" t="str">
        <f t="shared" si="59"/>
        <v>SAO PEDRO DO BUTIA, RS, Brasil</v>
      </c>
      <c r="C3834" s="4" t="str">
        <f>_xlfn.XLOOKUP(A3834,[1]!DadosGHD[CD_GEOCMU],[1]!DadosGHD[Região])</f>
        <v>SL</v>
      </c>
      <c r="D3834" s="4" t="str">
        <f>_xlfn.XLOOKUP(A3834,[1]!DadosGHD[CD_GEOCMU],[1]!DadosGHD[uf])</f>
        <v>RS</v>
      </c>
      <c r="E3834" s="5" t="str">
        <f>_xlfn.XLOOKUP(A3834,[1]!DadosGHD[CD_GEOCMU],[1]!DadosGHD[MUNICIPIO])</f>
        <v>SAO PEDRO DO BUTIA</v>
      </c>
      <c r="F3834" s="6">
        <v>48.574607849121101</v>
      </c>
      <c r="G3834" s="6">
        <v>53.722583770752003</v>
      </c>
      <c r="H3834" s="6">
        <v>53.910305023193402</v>
      </c>
      <c r="I3834" s="6">
        <v>58.956642150878899</v>
      </c>
      <c r="J3834" s="6">
        <v>58.935924530029297</v>
      </c>
      <c r="K3834" s="6">
        <v>58.9616088867188</v>
      </c>
      <c r="L3834" s="6">
        <v>52.992012023925803</v>
      </c>
    </row>
    <row r="3835" spans="1:12" x14ac:dyDescent="0.25">
      <c r="A3835">
        <v>3501301</v>
      </c>
      <c r="B3835" t="str">
        <f t="shared" si="59"/>
        <v>ALVARES MACHADO, SP, Brasil</v>
      </c>
      <c r="C3835" s="4" t="str">
        <f>_xlfn.XLOOKUP(A3835,[1]!DadosGHD[CD_GEOCMU],[1]!DadosGHD[Região])</f>
        <v>SD</v>
      </c>
      <c r="D3835" s="4" t="str">
        <f>_xlfn.XLOOKUP(A3835,[1]!DadosGHD[CD_GEOCMU],[1]!DadosGHD[uf])</f>
        <v>SP</v>
      </c>
      <c r="E3835" s="5" t="str">
        <f>_xlfn.XLOOKUP(A3835,[1]!DadosGHD[CD_GEOCMU],[1]!DadosGHD[MUNICIPIO])</f>
        <v>ALVARES MACHADO</v>
      </c>
      <c r="F3835" s="6">
        <v>48.574710845947301</v>
      </c>
      <c r="G3835" s="6">
        <v>43.749420166015597</v>
      </c>
      <c r="H3835" s="6">
        <v>43.830120086669901</v>
      </c>
      <c r="I3835" s="6">
        <v>43.762165069580099</v>
      </c>
      <c r="J3835" s="6">
        <v>48.705894470214801</v>
      </c>
      <c r="K3835" s="6">
        <v>48.786666870117202</v>
      </c>
      <c r="L3835" s="6">
        <v>48.505641937255902</v>
      </c>
    </row>
    <row r="3836" spans="1:12" x14ac:dyDescent="0.25">
      <c r="A3836">
        <v>5106315</v>
      </c>
      <c r="B3836" t="str">
        <f t="shared" si="59"/>
        <v>NOVO SANTO ANTONIO, MT, Brasil</v>
      </c>
      <c r="C3836" s="4" t="str">
        <f>_xlfn.XLOOKUP(A3836,[1]!DadosGHD[CD_GEOCMU],[1]!DadosGHD[Região])</f>
        <v>CO</v>
      </c>
      <c r="D3836" s="4" t="str">
        <f>_xlfn.XLOOKUP(A3836,[1]!DadosGHD[CD_GEOCMU],[1]!DadosGHD[uf])</f>
        <v>MT</v>
      </c>
      <c r="E3836" s="5" t="str">
        <f>_xlfn.XLOOKUP(A3836,[1]!DadosGHD[CD_GEOCMU],[1]!DadosGHD[MUNICIPIO])</f>
        <v>NOVO SANTO ANTONIO</v>
      </c>
      <c r="F3836" s="6">
        <v>48.575180053710902</v>
      </c>
      <c r="G3836" s="6">
        <v>43.705711364746101</v>
      </c>
      <c r="H3836" s="6">
        <v>43.751125335693402</v>
      </c>
      <c r="I3836" s="6">
        <v>43.7154731750488</v>
      </c>
      <c r="J3836" s="6">
        <v>43.731563568115199</v>
      </c>
      <c r="K3836" s="6">
        <v>43.757801055908203</v>
      </c>
      <c r="L3836" s="6">
        <v>35.114387512207003</v>
      </c>
    </row>
    <row r="3837" spans="1:12" x14ac:dyDescent="0.25">
      <c r="A3837">
        <v>5108402</v>
      </c>
      <c r="B3837" t="str">
        <f t="shared" si="59"/>
        <v>VARZEA GRANDE, MT, Brasil</v>
      </c>
      <c r="C3837" s="4" t="str">
        <f>_xlfn.XLOOKUP(A3837,[1]!DadosGHD[CD_GEOCMU],[1]!DadosGHD[Região])</f>
        <v>CO</v>
      </c>
      <c r="D3837" s="4" t="str">
        <f>_xlfn.XLOOKUP(A3837,[1]!DadosGHD[CD_GEOCMU],[1]!DadosGHD[uf])</f>
        <v>MT</v>
      </c>
      <c r="E3837" s="5" t="str">
        <f>_xlfn.XLOOKUP(A3837,[1]!DadosGHD[CD_GEOCMU],[1]!DadosGHD[MUNICIPIO])</f>
        <v>VARZEA GRANDE</v>
      </c>
      <c r="F3837" s="6">
        <v>48.5752143859863</v>
      </c>
      <c r="G3837" s="6">
        <v>48.66455078125</v>
      </c>
      <c r="H3837" s="6">
        <v>43.821723937988303</v>
      </c>
      <c r="I3837" s="6">
        <v>43.780338287353501</v>
      </c>
      <c r="J3837" s="6">
        <v>43.776252746582003</v>
      </c>
      <c r="K3837" s="6">
        <v>43.7935600280762</v>
      </c>
      <c r="L3837" s="6">
        <v>44.017292022705099</v>
      </c>
    </row>
    <row r="3838" spans="1:12" x14ac:dyDescent="0.25">
      <c r="A3838">
        <v>4112504</v>
      </c>
      <c r="B3838" t="str">
        <f t="shared" si="59"/>
        <v>JARDIM ALEGRE, PR, Brasil</v>
      </c>
      <c r="C3838" s="4" t="str">
        <f>_xlfn.XLOOKUP(A3838,[1]!DadosGHD[CD_GEOCMU],[1]!DadosGHD[Região])</f>
        <v>SL</v>
      </c>
      <c r="D3838" s="4" t="str">
        <f>_xlfn.XLOOKUP(A3838,[1]!DadosGHD[CD_GEOCMU],[1]!DadosGHD[uf])</f>
        <v>PR</v>
      </c>
      <c r="E3838" s="5" t="str">
        <f>_xlfn.XLOOKUP(A3838,[1]!DadosGHD[CD_GEOCMU],[1]!DadosGHD[MUNICIPIO])</f>
        <v>JARDIM ALEGRE</v>
      </c>
      <c r="F3838" s="6">
        <v>48.575233459472699</v>
      </c>
      <c r="G3838" s="6">
        <v>48.697414398193402</v>
      </c>
      <c r="H3838" s="6">
        <v>48.845108032226598</v>
      </c>
      <c r="I3838" s="6">
        <v>53.774238586425803</v>
      </c>
      <c r="J3838" s="6">
        <v>53.817947387695298</v>
      </c>
      <c r="K3838" s="6">
        <v>53.959220886230497</v>
      </c>
      <c r="L3838" s="6">
        <v>48.502388000488303</v>
      </c>
    </row>
    <row r="3839" spans="1:12" x14ac:dyDescent="0.25">
      <c r="A3839">
        <v>4100459</v>
      </c>
      <c r="B3839" t="str">
        <f t="shared" si="59"/>
        <v>ALTAMIRA DO PARANA, PR, Brasil</v>
      </c>
      <c r="C3839" s="4" t="str">
        <f>_xlfn.XLOOKUP(A3839,[1]!DadosGHD[CD_GEOCMU],[1]!DadosGHD[Região])</f>
        <v>SL</v>
      </c>
      <c r="D3839" s="4" t="str">
        <f>_xlfn.XLOOKUP(A3839,[1]!DadosGHD[CD_GEOCMU],[1]!DadosGHD[uf])</f>
        <v>PR</v>
      </c>
      <c r="E3839" s="5" t="str">
        <f>_xlfn.XLOOKUP(A3839,[1]!DadosGHD[CD_GEOCMU],[1]!DadosGHD[MUNICIPIO])</f>
        <v>ALTAMIRA DO PARANA</v>
      </c>
      <c r="F3839" s="6">
        <v>48.575233459472699</v>
      </c>
      <c r="G3839" s="6">
        <v>53.764015197753899</v>
      </c>
      <c r="H3839" s="6">
        <v>58.920368194580099</v>
      </c>
      <c r="I3839" s="6">
        <v>58.920402526855497</v>
      </c>
      <c r="J3839" s="6">
        <v>64.039611816406307</v>
      </c>
      <c r="K3839" s="6">
        <v>64.135314941406307</v>
      </c>
      <c r="L3839" s="6">
        <v>44.038063049316399</v>
      </c>
    </row>
    <row r="3840" spans="1:12" x14ac:dyDescent="0.25">
      <c r="A3840">
        <v>3146909</v>
      </c>
      <c r="B3840" t="str">
        <f t="shared" si="59"/>
        <v>PAPAGAIOS, MG, Brasil</v>
      </c>
      <c r="C3840" s="4" t="str">
        <f>_xlfn.XLOOKUP(A3840,[1]!DadosGHD[CD_GEOCMU],[1]!DadosGHD[Região])</f>
        <v>SD</v>
      </c>
      <c r="D3840" s="4" t="str">
        <f>_xlfn.XLOOKUP(A3840,[1]!DadosGHD[CD_GEOCMU],[1]!DadosGHD[uf])</f>
        <v>MG</v>
      </c>
      <c r="E3840" s="5" t="str">
        <f>_xlfn.XLOOKUP(A3840,[1]!DadosGHD[CD_GEOCMU],[1]!DadosGHD[MUNICIPIO])</f>
        <v>PAPAGAIOS</v>
      </c>
      <c r="F3840" s="6">
        <v>48.575416564941399</v>
      </c>
      <c r="G3840" s="6">
        <v>48.644222259521499</v>
      </c>
      <c r="H3840" s="6">
        <v>43.834739685058601</v>
      </c>
      <c r="I3840" s="6">
        <v>43.8057670593262</v>
      </c>
      <c r="J3840" s="6">
        <v>43.794826507568402</v>
      </c>
      <c r="K3840" s="6">
        <v>43.842418670654297</v>
      </c>
      <c r="L3840" s="6">
        <v>44.050056457519503</v>
      </c>
    </row>
    <row r="3841" spans="1:12" x14ac:dyDescent="0.25">
      <c r="A3841">
        <v>3103504</v>
      </c>
      <c r="B3841" t="str">
        <f t="shared" si="59"/>
        <v>ARAGUARI, MG, Brasil</v>
      </c>
      <c r="C3841" s="4" t="str">
        <f>_xlfn.XLOOKUP(A3841,[1]!DadosGHD[CD_GEOCMU],[1]!DadosGHD[Região])</f>
        <v>SD</v>
      </c>
      <c r="D3841" s="4" t="str">
        <f>_xlfn.XLOOKUP(A3841,[1]!DadosGHD[CD_GEOCMU],[1]!DadosGHD[uf])</f>
        <v>MG</v>
      </c>
      <c r="E3841" s="5" t="str">
        <f>_xlfn.XLOOKUP(A3841,[1]!DadosGHD[CD_GEOCMU],[1]!DadosGHD[MUNICIPIO])</f>
        <v>ARAGUARI</v>
      </c>
      <c r="F3841" s="6">
        <v>48.575645446777301</v>
      </c>
      <c r="G3841" s="6">
        <v>48.713294982910199</v>
      </c>
      <c r="H3841" s="6">
        <v>48.788230895996101</v>
      </c>
      <c r="I3841" s="6">
        <v>48.786121368408203</v>
      </c>
      <c r="J3841" s="6">
        <v>53.743289947509801</v>
      </c>
      <c r="K3841" s="6">
        <v>48.868007659912102</v>
      </c>
      <c r="L3841" s="6">
        <v>48.518905639648402</v>
      </c>
    </row>
    <row r="3842" spans="1:12" x14ac:dyDescent="0.25">
      <c r="A3842">
        <v>3150604</v>
      </c>
      <c r="B3842" t="str">
        <f t="shared" si="59"/>
        <v>PIRACEMA, MG, Brasil</v>
      </c>
      <c r="C3842" s="4" t="str">
        <f>_xlfn.XLOOKUP(A3842,[1]!DadosGHD[CD_GEOCMU],[1]!DadosGHD[Região])</f>
        <v>SD</v>
      </c>
      <c r="D3842" s="4" t="str">
        <f>_xlfn.XLOOKUP(A3842,[1]!DadosGHD[CD_GEOCMU],[1]!DadosGHD[uf])</f>
        <v>MG</v>
      </c>
      <c r="E3842" s="5" t="str">
        <f>_xlfn.XLOOKUP(A3842,[1]!DadosGHD[CD_GEOCMU],[1]!DadosGHD[MUNICIPIO])</f>
        <v>PIRACEMA</v>
      </c>
      <c r="F3842" s="6">
        <v>48.575763702392599</v>
      </c>
      <c r="G3842" s="6">
        <v>48.741310119628899</v>
      </c>
      <c r="H3842" s="6">
        <v>48.844505310058601</v>
      </c>
      <c r="I3842" s="6">
        <v>53.710414886474602</v>
      </c>
      <c r="J3842" s="6">
        <v>53.767414093017599</v>
      </c>
      <c r="K3842" s="6">
        <v>53.881576538085902</v>
      </c>
      <c r="L3842" s="6">
        <v>35.155651092529297</v>
      </c>
    </row>
    <row r="3843" spans="1:12" x14ac:dyDescent="0.25">
      <c r="A3843">
        <v>3145406</v>
      </c>
      <c r="B3843" t="str">
        <f t="shared" si="59"/>
        <v>OLARIA, MG, Brasil</v>
      </c>
      <c r="C3843" s="4" t="str">
        <f>_xlfn.XLOOKUP(A3843,[1]!DadosGHD[CD_GEOCMU],[1]!DadosGHD[Região])</f>
        <v>SD</v>
      </c>
      <c r="D3843" s="4" t="str">
        <f>_xlfn.XLOOKUP(A3843,[1]!DadosGHD[CD_GEOCMU],[1]!DadosGHD[uf])</f>
        <v>MG</v>
      </c>
      <c r="E3843" s="5" t="str">
        <f>_xlfn.XLOOKUP(A3843,[1]!DadosGHD[CD_GEOCMU],[1]!DadosGHD[MUNICIPIO])</f>
        <v>OLARIA</v>
      </c>
      <c r="F3843" s="6">
        <v>48.575763702392599</v>
      </c>
      <c r="G3843" s="6">
        <v>43.7077445983887</v>
      </c>
      <c r="H3843" s="6">
        <v>43.7774047851563</v>
      </c>
      <c r="I3843" s="6">
        <v>48.6948051452637</v>
      </c>
      <c r="J3843" s="6">
        <v>48.714775085449197</v>
      </c>
      <c r="K3843" s="6">
        <v>38.810066223144503</v>
      </c>
      <c r="L3843" s="6">
        <v>39.584083557128899</v>
      </c>
    </row>
    <row r="3844" spans="1:12" x14ac:dyDescent="0.25">
      <c r="A3844">
        <v>3546801</v>
      </c>
      <c r="B3844" t="str">
        <f t="shared" ref="B3844:B3907" si="60">_xlfn.CONCAT(E3844, ", ", D3844, ", Brasil")</f>
        <v>SANTA ISABEL, SP, Brasil</v>
      </c>
      <c r="C3844" s="4" t="str">
        <f>_xlfn.XLOOKUP(A3844,[1]!DadosGHD[CD_GEOCMU],[1]!DadosGHD[Região])</f>
        <v>SD</v>
      </c>
      <c r="D3844" s="4" t="str">
        <f>_xlfn.XLOOKUP(A3844,[1]!DadosGHD[CD_GEOCMU],[1]!DadosGHD[uf])</f>
        <v>SP</v>
      </c>
      <c r="E3844" s="5" t="str">
        <f>_xlfn.XLOOKUP(A3844,[1]!DadosGHD[CD_GEOCMU],[1]!DadosGHD[MUNICIPIO])</f>
        <v>SANTA ISABEL</v>
      </c>
      <c r="F3844" s="6">
        <v>48.575809478759801</v>
      </c>
      <c r="G3844" s="6">
        <v>48.645938873291001</v>
      </c>
      <c r="H3844" s="6">
        <v>43.826713562011697</v>
      </c>
      <c r="I3844" s="6">
        <v>48.746833801269503</v>
      </c>
      <c r="J3844" s="6">
        <v>48.728057861328097</v>
      </c>
      <c r="K3844" s="6">
        <v>48.818603515625</v>
      </c>
      <c r="L3844" s="6">
        <v>52.9850044250488</v>
      </c>
    </row>
    <row r="3845" spans="1:12" x14ac:dyDescent="0.25">
      <c r="A3845">
        <v>3509601</v>
      </c>
      <c r="B3845" t="str">
        <f t="shared" si="60"/>
        <v>CAMPO LIMPO PAULISTA, SP, Brasil</v>
      </c>
      <c r="C3845" s="4" t="str">
        <f>_xlfn.XLOOKUP(A3845,[1]!DadosGHD[CD_GEOCMU],[1]!DadosGHD[Região])</f>
        <v>SD</v>
      </c>
      <c r="D3845" s="4" t="str">
        <f>_xlfn.XLOOKUP(A3845,[1]!DadosGHD[CD_GEOCMU],[1]!DadosGHD[uf])</f>
        <v>SP</v>
      </c>
      <c r="E3845" s="5" t="str">
        <f>_xlfn.XLOOKUP(A3845,[1]!DadosGHD[CD_GEOCMU],[1]!DadosGHD[MUNICIPIO])</f>
        <v>CAMPO LIMPO PAULISTA</v>
      </c>
      <c r="F3845" s="6">
        <v>48.575820922851598</v>
      </c>
      <c r="G3845" s="6">
        <v>43.716278076171903</v>
      </c>
      <c r="H3845" s="6">
        <v>43.780307769775398</v>
      </c>
      <c r="I3845" s="6">
        <v>43.737167358398402</v>
      </c>
      <c r="J3845" s="6">
        <v>43.721767425537102</v>
      </c>
      <c r="K3845" s="6">
        <v>43.769638061523402</v>
      </c>
      <c r="L3845" s="6">
        <v>39.612411499023402</v>
      </c>
    </row>
    <row r="3846" spans="1:12" x14ac:dyDescent="0.25">
      <c r="A3846">
        <v>3153202</v>
      </c>
      <c r="B3846" t="str">
        <f t="shared" si="60"/>
        <v>PRESIDENTE JUSCELINO, MG, Brasil</v>
      </c>
      <c r="C3846" s="4" t="str">
        <f>_xlfn.XLOOKUP(A3846,[1]!DadosGHD[CD_GEOCMU],[1]!DadosGHD[Região])</f>
        <v>SD</v>
      </c>
      <c r="D3846" s="4" t="str">
        <f>_xlfn.XLOOKUP(A3846,[1]!DadosGHD[CD_GEOCMU],[1]!DadosGHD[uf])</f>
        <v>MG</v>
      </c>
      <c r="E3846" s="5" t="str">
        <f>_xlfn.XLOOKUP(A3846,[1]!DadosGHD[CD_GEOCMU],[1]!DadosGHD[MUNICIPIO])</f>
        <v>PRESIDENTE JUSCELINO</v>
      </c>
      <c r="F3846" s="6">
        <v>48.575923919677699</v>
      </c>
      <c r="G3846" s="6">
        <v>38.7305717468262</v>
      </c>
      <c r="H3846" s="6">
        <v>33.8658256530762</v>
      </c>
      <c r="I3846" s="6">
        <v>38.721115112304702</v>
      </c>
      <c r="J3846" s="6">
        <v>38.806655883789098</v>
      </c>
      <c r="K3846" s="6">
        <v>38.874591827392599</v>
      </c>
      <c r="L3846" s="6">
        <v>39.577682495117202</v>
      </c>
    </row>
    <row r="3847" spans="1:12" x14ac:dyDescent="0.25">
      <c r="A3847">
        <v>3542800</v>
      </c>
      <c r="B3847" t="str">
        <f t="shared" si="60"/>
        <v>RIBEIRA, SP, Brasil</v>
      </c>
      <c r="C3847" s="4" t="str">
        <f>_xlfn.XLOOKUP(A3847,[1]!DadosGHD[CD_GEOCMU],[1]!DadosGHD[Região])</f>
        <v>SD</v>
      </c>
      <c r="D3847" s="4" t="str">
        <f>_xlfn.XLOOKUP(A3847,[1]!DadosGHD[CD_GEOCMU],[1]!DadosGHD[uf])</f>
        <v>SP</v>
      </c>
      <c r="E3847" s="5" t="str">
        <f>_xlfn.XLOOKUP(A3847,[1]!DadosGHD[CD_GEOCMU],[1]!DadosGHD[MUNICIPIO])</f>
        <v>RIBEIRA</v>
      </c>
      <c r="F3847" s="6">
        <v>48.576568603515597</v>
      </c>
      <c r="G3847" s="6">
        <v>43.735153198242202</v>
      </c>
      <c r="H3847" s="6">
        <v>43.818580627441399</v>
      </c>
      <c r="I3847" s="6">
        <v>48.689376831054702</v>
      </c>
      <c r="J3847" s="6">
        <v>43.806907653808601</v>
      </c>
      <c r="K3847" s="6">
        <v>43.7963256835938</v>
      </c>
      <c r="L3847" s="6">
        <v>35.146614074707003</v>
      </c>
    </row>
    <row r="3848" spans="1:12" x14ac:dyDescent="0.25">
      <c r="A3848">
        <v>5206305</v>
      </c>
      <c r="B3848" t="str">
        <f t="shared" si="60"/>
        <v>CRISTIANOPOLIS, GO, Brasil</v>
      </c>
      <c r="C3848" s="4" t="str">
        <f>_xlfn.XLOOKUP(A3848,[1]!DadosGHD[CD_GEOCMU],[1]!DadosGHD[Região])</f>
        <v>CO</v>
      </c>
      <c r="D3848" s="4" t="str">
        <f>_xlfn.XLOOKUP(A3848,[1]!DadosGHD[CD_GEOCMU],[1]!DadosGHD[uf])</f>
        <v>GO</v>
      </c>
      <c r="E3848" s="5" t="str">
        <f>_xlfn.XLOOKUP(A3848,[1]!DadosGHD[CD_GEOCMU],[1]!DadosGHD[MUNICIPIO])</f>
        <v>CRISTIANOPOLIS</v>
      </c>
      <c r="F3848" s="6">
        <v>48.576591491699197</v>
      </c>
      <c r="G3848" s="6">
        <v>53.682872772216797</v>
      </c>
      <c r="H3848" s="6">
        <v>53.805347442627003</v>
      </c>
      <c r="I3848" s="6">
        <v>53.805191040039098</v>
      </c>
      <c r="J3848" s="6">
        <v>53.895519256591797</v>
      </c>
      <c r="K3848" s="6">
        <v>53.829780578613303</v>
      </c>
      <c r="L3848" s="6">
        <v>35.157066345214801</v>
      </c>
    </row>
    <row r="3849" spans="1:12" x14ac:dyDescent="0.25">
      <c r="A3849">
        <v>1722107</v>
      </c>
      <c r="B3849" t="str">
        <f t="shared" si="60"/>
        <v>XAMBIOA, TO, Brasil</v>
      </c>
      <c r="C3849" s="4" t="str">
        <f>_xlfn.XLOOKUP(A3849,[1]!DadosGHD[CD_GEOCMU],[1]!DadosGHD[Região])</f>
        <v>NO</v>
      </c>
      <c r="D3849" s="4" t="str">
        <f>_xlfn.XLOOKUP(A3849,[1]!DadosGHD[CD_GEOCMU],[1]!DadosGHD[uf])</f>
        <v>TO</v>
      </c>
      <c r="E3849" s="5" t="str">
        <f>_xlfn.XLOOKUP(A3849,[1]!DadosGHD[CD_GEOCMU],[1]!DadosGHD[MUNICIPIO])</f>
        <v>XAMBIOA</v>
      </c>
      <c r="F3849" s="6">
        <v>48.576751708984403</v>
      </c>
      <c r="G3849" s="6">
        <v>48.689414978027301</v>
      </c>
      <c r="H3849" s="6">
        <v>48.78564453125</v>
      </c>
      <c r="I3849" s="6">
        <v>48.764499664306598</v>
      </c>
      <c r="J3849" s="6">
        <v>48.781295776367202</v>
      </c>
      <c r="K3849" s="6">
        <v>48.8825073242188</v>
      </c>
      <c r="L3849" s="6">
        <v>35.127952575683601</v>
      </c>
    </row>
    <row r="3850" spans="1:12" x14ac:dyDescent="0.25">
      <c r="A3850">
        <v>5006606</v>
      </c>
      <c r="B3850" t="str">
        <f t="shared" si="60"/>
        <v>PONTA PORA, MS, Brasil</v>
      </c>
      <c r="C3850" s="4" t="str">
        <f>_xlfn.XLOOKUP(A3850,[1]!DadosGHD[CD_GEOCMU],[1]!DadosGHD[Região])</f>
        <v>CO</v>
      </c>
      <c r="D3850" s="4" t="str">
        <f>_xlfn.XLOOKUP(A3850,[1]!DadosGHD[CD_GEOCMU],[1]!DadosGHD[uf])</f>
        <v>MS</v>
      </c>
      <c r="E3850" s="5" t="str">
        <f>_xlfn.XLOOKUP(A3850,[1]!DadosGHD[CD_GEOCMU],[1]!DadosGHD[MUNICIPIO])</f>
        <v>PONTA PORA</v>
      </c>
      <c r="F3850" s="6">
        <v>48.576850891113303</v>
      </c>
      <c r="G3850" s="6">
        <v>43.757015228271499</v>
      </c>
      <c r="H3850" s="6">
        <v>43.820991516113303</v>
      </c>
      <c r="I3850" s="6">
        <v>43.790000915527301</v>
      </c>
      <c r="J3850" s="6">
        <v>43.7833862304688</v>
      </c>
      <c r="K3850" s="6">
        <v>43.807209014892599</v>
      </c>
      <c r="L3850" s="6">
        <v>39.575778961181598</v>
      </c>
    </row>
    <row r="3851" spans="1:12" x14ac:dyDescent="0.25">
      <c r="A3851">
        <v>5207501</v>
      </c>
      <c r="B3851" t="str">
        <f t="shared" si="60"/>
        <v>ESTRELA DO NORTE, GO, Brasil</v>
      </c>
      <c r="C3851" s="4" t="str">
        <f>_xlfn.XLOOKUP(A3851,[1]!DadosGHD[CD_GEOCMU],[1]!DadosGHD[Região])</f>
        <v>CO</v>
      </c>
      <c r="D3851" s="4" t="str">
        <f>_xlfn.XLOOKUP(A3851,[1]!DadosGHD[CD_GEOCMU],[1]!DadosGHD[uf])</f>
        <v>GO</v>
      </c>
      <c r="E3851" s="5" t="str">
        <f>_xlfn.XLOOKUP(A3851,[1]!DadosGHD[CD_GEOCMU],[1]!DadosGHD[MUNICIPIO])</f>
        <v>ESTRELA DO NORTE</v>
      </c>
      <c r="F3851" s="6">
        <v>48.576942443847699</v>
      </c>
      <c r="G3851" s="6">
        <v>43.764499664306598</v>
      </c>
      <c r="H3851" s="6">
        <v>43.814849853515597</v>
      </c>
      <c r="I3851" s="6">
        <v>43.723705291748097</v>
      </c>
      <c r="J3851" s="6">
        <v>43.745159149169901</v>
      </c>
      <c r="K3851" s="6">
        <v>43.8165473937988</v>
      </c>
      <c r="L3851" s="6">
        <v>44.03564453125</v>
      </c>
    </row>
    <row r="3852" spans="1:12" x14ac:dyDescent="0.25">
      <c r="A3852">
        <v>5203609</v>
      </c>
      <c r="B3852" t="str">
        <f t="shared" si="60"/>
        <v>BRAZABRANTES, GO, Brasil</v>
      </c>
      <c r="C3852" s="4" t="str">
        <f>_xlfn.XLOOKUP(A3852,[1]!DadosGHD[CD_GEOCMU],[1]!DadosGHD[Região])</f>
        <v>CO</v>
      </c>
      <c r="D3852" s="4" t="str">
        <f>_xlfn.XLOOKUP(A3852,[1]!DadosGHD[CD_GEOCMU],[1]!DadosGHD[uf])</f>
        <v>GO</v>
      </c>
      <c r="E3852" s="5" t="str">
        <f>_xlfn.XLOOKUP(A3852,[1]!DadosGHD[CD_GEOCMU],[1]!DadosGHD[MUNICIPIO])</f>
        <v>BRAZABRANTES</v>
      </c>
      <c r="F3852" s="6">
        <v>48.577213287353501</v>
      </c>
      <c r="G3852" s="6">
        <v>33.833309173583999</v>
      </c>
      <c r="H3852" s="6">
        <v>28.977350234985401</v>
      </c>
      <c r="I3852" s="6">
        <v>28.939912796020501</v>
      </c>
      <c r="J3852" s="6">
        <v>28.952207565307599</v>
      </c>
      <c r="K3852" s="6">
        <v>33.846046447753899</v>
      </c>
      <c r="L3852" s="6">
        <v>26.296749114990199</v>
      </c>
    </row>
    <row r="3853" spans="1:12" x14ac:dyDescent="0.25">
      <c r="A3853">
        <v>3519303</v>
      </c>
      <c r="B3853" t="str">
        <f t="shared" si="60"/>
        <v>IBATE, SP, Brasil</v>
      </c>
      <c r="C3853" s="4" t="str">
        <f>_xlfn.XLOOKUP(A3853,[1]!DadosGHD[CD_GEOCMU],[1]!DadosGHD[Região])</f>
        <v>SD</v>
      </c>
      <c r="D3853" s="4" t="str">
        <f>_xlfn.XLOOKUP(A3853,[1]!DadosGHD[CD_GEOCMU],[1]!DadosGHD[uf])</f>
        <v>SP</v>
      </c>
      <c r="E3853" s="5" t="str">
        <f>_xlfn.XLOOKUP(A3853,[1]!DadosGHD[CD_GEOCMU],[1]!DadosGHD[MUNICIPIO])</f>
        <v>IBATE</v>
      </c>
      <c r="F3853" s="6">
        <v>48.577239990234403</v>
      </c>
      <c r="G3853" s="6">
        <v>48.641365051269503</v>
      </c>
      <c r="H3853" s="6">
        <v>43.811546325683601</v>
      </c>
      <c r="I3853" s="6">
        <v>43.792942047119098</v>
      </c>
      <c r="J3853" s="6">
        <v>48.763492584228501</v>
      </c>
      <c r="K3853" s="6">
        <v>48.772388458252003</v>
      </c>
      <c r="L3853" s="6">
        <v>48.520599365234403</v>
      </c>
    </row>
    <row r="3854" spans="1:12" x14ac:dyDescent="0.25">
      <c r="A3854">
        <v>3511003</v>
      </c>
      <c r="B3854" t="str">
        <f t="shared" si="60"/>
        <v>CASTILHO, SP, Brasil</v>
      </c>
      <c r="C3854" s="4" t="str">
        <f>_xlfn.XLOOKUP(A3854,[1]!DadosGHD[CD_GEOCMU],[1]!DadosGHD[Região])</f>
        <v>SD</v>
      </c>
      <c r="D3854" s="4" t="str">
        <f>_xlfn.XLOOKUP(A3854,[1]!DadosGHD[CD_GEOCMU],[1]!DadosGHD[uf])</f>
        <v>SP</v>
      </c>
      <c r="E3854" s="5" t="str">
        <f>_xlfn.XLOOKUP(A3854,[1]!DadosGHD[CD_GEOCMU],[1]!DadosGHD[MUNICIPIO])</f>
        <v>CASTILHO</v>
      </c>
      <c r="F3854" s="6">
        <v>48.577350616455099</v>
      </c>
      <c r="G3854" s="6">
        <v>48.749038696289098</v>
      </c>
      <c r="H3854" s="6">
        <v>53.754310607910199</v>
      </c>
      <c r="I3854" s="6">
        <v>48.778648376464801</v>
      </c>
      <c r="J3854" s="6">
        <v>48.753833770752003</v>
      </c>
      <c r="K3854" s="6">
        <v>48.798038482666001</v>
      </c>
      <c r="L3854" s="6">
        <v>48.536190032958999</v>
      </c>
    </row>
    <row r="3855" spans="1:12" x14ac:dyDescent="0.25">
      <c r="A3855">
        <v>1720853</v>
      </c>
      <c r="B3855" t="str">
        <f t="shared" si="60"/>
        <v>SUCUPIRA, TO, Brasil</v>
      </c>
      <c r="C3855" s="4" t="str">
        <f>_xlfn.XLOOKUP(A3855,[1]!DadosGHD[CD_GEOCMU],[1]!DadosGHD[Região])</f>
        <v>NO</v>
      </c>
      <c r="D3855" s="4" t="str">
        <f>_xlfn.XLOOKUP(A3855,[1]!DadosGHD[CD_GEOCMU],[1]!DadosGHD[uf])</f>
        <v>TO</v>
      </c>
      <c r="E3855" s="5" t="str">
        <f>_xlfn.XLOOKUP(A3855,[1]!DadosGHD[CD_GEOCMU],[1]!DadosGHD[MUNICIPIO])</f>
        <v>SUCUPIRA</v>
      </c>
      <c r="F3855" s="6">
        <v>48.577434539794901</v>
      </c>
      <c r="G3855" s="6">
        <v>43.69677734375</v>
      </c>
      <c r="H3855" s="6">
        <v>43.746402740478501</v>
      </c>
      <c r="I3855" s="6">
        <v>43.713733673095703</v>
      </c>
      <c r="J3855" s="6">
        <v>43.726009368896499</v>
      </c>
      <c r="K3855" s="6">
        <v>33.855377197265597</v>
      </c>
      <c r="L3855" s="6">
        <v>26.2962341308594</v>
      </c>
    </row>
    <row r="3856" spans="1:12" x14ac:dyDescent="0.25">
      <c r="A3856">
        <v>5105309</v>
      </c>
      <c r="B3856" t="str">
        <f t="shared" si="60"/>
        <v>LUCIARA, MT, Brasil</v>
      </c>
      <c r="C3856" s="4" t="str">
        <f>_xlfn.XLOOKUP(A3856,[1]!DadosGHD[CD_GEOCMU],[1]!DadosGHD[Região])</f>
        <v>CO</v>
      </c>
      <c r="D3856" s="4" t="str">
        <f>_xlfn.XLOOKUP(A3856,[1]!DadosGHD[CD_GEOCMU],[1]!DadosGHD[uf])</f>
        <v>MT</v>
      </c>
      <c r="E3856" s="5" t="str">
        <f>_xlfn.XLOOKUP(A3856,[1]!DadosGHD[CD_GEOCMU],[1]!DadosGHD[MUNICIPIO])</f>
        <v>LUCIARA</v>
      </c>
      <c r="F3856" s="6">
        <v>48.577434539794901</v>
      </c>
      <c r="G3856" s="6">
        <v>43.707679748535199</v>
      </c>
      <c r="H3856" s="6">
        <v>43.760799407958999</v>
      </c>
      <c r="I3856" s="6">
        <v>43.727043151855497</v>
      </c>
      <c r="J3856" s="6">
        <v>43.737136840820298</v>
      </c>
      <c r="K3856" s="6">
        <v>43.774158477783203</v>
      </c>
      <c r="L3856" s="6">
        <v>35.1223754882813</v>
      </c>
    </row>
    <row r="3857" spans="1:12" x14ac:dyDescent="0.25">
      <c r="A3857">
        <v>3144607</v>
      </c>
      <c r="B3857" t="str">
        <f t="shared" si="60"/>
        <v>NEPOMUCENO, MG, Brasil</v>
      </c>
      <c r="C3857" s="4" t="str">
        <f>_xlfn.XLOOKUP(A3857,[1]!DadosGHD[CD_GEOCMU],[1]!DadosGHD[Região])</f>
        <v>SD</v>
      </c>
      <c r="D3857" s="4" t="str">
        <f>_xlfn.XLOOKUP(A3857,[1]!DadosGHD[CD_GEOCMU],[1]!DadosGHD[uf])</f>
        <v>MG</v>
      </c>
      <c r="E3857" s="5" t="str">
        <f>_xlfn.XLOOKUP(A3857,[1]!DadosGHD[CD_GEOCMU],[1]!DadosGHD[MUNICIPIO])</f>
        <v>NEPOMUCENO</v>
      </c>
      <c r="F3857" s="6">
        <v>48.578208923339801</v>
      </c>
      <c r="G3857" s="6">
        <v>48.675559997558601</v>
      </c>
      <c r="H3857" s="6">
        <v>48.7460327148438</v>
      </c>
      <c r="I3857" s="6">
        <v>48.706867218017599</v>
      </c>
      <c r="J3857" s="6">
        <v>48.723712921142599</v>
      </c>
      <c r="K3857" s="6">
        <v>48.807468414306598</v>
      </c>
      <c r="L3857" s="6">
        <v>44.072967529296903</v>
      </c>
    </row>
    <row r="3858" spans="1:12" x14ac:dyDescent="0.25">
      <c r="A3858">
        <v>3111408</v>
      </c>
      <c r="B3858" t="str">
        <f t="shared" si="60"/>
        <v>CAMPO FLORIDO, MG, Brasil</v>
      </c>
      <c r="C3858" s="4" t="str">
        <f>_xlfn.XLOOKUP(A3858,[1]!DadosGHD[CD_GEOCMU],[1]!DadosGHD[Região])</f>
        <v>SD</v>
      </c>
      <c r="D3858" s="4" t="str">
        <f>_xlfn.XLOOKUP(A3858,[1]!DadosGHD[CD_GEOCMU],[1]!DadosGHD[uf])</f>
        <v>MG</v>
      </c>
      <c r="E3858" s="5" t="str">
        <f>_xlfn.XLOOKUP(A3858,[1]!DadosGHD[CD_GEOCMU],[1]!DadosGHD[MUNICIPIO])</f>
        <v>CAMPO FLORIDO</v>
      </c>
      <c r="F3858" s="6">
        <v>48.578243255615199</v>
      </c>
      <c r="G3858" s="6">
        <v>48.742767333984403</v>
      </c>
      <c r="H3858" s="6">
        <v>48.775272369384801</v>
      </c>
      <c r="I3858" s="6">
        <v>48.752063751220703</v>
      </c>
      <c r="J3858" s="6">
        <v>48.706214904785199</v>
      </c>
      <c r="K3858" s="6">
        <v>43.810401916503899</v>
      </c>
      <c r="L3858" s="6">
        <v>39.593418121337898</v>
      </c>
    </row>
    <row r="3859" spans="1:12" x14ac:dyDescent="0.25">
      <c r="A3859">
        <v>1707009</v>
      </c>
      <c r="B3859" t="str">
        <f t="shared" si="60"/>
        <v>DIANOPOLIS, TO, Brasil</v>
      </c>
      <c r="C3859" s="4" t="str">
        <f>_xlfn.XLOOKUP(A3859,[1]!DadosGHD[CD_GEOCMU],[1]!DadosGHD[Região])</f>
        <v>NO</v>
      </c>
      <c r="D3859" s="4" t="str">
        <f>_xlfn.XLOOKUP(A3859,[1]!DadosGHD[CD_GEOCMU],[1]!DadosGHD[uf])</f>
        <v>TO</v>
      </c>
      <c r="E3859" s="5" t="str">
        <f>_xlfn.XLOOKUP(A3859,[1]!DadosGHD[CD_GEOCMU],[1]!DadosGHD[MUNICIPIO])</f>
        <v>DIANOPOLIS</v>
      </c>
      <c r="F3859" s="6">
        <v>48.578334808349602</v>
      </c>
      <c r="G3859" s="6">
        <v>48.673324584960902</v>
      </c>
      <c r="H3859" s="6">
        <v>43.802028656005902</v>
      </c>
      <c r="I3859" s="6">
        <v>43.7553520202637</v>
      </c>
      <c r="J3859" s="6">
        <v>43.797649383544901</v>
      </c>
      <c r="K3859" s="6">
        <v>43.877933502197301</v>
      </c>
      <c r="L3859" s="6">
        <v>35.143081665039098</v>
      </c>
    </row>
    <row r="3860" spans="1:12" x14ac:dyDescent="0.25">
      <c r="A3860">
        <v>4128609</v>
      </c>
      <c r="B3860" t="str">
        <f t="shared" si="60"/>
        <v>VERE, PR, Brasil</v>
      </c>
      <c r="C3860" s="4" t="str">
        <f>_xlfn.XLOOKUP(A3860,[1]!DadosGHD[CD_GEOCMU],[1]!DadosGHD[Região])</f>
        <v>SL</v>
      </c>
      <c r="D3860" s="4" t="str">
        <f>_xlfn.XLOOKUP(A3860,[1]!DadosGHD[CD_GEOCMU],[1]!DadosGHD[uf])</f>
        <v>PR</v>
      </c>
      <c r="E3860" s="5" t="str">
        <f>_xlfn.XLOOKUP(A3860,[1]!DadosGHD[CD_GEOCMU],[1]!DadosGHD[MUNICIPIO])</f>
        <v>VERE</v>
      </c>
      <c r="F3860" s="6">
        <v>48.578445434570298</v>
      </c>
      <c r="G3860" s="6">
        <v>53.722766876220703</v>
      </c>
      <c r="H3860" s="6">
        <v>58.820388793945298</v>
      </c>
      <c r="I3860" s="6">
        <v>58.910636901855497</v>
      </c>
      <c r="J3860" s="6">
        <v>63.978019714355497</v>
      </c>
      <c r="K3860" s="6">
        <v>53.992916107177699</v>
      </c>
      <c r="L3860" s="6">
        <v>44.050575256347699</v>
      </c>
    </row>
    <row r="3861" spans="1:12" x14ac:dyDescent="0.25">
      <c r="A3861">
        <v>4124608</v>
      </c>
      <c r="B3861" t="str">
        <f t="shared" si="60"/>
        <v>SAO CARLOS DO IVAI, PR, Brasil</v>
      </c>
      <c r="C3861" s="4" t="str">
        <f>_xlfn.XLOOKUP(A3861,[1]!DadosGHD[CD_GEOCMU],[1]!DadosGHD[Região])</f>
        <v>SL</v>
      </c>
      <c r="D3861" s="4" t="str">
        <f>_xlfn.XLOOKUP(A3861,[1]!DadosGHD[CD_GEOCMU],[1]!DadosGHD[uf])</f>
        <v>PR</v>
      </c>
      <c r="E3861" s="5" t="str">
        <f>_xlfn.XLOOKUP(A3861,[1]!DadosGHD[CD_GEOCMU],[1]!DadosGHD[MUNICIPIO])</f>
        <v>SAO CARLOS DO IVAI</v>
      </c>
      <c r="F3861" s="6">
        <v>48.578479766845703</v>
      </c>
      <c r="G3861" s="6">
        <v>48.744518280029297</v>
      </c>
      <c r="H3861" s="6">
        <v>48.793010711669901</v>
      </c>
      <c r="I3861" s="6">
        <v>48.729396820068402</v>
      </c>
      <c r="J3861" s="6">
        <v>48.731769561767599</v>
      </c>
      <c r="K3861" s="6">
        <v>43.8062553405762</v>
      </c>
      <c r="L3861" s="6">
        <v>39.5783882141113</v>
      </c>
    </row>
    <row r="3862" spans="1:12" x14ac:dyDescent="0.25">
      <c r="A3862">
        <v>5219605</v>
      </c>
      <c r="B3862" t="str">
        <f t="shared" si="60"/>
        <v>SANTA TEREZA DE GOIAS, GO, Brasil</v>
      </c>
      <c r="C3862" s="4" t="str">
        <f>_xlfn.XLOOKUP(A3862,[1]!DadosGHD[CD_GEOCMU],[1]!DadosGHD[Região])</f>
        <v>CO</v>
      </c>
      <c r="D3862" s="4" t="str">
        <f>_xlfn.XLOOKUP(A3862,[1]!DadosGHD[CD_GEOCMU],[1]!DadosGHD[uf])</f>
        <v>GO</v>
      </c>
      <c r="E3862" s="5" t="str">
        <f>_xlfn.XLOOKUP(A3862,[1]!DadosGHD[CD_GEOCMU],[1]!DadosGHD[MUNICIPIO])</f>
        <v>SANTA TEREZA DE GOIAS</v>
      </c>
      <c r="F3862" s="6">
        <v>48.578639984130902</v>
      </c>
      <c r="G3862" s="6">
        <v>43.677761077880902</v>
      </c>
      <c r="H3862" s="6">
        <v>43.7422065734863</v>
      </c>
      <c r="I3862" s="6">
        <v>43.7106323242188</v>
      </c>
      <c r="J3862" s="6">
        <v>43.728363037109403</v>
      </c>
      <c r="K3862" s="6">
        <v>43.773849487304702</v>
      </c>
      <c r="L3862" s="6">
        <v>39.600002288818402</v>
      </c>
    </row>
    <row r="3863" spans="1:12" x14ac:dyDescent="0.25">
      <c r="A3863">
        <v>4128708</v>
      </c>
      <c r="B3863" t="str">
        <f t="shared" si="60"/>
        <v>VITORINO, PR, Brasil</v>
      </c>
      <c r="C3863" s="4" t="str">
        <f>_xlfn.XLOOKUP(A3863,[1]!DadosGHD[CD_GEOCMU],[1]!DadosGHD[Região])</f>
        <v>SL</v>
      </c>
      <c r="D3863" s="4" t="str">
        <f>_xlfn.XLOOKUP(A3863,[1]!DadosGHD[CD_GEOCMU],[1]!DadosGHD[uf])</f>
        <v>PR</v>
      </c>
      <c r="E3863" s="5" t="str">
        <f>_xlfn.XLOOKUP(A3863,[1]!DadosGHD[CD_GEOCMU],[1]!DadosGHD[MUNICIPIO])</f>
        <v>VITORINO</v>
      </c>
      <c r="F3863" s="6">
        <v>48.578762054443402</v>
      </c>
      <c r="G3863" s="6">
        <v>53.675304412841797</v>
      </c>
      <c r="H3863" s="6">
        <v>48.846424102783203</v>
      </c>
      <c r="I3863" s="6">
        <v>53.749088287353501</v>
      </c>
      <c r="J3863" s="6">
        <v>58.804248809814503</v>
      </c>
      <c r="K3863" s="6">
        <v>59.136207580566399</v>
      </c>
      <c r="L3863" s="6">
        <v>48.549034118652301</v>
      </c>
    </row>
    <row r="3864" spans="1:12" x14ac:dyDescent="0.25">
      <c r="A3864">
        <v>3165578</v>
      </c>
      <c r="B3864" t="str">
        <f t="shared" si="60"/>
        <v>SENADOR AMARAL, MG, Brasil</v>
      </c>
      <c r="C3864" s="4" t="str">
        <f>_xlfn.XLOOKUP(A3864,[1]!DadosGHD[CD_GEOCMU],[1]!DadosGHD[Região])</f>
        <v>SD</v>
      </c>
      <c r="D3864" s="4" t="str">
        <f>_xlfn.XLOOKUP(A3864,[1]!DadosGHD[CD_GEOCMU],[1]!DadosGHD[uf])</f>
        <v>MG</v>
      </c>
      <c r="E3864" s="5" t="str">
        <f>_xlfn.XLOOKUP(A3864,[1]!DadosGHD[CD_GEOCMU],[1]!DadosGHD[MUNICIPIO])</f>
        <v>SENADOR AMARAL</v>
      </c>
      <c r="F3864" s="6">
        <v>48.5789985656738</v>
      </c>
      <c r="G3864" s="6">
        <v>48.716106414794901</v>
      </c>
      <c r="H3864" s="6">
        <v>48.7949829101563</v>
      </c>
      <c r="I3864" s="6">
        <v>48.780994415283203</v>
      </c>
      <c r="J3864" s="6">
        <v>48.838222503662102</v>
      </c>
      <c r="K3864" s="6">
        <v>53.8344116210938</v>
      </c>
      <c r="L3864" s="6">
        <v>48.5478324890137</v>
      </c>
    </row>
    <row r="3865" spans="1:12" x14ac:dyDescent="0.25">
      <c r="A3865">
        <v>3116902</v>
      </c>
      <c r="B3865" t="str">
        <f t="shared" si="60"/>
        <v>COMENDADOR GOMES, MG, Brasil</v>
      </c>
      <c r="C3865" s="4" t="str">
        <f>_xlfn.XLOOKUP(A3865,[1]!DadosGHD[CD_GEOCMU],[1]!DadosGHD[Região])</f>
        <v>SD</v>
      </c>
      <c r="D3865" s="4" t="str">
        <f>_xlfn.XLOOKUP(A3865,[1]!DadosGHD[CD_GEOCMU],[1]!DadosGHD[uf])</f>
        <v>MG</v>
      </c>
      <c r="E3865" s="5" t="str">
        <f>_xlfn.XLOOKUP(A3865,[1]!DadosGHD[CD_GEOCMU],[1]!DadosGHD[MUNICIPIO])</f>
        <v>COMENDADOR GOMES</v>
      </c>
      <c r="F3865" s="6">
        <v>48.579002380371101</v>
      </c>
      <c r="G3865" s="6">
        <v>53.6964302062988</v>
      </c>
      <c r="H3865" s="6">
        <v>53.763931274414098</v>
      </c>
      <c r="I3865" s="6">
        <v>53.725879669189503</v>
      </c>
      <c r="J3865" s="6">
        <v>43.782321929931598</v>
      </c>
      <c r="K3865" s="6">
        <v>43.844371795654297</v>
      </c>
      <c r="L3865" s="6">
        <v>39.565418243408203</v>
      </c>
    </row>
    <row r="3866" spans="1:12" x14ac:dyDescent="0.25">
      <c r="A3866">
        <v>3134509</v>
      </c>
      <c r="B3866" t="str">
        <f t="shared" si="60"/>
        <v>ITUTINGA, MG, Brasil</v>
      </c>
      <c r="C3866" s="4" t="str">
        <f>_xlfn.XLOOKUP(A3866,[1]!DadosGHD[CD_GEOCMU],[1]!DadosGHD[Região])</f>
        <v>SD</v>
      </c>
      <c r="D3866" s="4" t="str">
        <f>_xlfn.XLOOKUP(A3866,[1]!DadosGHD[CD_GEOCMU],[1]!DadosGHD[uf])</f>
        <v>MG</v>
      </c>
      <c r="E3866" s="5" t="str">
        <f>_xlfn.XLOOKUP(A3866,[1]!DadosGHD[CD_GEOCMU],[1]!DadosGHD[MUNICIPIO])</f>
        <v>ITUTINGA</v>
      </c>
      <c r="F3866" s="6">
        <v>48.5790405273438</v>
      </c>
      <c r="G3866" s="6">
        <v>48.773239135742202</v>
      </c>
      <c r="H3866" s="6">
        <v>53.781993865966797</v>
      </c>
      <c r="I3866" s="6">
        <v>53.792274475097699</v>
      </c>
      <c r="J3866" s="6">
        <v>58.805946350097699</v>
      </c>
      <c r="K3866" s="6">
        <v>58.961349487304702</v>
      </c>
      <c r="L3866" s="6">
        <v>57.531204223632798</v>
      </c>
    </row>
    <row r="3867" spans="1:12" x14ac:dyDescent="0.25">
      <c r="A3867">
        <v>4322541</v>
      </c>
      <c r="B3867" t="str">
        <f t="shared" si="60"/>
        <v>VALE REAL, RS, Brasil</v>
      </c>
      <c r="C3867" s="4" t="str">
        <f>_xlfn.XLOOKUP(A3867,[1]!DadosGHD[CD_GEOCMU],[1]!DadosGHD[Região])</f>
        <v>SL</v>
      </c>
      <c r="D3867" s="4" t="str">
        <f>_xlfn.XLOOKUP(A3867,[1]!DadosGHD[CD_GEOCMU],[1]!DadosGHD[uf])</f>
        <v>RS</v>
      </c>
      <c r="E3867" s="5" t="str">
        <f>_xlfn.XLOOKUP(A3867,[1]!DadosGHD[CD_GEOCMU],[1]!DadosGHD[MUNICIPIO])</f>
        <v>VALE REAL</v>
      </c>
      <c r="F3867" s="6">
        <v>48.5792045593262</v>
      </c>
      <c r="G3867" s="6">
        <v>48.6903686523438</v>
      </c>
      <c r="H3867" s="6">
        <v>48.723598480224602</v>
      </c>
      <c r="I3867" s="6">
        <v>53.7391166687012</v>
      </c>
      <c r="J3867" s="6">
        <v>48.807216644287102</v>
      </c>
      <c r="K3867" s="6">
        <v>48.865791320800803</v>
      </c>
      <c r="L3867" s="6">
        <v>53.058280944824197</v>
      </c>
    </row>
    <row r="3868" spans="1:12" x14ac:dyDescent="0.25">
      <c r="A3868">
        <v>5212600</v>
      </c>
      <c r="B3868" t="str">
        <f t="shared" si="60"/>
        <v>MAIRIPOTABA, GO, Brasil</v>
      </c>
      <c r="C3868" s="4" t="str">
        <f>_xlfn.XLOOKUP(A3868,[1]!DadosGHD[CD_GEOCMU],[1]!DadosGHD[Região])</f>
        <v>CO</v>
      </c>
      <c r="D3868" s="4" t="str">
        <f>_xlfn.XLOOKUP(A3868,[1]!DadosGHD[CD_GEOCMU],[1]!DadosGHD[uf])</f>
        <v>GO</v>
      </c>
      <c r="E3868" s="5" t="str">
        <f>_xlfn.XLOOKUP(A3868,[1]!DadosGHD[CD_GEOCMU],[1]!DadosGHD[MUNICIPIO])</f>
        <v>MAIRIPOTABA</v>
      </c>
      <c r="F3868" s="6">
        <v>48.579402923583999</v>
      </c>
      <c r="G3868" s="6">
        <v>43.7034301757813</v>
      </c>
      <c r="H3868" s="6">
        <v>43.7928276062012</v>
      </c>
      <c r="I3868" s="6">
        <v>43.768653869628899</v>
      </c>
      <c r="J3868" s="6">
        <v>43.7652587890625</v>
      </c>
      <c r="K3868" s="6">
        <v>43.781120300292997</v>
      </c>
      <c r="L3868" s="6">
        <v>35.1183471679688</v>
      </c>
    </row>
    <row r="3869" spans="1:12" x14ac:dyDescent="0.25">
      <c r="A3869">
        <v>4127858</v>
      </c>
      <c r="B3869" t="str">
        <f t="shared" si="60"/>
        <v>TRES BARRAS DO PARANA, PR, Brasil</v>
      </c>
      <c r="C3869" s="4" t="str">
        <f>_xlfn.XLOOKUP(A3869,[1]!DadosGHD[CD_GEOCMU],[1]!DadosGHD[Região])</f>
        <v>SL</v>
      </c>
      <c r="D3869" s="4" t="str">
        <f>_xlfn.XLOOKUP(A3869,[1]!DadosGHD[CD_GEOCMU],[1]!DadosGHD[uf])</f>
        <v>PR</v>
      </c>
      <c r="E3869" s="5" t="str">
        <f>_xlfn.XLOOKUP(A3869,[1]!DadosGHD[CD_GEOCMU],[1]!DadosGHD[MUNICIPIO])</f>
        <v>TRES BARRAS DO PARANA</v>
      </c>
      <c r="F3869" s="6">
        <v>48.579517364502003</v>
      </c>
      <c r="G3869" s="6">
        <v>48.747058868408203</v>
      </c>
      <c r="H3869" s="6">
        <v>48.733123779296903</v>
      </c>
      <c r="I3869" s="6">
        <v>48.755691528320298</v>
      </c>
      <c r="J3869" s="6">
        <v>48.777557373046903</v>
      </c>
      <c r="K3869" s="6">
        <v>48.826263427734403</v>
      </c>
      <c r="L3869" s="6">
        <v>39.577644348144503</v>
      </c>
    </row>
    <row r="3870" spans="1:12" x14ac:dyDescent="0.25">
      <c r="A3870">
        <v>2513406</v>
      </c>
      <c r="B3870" t="str">
        <f t="shared" si="60"/>
        <v>SANTA LUZIA, PB, Brasil</v>
      </c>
      <c r="C3870" s="4" t="str">
        <f>_xlfn.XLOOKUP(A3870,[1]!DadosGHD[CD_GEOCMU],[1]!DadosGHD[Região])</f>
        <v>NE</v>
      </c>
      <c r="D3870" s="4" t="str">
        <f>_xlfn.XLOOKUP(A3870,[1]!DadosGHD[CD_GEOCMU],[1]!DadosGHD[uf])</f>
        <v>PB</v>
      </c>
      <c r="E3870" s="5" t="str">
        <f>_xlfn.XLOOKUP(A3870,[1]!DadosGHD[CD_GEOCMU],[1]!DadosGHD[MUNICIPIO])</f>
        <v>SANTA LUZIA</v>
      </c>
      <c r="F3870" s="6">
        <v>48.579654693603501</v>
      </c>
      <c r="G3870" s="6">
        <v>43.707935333252003</v>
      </c>
      <c r="H3870" s="6">
        <v>43.778186798095703</v>
      </c>
      <c r="I3870" s="6">
        <v>48.6846313476563</v>
      </c>
      <c r="J3870" s="6">
        <v>48.784152984619098</v>
      </c>
      <c r="K3870" s="6">
        <v>53.8472709655762</v>
      </c>
      <c r="L3870" s="6">
        <v>53.024784088134801</v>
      </c>
    </row>
    <row r="3871" spans="1:12" x14ac:dyDescent="0.25">
      <c r="A3871">
        <v>3132800</v>
      </c>
      <c r="B3871" t="str">
        <f t="shared" si="60"/>
        <v>ITAMBE DO MATO DENTRO, MG, Brasil</v>
      </c>
      <c r="C3871" s="4" t="str">
        <f>_xlfn.XLOOKUP(A3871,[1]!DadosGHD[CD_GEOCMU],[1]!DadosGHD[Região])</f>
        <v>SD</v>
      </c>
      <c r="D3871" s="4" t="str">
        <f>_xlfn.XLOOKUP(A3871,[1]!DadosGHD[CD_GEOCMU],[1]!DadosGHD[uf])</f>
        <v>MG</v>
      </c>
      <c r="E3871" s="5" t="str">
        <f>_xlfn.XLOOKUP(A3871,[1]!DadosGHD[CD_GEOCMU],[1]!DadosGHD[MUNICIPIO])</f>
        <v>ITAMBE DO MATO DENTRO</v>
      </c>
      <c r="F3871" s="6">
        <v>48.579914093017599</v>
      </c>
      <c r="G3871" s="6">
        <v>43.744724273681598</v>
      </c>
      <c r="H3871" s="6">
        <v>43.809818267822301</v>
      </c>
      <c r="I3871" s="6">
        <v>43.786888122558601</v>
      </c>
      <c r="J3871" s="6">
        <v>43.814262390136697</v>
      </c>
      <c r="K3871" s="6">
        <v>43.8779106140137</v>
      </c>
      <c r="L3871" s="6">
        <v>39.606739044189503</v>
      </c>
    </row>
    <row r="3872" spans="1:12" x14ac:dyDescent="0.25">
      <c r="A3872">
        <v>3154002</v>
      </c>
      <c r="B3872" t="str">
        <f t="shared" si="60"/>
        <v>RAUL SOARES, MG, Brasil</v>
      </c>
      <c r="C3872" s="4" t="str">
        <f>_xlfn.XLOOKUP(A3872,[1]!DadosGHD[CD_GEOCMU],[1]!DadosGHD[Região])</f>
        <v>SD</v>
      </c>
      <c r="D3872" s="4" t="str">
        <f>_xlfn.XLOOKUP(A3872,[1]!DadosGHD[CD_GEOCMU],[1]!DadosGHD[uf])</f>
        <v>MG</v>
      </c>
      <c r="E3872" s="5" t="str">
        <f>_xlfn.XLOOKUP(A3872,[1]!DadosGHD[CD_GEOCMU],[1]!DadosGHD[MUNICIPIO])</f>
        <v>RAUL SOARES</v>
      </c>
      <c r="F3872" s="6">
        <v>48.580081939697301</v>
      </c>
      <c r="G3872" s="6">
        <v>43.740798950195298</v>
      </c>
      <c r="H3872" s="6">
        <v>43.829803466796903</v>
      </c>
      <c r="I3872" s="6">
        <v>43.797763824462898</v>
      </c>
      <c r="J3872" s="6">
        <v>43.817104339599602</v>
      </c>
      <c r="K3872" s="6">
        <v>43.843814849853501</v>
      </c>
      <c r="L3872" s="6">
        <v>35.119411468505902</v>
      </c>
    </row>
    <row r="3873" spans="1:12" x14ac:dyDescent="0.25">
      <c r="A3873">
        <v>3112307</v>
      </c>
      <c r="B3873" t="str">
        <f t="shared" si="60"/>
        <v>CAPELINHA, MG, Brasil</v>
      </c>
      <c r="C3873" s="4" t="str">
        <f>_xlfn.XLOOKUP(A3873,[1]!DadosGHD[CD_GEOCMU],[1]!DadosGHD[Região])</f>
        <v>SD</v>
      </c>
      <c r="D3873" s="4" t="str">
        <f>_xlfn.XLOOKUP(A3873,[1]!DadosGHD[CD_GEOCMU],[1]!DadosGHD[uf])</f>
        <v>MG</v>
      </c>
      <c r="E3873" s="5" t="str">
        <f>_xlfn.XLOOKUP(A3873,[1]!DadosGHD[CD_GEOCMU],[1]!DadosGHD[MUNICIPIO])</f>
        <v>CAPELINHA</v>
      </c>
      <c r="F3873" s="6">
        <v>48.5800971984863</v>
      </c>
      <c r="G3873" s="6">
        <v>48.636295318603501</v>
      </c>
      <c r="H3873" s="6">
        <v>48.736198425292997</v>
      </c>
      <c r="I3873" s="6">
        <v>48.709903717041001</v>
      </c>
      <c r="J3873" s="6">
        <v>43.823165893554702</v>
      </c>
      <c r="K3873" s="6">
        <v>48.780117034912102</v>
      </c>
      <c r="L3873" s="6">
        <v>39.588485717773402</v>
      </c>
    </row>
    <row r="3874" spans="1:12" x14ac:dyDescent="0.25">
      <c r="A3874">
        <v>4214409</v>
      </c>
      <c r="B3874" t="str">
        <f t="shared" si="60"/>
        <v>RIO DAS ANTAS, SC, Brasil</v>
      </c>
      <c r="C3874" s="4" t="str">
        <f>_xlfn.XLOOKUP(A3874,[1]!DadosGHD[CD_GEOCMU],[1]!DadosGHD[Região])</f>
        <v>SL</v>
      </c>
      <c r="D3874" s="4" t="str">
        <f>_xlfn.XLOOKUP(A3874,[1]!DadosGHD[CD_GEOCMU],[1]!DadosGHD[uf])</f>
        <v>SC</v>
      </c>
      <c r="E3874" s="5" t="str">
        <f>_xlfn.XLOOKUP(A3874,[1]!DadosGHD[CD_GEOCMU],[1]!DadosGHD[MUNICIPIO])</f>
        <v>RIO DAS ANTAS</v>
      </c>
      <c r="F3874" s="6">
        <v>48.580345153808601</v>
      </c>
      <c r="G3874" s="6">
        <v>38.770339965820298</v>
      </c>
      <c r="H3874" s="6">
        <v>43.772727966308601</v>
      </c>
      <c r="I3874" s="6">
        <v>43.720531463623097</v>
      </c>
      <c r="J3874" s="6">
        <v>43.717082977294901</v>
      </c>
      <c r="K3874" s="6">
        <v>43.800136566162102</v>
      </c>
      <c r="L3874" s="6">
        <v>44.049999237060597</v>
      </c>
    </row>
    <row r="3875" spans="1:12" x14ac:dyDescent="0.25">
      <c r="A3875">
        <v>3147709</v>
      </c>
      <c r="B3875" t="str">
        <f t="shared" si="60"/>
        <v>PASSA TEMPO, MG, Brasil</v>
      </c>
      <c r="C3875" s="4" t="str">
        <f>_xlfn.XLOOKUP(A3875,[1]!DadosGHD[CD_GEOCMU],[1]!DadosGHD[Região])</f>
        <v>SD</v>
      </c>
      <c r="D3875" s="4" t="str">
        <f>_xlfn.XLOOKUP(A3875,[1]!DadosGHD[CD_GEOCMU],[1]!DadosGHD[uf])</f>
        <v>MG</v>
      </c>
      <c r="E3875" s="5" t="str">
        <f>_xlfn.XLOOKUP(A3875,[1]!DadosGHD[CD_GEOCMU],[1]!DadosGHD[MUNICIPIO])</f>
        <v>PASSA TEMPO</v>
      </c>
      <c r="F3875" s="6">
        <v>48.580692291259801</v>
      </c>
      <c r="G3875" s="6">
        <v>43.686237335205099</v>
      </c>
      <c r="H3875" s="6">
        <v>43.744491577148402</v>
      </c>
      <c r="I3875" s="6">
        <v>43.712078094482401</v>
      </c>
      <c r="J3875" s="6">
        <v>43.729873657226598</v>
      </c>
      <c r="K3875" s="6">
        <v>38.890060424804702</v>
      </c>
      <c r="L3875" s="6">
        <v>30.6913757324219</v>
      </c>
    </row>
    <row r="3876" spans="1:12" x14ac:dyDescent="0.25">
      <c r="A3876">
        <v>3549003</v>
      </c>
      <c r="B3876" t="str">
        <f t="shared" si="60"/>
        <v>SAO FRANCISCO, SP, Brasil</v>
      </c>
      <c r="C3876" s="4" t="str">
        <f>_xlfn.XLOOKUP(A3876,[1]!DadosGHD[CD_GEOCMU],[1]!DadosGHD[Região])</f>
        <v>SD</v>
      </c>
      <c r="D3876" s="4" t="str">
        <f>_xlfn.XLOOKUP(A3876,[1]!DadosGHD[CD_GEOCMU],[1]!DadosGHD[uf])</f>
        <v>SP</v>
      </c>
      <c r="E3876" s="5" t="str">
        <f>_xlfn.XLOOKUP(A3876,[1]!DadosGHD[CD_GEOCMU],[1]!DadosGHD[MUNICIPIO])</f>
        <v>SAO FRANCISCO</v>
      </c>
      <c r="F3876" s="6">
        <v>48.580787658691399</v>
      </c>
      <c r="G3876" s="6">
        <v>43.6820678710938</v>
      </c>
      <c r="H3876" s="6">
        <v>43.723094940185597</v>
      </c>
      <c r="I3876" s="6">
        <v>43.689071655273402</v>
      </c>
      <c r="J3876" s="6">
        <v>43.7100639343262</v>
      </c>
      <c r="K3876" s="6">
        <v>38.890468597412102</v>
      </c>
      <c r="L3876" s="6">
        <v>48.507698059082003</v>
      </c>
    </row>
    <row r="3877" spans="1:12" x14ac:dyDescent="0.25">
      <c r="A3877">
        <v>2201903</v>
      </c>
      <c r="B3877" t="str">
        <f t="shared" si="60"/>
        <v>BOM JESUS, PI, Brasil</v>
      </c>
      <c r="C3877" s="4" t="str">
        <f>_xlfn.XLOOKUP(A3877,[1]!DadosGHD[CD_GEOCMU],[1]!DadosGHD[Região])</f>
        <v>NE</v>
      </c>
      <c r="D3877" s="4" t="str">
        <f>_xlfn.XLOOKUP(A3877,[1]!DadosGHD[CD_GEOCMU],[1]!DadosGHD[uf])</f>
        <v>PI</v>
      </c>
      <c r="E3877" s="5" t="str">
        <f>_xlfn.XLOOKUP(A3877,[1]!DadosGHD[CD_GEOCMU],[1]!DadosGHD[MUNICIPIO])</f>
        <v>BOM JESUS</v>
      </c>
      <c r="F3877" s="6">
        <v>48.5807914733887</v>
      </c>
      <c r="G3877" s="6">
        <v>48.648193359375</v>
      </c>
      <c r="H3877" s="6">
        <v>43.837245941162102</v>
      </c>
      <c r="I3877" s="6">
        <v>48.713050842285199</v>
      </c>
      <c r="J3877" s="6">
        <v>48.808799743652301</v>
      </c>
      <c r="K3877" s="6">
        <v>53.838840484619098</v>
      </c>
      <c r="L3877" s="6">
        <v>44.016201019287102</v>
      </c>
    </row>
    <row r="3878" spans="1:12" x14ac:dyDescent="0.25">
      <c r="A3878">
        <v>4300901</v>
      </c>
      <c r="B3878" t="str">
        <f t="shared" si="60"/>
        <v>ARATIBA, RS, Brasil</v>
      </c>
      <c r="C3878" s="4" t="str">
        <f>_xlfn.XLOOKUP(A3878,[1]!DadosGHD[CD_GEOCMU],[1]!DadosGHD[Região])</f>
        <v>SL</v>
      </c>
      <c r="D3878" s="4" t="str">
        <f>_xlfn.XLOOKUP(A3878,[1]!DadosGHD[CD_GEOCMU],[1]!DadosGHD[uf])</f>
        <v>RS</v>
      </c>
      <c r="E3878" s="5" t="str">
        <f>_xlfn.XLOOKUP(A3878,[1]!DadosGHD[CD_GEOCMU],[1]!DadosGHD[MUNICIPIO])</f>
        <v>ARATIBA</v>
      </c>
      <c r="F3878" s="6">
        <v>48.580863952636697</v>
      </c>
      <c r="G3878" s="6">
        <v>48.738430023193402</v>
      </c>
      <c r="H3878" s="6">
        <v>48.804172515869098</v>
      </c>
      <c r="I3878" s="6">
        <v>53.783847808837898</v>
      </c>
      <c r="J3878" s="6">
        <v>63.946338653564503</v>
      </c>
      <c r="K3878" s="6">
        <v>59.094810485839801</v>
      </c>
      <c r="L3878" s="6">
        <v>57.574760437011697</v>
      </c>
    </row>
    <row r="3879" spans="1:12" x14ac:dyDescent="0.25">
      <c r="A3879">
        <v>5209457</v>
      </c>
      <c r="B3879" t="str">
        <f t="shared" si="60"/>
        <v>GUARINOS, GO, Brasil</v>
      </c>
      <c r="C3879" s="4" t="str">
        <f>_xlfn.XLOOKUP(A3879,[1]!DadosGHD[CD_GEOCMU],[1]!DadosGHD[Região])</f>
        <v>CO</v>
      </c>
      <c r="D3879" s="4" t="str">
        <f>_xlfn.XLOOKUP(A3879,[1]!DadosGHD[CD_GEOCMU],[1]!DadosGHD[uf])</f>
        <v>GO</v>
      </c>
      <c r="E3879" s="5" t="str">
        <f>_xlfn.XLOOKUP(A3879,[1]!DadosGHD[CD_GEOCMU],[1]!DadosGHD[MUNICIPIO])</f>
        <v>GUARINOS</v>
      </c>
      <c r="F3879" s="6">
        <v>48.581150054931598</v>
      </c>
      <c r="G3879" s="6">
        <v>43.710819244384801</v>
      </c>
      <c r="H3879" s="6">
        <v>43.812896728515597</v>
      </c>
      <c r="I3879" s="6">
        <v>43.7998237609863</v>
      </c>
      <c r="J3879" s="6">
        <v>43.821296691894503</v>
      </c>
      <c r="K3879" s="6">
        <v>33.908557891845703</v>
      </c>
      <c r="L3879" s="6">
        <v>35.1218070983887</v>
      </c>
    </row>
    <row r="3880" spans="1:12" x14ac:dyDescent="0.25">
      <c r="A3880">
        <v>4309571</v>
      </c>
      <c r="B3880" t="str">
        <f t="shared" si="60"/>
        <v>HERVEIRAS, RS, Brasil</v>
      </c>
      <c r="C3880" s="4" t="str">
        <f>_xlfn.XLOOKUP(A3880,[1]!DadosGHD[CD_GEOCMU],[1]!DadosGHD[Região])</f>
        <v>SL</v>
      </c>
      <c r="D3880" s="4" t="str">
        <f>_xlfn.XLOOKUP(A3880,[1]!DadosGHD[CD_GEOCMU],[1]!DadosGHD[uf])</f>
        <v>RS</v>
      </c>
      <c r="E3880" s="5" t="str">
        <f>_xlfn.XLOOKUP(A3880,[1]!DadosGHD[CD_GEOCMU],[1]!DadosGHD[MUNICIPIO])</f>
        <v>HERVEIRAS</v>
      </c>
      <c r="F3880" s="6">
        <v>48.581459045410199</v>
      </c>
      <c r="G3880" s="6">
        <v>43.763153076171903</v>
      </c>
      <c r="H3880" s="6">
        <v>48.767002105712898</v>
      </c>
      <c r="I3880" s="6">
        <v>43.727474212646499</v>
      </c>
      <c r="J3880" s="6">
        <v>43.774944305419901</v>
      </c>
      <c r="K3880" s="6">
        <v>43.818019866943402</v>
      </c>
      <c r="L3880" s="6">
        <v>44.062477111816399</v>
      </c>
    </row>
    <row r="3881" spans="1:12" x14ac:dyDescent="0.25">
      <c r="A3881">
        <v>3109808</v>
      </c>
      <c r="B3881" t="str">
        <f t="shared" si="60"/>
        <v>CACHOEIRA DOURADA, MG, Brasil</v>
      </c>
      <c r="C3881" s="4" t="str">
        <f>_xlfn.XLOOKUP(A3881,[1]!DadosGHD[CD_GEOCMU],[1]!DadosGHD[Região])</f>
        <v>SD</v>
      </c>
      <c r="D3881" s="4" t="str">
        <f>_xlfn.XLOOKUP(A3881,[1]!DadosGHD[CD_GEOCMU],[1]!DadosGHD[uf])</f>
        <v>MG</v>
      </c>
      <c r="E3881" s="5" t="str">
        <f>_xlfn.XLOOKUP(A3881,[1]!DadosGHD[CD_GEOCMU],[1]!DadosGHD[MUNICIPIO])</f>
        <v>CACHOEIRA DOURADA</v>
      </c>
      <c r="F3881" s="6">
        <v>48.581661224365199</v>
      </c>
      <c r="G3881" s="6">
        <v>43.740730285644503</v>
      </c>
      <c r="H3881" s="6">
        <v>43.829113006591797</v>
      </c>
      <c r="I3881" s="6">
        <v>43.8029975891113</v>
      </c>
      <c r="J3881" s="6">
        <v>43.769481658935597</v>
      </c>
      <c r="K3881" s="6">
        <v>43.782962799072301</v>
      </c>
      <c r="L3881" s="6">
        <v>35.114387512207003</v>
      </c>
    </row>
    <row r="3882" spans="1:12" x14ac:dyDescent="0.25">
      <c r="A3882">
        <v>3107703</v>
      </c>
      <c r="B3882" t="str">
        <f t="shared" si="60"/>
        <v>BOM JESUS DO AMPARO, MG, Brasil</v>
      </c>
      <c r="C3882" s="4" t="str">
        <f>_xlfn.XLOOKUP(A3882,[1]!DadosGHD[CD_GEOCMU],[1]!DadosGHD[Região])</f>
        <v>SD</v>
      </c>
      <c r="D3882" s="4" t="str">
        <f>_xlfn.XLOOKUP(A3882,[1]!DadosGHD[CD_GEOCMU],[1]!DadosGHD[uf])</f>
        <v>MG</v>
      </c>
      <c r="E3882" s="5" t="str">
        <f>_xlfn.XLOOKUP(A3882,[1]!DadosGHD[CD_GEOCMU],[1]!DadosGHD[MUNICIPIO])</f>
        <v>BOM JESUS DO AMPARO</v>
      </c>
      <c r="F3882" s="6">
        <v>48.581878662109403</v>
      </c>
      <c r="G3882" s="6">
        <v>38.721946716308601</v>
      </c>
      <c r="H3882" s="6">
        <v>43.829402923583999</v>
      </c>
      <c r="I3882" s="6">
        <v>43.694812774658203</v>
      </c>
      <c r="J3882" s="6">
        <v>43.774959564208999</v>
      </c>
      <c r="K3882" s="6">
        <v>43.863174438476598</v>
      </c>
      <c r="L3882" s="6">
        <v>48.497535705566399</v>
      </c>
    </row>
    <row r="3883" spans="1:12" x14ac:dyDescent="0.25">
      <c r="A3883">
        <v>3300951</v>
      </c>
      <c r="B3883" t="str">
        <f t="shared" si="60"/>
        <v>COMENDADOR LEVY GASPARIAN, RJ, Brasil</v>
      </c>
      <c r="C3883" s="4" t="str">
        <f>_xlfn.XLOOKUP(A3883,[1]!DadosGHD[CD_GEOCMU],[1]!DadosGHD[Região])</f>
        <v>SD</v>
      </c>
      <c r="D3883" s="4" t="str">
        <f>_xlfn.XLOOKUP(A3883,[1]!DadosGHD[CD_GEOCMU],[1]!DadosGHD[uf])</f>
        <v>RJ</v>
      </c>
      <c r="E3883" s="5" t="str">
        <f>_xlfn.XLOOKUP(A3883,[1]!DadosGHD[CD_GEOCMU],[1]!DadosGHD[MUNICIPIO])</f>
        <v>COMENDADOR LEVY GASPARIAN</v>
      </c>
      <c r="F3883" s="6">
        <v>48.582008361816399</v>
      </c>
      <c r="G3883" s="6">
        <v>43.740856170654297</v>
      </c>
      <c r="H3883" s="6">
        <v>43.841789245605497</v>
      </c>
      <c r="I3883" s="6">
        <v>48.813766479492202</v>
      </c>
      <c r="J3883" s="6">
        <v>48.746345520019503</v>
      </c>
      <c r="K3883" s="6">
        <v>48.900825500488303</v>
      </c>
      <c r="L3883" s="6">
        <v>57.572429656982401</v>
      </c>
    </row>
    <row r="3884" spans="1:12" x14ac:dyDescent="0.25">
      <c r="A3884">
        <v>5213806</v>
      </c>
      <c r="B3884" t="str">
        <f t="shared" si="60"/>
        <v>MORRINHOS, GO, Brasil</v>
      </c>
      <c r="C3884" s="4" t="str">
        <f>_xlfn.XLOOKUP(A3884,[1]!DadosGHD[CD_GEOCMU],[1]!DadosGHD[Região])</f>
        <v>CO</v>
      </c>
      <c r="D3884" s="4" t="str">
        <f>_xlfn.XLOOKUP(A3884,[1]!DadosGHD[CD_GEOCMU],[1]!DadosGHD[uf])</f>
        <v>GO</v>
      </c>
      <c r="E3884" s="5" t="str">
        <f>_xlfn.XLOOKUP(A3884,[1]!DadosGHD[CD_GEOCMU],[1]!DadosGHD[MUNICIPIO])</f>
        <v>MORRINHOS</v>
      </c>
      <c r="F3884" s="6">
        <v>48.5821342468262</v>
      </c>
      <c r="G3884" s="6">
        <v>48.691543579101598</v>
      </c>
      <c r="H3884" s="6">
        <v>48.751659393310597</v>
      </c>
      <c r="I3884" s="6">
        <v>48.717292785644503</v>
      </c>
      <c r="J3884" s="6">
        <v>48.727588653564503</v>
      </c>
      <c r="K3884" s="6">
        <v>48.788619995117202</v>
      </c>
      <c r="L3884" s="6">
        <v>35.130722045898402</v>
      </c>
    </row>
    <row r="3885" spans="1:12" x14ac:dyDescent="0.25">
      <c r="A3885">
        <v>3104403</v>
      </c>
      <c r="B3885" t="str">
        <f t="shared" si="60"/>
        <v>ARGIRITA, MG, Brasil</v>
      </c>
      <c r="C3885" s="4" t="str">
        <f>_xlfn.XLOOKUP(A3885,[1]!DadosGHD[CD_GEOCMU],[1]!DadosGHD[Região])</f>
        <v>SD</v>
      </c>
      <c r="D3885" s="4" t="str">
        <f>_xlfn.XLOOKUP(A3885,[1]!DadosGHD[CD_GEOCMU],[1]!DadosGHD[uf])</f>
        <v>MG</v>
      </c>
      <c r="E3885" s="5" t="str">
        <f>_xlfn.XLOOKUP(A3885,[1]!DadosGHD[CD_GEOCMU],[1]!DadosGHD[MUNICIPIO])</f>
        <v>ARGIRITA</v>
      </c>
      <c r="F3885" s="6">
        <v>48.5822143554688</v>
      </c>
      <c r="G3885" s="6">
        <v>43.719631195068402</v>
      </c>
      <c r="H3885" s="6">
        <v>43.781734466552699</v>
      </c>
      <c r="I3885" s="6">
        <v>43.762531280517599</v>
      </c>
      <c r="J3885" s="6">
        <v>43.810466766357401</v>
      </c>
      <c r="K3885" s="6">
        <v>43.787628173828097</v>
      </c>
      <c r="L3885" s="6">
        <v>39.5615844726563</v>
      </c>
    </row>
    <row r="3886" spans="1:12" x14ac:dyDescent="0.25">
      <c r="A3886">
        <v>1702109</v>
      </c>
      <c r="B3886" t="str">
        <f t="shared" si="60"/>
        <v>ARAGUAINA, TO, Brasil</v>
      </c>
      <c r="C3886" s="4" t="str">
        <f>_xlfn.XLOOKUP(A3886,[1]!DadosGHD[CD_GEOCMU],[1]!DadosGHD[Região])</f>
        <v>NO</v>
      </c>
      <c r="D3886" s="4" t="str">
        <f>_xlfn.XLOOKUP(A3886,[1]!DadosGHD[CD_GEOCMU],[1]!DadosGHD[uf])</f>
        <v>TO</v>
      </c>
      <c r="E3886" s="5" t="str">
        <f>_xlfn.XLOOKUP(A3886,[1]!DadosGHD[CD_GEOCMU],[1]!DadosGHD[MUNICIPIO])</f>
        <v>ARAGUAINA</v>
      </c>
      <c r="F3886" s="6">
        <v>48.582515716552699</v>
      </c>
      <c r="G3886" s="6">
        <v>48.648292541503899</v>
      </c>
      <c r="H3886" s="6">
        <v>43.791332244873097</v>
      </c>
      <c r="I3886" s="6">
        <v>43.735813140869098</v>
      </c>
      <c r="J3886" s="6">
        <v>43.751590728759801</v>
      </c>
      <c r="K3886" s="6">
        <v>43.795848846435597</v>
      </c>
      <c r="L3886" s="6">
        <v>39.5873413085938</v>
      </c>
    </row>
    <row r="3887" spans="1:12" x14ac:dyDescent="0.25">
      <c r="A3887">
        <v>4102505</v>
      </c>
      <c r="B3887" t="str">
        <f t="shared" si="60"/>
        <v>BARBOSA FERRAZ, PR, Brasil</v>
      </c>
      <c r="C3887" s="4" t="str">
        <f>_xlfn.XLOOKUP(A3887,[1]!DadosGHD[CD_GEOCMU],[1]!DadosGHD[Região])</f>
        <v>SL</v>
      </c>
      <c r="D3887" s="4" t="str">
        <f>_xlfn.XLOOKUP(A3887,[1]!DadosGHD[CD_GEOCMU],[1]!DadosGHD[uf])</f>
        <v>PR</v>
      </c>
      <c r="E3887" s="5" t="str">
        <f>_xlfn.XLOOKUP(A3887,[1]!DadosGHD[CD_GEOCMU],[1]!DadosGHD[MUNICIPIO])</f>
        <v>BARBOSA FERRAZ</v>
      </c>
      <c r="F3887" s="6">
        <v>48.582733154296903</v>
      </c>
      <c r="G3887" s="6">
        <v>48.727901458740199</v>
      </c>
      <c r="H3887" s="6">
        <v>48.807273864746101</v>
      </c>
      <c r="I3887" s="6">
        <v>48.775920867919901</v>
      </c>
      <c r="J3887" s="6">
        <v>53.764640808105497</v>
      </c>
      <c r="K3887" s="6">
        <v>53.818458557128899</v>
      </c>
      <c r="L3887" s="6">
        <v>48.527542114257798</v>
      </c>
    </row>
    <row r="3888" spans="1:12" x14ac:dyDescent="0.25">
      <c r="A3888">
        <v>5221304</v>
      </c>
      <c r="B3888" t="str">
        <f t="shared" si="60"/>
        <v>TRES RANCHOS, GO, Brasil</v>
      </c>
      <c r="C3888" s="4" t="str">
        <f>_xlfn.XLOOKUP(A3888,[1]!DadosGHD[CD_GEOCMU],[1]!DadosGHD[Região])</f>
        <v>CO</v>
      </c>
      <c r="D3888" s="4" t="str">
        <f>_xlfn.XLOOKUP(A3888,[1]!DadosGHD[CD_GEOCMU],[1]!DadosGHD[uf])</f>
        <v>GO</v>
      </c>
      <c r="E3888" s="5" t="str">
        <f>_xlfn.XLOOKUP(A3888,[1]!DadosGHD[CD_GEOCMU],[1]!DadosGHD[MUNICIPIO])</f>
        <v>TRES RANCHOS</v>
      </c>
      <c r="F3888" s="6">
        <v>48.582847595214801</v>
      </c>
      <c r="G3888" s="6">
        <v>43.718254089355497</v>
      </c>
      <c r="H3888" s="6">
        <v>43.769683837890597</v>
      </c>
      <c r="I3888" s="6">
        <v>43.759963989257798</v>
      </c>
      <c r="J3888" s="6">
        <v>48.722301483154297</v>
      </c>
      <c r="K3888" s="6">
        <v>48.782070159912102</v>
      </c>
      <c r="L3888" s="6">
        <v>44.020393371582003</v>
      </c>
    </row>
    <row r="3889" spans="1:12" x14ac:dyDescent="0.25">
      <c r="A3889">
        <v>3547106</v>
      </c>
      <c r="B3889" t="str">
        <f t="shared" si="60"/>
        <v>SANTA MERCEDES, SP, Brasil</v>
      </c>
      <c r="C3889" s="4" t="str">
        <f>_xlfn.XLOOKUP(A3889,[1]!DadosGHD[CD_GEOCMU],[1]!DadosGHD[Região])</f>
        <v>SD</v>
      </c>
      <c r="D3889" s="4" t="str">
        <f>_xlfn.XLOOKUP(A3889,[1]!DadosGHD[CD_GEOCMU],[1]!DadosGHD[uf])</f>
        <v>SP</v>
      </c>
      <c r="E3889" s="5" t="str">
        <f>_xlfn.XLOOKUP(A3889,[1]!DadosGHD[CD_GEOCMU],[1]!DadosGHD[MUNICIPIO])</f>
        <v>SANTA MERCEDES</v>
      </c>
      <c r="F3889" s="6">
        <v>48.583358764648402</v>
      </c>
      <c r="G3889" s="6">
        <v>48.691627502441399</v>
      </c>
      <c r="H3889" s="6">
        <v>48.733333587646499</v>
      </c>
      <c r="I3889" s="6">
        <v>48.688705444335902</v>
      </c>
      <c r="J3889" s="6">
        <v>48.70166015625</v>
      </c>
      <c r="K3889" s="6">
        <v>48.7990531921387</v>
      </c>
      <c r="L3889" s="6">
        <v>48.497898101806598</v>
      </c>
    </row>
    <row r="3890" spans="1:12" x14ac:dyDescent="0.25">
      <c r="A3890">
        <v>3300100</v>
      </c>
      <c r="B3890" t="str">
        <f t="shared" si="60"/>
        <v>ANGRA DOS REIS, RJ, Brasil</v>
      </c>
      <c r="C3890" s="4" t="str">
        <f>_xlfn.XLOOKUP(A3890,[1]!DadosGHD[CD_GEOCMU],[1]!DadosGHD[Região])</f>
        <v>SD</v>
      </c>
      <c r="D3890" s="4" t="str">
        <f>_xlfn.XLOOKUP(A3890,[1]!DadosGHD[CD_GEOCMU],[1]!DadosGHD[uf])</f>
        <v>RJ</v>
      </c>
      <c r="E3890" s="5" t="str">
        <f>_xlfn.XLOOKUP(A3890,[1]!DadosGHD[CD_GEOCMU],[1]!DadosGHD[MUNICIPIO])</f>
        <v>ANGRA DOS REIS</v>
      </c>
      <c r="F3890" s="6">
        <v>48.583526611328097</v>
      </c>
      <c r="G3890" s="6">
        <v>43.710201263427699</v>
      </c>
      <c r="H3890" s="6">
        <v>43.775455474853501</v>
      </c>
      <c r="I3890" s="6">
        <v>43.710941314697301</v>
      </c>
      <c r="J3890" s="6">
        <v>43.738231658935597</v>
      </c>
      <c r="K3890" s="6">
        <v>43.765575408935597</v>
      </c>
      <c r="L3890" s="6">
        <v>44.062248229980497</v>
      </c>
    </row>
    <row r="3891" spans="1:12" x14ac:dyDescent="0.25">
      <c r="A3891">
        <v>4212403</v>
      </c>
      <c r="B3891" t="str">
        <f t="shared" si="60"/>
        <v>PEDRAS GRANDES, SC, Brasil</v>
      </c>
      <c r="C3891" s="4" t="str">
        <f>_xlfn.XLOOKUP(A3891,[1]!DadosGHD[CD_GEOCMU],[1]!DadosGHD[Região])</f>
        <v>SL</v>
      </c>
      <c r="D3891" s="4" t="str">
        <f>_xlfn.XLOOKUP(A3891,[1]!DadosGHD[CD_GEOCMU],[1]!DadosGHD[uf])</f>
        <v>SC</v>
      </c>
      <c r="E3891" s="5" t="str">
        <f>_xlfn.XLOOKUP(A3891,[1]!DadosGHD[CD_GEOCMU],[1]!DadosGHD[MUNICIPIO])</f>
        <v>PEDRAS GRANDES</v>
      </c>
      <c r="F3891" s="6">
        <v>48.584068298339801</v>
      </c>
      <c r="G3891" s="6">
        <v>48.691207885742202</v>
      </c>
      <c r="H3891" s="6">
        <v>48.737537384033203</v>
      </c>
      <c r="I3891" s="6">
        <v>48.810207366943402</v>
      </c>
      <c r="J3891" s="6">
        <v>53.768699645996101</v>
      </c>
      <c r="K3891" s="6">
        <v>48.8550415039063</v>
      </c>
      <c r="L3891" s="6">
        <v>48.517250061035199</v>
      </c>
    </row>
    <row r="3892" spans="1:12" x14ac:dyDescent="0.25">
      <c r="A3892">
        <v>3133600</v>
      </c>
      <c r="B3892" t="str">
        <f t="shared" si="60"/>
        <v>ITAPEVA, MG, Brasil</v>
      </c>
      <c r="C3892" s="4" t="str">
        <f>_xlfn.XLOOKUP(A3892,[1]!DadosGHD[CD_GEOCMU],[1]!DadosGHD[Região])</f>
        <v>SD</v>
      </c>
      <c r="D3892" s="4" t="str">
        <f>_xlfn.XLOOKUP(A3892,[1]!DadosGHD[CD_GEOCMU],[1]!DadosGHD[uf])</f>
        <v>MG</v>
      </c>
      <c r="E3892" s="5" t="str">
        <f>_xlfn.XLOOKUP(A3892,[1]!DadosGHD[CD_GEOCMU],[1]!DadosGHD[MUNICIPIO])</f>
        <v>ITAPEVA</v>
      </c>
      <c r="F3892" s="6">
        <v>48.584541320800803</v>
      </c>
      <c r="G3892" s="6">
        <v>43.676662445068402</v>
      </c>
      <c r="H3892" s="6">
        <v>43.770126342773402</v>
      </c>
      <c r="I3892" s="6">
        <v>43.795478820800803</v>
      </c>
      <c r="J3892" s="6">
        <v>43.822170257568402</v>
      </c>
      <c r="K3892" s="6">
        <v>48.787696838378899</v>
      </c>
      <c r="L3892" s="6">
        <v>53.018585205078097</v>
      </c>
    </row>
    <row r="3893" spans="1:12" x14ac:dyDescent="0.25">
      <c r="A3893">
        <v>3515905</v>
      </c>
      <c r="B3893" t="str">
        <f t="shared" si="60"/>
        <v>FLOREAL, SP, Brasil</v>
      </c>
      <c r="C3893" s="4" t="str">
        <f>_xlfn.XLOOKUP(A3893,[1]!DadosGHD[CD_GEOCMU],[1]!DadosGHD[Região])</f>
        <v>SD</v>
      </c>
      <c r="D3893" s="4" t="str">
        <f>_xlfn.XLOOKUP(A3893,[1]!DadosGHD[CD_GEOCMU],[1]!DadosGHD[uf])</f>
        <v>SP</v>
      </c>
      <c r="E3893" s="5" t="str">
        <f>_xlfn.XLOOKUP(A3893,[1]!DadosGHD[CD_GEOCMU],[1]!DadosGHD[MUNICIPIO])</f>
        <v>FLOREAL</v>
      </c>
      <c r="F3893" s="6">
        <v>48.584602355957003</v>
      </c>
      <c r="G3893" s="6">
        <v>43.734294891357401</v>
      </c>
      <c r="H3893" s="6">
        <v>43.762069702148402</v>
      </c>
      <c r="I3893" s="6">
        <v>43.704395294189503</v>
      </c>
      <c r="J3893" s="6">
        <v>43.713344573974602</v>
      </c>
      <c r="K3893" s="6">
        <v>43.7550048828125</v>
      </c>
      <c r="L3893" s="6">
        <v>30.719554901123001</v>
      </c>
    </row>
    <row r="3894" spans="1:12" x14ac:dyDescent="0.25">
      <c r="A3894">
        <v>1716653</v>
      </c>
      <c r="B3894" t="str">
        <f t="shared" si="60"/>
        <v>PEQUIZEIRO, TO, Brasil</v>
      </c>
      <c r="C3894" s="4" t="str">
        <f>_xlfn.XLOOKUP(A3894,[1]!DadosGHD[CD_GEOCMU],[1]!DadosGHD[Região])</f>
        <v>NO</v>
      </c>
      <c r="D3894" s="4" t="str">
        <f>_xlfn.XLOOKUP(A3894,[1]!DadosGHD[CD_GEOCMU],[1]!DadosGHD[uf])</f>
        <v>TO</v>
      </c>
      <c r="E3894" s="5" t="str">
        <f>_xlfn.XLOOKUP(A3894,[1]!DadosGHD[CD_GEOCMU],[1]!DadosGHD[MUNICIPIO])</f>
        <v>PEQUIZEIRO</v>
      </c>
      <c r="F3894" s="6">
        <v>48.584747314453097</v>
      </c>
      <c r="G3894" s="6">
        <v>38.751548767089801</v>
      </c>
      <c r="H3894" s="6">
        <v>38.793624877929702</v>
      </c>
      <c r="I3894" s="6">
        <v>38.761711120605497</v>
      </c>
      <c r="J3894" s="6">
        <v>38.775108337402301</v>
      </c>
      <c r="K3894" s="6">
        <v>38.8090209960938</v>
      </c>
      <c r="L3894" s="6">
        <v>30.716310501098601</v>
      </c>
    </row>
    <row r="3895" spans="1:12" x14ac:dyDescent="0.25">
      <c r="A3895">
        <v>3102209</v>
      </c>
      <c r="B3895" t="str">
        <f t="shared" si="60"/>
        <v>ALVARENGA, MG, Brasil</v>
      </c>
      <c r="C3895" s="4" t="str">
        <f>_xlfn.XLOOKUP(A3895,[1]!DadosGHD[CD_GEOCMU],[1]!DadosGHD[Região])</f>
        <v>SD</v>
      </c>
      <c r="D3895" s="4" t="str">
        <f>_xlfn.XLOOKUP(A3895,[1]!DadosGHD[CD_GEOCMU],[1]!DadosGHD[uf])</f>
        <v>MG</v>
      </c>
      <c r="E3895" s="5" t="str">
        <f>_xlfn.XLOOKUP(A3895,[1]!DadosGHD[CD_GEOCMU],[1]!DadosGHD[MUNICIPIO])</f>
        <v>ALVARENGA</v>
      </c>
      <c r="F3895" s="6">
        <v>48.5847778320313</v>
      </c>
      <c r="G3895" s="6">
        <v>48.699150085449197</v>
      </c>
      <c r="H3895" s="6">
        <v>53.773345947265597</v>
      </c>
      <c r="I3895" s="6">
        <v>53.786983489990199</v>
      </c>
      <c r="J3895" s="6">
        <v>43.826522827148402</v>
      </c>
      <c r="K3895" s="6">
        <v>43.820926666259801</v>
      </c>
      <c r="L3895" s="6">
        <v>35.1589164733887</v>
      </c>
    </row>
    <row r="3896" spans="1:12" x14ac:dyDescent="0.25">
      <c r="A3896">
        <v>4123824</v>
      </c>
      <c r="B3896" t="str">
        <f t="shared" si="60"/>
        <v>SANTA LUCIA, PR, Brasil</v>
      </c>
      <c r="C3896" s="4" t="str">
        <f>_xlfn.XLOOKUP(A3896,[1]!DadosGHD[CD_GEOCMU],[1]!DadosGHD[Região])</f>
        <v>SL</v>
      </c>
      <c r="D3896" s="4" t="str">
        <f>_xlfn.XLOOKUP(A3896,[1]!DadosGHD[CD_GEOCMU],[1]!DadosGHD[uf])</f>
        <v>PR</v>
      </c>
      <c r="E3896" s="5" t="str">
        <f>_xlfn.XLOOKUP(A3896,[1]!DadosGHD[CD_GEOCMU],[1]!DadosGHD[MUNICIPIO])</f>
        <v>SANTA LUCIA</v>
      </c>
      <c r="F3896" s="6">
        <v>48.585250854492202</v>
      </c>
      <c r="G3896" s="6">
        <v>48.653205871582003</v>
      </c>
      <c r="H3896" s="6">
        <v>43.839771270752003</v>
      </c>
      <c r="I3896" s="6">
        <v>43.803840637207003</v>
      </c>
      <c r="J3896" s="6">
        <v>53.787731170654297</v>
      </c>
      <c r="K3896" s="6">
        <v>53.854194641113303</v>
      </c>
      <c r="L3896" s="6">
        <v>39.5843505859375</v>
      </c>
    </row>
    <row r="3897" spans="1:12" x14ac:dyDescent="0.25">
      <c r="A3897">
        <v>4123808</v>
      </c>
      <c r="B3897" t="str">
        <f t="shared" si="60"/>
        <v>SANTA IZABEL DO OESTE, PR, Brasil</v>
      </c>
      <c r="C3897" s="4" t="str">
        <f>_xlfn.XLOOKUP(A3897,[1]!DadosGHD[CD_GEOCMU],[1]!DadosGHD[Região])</f>
        <v>SL</v>
      </c>
      <c r="D3897" s="4" t="str">
        <f>_xlfn.XLOOKUP(A3897,[1]!DadosGHD[CD_GEOCMU],[1]!DadosGHD[uf])</f>
        <v>PR</v>
      </c>
      <c r="E3897" s="5" t="str">
        <f>_xlfn.XLOOKUP(A3897,[1]!DadosGHD[CD_GEOCMU],[1]!DadosGHD[MUNICIPIO])</f>
        <v>SANTA IZABEL DO OESTE</v>
      </c>
      <c r="F3897" s="6">
        <v>48.585296630859403</v>
      </c>
      <c r="G3897" s="6">
        <v>48.693435668945298</v>
      </c>
      <c r="H3897" s="6">
        <v>48.740856170654297</v>
      </c>
      <c r="I3897" s="6">
        <v>53.784717559814503</v>
      </c>
      <c r="J3897" s="6">
        <v>58.823905944824197</v>
      </c>
      <c r="K3897" s="6">
        <v>53.8706245422363</v>
      </c>
      <c r="L3897" s="6">
        <v>52.998031616210902</v>
      </c>
    </row>
    <row r="3898" spans="1:12" x14ac:dyDescent="0.25">
      <c r="A3898">
        <v>4315305</v>
      </c>
      <c r="B3898" t="str">
        <f t="shared" si="60"/>
        <v>QUARAI, RS, Brasil</v>
      </c>
      <c r="C3898" s="4" t="str">
        <f>_xlfn.XLOOKUP(A3898,[1]!DadosGHD[CD_GEOCMU],[1]!DadosGHD[Região])</f>
        <v>SL</v>
      </c>
      <c r="D3898" s="4" t="str">
        <f>_xlfn.XLOOKUP(A3898,[1]!DadosGHD[CD_GEOCMU],[1]!DadosGHD[uf])</f>
        <v>RS</v>
      </c>
      <c r="E3898" s="5" t="str">
        <f>_xlfn.XLOOKUP(A3898,[1]!DadosGHD[CD_GEOCMU],[1]!DadosGHD[MUNICIPIO])</f>
        <v>QUARAI</v>
      </c>
      <c r="F3898" s="6">
        <v>48.585357666015597</v>
      </c>
      <c r="G3898" s="6">
        <v>48.676155090332003</v>
      </c>
      <c r="H3898" s="6">
        <v>48.752628326416001</v>
      </c>
      <c r="I3898" s="6">
        <v>48.763599395752003</v>
      </c>
      <c r="J3898" s="6">
        <v>48.818740844726598</v>
      </c>
      <c r="K3898" s="6">
        <v>48.82763671875</v>
      </c>
      <c r="L3898" s="6">
        <v>39.608234405517599</v>
      </c>
    </row>
    <row r="3899" spans="1:12" x14ac:dyDescent="0.25">
      <c r="A3899">
        <v>3523701</v>
      </c>
      <c r="B3899" t="str">
        <f t="shared" si="60"/>
        <v>ITIRAPUA, SP, Brasil</v>
      </c>
      <c r="C3899" s="4" t="str">
        <f>_xlfn.XLOOKUP(A3899,[1]!DadosGHD[CD_GEOCMU],[1]!DadosGHD[Região])</f>
        <v>SD</v>
      </c>
      <c r="D3899" s="4" t="str">
        <f>_xlfn.XLOOKUP(A3899,[1]!DadosGHD[CD_GEOCMU],[1]!DadosGHD[uf])</f>
        <v>SP</v>
      </c>
      <c r="E3899" s="5" t="str">
        <f>_xlfn.XLOOKUP(A3899,[1]!DadosGHD[CD_GEOCMU],[1]!DadosGHD[MUNICIPIO])</f>
        <v>ITIRAPUA</v>
      </c>
      <c r="F3899" s="6">
        <v>48.585502624511697</v>
      </c>
      <c r="G3899" s="6">
        <v>43.724086761474602</v>
      </c>
      <c r="H3899" s="6">
        <v>43.835170745849602</v>
      </c>
      <c r="I3899" s="6">
        <v>48.764255523681598</v>
      </c>
      <c r="J3899" s="6">
        <v>48.705417633056598</v>
      </c>
      <c r="K3899" s="6">
        <v>48.800983428955099</v>
      </c>
      <c r="L3899" s="6">
        <v>53.030323028564503</v>
      </c>
    </row>
    <row r="3900" spans="1:12" x14ac:dyDescent="0.25">
      <c r="A3900">
        <v>3535606</v>
      </c>
      <c r="B3900" t="str">
        <f t="shared" si="60"/>
        <v>PARAIBUNA, SP, Brasil</v>
      </c>
      <c r="C3900" s="4" t="str">
        <f>_xlfn.XLOOKUP(A3900,[1]!DadosGHD[CD_GEOCMU],[1]!DadosGHD[Região])</f>
        <v>SD</v>
      </c>
      <c r="D3900" s="4" t="str">
        <f>_xlfn.XLOOKUP(A3900,[1]!DadosGHD[CD_GEOCMU],[1]!DadosGHD[uf])</f>
        <v>SP</v>
      </c>
      <c r="E3900" s="5" t="str">
        <f>_xlfn.XLOOKUP(A3900,[1]!DadosGHD[CD_GEOCMU],[1]!DadosGHD[MUNICIPIO])</f>
        <v>PARAIBUNA</v>
      </c>
      <c r="F3900" s="6">
        <v>48.585704803466797</v>
      </c>
      <c r="G3900" s="6">
        <v>48.6431694030762</v>
      </c>
      <c r="H3900" s="6">
        <v>48.784507751464801</v>
      </c>
      <c r="I3900" s="6">
        <v>48.702114105224602</v>
      </c>
      <c r="J3900" s="6">
        <v>43.749843597412102</v>
      </c>
      <c r="K3900" s="6">
        <v>43.800056457519503</v>
      </c>
      <c r="L3900" s="6">
        <v>53.029796600341797</v>
      </c>
    </row>
    <row r="3901" spans="1:12" x14ac:dyDescent="0.25">
      <c r="A3901">
        <v>1700350</v>
      </c>
      <c r="B3901" t="str">
        <f t="shared" si="60"/>
        <v>ALIANCA DO TOCANTINS, TO, Brasil</v>
      </c>
      <c r="C3901" s="4" t="str">
        <f>_xlfn.XLOOKUP(A3901,[1]!DadosGHD[CD_GEOCMU],[1]!DadosGHD[Região])</f>
        <v>NO</v>
      </c>
      <c r="D3901" s="4" t="str">
        <f>_xlfn.XLOOKUP(A3901,[1]!DadosGHD[CD_GEOCMU],[1]!DadosGHD[uf])</f>
        <v>TO</v>
      </c>
      <c r="E3901" s="5" t="str">
        <f>_xlfn.XLOOKUP(A3901,[1]!DadosGHD[CD_GEOCMU],[1]!DadosGHD[MUNICIPIO])</f>
        <v>ALIANCA DO TOCANTINS</v>
      </c>
      <c r="F3901" s="6">
        <v>48.585857391357401</v>
      </c>
      <c r="G3901" s="6">
        <v>48.636978149414098</v>
      </c>
      <c r="H3901" s="6">
        <v>43.8106079101563</v>
      </c>
      <c r="I3901" s="6">
        <v>43.7628173828125</v>
      </c>
      <c r="J3901" s="6">
        <v>43.759006500244098</v>
      </c>
      <c r="K3901" s="6">
        <v>43.7667236328125</v>
      </c>
      <c r="L3901" s="6">
        <v>30.686531066894499</v>
      </c>
    </row>
    <row r="3902" spans="1:12" x14ac:dyDescent="0.25">
      <c r="A3902">
        <v>3302056</v>
      </c>
      <c r="B3902" t="str">
        <f t="shared" si="60"/>
        <v>ITALVA, RJ, Brasil</v>
      </c>
      <c r="C3902" s="4" t="str">
        <f>_xlfn.XLOOKUP(A3902,[1]!DadosGHD[CD_GEOCMU],[1]!DadosGHD[Região])</f>
        <v>SD</v>
      </c>
      <c r="D3902" s="4" t="str">
        <f>_xlfn.XLOOKUP(A3902,[1]!DadosGHD[CD_GEOCMU],[1]!DadosGHD[uf])</f>
        <v>RJ</v>
      </c>
      <c r="E3902" s="5" t="str">
        <f>_xlfn.XLOOKUP(A3902,[1]!DadosGHD[CD_GEOCMU],[1]!DadosGHD[MUNICIPIO])</f>
        <v>ITALVA</v>
      </c>
      <c r="F3902" s="6">
        <v>48.586174011230497</v>
      </c>
      <c r="G3902" s="6">
        <v>43.756145477294901</v>
      </c>
      <c r="H3902" s="6">
        <v>43.722972869873097</v>
      </c>
      <c r="I3902" s="6">
        <v>43.736385345458999</v>
      </c>
      <c r="J3902" s="6">
        <v>48.7094116210938</v>
      </c>
      <c r="K3902" s="6">
        <v>43.836158752441399</v>
      </c>
      <c r="L3902" s="6">
        <v>39.567195892333999</v>
      </c>
    </row>
    <row r="3903" spans="1:12" x14ac:dyDescent="0.25">
      <c r="A3903">
        <v>3147501</v>
      </c>
      <c r="B3903" t="str">
        <f t="shared" si="60"/>
        <v>PASSABEM, MG, Brasil</v>
      </c>
      <c r="C3903" s="4" t="str">
        <f>_xlfn.XLOOKUP(A3903,[1]!DadosGHD[CD_GEOCMU],[1]!DadosGHD[Região])</f>
        <v>SD</v>
      </c>
      <c r="D3903" s="4" t="str">
        <f>_xlfn.XLOOKUP(A3903,[1]!DadosGHD[CD_GEOCMU],[1]!DadosGHD[uf])</f>
        <v>MG</v>
      </c>
      <c r="E3903" s="5" t="str">
        <f>_xlfn.XLOOKUP(A3903,[1]!DadosGHD[CD_GEOCMU],[1]!DadosGHD[MUNICIPIO])</f>
        <v>PASSABEM</v>
      </c>
      <c r="F3903" s="6">
        <v>48.586246490478501</v>
      </c>
      <c r="G3903" s="6">
        <v>43.7541313171387</v>
      </c>
      <c r="H3903" s="6">
        <v>43.806674957275398</v>
      </c>
      <c r="I3903" s="6">
        <v>43.775741577148402</v>
      </c>
      <c r="J3903" s="6">
        <v>43.804286956787102</v>
      </c>
      <c r="K3903" s="6">
        <v>43.861370086669901</v>
      </c>
      <c r="L3903" s="6">
        <v>39.601905822753899</v>
      </c>
    </row>
    <row r="3904" spans="1:12" x14ac:dyDescent="0.25">
      <c r="A3904">
        <v>5219738</v>
      </c>
      <c r="B3904" t="str">
        <f t="shared" si="60"/>
        <v>SANTO ANTONIO DE GOIAS, GO, Brasil</v>
      </c>
      <c r="C3904" s="4" t="str">
        <f>_xlfn.XLOOKUP(A3904,[1]!DadosGHD[CD_GEOCMU],[1]!DadosGHD[Região])</f>
        <v>CO</v>
      </c>
      <c r="D3904" s="4" t="str">
        <f>_xlfn.XLOOKUP(A3904,[1]!DadosGHD[CD_GEOCMU],[1]!DadosGHD[uf])</f>
        <v>GO</v>
      </c>
      <c r="E3904" s="5" t="str">
        <f>_xlfn.XLOOKUP(A3904,[1]!DadosGHD[CD_GEOCMU],[1]!DadosGHD[MUNICIPIO])</f>
        <v>SANTO ANTONIO DE GOIAS</v>
      </c>
      <c r="F3904" s="6">
        <v>48.586341857910199</v>
      </c>
      <c r="G3904" s="6">
        <v>43.697483062744098</v>
      </c>
      <c r="H3904" s="6">
        <v>38.846092224121101</v>
      </c>
      <c r="I3904" s="6">
        <v>38.784877777099602</v>
      </c>
      <c r="J3904" s="6">
        <v>48.712982177734403</v>
      </c>
      <c r="K3904" s="6">
        <v>38.879463195800803</v>
      </c>
      <c r="L3904" s="6">
        <v>35.159690856933601</v>
      </c>
    </row>
    <row r="3905" spans="1:12" x14ac:dyDescent="0.25">
      <c r="A3905">
        <v>3105301</v>
      </c>
      <c r="B3905" t="str">
        <f t="shared" si="60"/>
        <v>BANDEIRA DO SUL, MG, Brasil</v>
      </c>
      <c r="C3905" s="4" t="str">
        <f>_xlfn.XLOOKUP(A3905,[1]!DadosGHD[CD_GEOCMU],[1]!DadosGHD[Região])</f>
        <v>SD</v>
      </c>
      <c r="D3905" s="4" t="str">
        <f>_xlfn.XLOOKUP(A3905,[1]!DadosGHD[CD_GEOCMU],[1]!DadosGHD[uf])</f>
        <v>MG</v>
      </c>
      <c r="E3905" s="5" t="str">
        <f>_xlfn.XLOOKUP(A3905,[1]!DadosGHD[CD_GEOCMU],[1]!DadosGHD[MUNICIPIO])</f>
        <v>BANDEIRA DO SUL</v>
      </c>
      <c r="F3905" s="6">
        <v>48.586803436279297</v>
      </c>
      <c r="G3905" s="6">
        <v>48.6570854187012</v>
      </c>
      <c r="H3905" s="6">
        <v>38.844184875488303</v>
      </c>
      <c r="I3905" s="6">
        <v>43.787525177002003</v>
      </c>
      <c r="J3905" s="6">
        <v>48.803253173828097</v>
      </c>
      <c r="K3905" s="6">
        <v>48.814418792724602</v>
      </c>
      <c r="L3905" s="6">
        <v>44.044830322265597</v>
      </c>
    </row>
    <row r="3906" spans="1:12" x14ac:dyDescent="0.25">
      <c r="A3906">
        <v>4318804</v>
      </c>
      <c r="B3906" t="str">
        <f t="shared" si="60"/>
        <v>SAO LOURENCO DO SUL, RS, Brasil</v>
      </c>
      <c r="C3906" s="4" t="str">
        <f>_xlfn.XLOOKUP(A3906,[1]!DadosGHD[CD_GEOCMU],[1]!DadosGHD[Região])</f>
        <v>SL</v>
      </c>
      <c r="D3906" s="4" t="str">
        <f>_xlfn.XLOOKUP(A3906,[1]!DadosGHD[CD_GEOCMU],[1]!DadosGHD[uf])</f>
        <v>RS</v>
      </c>
      <c r="E3906" s="5" t="str">
        <f>_xlfn.XLOOKUP(A3906,[1]!DadosGHD[CD_GEOCMU],[1]!DadosGHD[MUNICIPIO])</f>
        <v>SAO LOURENCO DO SUL</v>
      </c>
      <c r="F3906" s="6">
        <v>48.586860656738303</v>
      </c>
      <c r="G3906" s="6">
        <v>48.691764831542997</v>
      </c>
      <c r="H3906" s="6">
        <v>48.785449981689503</v>
      </c>
      <c r="I3906" s="6">
        <v>48.792106628417997</v>
      </c>
      <c r="J3906" s="6">
        <v>48.760181427002003</v>
      </c>
      <c r="K3906" s="6">
        <v>53.824192047119098</v>
      </c>
      <c r="L3906" s="6">
        <v>52.990249633789098</v>
      </c>
    </row>
    <row r="3907" spans="1:12" x14ac:dyDescent="0.25">
      <c r="A3907">
        <v>4126009</v>
      </c>
      <c r="B3907" t="str">
        <f t="shared" si="60"/>
        <v>SAO SEBASTIAO DA AMOREIRA, PR, Brasil</v>
      </c>
      <c r="C3907" s="4" t="str">
        <f>_xlfn.XLOOKUP(A3907,[1]!DadosGHD[CD_GEOCMU],[1]!DadosGHD[Região])</f>
        <v>SL</v>
      </c>
      <c r="D3907" s="4" t="str">
        <f>_xlfn.XLOOKUP(A3907,[1]!DadosGHD[CD_GEOCMU],[1]!DadosGHD[uf])</f>
        <v>PR</v>
      </c>
      <c r="E3907" s="5" t="str">
        <f>_xlfn.XLOOKUP(A3907,[1]!DadosGHD[CD_GEOCMU],[1]!DadosGHD[MUNICIPIO])</f>
        <v>SAO SEBASTIAO DA AMOREIRA</v>
      </c>
      <c r="F3907" s="6">
        <v>48.587059020996101</v>
      </c>
      <c r="G3907" s="6">
        <v>53.653633117675803</v>
      </c>
      <c r="H3907" s="6">
        <v>48.816085815429702</v>
      </c>
      <c r="I3907" s="6">
        <v>48.732913970947301</v>
      </c>
      <c r="J3907" s="6">
        <v>48.776962280273402</v>
      </c>
      <c r="K3907" s="6">
        <v>48.833839416503899</v>
      </c>
      <c r="L3907" s="6">
        <v>44.036125183105497</v>
      </c>
    </row>
    <row r="3908" spans="1:12" x14ac:dyDescent="0.25">
      <c r="A3908">
        <v>4126256</v>
      </c>
      <c r="B3908" t="str">
        <f t="shared" ref="B3908:B3971" si="61">_xlfn.CONCAT(E3908, ", ", D3908, ", Brasil")</f>
        <v>SARANDI, PR, Brasil</v>
      </c>
      <c r="C3908" s="4" t="str">
        <f>_xlfn.XLOOKUP(A3908,[1]!DadosGHD[CD_GEOCMU],[1]!DadosGHD[Região])</f>
        <v>SL</v>
      </c>
      <c r="D3908" s="4" t="str">
        <f>_xlfn.XLOOKUP(A3908,[1]!DadosGHD[CD_GEOCMU],[1]!DadosGHD[uf])</f>
        <v>PR</v>
      </c>
      <c r="E3908" s="5" t="str">
        <f>_xlfn.XLOOKUP(A3908,[1]!DadosGHD[CD_GEOCMU],[1]!DadosGHD[MUNICIPIO])</f>
        <v>SARANDI</v>
      </c>
      <c r="F3908" s="6">
        <v>48.587284088134801</v>
      </c>
      <c r="G3908" s="6">
        <v>48.705230712890597</v>
      </c>
      <c r="H3908" s="6">
        <v>48.716064453125</v>
      </c>
      <c r="I3908" s="6">
        <v>48.714279174804702</v>
      </c>
      <c r="J3908" s="6">
        <v>48.764793395996101</v>
      </c>
      <c r="K3908" s="6">
        <v>48.802314758300803</v>
      </c>
      <c r="L3908" s="6">
        <v>48.498085021972699</v>
      </c>
    </row>
    <row r="3909" spans="1:12" x14ac:dyDescent="0.25">
      <c r="A3909">
        <v>4120903</v>
      </c>
      <c r="B3909" t="str">
        <f t="shared" si="61"/>
        <v>QUEDAS DO IGUACU, PR, Brasil</v>
      </c>
      <c r="C3909" s="4" t="str">
        <f>_xlfn.XLOOKUP(A3909,[1]!DadosGHD[CD_GEOCMU],[1]!DadosGHD[Região])</f>
        <v>SL</v>
      </c>
      <c r="D3909" s="4" t="str">
        <f>_xlfn.XLOOKUP(A3909,[1]!DadosGHD[CD_GEOCMU],[1]!DadosGHD[uf])</f>
        <v>PR</v>
      </c>
      <c r="E3909" s="5" t="str">
        <f>_xlfn.XLOOKUP(A3909,[1]!DadosGHD[CD_GEOCMU],[1]!DadosGHD[MUNICIPIO])</f>
        <v>QUEDAS DO IGUACU</v>
      </c>
      <c r="F3909" s="6">
        <v>48.5874633789063</v>
      </c>
      <c r="G3909" s="6">
        <v>48.6740112304688</v>
      </c>
      <c r="H3909" s="6">
        <v>48.7460327148438</v>
      </c>
      <c r="I3909" s="6">
        <v>48.698398590087898</v>
      </c>
      <c r="J3909" s="6">
        <v>48.747837066650398</v>
      </c>
      <c r="K3909" s="6">
        <v>48.798763275146499</v>
      </c>
      <c r="L3909" s="6">
        <v>48.532402038574197</v>
      </c>
    </row>
    <row r="3910" spans="1:12" x14ac:dyDescent="0.25">
      <c r="A3910">
        <v>4202701</v>
      </c>
      <c r="B3910" t="str">
        <f t="shared" si="61"/>
        <v>BOTUVERA, SC, Brasil</v>
      </c>
      <c r="C3910" s="4" t="str">
        <f>_xlfn.XLOOKUP(A3910,[1]!DadosGHD[CD_GEOCMU],[1]!DadosGHD[Região])</f>
        <v>SL</v>
      </c>
      <c r="D3910" s="4" t="str">
        <f>_xlfn.XLOOKUP(A3910,[1]!DadosGHD[CD_GEOCMU],[1]!DadosGHD[uf])</f>
        <v>SC</v>
      </c>
      <c r="E3910" s="5" t="str">
        <f>_xlfn.XLOOKUP(A3910,[1]!DadosGHD[CD_GEOCMU],[1]!DadosGHD[MUNICIPIO])</f>
        <v>BOTUVERA</v>
      </c>
      <c r="F3910" s="6">
        <v>48.5874633789063</v>
      </c>
      <c r="G3910" s="6">
        <v>43.652488708496101</v>
      </c>
      <c r="H3910" s="6">
        <v>48.792221069335902</v>
      </c>
      <c r="I3910" s="6">
        <v>48.740299224853501</v>
      </c>
      <c r="J3910" s="6">
        <v>53.7516059875488</v>
      </c>
      <c r="K3910" s="6">
        <v>48.866901397705099</v>
      </c>
      <c r="L3910" s="6">
        <v>53.025600433349602</v>
      </c>
    </row>
    <row r="3911" spans="1:12" x14ac:dyDescent="0.25">
      <c r="A3911">
        <v>5001003</v>
      </c>
      <c r="B3911" t="str">
        <f t="shared" si="61"/>
        <v>APARECIDA DO TABOADO, MS, Brasil</v>
      </c>
      <c r="C3911" s="4" t="str">
        <f>_xlfn.XLOOKUP(A3911,[1]!DadosGHD[CD_GEOCMU],[1]!DadosGHD[Região])</f>
        <v>CO</v>
      </c>
      <c r="D3911" s="4" t="str">
        <f>_xlfn.XLOOKUP(A3911,[1]!DadosGHD[CD_GEOCMU],[1]!DadosGHD[uf])</f>
        <v>MS</v>
      </c>
      <c r="E3911" s="5" t="str">
        <f>_xlfn.XLOOKUP(A3911,[1]!DadosGHD[CD_GEOCMU],[1]!DadosGHD[MUNICIPIO])</f>
        <v>APARECIDA DO TABOADO</v>
      </c>
      <c r="F3911" s="6">
        <v>48.587547302246101</v>
      </c>
      <c r="G3911" s="6">
        <v>48.638668060302699</v>
      </c>
      <c r="H3911" s="6">
        <v>48.7583618164063</v>
      </c>
      <c r="I3911" s="6">
        <v>43.733982086181598</v>
      </c>
      <c r="J3911" s="6">
        <v>43.7212104797363</v>
      </c>
      <c r="K3911" s="6">
        <v>43.771148681640597</v>
      </c>
      <c r="L3911" s="6">
        <v>30.7089328765869</v>
      </c>
    </row>
    <row r="3912" spans="1:12" x14ac:dyDescent="0.25">
      <c r="A3912">
        <v>3154309</v>
      </c>
      <c r="B3912" t="str">
        <f t="shared" si="61"/>
        <v>RESPLENDOR, MG, Brasil</v>
      </c>
      <c r="C3912" s="4" t="str">
        <f>_xlfn.XLOOKUP(A3912,[1]!DadosGHD[CD_GEOCMU],[1]!DadosGHD[Região])</f>
        <v>SD</v>
      </c>
      <c r="D3912" s="4" t="str">
        <f>_xlfn.XLOOKUP(A3912,[1]!DadosGHD[CD_GEOCMU],[1]!DadosGHD[uf])</f>
        <v>MG</v>
      </c>
      <c r="E3912" s="5" t="str">
        <f>_xlfn.XLOOKUP(A3912,[1]!DadosGHD[CD_GEOCMU],[1]!DadosGHD[MUNICIPIO])</f>
        <v>RESPLENDOR</v>
      </c>
      <c r="F3912" s="6">
        <v>48.587615966796903</v>
      </c>
      <c r="G3912" s="6">
        <v>48.644889831542997</v>
      </c>
      <c r="H3912" s="6">
        <v>43.839752197265597</v>
      </c>
      <c r="I3912" s="6">
        <v>48.733016967773402</v>
      </c>
      <c r="J3912" s="6">
        <v>48.801868438720703</v>
      </c>
      <c r="K3912" s="6">
        <v>48.799533843994098</v>
      </c>
      <c r="L3912" s="6">
        <v>53.017574310302699</v>
      </c>
    </row>
    <row r="3913" spans="1:12" x14ac:dyDescent="0.25">
      <c r="A3913">
        <v>4202453</v>
      </c>
      <c r="B3913" t="str">
        <f t="shared" si="61"/>
        <v>BOMBINHAS, SC, Brasil</v>
      </c>
      <c r="C3913" s="4" t="str">
        <f>_xlfn.XLOOKUP(A3913,[1]!DadosGHD[CD_GEOCMU],[1]!DadosGHD[Região])</f>
        <v>SL</v>
      </c>
      <c r="D3913" s="4" t="str">
        <f>_xlfn.XLOOKUP(A3913,[1]!DadosGHD[CD_GEOCMU],[1]!DadosGHD[uf])</f>
        <v>SC</v>
      </c>
      <c r="E3913" s="5" t="str">
        <f>_xlfn.XLOOKUP(A3913,[1]!DadosGHD[CD_GEOCMU],[1]!DadosGHD[MUNICIPIO])</f>
        <v>BOMBINHAS</v>
      </c>
      <c r="F3913" s="6">
        <v>48.587860107421903</v>
      </c>
      <c r="G3913" s="6">
        <v>53.680061340332003</v>
      </c>
      <c r="H3913" s="6">
        <v>53.812702178955099</v>
      </c>
      <c r="I3913" s="6">
        <v>53.780803680419901</v>
      </c>
      <c r="J3913" s="6">
        <v>53.871940612792997</v>
      </c>
      <c r="K3913" s="6">
        <v>53.913562774658203</v>
      </c>
      <c r="L3913" s="6">
        <v>57.5670776367188</v>
      </c>
    </row>
    <row r="3914" spans="1:12" x14ac:dyDescent="0.25">
      <c r="A3914">
        <v>5000252</v>
      </c>
      <c r="B3914" t="str">
        <f t="shared" si="61"/>
        <v>ALCINOPOLIS, MS, Brasil</v>
      </c>
      <c r="C3914" s="4" t="str">
        <f>_xlfn.XLOOKUP(A3914,[1]!DadosGHD[CD_GEOCMU],[1]!DadosGHD[Região])</f>
        <v>CO</v>
      </c>
      <c r="D3914" s="4" t="str">
        <f>_xlfn.XLOOKUP(A3914,[1]!DadosGHD[CD_GEOCMU],[1]!DadosGHD[uf])</f>
        <v>MS</v>
      </c>
      <c r="E3914" s="5" t="str">
        <f>_xlfn.XLOOKUP(A3914,[1]!DadosGHD[CD_GEOCMU],[1]!DadosGHD[MUNICIPIO])</f>
        <v>ALCINOPOLIS</v>
      </c>
      <c r="F3914" s="6">
        <v>48.588005065917997</v>
      </c>
      <c r="G3914" s="6">
        <v>43.749420166015597</v>
      </c>
      <c r="H3914" s="6">
        <v>43.789821624755902</v>
      </c>
      <c r="I3914" s="6">
        <v>43.758693695068402</v>
      </c>
      <c r="J3914" s="6">
        <v>48.732532501220703</v>
      </c>
      <c r="K3914" s="6">
        <v>48.894458770752003</v>
      </c>
      <c r="L3914" s="6">
        <v>57.589881896972699</v>
      </c>
    </row>
    <row r="3915" spans="1:12" x14ac:dyDescent="0.25">
      <c r="A3915">
        <v>4116802</v>
      </c>
      <c r="B3915" t="str">
        <f t="shared" si="61"/>
        <v>NOVA CANTU, PR, Brasil</v>
      </c>
      <c r="C3915" s="4" t="str">
        <f>_xlfn.XLOOKUP(A3915,[1]!DadosGHD[CD_GEOCMU],[1]!DadosGHD[Região])</f>
        <v>SL</v>
      </c>
      <c r="D3915" s="4" t="str">
        <f>_xlfn.XLOOKUP(A3915,[1]!DadosGHD[CD_GEOCMU],[1]!DadosGHD[uf])</f>
        <v>PR</v>
      </c>
      <c r="E3915" s="5" t="str">
        <f>_xlfn.XLOOKUP(A3915,[1]!DadosGHD[CD_GEOCMU],[1]!DadosGHD[MUNICIPIO])</f>
        <v>NOVA CANTU</v>
      </c>
      <c r="F3915" s="6">
        <v>48.588104248046903</v>
      </c>
      <c r="G3915" s="6">
        <v>53.660415649414098</v>
      </c>
      <c r="H3915" s="6">
        <v>53.781791687011697</v>
      </c>
      <c r="I3915" s="6">
        <v>53.806118011474602</v>
      </c>
      <c r="J3915" s="6">
        <v>53.883506774902301</v>
      </c>
      <c r="K3915" s="6">
        <v>53.844524383544901</v>
      </c>
      <c r="L3915" s="6">
        <v>30.722166061401399</v>
      </c>
    </row>
    <row r="3916" spans="1:12" x14ac:dyDescent="0.25">
      <c r="A3916">
        <v>1101302</v>
      </c>
      <c r="B3916" t="str">
        <f t="shared" si="61"/>
        <v>MIRANTE DA SERRA, RO, Brasil</v>
      </c>
      <c r="C3916" s="4" t="str">
        <f>_xlfn.XLOOKUP(A3916,[1]!DadosGHD[CD_GEOCMU],[1]!DadosGHD[Região])</f>
        <v>NO</v>
      </c>
      <c r="D3916" s="4" t="str">
        <f>_xlfn.XLOOKUP(A3916,[1]!DadosGHD[CD_GEOCMU],[1]!DadosGHD[uf])</f>
        <v>RO</v>
      </c>
      <c r="E3916" s="5" t="str">
        <f>_xlfn.XLOOKUP(A3916,[1]!DadosGHD[CD_GEOCMU],[1]!DadosGHD[MUNICIPIO])</f>
        <v>MIRANTE DA SERRA</v>
      </c>
      <c r="F3916" s="6">
        <v>48.588497161865199</v>
      </c>
      <c r="G3916" s="6">
        <v>53.737274169921903</v>
      </c>
      <c r="H3916" s="6">
        <v>58.841056823730497</v>
      </c>
      <c r="I3916" s="6">
        <v>58.842044830322301</v>
      </c>
      <c r="J3916" s="6">
        <v>58.916629791259801</v>
      </c>
      <c r="K3916" s="6">
        <v>59.138938903808601</v>
      </c>
      <c r="L3916" s="6">
        <v>57.589881896972699</v>
      </c>
    </row>
    <row r="3917" spans="1:12" x14ac:dyDescent="0.25">
      <c r="A3917">
        <v>3554706</v>
      </c>
      <c r="B3917" t="str">
        <f t="shared" si="61"/>
        <v>TORRINHA, SP, Brasil</v>
      </c>
      <c r="C3917" s="4" t="str">
        <f>_xlfn.XLOOKUP(A3917,[1]!DadosGHD[CD_GEOCMU],[1]!DadosGHD[Região])</f>
        <v>SD</v>
      </c>
      <c r="D3917" s="4" t="str">
        <f>_xlfn.XLOOKUP(A3917,[1]!DadosGHD[CD_GEOCMU],[1]!DadosGHD[uf])</f>
        <v>SP</v>
      </c>
      <c r="E3917" s="5" t="str">
        <f>_xlfn.XLOOKUP(A3917,[1]!DadosGHD[CD_GEOCMU],[1]!DadosGHD[MUNICIPIO])</f>
        <v>TORRINHA</v>
      </c>
      <c r="F3917" s="6">
        <v>48.588550567627003</v>
      </c>
      <c r="G3917" s="6">
        <v>48.696208953857401</v>
      </c>
      <c r="H3917" s="6">
        <v>48.828159332275398</v>
      </c>
      <c r="I3917" s="6">
        <v>48.693607330322301</v>
      </c>
      <c r="J3917" s="6">
        <v>48.725139617919901</v>
      </c>
      <c r="K3917" s="6">
        <v>48.897983551025398</v>
      </c>
      <c r="L3917" s="6">
        <v>44.062278747558601</v>
      </c>
    </row>
    <row r="3918" spans="1:12" x14ac:dyDescent="0.25">
      <c r="A3918">
        <v>3151305</v>
      </c>
      <c r="B3918" t="str">
        <f t="shared" si="61"/>
        <v>PIRAUBA, MG, Brasil</v>
      </c>
      <c r="C3918" s="4" t="str">
        <f>_xlfn.XLOOKUP(A3918,[1]!DadosGHD[CD_GEOCMU],[1]!DadosGHD[Região])</f>
        <v>SD</v>
      </c>
      <c r="D3918" s="4" t="str">
        <f>_xlfn.XLOOKUP(A3918,[1]!DadosGHD[CD_GEOCMU],[1]!DadosGHD[uf])</f>
        <v>MG</v>
      </c>
      <c r="E3918" s="5" t="str">
        <f>_xlfn.XLOOKUP(A3918,[1]!DadosGHD[CD_GEOCMU],[1]!DadosGHD[MUNICIPIO])</f>
        <v>PIRAUBA</v>
      </c>
      <c r="F3918" s="6">
        <v>48.588565826416001</v>
      </c>
      <c r="G3918" s="6">
        <v>48.6563110351563</v>
      </c>
      <c r="H3918" s="6">
        <v>48.713752746582003</v>
      </c>
      <c r="I3918" s="6">
        <v>48.7395210266113</v>
      </c>
      <c r="J3918" s="6">
        <v>48.769554138183601</v>
      </c>
      <c r="K3918" s="6">
        <v>48.815021514892599</v>
      </c>
      <c r="L3918" s="6">
        <v>39.592716217041001</v>
      </c>
    </row>
    <row r="3919" spans="1:12" x14ac:dyDescent="0.25">
      <c r="A3919">
        <v>4114500</v>
      </c>
      <c r="B3919" t="str">
        <f t="shared" si="61"/>
        <v>MANOEL RIBAS, PR, Brasil</v>
      </c>
      <c r="C3919" s="4" t="str">
        <f>_xlfn.XLOOKUP(A3919,[1]!DadosGHD[CD_GEOCMU],[1]!DadosGHD[Região])</f>
        <v>SL</v>
      </c>
      <c r="D3919" s="4" t="str">
        <f>_xlfn.XLOOKUP(A3919,[1]!DadosGHD[CD_GEOCMU],[1]!DadosGHD[uf])</f>
        <v>PR</v>
      </c>
      <c r="E3919" s="5" t="str">
        <f>_xlfn.XLOOKUP(A3919,[1]!DadosGHD[CD_GEOCMU],[1]!DadosGHD[MUNICIPIO])</f>
        <v>MANOEL RIBAS</v>
      </c>
      <c r="F3919" s="6">
        <v>48.588699340820298</v>
      </c>
      <c r="G3919" s="6">
        <v>48.770057678222699</v>
      </c>
      <c r="H3919" s="6">
        <v>48.832759857177699</v>
      </c>
      <c r="I3919" s="6">
        <v>53.768833160400398</v>
      </c>
      <c r="J3919" s="6">
        <v>53.807884216308601</v>
      </c>
      <c r="K3919" s="6">
        <v>53.917488098144503</v>
      </c>
      <c r="L3919" s="6">
        <v>39.557743072509801</v>
      </c>
    </row>
    <row r="3920" spans="1:12" x14ac:dyDescent="0.25">
      <c r="A3920">
        <v>3504800</v>
      </c>
      <c r="B3920" t="str">
        <f t="shared" si="61"/>
        <v>BALSAMO, SP, Brasil</v>
      </c>
      <c r="C3920" s="4" t="str">
        <f>_xlfn.XLOOKUP(A3920,[1]!DadosGHD[CD_GEOCMU],[1]!DadosGHD[Região])</f>
        <v>SD</v>
      </c>
      <c r="D3920" s="4" t="str">
        <f>_xlfn.XLOOKUP(A3920,[1]!DadosGHD[CD_GEOCMU],[1]!DadosGHD[uf])</f>
        <v>SP</v>
      </c>
      <c r="E3920" s="5" t="str">
        <f>_xlfn.XLOOKUP(A3920,[1]!DadosGHD[CD_GEOCMU],[1]!DadosGHD[MUNICIPIO])</f>
        <v>BALSAMO</v>
      </c>
      <c r="F3920" s="6">
        <v>48.588905334472699</v>
      </c>
      <c r="G3920" s="6">
        <v>48.686603546142599</v>
      </c>
      <c r="H3920" s="6">
        <v>48.7550239562988</v>
      </c>
      <c r="I3920" s="6">
        <v>48.690876007080099</v>
      </c>
      <c r="J3920" s="6">
        <v>53.872161865234403</v>
      </c>
      <c r="K3920" s="6">
        <v>53.910984039306598</v>
      </c>
      <c r="L3920" s="6">
        <v>57.547107696533203</v>
      </c>
    </row>
    <row r="3921" spans="1:12" x14ac:dyDescent="0.25">
      <c r="A3921">
        <v>4316428</v>
      </c>
      <c r="B3921" t="str">
        <f t="shared" si="61"/>
        <v>SAGRADA FAMILIA, RS, Brasil</v>
      </c>
      <c r="C3921" s="4" t="str">
        <f>_xlfn.XLOOKUP(A3921,[1]!DadosGHD[CD_GEOCMU],[1]!DadosGHD[Região])</f>
        <v>SL</v>
      </c>
      <c r="D3921" s="4" t="str">
        <f>_xlfn.XLOOKUP(A3921,[1]!DadosGHD[CD_GEOCMU],[1]!DadosGHD[uf])</f>
        <v>RS</v>
      </c>
      <c r="E3921" s="5" t="str">
        <f>_xlfn.XLOOKUP(A3921,[1]!DadosGHD[CD_GEOCMU],[1]!DadosGHD[MUNICIPIO])</f>
        <v>SAGRADA FAMILIA</v>
      </c>
      <c r="F3921" s="6">
        <v>48.589012145996101</v>
      </c>
      <c r="G3921" s="6">
        <v>43.739253997802699</v>
      </c>
      <c r="H3921" s="6">
        <v>43.791957855224602</v>
      </c>
      <c r="I3921" s="6">
        <v>38.790882110595703</v>
      </c>
      <c r="J3921" s="6">
        <v>38.817955017089801</v>
      </c>
      <c r="K3921" s="6">
        <v>48.869735717773402</v>
      </c>
      <c r="L3921" s="6">
        <v>44.059337615966797</v>
      </c>
    </row>
    <row r="3922" spans="1:12" x14ac:dyDescent="0.25">
      <c r="A3922">
        <v>3100708</v>
      </c>
      <c r="B3922" t="str">
        <f t="shared" si="61"/>
        <v>AGUA COMPRIDA, MG, Brasil</v>
      </c>
      <c r="C3922" s="4" t="str">
        <f>_xlfn.XLOOKUP(A3922,[1]!DadosGHD[CD_GEOCMU],[1]!DadosGHD[Região])</f>
        <v>SD</v>
      </c>
      <c r="D3922" s="4" t="str">
        <f>_xlfn.XLOOKUP(A3922,[1]!DadosGHD[CD_GEOCMU],[1]!DadosGHD[uf])</f>
        <v>MG</v>
      </c>
      <c r="E3922" s="5" t="str">
        <f>_xlfn.XLOOKUP(A3922,[1]!DadosGHD[CD_GEOCMU],[1]!DadosGHD[MUNICIPIO])</f>
        <v>AGUA COMPRIDA</v>
      </c>
      <c r="F3922" s="6">
        <v>48.589447021484403</v>
      </c>
      <c r="G3922" s="6">
        <v>43.704418182373097</v>
      </c>
      <c r="H3922" s="6">
        <v>43.775245666503899</v>
      </c>
      <c r="I3922" s="6">
        <v>48.697341918945298</v>
      </c>
      <c r="J3922" s="6">
        <v>38.755710601806598</v>
      </c>
      <c r="K3922" s="6">
        <v>33.931648254394503</v>
      </c>
      <c r="L3922" s="6">
        <v>35.1591606140137</v>
      </c>
    </row>
    <row r="3923" spans="1:12" x14ac:dyDescent="0.25">
      <c r="A3923">
        <v>3556354</v>
      </c>
      <c r="B3923" t="str">
        <f t="shared" si="61"/>
        <v>VARGEM, SP, Brasil</v>
      </c>
      <c r="C3923" s="4" t="str">
        <f>_xlfn.XLOOKUP(A3923,[1]!DadosGHD[CD_GEOCMU],[1]!DadosGHD[Região])</f>
        <v>SD</v>
      </c>
      <c r="D3923" s="4" t="str">
        <f>_xlfn.XLOOKUP(A3923,[1]!DadosGHD[CD_GEOCMU],[1]!DadosGHD[uf])</f>
        <v>SP</v>
      </c>
      <c r="E3923" s="5" t="str">
        <f>_xlfn.XLOOKUP(A3923,[1]!DadosGHD[CD_GEOCMU],[1]!DadosGHD[MUNICIPIO])</f>
        <v>VARGEM</v>
      </c>
      <c r="F3923" s="6">
        <v>48.590110778808601</v>
      </c>
      <c r="G3923" s="6">
        <v>43.694034576416001</v>
      </c>
      <c r="H3923" s="6">
        <v>38.845172882080099</v>
      </c>
      <c r="I3923" s="6">
        <v>38.800777435302699</v>
      </c>
      <c r="J3923" s="6">
        <v>38.815681457519503</v>
      </c>
      <c r="K3923" s="6">
        <v>43.817253112792997</v>
      </c>
      <c r="L3923" s="6">
        <v>53.008052825927699</v>
      </c>
    </row>
    <row r="3924" spans="1:12" x14ac:dyDescent="0.25">
      <c r="A3924">
        <v>4322608</v>
      </c>
      <c r="B3924" t="str">
        <f t="shared" si="61"/>
        <v>VENANCIO AIRES, RS, Brasil</v>
      </c>
      <c r="C3924" s="4" t="str">
        <f>_xlfn.XLOOKUP(A3924,[1]!DadosGHD[CD_GEOCMU],[1]!DadosGHD[Região])</f>
        <v>SL</v>
      </c>
      <c r="D3924" s="4" t="str">
        <f>_xlfn.XLOOKUP(A3924,[1]!DadosGHD[CD_GEOCMU],[1]!DadosGHD[uf])</f>
        <v>RS</v>
      </c>
      <c r="E3924" s="5" t="str">
        <f>_xlfn.XLOOKUP(A3924,[1]!DadosGHD[CD_GEOCMU],[1]!DadosGHD[MUNICIPIO])</f>
        <v>VENANCIO AIRES</v>
      </c>
      <c r="F3924" s="6">
        <v>48.590290069580099</v>
      </c>
      <c r="G3924" s="6">
        <v>48.670631408691399</v>
      </c>
      <c r="H3924" s="6">
        <v>48.738185882568402</v>
      </c>
      <c r="I3924" s="6">
        <v>48.741382598877003</v>
      </c>
      <c r="J3924" s="6">
        <v>48.835220336914098</v>
      </c>
      <c r="K3924" s="6">
        <v>43.830184936523402</v>
      </c>
      <c r="L3924" s="6">
        <v>44.033489227294901</v>
      </c>
    </row>
    <row r="3925" spans="1:12" x14ac:dyDescent="0.25">
      <c r="A3925">
        <v>3162500</v>
      </c>
      <c r="B3925" t="str">
        <f t="shared" si="61"/>
        <v>SAO JOAO DEL REI, MG, Brasil</v>
      </c>
      <c r="C3925" s="4" t="str">
        <f>_xlfn.XLOOKUP(A3925,[1]!DadosGHD[CD_GEOCMU],[1]!DadosGHD[Região])</f>
        <v>SD</v>
      </c>
      <c r="D3925" s="4" t="str">
        <f>_xlfn.XLOOKUP(A3925,[1]!DadosGHD[CD_GEOCMU],[1]!DadosGHD[uf])</f>
        <v>MG</v>
      </c>
      <c r="E3925" s="5" t="str">
        <f>_xlfn.XLOOKUP(A3925,[1]!DadosGHD[CD_GEOCMU],[1]!DadosGHD[MUNICIPIO])</f>
        <v>SAO JOAO DEL REI</v>
      </c>
      <c r="F3925" s="6">
        <v>48.5907173156738</v>
      </c>
      <c r="G3925" s="6">
        <v>48.660697937011697</v>
      </c>
      <c r="H3925" s="6">
        <v>48.851371765136697</v>
      </c>
      <c r="I3925" s="6">
        <v>53.779167175292997</v>
      </c>
      <c r="J3925" s="6">
        <v>53.847503662109403</v>
      </c>
      <c r="K3925" s="6">
        <v>53.906585693359403</v>
      </c>
      <c r="L3925" s="6">
        <v>57.5087280273438</v>
      </c>
    </row>
    <row r="3926" spans="1:12" x14ac:dyDescent="0.25">
      <c r="A3926">
        <v>3170305</v>
      </c>
      <c r="B3926" t="str">
        <f t="shared" si="61"/>
        <v>UMBURATIBA, MG, Brasil</v>
      </c>
      <c r="C3926" s="4" t="str">
        <f>_xlfn.XLOOKUP(A3926,[1]!DadosGHD[CD_GEOCMU],[1]!DadosGHD[Região])</f>
        <v>SD</v>
      </c>
      <c r="D3926" s="4" t="str">
        <f>_xlfn.XLOOKUP(A3926,[1]!DadosGHD[CD_GEOCMU],[1]!DadosGHD[uf])</f>
        <v>MG</v>
      </c>
      <c r="E3926" s="5" t="str">
        <f>_xlfn.XLOOKUP(A3926,[1]!DadosGHD[CD_GEOCMU],[1]!DadosGHD[MUNICIPIO])</f>
        <v>UMBURATIBA</v>
      </c>
      <c r="F3926" s="6">
        <v>48.5907592773438</v>
      </c>
      <c r="G3926" s="6">
        <v>43.709403991699197</v>
      </c>
      <c r="H3926" s="6">
        <v>43.756431579589801</v>
      </c>
      <c r="I3926" s="6">
        <v>43.734085083007798</v>
      </c>
      <c r="J3926" s="6">
        <v>43.745006561279297</v>
      </c>
      <c r="K3926" s="6">
        <v>43.780120849609403</v>
      </c>
      <c r="L3926" s="6">
        <v>30.721233367919901</v>
      </c>
    </row>
    <row r="3927" spans="1:12" x14ac:dyDescent="0.25">
      <c r="A3927">
        <v>3113909</v>
      </c>
      <c r="B3927" t="str">
        <f t="shared" si="61"/>
        <v>CARMO DA CACHOEIRA, MG, Brasil</v>
      </c>
      <c r="C3927" s="4" t="str">
        <f>_xlfn.XLOOKUP(A3927,[1]!DadosGHD[CD_GEOCMU],[1]!DadosGHD[Região])</f>
        <v>SD</v>
      </c>
      <c r="D3927" s="4" t="str">
        <f>_xlfn.XLOOKUP(A3927,[1]!DadosGHD[CD_GEOCMU],[1]!DadosGHD[uf])</f>
        <v>MG</v>
      </c>
      <c r="E3927" s="5" t="str">
        <f>_xlfn.XLOOKUP(A3927,[1]!DadosGHD[CD_GEOCMU],[1]!DadosGHD[MUNICIPIO])</f>
        <v>CARMO DA CACHOEIRA</v>
      </c>
      <c r="F3927" s="6">
        <v>48.590827941894503</v>
      </c>
      <c r="G3927" s="6">
        <v>48.683975219726598</v>
      </c>
      <c r="H3927" s="6">
        <v>48.7296752929688</v>
      </c>
      <c r="I3927" s="6">
        <v>48.691780090332003</v>
      </c>
      <c r="J3927" s="6">
        <v>48.716136932373097</v>
      </c>
      <c r="K3927" s="6">
        <v>43.886287689208999</v>
      </c>
      <c r="L3927" s="6">
        <v>48.493297576904297</v>
      </c>
    </row>
    <row r="3928" spans="1:12" x14ac:dyDescent="0.25">
      <c r="A3928">
        <v>4315107</v>
      </c>
      <c r="B3928" t="str">
        <f t="shared" si="61"/>
        <v>PORTO XAVIER, RS, Brasil</v>
      </c>
      <c r="C3928" s="4" t="str">
        <f>_xlfn.XLOOKUP(A3928,[1]!DadosGHD[CD_GEOCMU],[1]!DadosGHD[Região])</f>
        <v>SL</v>
      </c>
      <c r="D3928" s="4" t="str">
        <f>_xlfn.XLOOKUP(A3928,[1]!DadosGHD[CD_GEOCMU],[1]!DadosGHD[uf])</f>
        <v>RS</v>
      </c>
      <c r="E3928" s="5" t="str">
        <f>_xlfn.XLOOKUP(A3928,[1]!DadosGHD[CD_GEOCMU],[1]!DadosGHD[MUNICIPIO])</f>
        <v>PORTO XAVIER</v>
      </c>
      <c r="F3928" s="6">
        <v>48.590980529785199</v>
      </c>
      <c r="G3928" s="6">
        <v>48.739181518554702</v>
      </c>
      <c r="H3928" s="6">
        <v>48.823040008544901</v>
      </c>
      <c r="I3928" s="6">
        <v>53.742012023925803</v>
      </c>
      <c r="J3928" s="6">
        <v>53.7629203796387</v>
      </c>
      <c r="K3928" s="6">
        <v>48.828914642333999</v>
      </c>
      <c r="L3928" s="6">
        <v>44.046592712402301</v>
      </c>
    </row>
    <row r="3929" spans="1:12" x14ac:dyDescent="0.25">
      <c r="A3929">
        <v>4208104</v>
      </c>
      <c r="B3929" t="str">
        <f t="shared" si="61"/>
        <v>ITAIOPOLIS, SC, Brasil</v>
      </c>
      <c r="C3929" s="4" t="str">
        <f>_xlfn.XLOOKUP(A3929,[1]!DadosGHD[CD_GEOCMU],[1]!DadosGHD[Região])</f>
        <v>SL</v>
      </c>
      <c r="D3929" s="4" t="str">
        <f>_xlfn.XLOOKUP(A3929,[1]!DadosGHD[CD_GEOCMU],[1]!DadosGHD[uf])</f>
        <v>SC</v>
      </c>
      <c r="E3929" s="5" t="str">
        <f>_xlfn.XLOOKUP(A3929,[1]!DadosGHD[CD_GEOCMU],[1]!DadosGHD[MUNICIPIO])</f>
        <v>ITAIOPOLIS</v>
      </c>
      <c r="F3929" s="6">
        <v>48.591053009033203</v>
      </c>
      <c r="G3929" s="6">
        <v>48.736858367919901</v>
      </c>
      <c r="H3929" s="6">
        <v>48.779720306396499</v>
      </c>
      <c r="I3929" s="6">
        <v>48.755397796630902</v>
      </c>
      <c r="J3929" s="6">
        <v>48.815597534179702</v>
      </c>
      <c r="K3929" s="6">
        <v>53.822834014892599</v>
      </c>
      <c r="L3929" s="6">
        <v>48.560012817382798</v>
      </c>
    </row>
    <row r="3930" spans="1:12" x14ac:dyDescent="0.25">
      <c r="A3930">
        <v>3162302</v>
      </c>
      <c r="B3930" t="str">
        <f t="shared" si="61"/>
        <v>SAO JOAO DA MATA, MG, Brasil</v>
      </c>
      <c r="C3930" s="4" t="str">
        <f>_xlfn.XLOOKUP(A3930,[1]!DadosGHD[CD_GEOCMU],[1]!DadosGHD[Região])</f>
        <v>SD</v>
      </c>
      <c r="D3930" s="4" t="str">
        <f>_xlfn.XLOOKUP(A3930,[1]!DadosGHD[CD_GEOCMU],[1]!DadosGHD[uf])</f>
        <v>MG</v>
      </c>
      <c r="E3930" s="5" t="str">
        <f>_xlfn.XLOOKUP(A3930,[1]!DadosGHD[CD_GEOCMU],[1]!DadosGHD[MUNICIPIO])</f>
        <v>SAO JOAO DA MATA</v>
      </c>
      <c r="F3930" s="6">
        <v>48.591381072998097</v>
      </c>
      <c r="G3930" s="6">
        <v>53.721035003662102</v>
      </c>
      <c r="H3930" s="6">
        <v>53.8176460266113</v>
      </c>
      <c r="I3930" s="6">
        <v>53.836437225341797</v>
      </c>
      <c r="J3930" s="6">
        <v>53.879673004150398</v>
      </c>
      <c r="K3930" s="6">
        <v>53.914588928222699</v>
      </c>
      <c r="L3930" s="6">
        <v>52.990928649902301</v>
      </c>
    </row>
    <row r="3931" spans="1:12" x14ac:dyDescent="0.25">
      <c r="A3931">
        <v>2903201</v>
      </c>
      <c r="B3931" t="str">
        <f t="shared" si="61"/>
        <v>BARREIRAS, BA, Brasil</v>
      </c>
      <c r="C3931" s="4" t="str">
        <f>_xlfn.XLOOKUP(A3931,[1]!DadosGHD[CD_GEOCMU],[1]!DadosGHD[Região])</f>
        <v>NE</v>
      </c>
      <c r="D3931" s="4" t="str">
        <f>_xlfn.XLOOKUP(A3931,[1]!DadosGHD[CD_GEOCMU],[1]!DadosGHD[uf])</f>
        <v>BA</v>
      </c>
      <c r="E3931" s="5" t="str">
        <f>_xlfn.XLOOKUP(A3931,[1]!DadosGHD[CD_GEOCMU],[1]!DadosGHD[MUNICIPIO])</f>
        <v>BARREIRAS</v>
      </c>
      <c r="F3931" s="6">
        <v>48.5914306640625</v>
      </c>
      <c r="G3931" s="6">
        <v>48.639133453369098</v>
      </c>
      <c r="H3931" s="6">
        <v>48.722110748291001</v>
      </c>
      <c r="I3931" s="6">
        <v>48.7684135437012</v>
      </c>
      <c r="J3931" s="6">
        <v>53.765415191650398</v>
      </c>
      <c r="K3931" s="6">
        <v>53.842742919921903</v>
      </c>
      <c r="L3931" s="6">
        <v>39.582977294921903</v>
      </c>
    </row>
    <row r="3932" spans="1:12" x14ac:dyDescent="0.25">
      <c r="A3932">
        <v>5200555</v>
      </c>
      <c r="B3932" t="str">
        <f t="shared" si="61"/>
        <v>ALTO HORIZONTE, GO, Brasil</v>
      </c>
      <c r="C3932" s="4" t="str">
        <f>_xlfn.XLOOKUP(A3932,[1]!DadosGHD[CD_GEOCMU],[1]!DadosGHD[Região])</f>
        <v>CO</v>
      </c>
      <c r="D3932" s="4" t="str">
        <f>_xlfn.XLOOKUP(A3932,[1]!DadosGHD[CD_GEOCMU],[1]!DadosGHD[uf])</f>
        <v>GO</v>
      </c>
      <c r="E3932" s="5" t="str">
        <f>_xlfn.XLOOKUP(A3932,[1]!DadosGHD[CD_GEOCMU],[1]!DadosGHD[MUNICIPIO])</f>
        <v>ALTO HORIZONTE</v>
      </c>
      <c r="F3932" s="6">
        <v>48.5924263000488</v>
      </c>
      <c r="G3932" s="6">
        <v>43.702083587646499</v>
      </c>
      <c r="H3932" s="6">
        <v>43.767658233642599</v>
      </c>
      <c r="I3932" s="6">
        <v>43.788318634033203</v>
      </c>
      <c r="J3932" s="6">
        <v>53.807178497314503</v>
      </c>
      <c r="K3932" s="6">
        <v>43.834671020507798</v>
      </c>
      <c r="L3932" s="6">
        <v>53.025100708007798</v>
      </c>
    </row>
    <row r="3933" spans="1:12" x14ac:dyDescent="0.25">
      <c r="A3933">
        <v>3509957</v>
      </c>
      <c r="B3933" t="str">
        <f t="shared" si="61"/>
        <v>CANAS, SP, Brasil</v>
      </c>
      <c r="C3933" s="4" t="str">
        <f>_xlfn.XLOOKUP(A3933,[1]!DadosGHD[CD_GEOCMU],[1]!DadosGHD[Região])</f>
        <v>SD</v>
      </c>
      <c r="D3933" s="4" t="str">
        <f>_xlfn.XLOOKUP(A3933,[1]!DadosGHD[CD_GEOCMU],[1]!DadosGHD[uf])</f>
        <v>SP</v>
      </c>
      <c r="E3933" s="5" t="str">
        <f>_xlfn.XLOOKUP(A3933,[1]!DadosGHD[CD_GEOCMU],[1]!DadosGHD[MUNICIPIO])</f>
        <v>CANAS</v>
      </c>
      <c r="F3933" s="6">
        <v>48.592609405517599</v>
      </c>
      <c r="G3933" s="6">
        <v>43.759265899658203</v>
      </c>
      <c r="H3933" s="6">
        <v>43.773876190185597</v>
      </c>
      <c r="I3933" s="6">
        <v>43.762569427490199</v>
      </c>
      <c r="J3933" s="6">
        <v>43.754100799560597</v>
      </c>
      <c r="K3933" s="6">
        <v>43.759189605712898</v>
      </c>
      <c r="L3933" s="6">
        <v>48.535999298095703</v>
      </c>
    </row>
    <row r="3934" spans="1:12" x14ac:dyDescent="0.25">
      <c r="A3934">
        <v>3143906</v>
      </c>
      <c r="B3934" t="str">
        <f t="shared" si="61"/>
        <v>MURIAE, MG, Brasil</v>
      </c>
      <c r="C3934" s="4" t="str">
        <f>_xlfn.XLOOKUP(A3934,[1]!DadosGHD[CD_GEOCMU],[1]!DadosGHD[Região])</f>
        <v>SD</v>
      </c>
      <c r="D3934" s="4" t="str">
        <f>_xlfn.XLOOKUP(A3934,[1]!DadosGHD[CD_GEOCMU],[1]!DadosGHD[uf])</f>
        <v>MG</v>
      </c>
      <c r="E3934" s="5" t="str">
        <f>_xlfn.XLOOKUP(A3934,[1]!DadosGHD[CD_GEOCMU],[1]!DadosGHD[MUNICIPIO])</f>
        <v>MURIAE</v>
      </c>
      <c r="F3934" s="6">
        <v>48.592720031738303</v>
      </c>
      <c r="G3934" s="6">
        <v>43.762393951416001</v>
      </c>
      <c r="H3934" s="6">
        <v>43.828685760498097</v>
      </c>
      <c r="I3934" s="6">
        <v>43.7734565734863</v>
      </c>
      <c r="J3934" s="6">
        <v>43.813014984130902</v>
      </c>
      <c r="K3934" s="6">
        <v>43.856533050537102</v>
      </c>
      <c r="L3934" s="6">
        <v>44.049564361572301</v>
      </c>
    </row>
    <row r="3935" spans="1:12" x14ac:dyDescent="0.25">
      <c r="A3935">
        <v>1100122</v>
      </c>
      <c r="B3935" t="str">
        <f t="shared" si="61"/>
        <v>JI-PARANA, RO, Brasil</v>
      </c>
      <c r="C3935" s="4" t="str">
        <f>_xlfn.XLOOKUP(A3935,[1]!DadosGHD[CD_GEOCMU],[1]!DadosGHD[Região])</f>
        <v>NO</v>
      </c>
      <c r="D3935" s="4" t="str">
        <f>_xlfn.XLOOKUP(A3935,[1]!DadosGHD[CD_GEOCMU],[1]!DadosGHD[uf])</f>
        <v>RO</v>
      </c>
      <c r="E3935" s="5" t="str">
        <f>_xlfn.XLOOKUP(A3935,[1]!DadosGHD[CD_GEOCMU],[1]!DadosGHD[MUNICIPIO])</f>
        <v>JI-PARANA</v>
      </c>
      <c r="F3935" s="6">
        <v>48.592853546142599</v>
      </c>
      <c r="G3935" s="6">
        <v>48.650188446044901</v>
      </c>
      <c r="H3935" s="6">
        <v>43.811805725097699</v>
      </c>
      <c r="I3935" s="6">
        <v>43.798927307128899</v>
      </c>
      <c r="J3935" s="6">
        <v>43.817317962646499</v>
      </c>
      <c r="K3935" s="6">
        <v>48.828205108642599</v>
      </c>
      <c r="L3935" s="6">
        <v>44.066520690917997</v>
      </c>
    </row>
    <row r="3936" spans="1:12" x14ac:dyDescent="0.25">
      <c r="A3936">
        <v>5213905</v>
      </c>
      <c r="B3936" t="str">
        <f t="shared" si="61"/>
        <v>MOSSAMEDES, GO, Brasil</v>
      </c>
      <c r="C3936" s="4" t="str">
        <f>_xlfn.XLOOKUP(A3936,[1]!DadosGHD[CD_GEOCMU],[1]!DadosGHD[Região])</f>
        <v>CO</v>
      </c>
      <c r="D3936" s="4" t="str">
        <f>_xlfn.XLOOKUP(A3936,[1]!DadosGHD[CD_GEOCMU],[1]!DadosGHD[uf])</f>
        <v>GO</v>
      </c>
      <c r="E3936" s="5" t="str">
        <f>_xlfn.XLOOKUP(A3936,[1]!DadosGHD[CD_GEOCMU],[1]!DadosGHD[MUNICIPIO])</f>
        <v>MOSSAMEDES</v>
      </c>
      <c r="F3936" s="6">
        <v>48.593040466308601</v>
      </c>
      <c r="G3936" s="6">
        <v>48.634044647216797</v>
      </c>
      <c r="H3936" s="6">
        <v>53.871814727783203</v>
      </c>
      <c r="I3936" s="6">
        <v>58.859718322753899</v>
      </c>
      <c r="J3936" s="6">
        <v>58.846385955810597</v>
      </c>
      <c r="K3936" s="6">
        <v>53.899524688720703</v>
      </c>
      <c r="L3936" s="6">
        <v>44.071422576904297</v>
      </c>
    </row>
    <row r="3937" spans="1:12" x14ac:dyDescent="0.25">
      <c r="A3937">
        <v>5218391</v>
      </c>
      <c r="B3937" t="str">
        <f t="shared" si="61"/>
        <v>PROFESSOR JAMIL, GO, Brasil</v>
      </c>
      <c r="C3937" s="4" t="str">
        <f>_xlfn.XLOOKUP(A3937,[1]!DadosGHD[CD_GEOCMU],[1]!DadosGHD[Região])</f>
        <v>CO</v>
      </c>
      <c r="D3937" s="4" t="str">
        <f>_xlfn.XLOOKUP(A3937,[1]!DadosGHD[CD_GEOCMU],[1]!DadosGHD[uf])</f>
        <v>GO</v>
      </c>
      <c r="E3937" s="5" t="str">
        <f>_xlfn.XLOOKUP(A3937,[1]!DadosGHD[CD_GEOCMU],[1]!DadosGHD[MUNICIPIO])</f>
        <v>PROFESSOR JAMIL</v>
      </c>
      <c r="F3937" s="6">
        <v>48.593082427978501</v>
      </c>
      <c r="G3937" s="6">
        <v>43.747745513916001</v>
      </c>
      <c r="H3937" s="6">
        <v>48.716526031494098</v>
      </c>
      <c r="I3937" s="6">
        <v>43.797107696533203</v>
      </c>
      <c r="J3937" s="6">
        <v>43.788616180419901</v>
      </c>
      <c r="K3937" s="6">
        <v>43.782260894775398</v>
      </c>
      <c r="L3937" s="6">
        <v>30.695665359497099</v>
      </c>
    </row>
    <row r="3938" spans="1:12" x14ac:dyDescent="0.25">
      <c r="A3938">
        <v>3528700</v>
      </c>
      <c r="B3938" t="str">
        <f t="shared" si="61"/>
        <v>MARABA PAULISTA, SP, Brasil</v>
      </c>
      <c r="C3938" s="4" t="str">
        <f>_xlfn.XLOOKUP(A3938,[1]!DadosGHD[CD_GEOCMU],[1]!DadosGHD[Região])</f>
        <v>SD</v>
      </c>
      <c r="D3938" s="4" t="str">
        <f>_xlfn.XLOOKUP(A3938,[1]!DadosGHD[CD_GEOCMU],[1]!DadosGHD[uf])</f>
        <v>SP</v>
      </c>
      <c r="E3938" s="5" t="str">
        <f>_xlfn.XLOOKUP(A3938,[1]!DadosGHD[CD_GEOCMU],[1]!DadosGHD[MUNICIPIO])</f>
        <v>MARABA PAULISTA</v>
      </c>
      <c r="F3938" s="6">
        <v>48.593090057373097</v>
      </c>
      <c r="G3938" s="6">
        <v>48.652133941650398</v>
      </c>
      <c r="H3938" s="6">
        <v>43.777702331542997</v>
      </c>
      <c r="I3938" s="6">
        <v>43.685092926025398</v>
      </c>
      <c r="J3938" s="6">
        <v>38.845420837402301</v>
      </c>
      <c r="K3938" s="6">
        <v>38.8890571594238</v>
      </c>
      <c r="L3938" s="6">
        <v>53.034339904785199</v>
      </c>
    </row>
    <row r="3939" spans="1:12" x14ac:dyDescent="0.25">
      <c r="A3939">
        <v>5212907</v>
      </c>
      <c r="B3939" t="str">
        <f t="shared" si="61"/>
        <v>MARZAGAO, GO, Brasil</v>
      </c>
      <c r="C3939" s="4" t="str">
        <f>_xlfn.XLOOKUP(A3939,[1]!DadosGHD[CD_GEOCMU],[1]!DadosGHD[Região])</f>
        <v>CO</v>
      </c>
      <c r="D3939" s="4" t="str">
        <f>_xlfn.XLOOKUP(A3939,[1]!DadosGHD[CD_GEOCMU],[1]!DadosGHD[uf])</f>
        <v>GO</v>
      </c>
      <c r="E3939" s="5" t="str">
        <f>_xlfn.XLOOKUP(A3939,[1]!DadosGHD[CD_GEOCMU],[1]!DadosGHD[MUNICIPIO])</f>
        <v>MARZAGAO</v>
      </c>
      <c r="F3939" s="6">
        <v>48.593307495117202</v>
      </c>
      <c r="G3939" s="6">
        <v>43.7100219726563</v>
      </c>
      <c r="H3939" s="6">
        <v>43.755729675292997</v>
      </c>
      <c r="I3939" s="6">
        <v>43.741237640380902</v>
      </c>
      <c r="J3939" s="6">
        <v>53.805774688720703</v>
      </c>
      <c r="K3939" s="6">
        <v>53.902019500732401</v>
      </c>
      <c r="L3939" s="6">
        <v>48.500984191894503</v>
      </c>
    </row>
    <row r="3940" spans="1:12" x14ac:dyDescent="0.25">
      <c r="A3940">
        <v>4127205</v>
      </c>
      <c r="B3940" t="str">
        <f t="shared" si="61"/>
        <v>TERRA BOA, PR, Brasil</v>
      </c>
      <c r="C3940" s="4" t="str">
        <f>_xlfn.XLOOKUP(A3940,[1]!DadosGHD[CD_GEOCMU],[1]!DadosGHD[Região])</f>
        <v>SL</v>
      </c>
      <c r="D3940" s="4" t="str">
        <f>_xlfn.XLOOKUP(A3940,[1]!DadosGHD[CD_GEOCMU],[1]!DadosGHD[uf])</f>
        <v>PR</v>
      </c>
      <c r="E3940" s="5" t="str">
        <f>_xlfn.XLOOKUP(A3940,[1]!DadosGHD[CD_GEOCMU],[1]!DadosGHD[MUNICIPIO])</f>
        <v>TERRA BOA</v>
      </c>
      <c r="F3940" s="6">
        <v>48.593368530273402</v>
      </c>
      <c r="G3940" s="6">
        <v>48.740314483642599</v>
      </c>
      <c r="H3940" s="6">
        <v>48.819496154785199</v>
      </c>
      <c r="I3940" s="6">
        <v>48.809219360351598</v>
      </c>
      <c r="J3940" s="6">
        <v>48.822544097900398</v>
      </c>
      <c r="K3940" s="6">
        <v>48.889743804931598</v>
      </c>
      <c r="L3940" s="6">
        <v>48.515861511230497</v>
      </c>
    </row>
    <row r="3941" spans="1:12" x14ac:dyDescent="0.25">
      <c r="A3941">
        <v>3303500</v>
      </c>
      <c r="B3941" t="str">
        <f t="shared" si="61"/>
        <v>NOVA IGUACU, RJ, Brasil</v>
      </c>
      <c r="C3941" s="4" t="str">
        <f>_xlfn.XLOOKUP(A3941,[1]!DadosGHD[CD_GEOCMU],[1]!DadosGHD[Região])</f>
        <v>SD</v>
      </c>
      <c r="D3941" s="4" t="str">
        <f>_xlfn.XLOOKUP(A3941,[1]!DadosGHD[CD_GEOCMU],[1]!DadosGHD[uf])</f>
        <v>RJ</v>
      </c>
      <c r="E3941" s="5" t="str">
        <f>_xlfn.XLOOKUP(A3941,[1]!DadosGHD[CD_GEOCMU],[1]!DadosGHD[MUNICIPIO])</f>
        <v>NOVA IGUACU</v>
      </c>
      <c r="F3941" s="6">
        <v>48.593406677246101</v>
      </c>
      <c r="G3941" s="6">
        <v>48.6871948242188</v>
      </c>
      <c r="H3941" s="6">
        <v>48.725131988525398</v>
      </c>
      <c r="I3941" s="6">
        <v>43.801525115966797</v>
      </c>
      <c r="J3941" s="6">
        <v>43.784137725830099</v>
      </c>
      <c r="K3941" s="6">
        <v>43.8010063171387</v>
      </c>
      <c r="L3941" s="6">
        <v>44.029945373535199</v>
      </c>
    </row>
    <row r="3942" spans="1:12" x14ac:dyDescent="0.25">
      <c r="A3942">
        <v>3519501</v>
      </c>
      <c r="B3942" t="str">
        <f t="shared" si="61"/>
        <v>IBIRAREMA, SP, Brasil</v>
      </c>
      <c r="C3942" s="4" t="str">
        <f>_xlfn.XLOOKUP(A3942,[1]!DadosGHD[CD_GEOCMU],[1]!DadosGHD[Região])</f>
        <v>SD</v>
      </c>
      <c r="D3942" s="4" t="str">
        <f>_xlfn.XLOOKUP(A3942,[1]!DadosGHD[CD_GEOCMU],[1]!DadosGHD[uf])</f>
        <v>SP</v>
      </c>
      <c r="E3942" s="5" t="str">
        <f>_xlfn.XLOOKUP(A3942,[1]!DadosGHD[CD_GEOCMU],[1]!DadosGHD[MUNICIPIO])</f>
        <v>IBIRAREMA</v>
      </c>
      <c r="F3942" s="6">
        <v>48.593410491943402</v>
      </c>
      <c r="G3942" s="6">
        <v>53.653190612792997</v>
      </c>
      <c r="H3942" s="6">
        <v>48.8128662109375</v>
      </c>
      <c r="I3942" s="6">
        <v>53.733634948730497</v>
      </c>
      <c r="J3942" s="6">
        <v>58.8253364562988</v>
      </c>
      <c r="K3942" s="6">
        <v>53.856517791748097</v>
      </c>
      <c r="L3942" s="6">
        <v>52.993038177490199</v>
      </c>
    </row>
    <row r="3943" spans="1:12" x14ac:dyDescent="0.25">
      <c r="A3943">
        <v>1715754</v>
      </c>
      <c r="B3943" t="str">
        <f t="shared" si="61"/>
        <v>PALMEIROPOLIS, TO, Brasil</v>
      </c>
      <c r="C3943" s="4" t="str">
        <f>_xlfn.XLOOKUP(A3943,[1]!DadosGHD[CD_GEOCMU],[1]!DadosGHD[Região])</f>
        <v>NO</v>
      </c>
      <c r="D3943" s="4" t="str">
        <f>_xlfn.XLOOKUP(A3943,[1]!DadosGHD[CD_GEOCMU],[1]!DadosGHD[uf])</f>
        <v>TO</v>
      </c>
      <c r="E3943" s="5" t="str">
        <f>_xlfn.XLOOKUP(A3943,[1]!DadosGHD[CD_GEOCMU],[1]!DadosGHD[MUNICIPIO])</f>
        <v>PALMEIROPOLIS</v>
      </c>
      <c r="F3943" s="6">
        <v>48.5935249328613</v>
      </c>
      <c r="G3943" s="6">
        <v>48.662200927734403</v>
      </c>
      <c r="H3943" s="6">
        <v>48.729099273681598</v>
      </c>
      <c r="I3943" s="6">
        <v>48.682010650634801</v>
      </c>
      <c r="J3943" s="6">
        <v>43.808349609375</v>
      </c>
      <c r="K3943" s="6">
        <v>43.851341247558601</v>
      </c>
      <c r="L3943" s="6">
        <v>39.5690727233887</v>
      </c>
    </row>
    <row r="3944" spans="1:12" x14ac:dyDescent="0.25">
      <c r="A3944">
        <v>5216908</v>
      </c>
      <c r="B3944" t="str">
        <f t="shared" si="61"/>
        <v>PILAR DE GOIAS, GO, Brasil</v>
      </c>
      <c r="C3944" s="4" t="str">
        <f>_xlfn.XLOOKUP(A3944,[1]!DadosGHD[CD_GEOCMU],[1]!DadosGHD[Região])</f>
        <v>CO</v>
      </c>
      <c r="D3944" s="4" t="str">
        <f>_xlfn.XLOOKUP(A3944,[1]!DadosGHD[CD_GEOCMU],[1]!DadosGHD[uf])</f>
        <v>GO</v>
      </c>
      <c r="E3944" s="5" t="str">
        <f>_xlfn.XLOOKUP(A3944,[1]!DadosGHD[CD_GEOCMU],[1]!DadosGHD[MUNICIPIO])</f>
        <v>PILAR DE GOIAS</v>
      </c>
      <c r="F3944" s="6">
        <v>48.5935249328613</v>
      </c>
      <c r="G3944" s="6">
        <v>43.708049774169901</v>
      </c>
      <c r="H3944" s="6">
        <v>43.777286529541001</v>
      </c>
      <c r="I3944" s="6">
        <v>43.769767761230497</v>
      </c>
      <c r="J3944" s="6">
        <v>43.776161193847699</v>
      </c>
      <c r="K3944" s="6">
        <v>43.8010864257813</v>
      </c>
      <c r="L3944" s="6">
        <v>35.142032623291001</v>
      </c>
    </row>
    <row r="3945" spans="1:12" x14ac:dyDescent="0.25">
      <c r="A3945">
        <v>4302154</v>
      </c>
      <c r="B3945" t="str">
        <f t="shared" si="61"/>
        <v>BOA VISTA DAS MISSOES, RS, Brasil</v>
      </c>
      <c r="C3945" s="4" t="str">
        <f>_xlfn.XLOOKUP(A3945,[1]!DadosGHD[CD_GEOCMU],[1]!DadosGHD[Região])</f>
        <v>SL</v>
      </c>
      <c r="D3945" s="4" t="str">
        <f>_xlfn.XLOOKUP(A3945,[1]!DadosGHD[CD_GEOCMU],[1]!DadosGHD[uf])</f>
        <v>RS</v>
      </c>
      <c r="E3945" s="5" t="str">
        <f>_xlfn.XLOOKUP(A3945,[1]!DadosGHD[CD_GEOCMU],[1]!DadosGHD[MUNICIPIO])</f>
        <v>BOA VISTA DAS MISSOES</v>
      </c>
      <c r="F3945" s="6">
        <v>48.594104766845703</v>
      </c>
      <c r="G3945" s="6">
        <v>53.75048828125</v>
      </c>
      <c r="H3945" s="6">
        <v>53.856243133544901</v>
      </c>
      <c r="I3945" s="6">
        <v>53.882068634033203</v>
      </c>
      <c r="J3945" s="6">
        <v>58.826930999755902</v>
      </c>
      <c r="K3945" s="6">
        <v>53.9429740905762</v>
      </c>
      <c r="L3945" s="6">
        <v>57.5136108398438</v>
      </c>
    </row>
    <row r="3946" spans="1:12" x14ac:dyDescent="0.25">
      <c r="A3946">
        <v>3516002</v>
      </c>
      <c r="B3946" t="str">
        <f t="shared" si="61"/>
        <v>FLORIDA PAULISTA, SP, Brasil</v>
      </c>
      <c r="C3946" s="4" t="str">
        <f>_xlfn.XLOOKUP(A3946,[1]!DadosGHD[CD_GEOCMU],[1]!DadosGHD[Região])</f>
        <v>SD</v>
      </c>
      <c r="D3946" s="4" t="str">
        <f>_xlfn.XLOOKUP(A3946,[1]!DadosGHD[CD_GEOCMU],[1]!DadosGHD[uf])</f>
        <v>SP</v>
      </c>
      <c r="E3946" s="5" t="str">
        <f>_xlfn.XLOOKUP(A3946,[1]!DadosGHD[CD_GEOCMU],[1]!DadosGHD[MUNICIPIO])</f>
        <v>FLORIDA PAULISTA</v>
      </c>
      <c r="F3946" s="6">
        <v>48.594345092773402</v>
      </c>
      <c r="G3946" s="6">
        <v>43.749919891357401</v>
      </c>
      <c r="H3946" s="6">
        <v>43.7209281921387</v>
      </c>
      <c r="I3946" s="6">
        <v>38.787178039550803</v>
      </c>
      <c r="J3946" s="6">
        <v>38.754600524902301</v>
      </c>
      <c r="K3946" s="6">
        <v>38.866512298583999</v>
      </c>
      <c r="L3946" s="6">
        <v>39.594192504882798</v>
      </c>
    </row>
    <row r="3947" spans="1:12" x14ac:dyDescent="0.25">
      <c r="A3947">
        <v>4319901</v>
      </c>
      <c r="B3947" t="str">
        <f t="shared" si="61"/>
        <v>SAPIRANGA, RS, Brasil</v>
      </c>
      <c r="C3947" s="4" t="str">
        <f>_xlfn.XLOOKUP(A3947,[1]!DadosGHD[CD_GEOCMU],[1]!DadosGHD[Região])</f>
        <v>SL</v>
      </c>
      <c r="D3947" s="4" t="str">
        <f>_xlfn.XLOOKUP(A3947,[1]!DadosGHD[CD_GEOCMU],[1]!DadosGHD[uf])</f>
        <v>RS</v>
      </c>
      <c r="E3947" s="5" t="str">
        <f>_xlfn.XLOOKUP(A3947,[1]!DadosGHD[CD_GEOCMU],[1]!DadosGHD[MUNICIPIO])</f>
        <v>SAPIRANGA</v>
      </c>
      <c r="F3947" s="6">
        <v>48.594348907470703</v>
      </c>
      <c r="G3947" s="6">
        <v>48.716049194335902</v>
      </c>
      <c r="H3947" s="6">
        <v>48.759952545166001</v>
      </c>
      <c r="I3947" s="6">
        <v>43.741020202636697</v>
      </c>
      <c r="J3947" s="6">
        <v>43.736984252929702</v>
      </c>
      <c r="K3947" s="6">
        <v>43.878238677978501</v>
      </c>
      <c r="L3947" s="6">
        <v>44.074779510498097</v>
      </c>
    </row>
    <row r="3948" spans="1:12" x14ac:dyDescent="0.25">
      <c r="A3948">
        <v>3546256</v>
      </c>
      <c r="B3948" t="str">
        <f t="shared" si="61"/>
        <v>SANTA CRUZ DA ESPERANCA, SP, Brasil</v>
      </c>
      <c r="C3948" s="4" t="str">
        <f>_xlfn.XLOOKUP(A3948,[1]!DadosGHD[CD_GEOCMU],[1]!DadosGHD[Região])</f>
        <v>SD</v>
      </c>
      <c r="D3948" s="4" t="str">
        <f>_xlfn.XLOOKUP(A3948,[1]!DadosGHD[CD_GEOCMU],[1]!DadosGHD[uf])</f>
        <v>SP</v>
      </c>
      <c r="E3948" s="5" t="str">
        <f>_xlfn.XLOOKUP(A3948,[1]!DadosGHD[CD_GEOCMU],[1]!DadosGHD[MUNICIPIO])</f>
        <v>SANTA CRUZ DA ESPERANCA</v>
      </c>
      <c r="F3948" s="6">
        <v>48.594398498535199</v>
      </c>
      <c r="G3948" s="6">
        <v>33.793613433837898</v>
      </c>
      <c r="H3948" s="6">
        <v>33.896213531494098</v>
      </c>
      <c r="I3948" s="6">
        <v>38.718700408935597</v>
      </c>
      <c r="J3948" s="6">
        <v>33.880195617675803</v>
      </c>
      <c r="K3948" s="6">
        <v>33.898189544677699</v>
      </c>
      <c r="L3948" s="6">
        <v>44.019229888916001</v>
      </c>
    </row>
    <row r="3949" spans="1:12" x14ac:dyDescent="0.25">
      <c r="A3949">
        <v>3166808</v>
      </c>
      <c r="B3949" t="str">
        <f t="shared" si="61"/>
        <v>SERRA DO SALITRE, MG, Brasil</v>
      </c>
      <c r="C3949" s="4" t="str">
        <f>_xlfn.XLOOKUP(A3949,[1]!DadosGHD[CD_GEOCMU],[1]!DadosGHD[Região])</f>
        <v>SD</v>
      </c>
      <c r="D3949" s="4" t="str">
        <f>_xlfn.XLOOKUP(A3949,[1]!DadosGHD[CD_GEOCMU],[1]!DadosGHD[uf])</f>
        <v>MG</v>
      </c>
      <c r="E3949" s="5" t="str">
        <f>_xlfn.XLOOKUP(A3949,[1]!DadosGHD[CD_GEOCMU],[1]!DadosGHD[MUNICIPIO])</f>
        <v>SERRA DO SALITRE</v>
      </c>
      <c r="F3949" s="6">
        <v>48.5947074890137</v>
      </c>
      <c r="G3949" s="6">
        <v>48.672126770019503</v>
      </c>
      <c r="H3949" s="6">
        <v>53.755565643310597</v>
      </c>
      <c r="I3949" s="6">
        <v>53.761947631835902</v>
      </c>
      <c r="J3949" s="6">
        <v>53.779415130615199</v>
      </c>
      <c r="K3949" s="6">
        <v>53.837440490722699</v>
      </c>
      <c r="L3949" s="6">
        <v>44.057830810546903</v>
      </c>
    </row>
    <row r="3950" spans="1:12" x14ac:dyDescent="0.25">
      <c r="A3950">
        <v>4317301</v>
      </c>
      <c r="B3950" t="str">
        <f t="shared" si="61"/>
        <v>SANTA VITORIA DO PALMAR, RS, Brasil</v>
      </c>
      <c r="C3950" s="4" t="str">
        <f>_xlfn.XLOOKUP(A3950,[1]!DadosGHD[CD_GEOCMU],[1]!DadosGHD[Região])</f>
        <v>SL</v>
      </c>
      <c r="D3950" s="4" t="str">
        <f>_xlfn.XLOOKUP(A3950,[1]!DadosGHD[CD_GEOCMU],[1]!DadosGHD[uf])</f>
        <v>RS</v>
      </c>
      <c r="E3950" s="5" t="str">
        <f>_xlfn.XLOOKUP(A3950,[1]!DadosGHD[CD_GEOCMU],[1]!DadosGHD[MUNICIPIO])</f>
        <v>SANTA VITORIA DO PALMAR</v>
      </c>
      <c r="F3950" s="6">
        <v>48.5948295593262</v>
      </c>
      <c r="G3950" s="6">
        <v>48.743293762207003</v>
      </c>
      <c r="H3950" s="6">
        <v>48.859142303466797</v>
      </c>
      <c r="I3950" s="6">
        <v>53.763065338134801</v>
      </c>
      <c r="J3950" s="6">
        <v>53.876045227050803</v>
      </c>
      <c r="K3950" s="6">
        <v>48.912101745605497</v>
      </c>
      <c r="L3950" s="6">
        <v>48.5217475891113</v>
      </c>
    </row>
    <row r="3951" spans="1:12" x14ac:dyDescent="0.25">
      <c r="A3951">
        <v>3553658</v>
      </c>
      <c r="B3951" t="str">
        <f t="shared" si="61"/>
        <v>TAQUARAL, SP, Brasil</v>
      </c>
      <c r="C3951" s="4" t="str">
        <f>_xlfn.XLOOKUP(A3951,[1]!DadosGHD[CD_GEOCMU],[1]!DadosGHD[Região])</f>
        <v>SD</v>
      </c>
      <c r="D3951" s="4" t="str">
        <f>_xlfn.XLOOKUP(A3951,[1]!DadosGHD[CD_GEOCMU],[1]!DadosGHD[uf])</f>
        <v>SP</v>
      </c>
      <c r="E3951" s="5" t="str">
        <f>_xlfn.XLOOKUP(A3951,[1]!DadosGHD[CD_GEOCMU],[1]!DadosGHD[MUNICIPIO])</f>
        <v>TAQUARAL</v>
      </c>
      <c r="F3951" s="6">
        <v>48.5948677062988</v>
      </c>
      <c r="G3951" s="6">
        <v>48.639305114746101</v>
      </c>
      <c r="H3951" s="6">
        <v>43.773509979248097</v>
      </c>
      <c r="I3951" s="6">
        <v>43.724021911621101</v>
      </c>
      <c r="J3951" s="6">
        <v>43.720748901367202</v>
      </c>
      <c r="K3951" s="6">
        <v>38.890232086181598</v>
      </c>
      <c r="L3951" s="6">
        <v>35.112682342529297</v>
      </c>
    </row>
    <row r="3952" spans="1:12" x14ac:dyDescent="0.25">
      <c r="A3952">
        <v>3155405</v>
      </c>
      <c r="B3952" t="str">
        <f t="shared" si="61"/>
        <v>RIO NOVO, MG, Brasil</v>
      </c>
      <c r="C3952" s="4" t="str">
        <f>_xlfn.XLOOKUP(A3952,[1]!DadosGHD[CD_GEOCMU],[1]!DadosGHD[Região])</f>
        <v>SD</v>
      </c>
      <c r="D3952" s="4" t="str">
        <f>_xlfn.XLOOKUP(A3952,[1]!DadosGHD[CD_GEOCMU],[1]!DadosGHD[uf])</f>
        <v>MG</v>
      </c>
      <c r="E3952" s="5" t="str">
        <f>_xlfn.XLOOKUP(A3952,[1]!DadosGHD[CD_GEOCMU],[1]!DadosGHD[MUNICIPIO])</f>
        <v>RIO NOVO</v>
      </c>
      <c r="F3952" s="6">
        <v>48.595340728759801</v>
      </c>
      <c r="G3952" s="6">
        <v>48.697566986083999</v>
      </c>
      <c r="H3952" s="6">
        <v>48.773681640625</v>
      </c>
      <c r="I3952" s="6">
        <v>48.705703735351598</v>
      </c>
      <c r="J3952" s="6">
        <v>48.702648162841797</v>
      </c>
      <c r="K3952" s="6">
        <v>48.833103179931598</v>
      </c>
      <c r="L3952" s="6">
        <v>48.561489105224602</v>
      </c>
    </row>
    <row r="3953" spans="1:12" x14ac:dyDescent="0.25">
      <c r="A3953">
        <v>5209937</v>
      </c>
      <c r="B3953" t="str">
        <f t="shared" si="61"/>
        <v>INACIOLANDIA, GO, Brasil</v>
      </c>
      <c r="C3953" s="4" t="str">
        <f>_xlfn.XLOOKUP(A3953,[1]!DadosGHD[CD_GEOCMU],[1]!DadosGHD[Região])</f>
        <v>CO</v>
      </c>
      <c r="D3953" s="4" t="str">
        <f>_xlfn.XLOOKUP(A3953,[1]!DadosGHD[CD_GEOCMU],[1]!DadosGHD[uf])</f>
        <v>GO</v>
      </c>
      <c r="E3953" s="5" t="str">
        <f>_xlfn.XLOOKUP(A3953,[1]!DadosGHD[CD_GEOCMU],[1]!DadosGHD[MUNICIPIO])</f>
        <v>INACIOLANDIA</v>
      </c>
      <c r="F3953" s="6">
        <v>48.595630645752003</v>
      </c>
      <c r="G3953" s="6">
        <v>53.667289733886697</v>
      </c>
      <c r="H3953" s="6">
        <v>48.8478813171387</v>
      </c>
      <c r="I3953" s="6">
        <v>53.714561462402301</v>
      </c>
      <c r="J3953" s="6">
        <v>53.776496887207003</v>
      </c>
      <c r="K3953" s="6">
        <v>48.908462524414098</v>
      </c>
      <c r="L3953" s="6">
        <v>39.5865287780762</v>
      </c>
    </row>
    <row r="3954" spans="1:12" x14ac:dyDescent="0.25">
      <c r="A3954">
        <v>4320008</v>
      </c>
      <c r="B3954" t="str">
        <f t="shared" si="61"/>
        <v>SAPUCAIA DO SUL, RS, Brasil</v>
      </c>
      <c r="C3954" s="4" t="str">
        <f>_xlfn.XLOOKUP(A3954,[1]!DadosGHD[CD_GEOCMU],[1]!DadosGHD[Região])</f>
        <v>SL</v>
      </c>
      <c r="D3954" s="4" t="str">
        <f>_xlfn.XLOOKUP(A3954,[1]!DadosGHD[CD_GEOCMU],[1]!DadosGHD[uf])</f>
        <v>RS</v>
      </c>
      <c r="E3954" s="5" t="str">
        <f>_xlfn.XLOOKUP(A3954,[1]!DadosGHD[CD_GEOCMU],[1]!DadosGHD[MUNICIPIO])</f>
        <v>SAPUCAIA DO SUL</v>
      </c>
      <c r="F3954" s="6">
        <v>48.5956420898438</v>
      </c>
      <c r="G3954" s="6">
        <v>48.711105346679702</v>
      </c>
      <c r="H3954" s="6">
        <v>48.785781860351598</v>
      </c>
      <c r="I3954" s="6">
        <v>48.744235992431598</v>
      </c>
      <c r="J3954" s="6">
        <v>43.795711517333999</v>
      </c>
      <c r="K3954" s="6">
        <v>48.779159545898402</v>
      </c>
      <c r="L3954" s="6">
        <v>57.549423217773402</v>
      </c>
    </row>
    <row r="3955" spans="1:12" x14ac:dyDescent="0.25">
      <c r="A3955">
        <v>3545704</v>
      </c>
      <c r="B3955" t="str">
        <f t="shared" si="61"/>
        <v>SANTA ALBERTINA, SP, Brasil</v>
      </c>
      <c r="C3955" s="4" t="str">
        <f>_xlfn.XLOOKUP(A3955,[1]!DadosGHD[CD_GEOCMU],[1]!DadosGHD[Região])</f>
        <v>SD</v>
      </c>
      <c r="D3955" s="4" t="str">
        <f>_xlfn.XLOOKUP(A3955,[1]!DadosGHD[CD_GEOCMU],[1]!DadosGHD[uf])</f>
        <v>SP</v>
      </c>
      <c r="E3955" s="5" t="str">
        <f>_xlfn.XLOOKUP(A3955,[1]!DadosGHD[CD_GEOCMU],[1]!DadosGHD[MUNICIPIO])</f>
        <v>SANTA ALBERTINA</v>
      </c>
      <c r="F3955" s="6">
        <v>48.595668792724602</v>
      </c>
      <c r="G3955" s="6">
        <v>43.753787994384801</v>
      </c>
      <c r="H3955" s="6">
        <v>43.777797698974602</v>
      </c>
      <c r="I3955" s="6">
        <v>43.734062194824197</v>
      </c>
      <c r="J3955" s="6">
        <v>43.741291046142599</v>
      </c>
      <c r="K3955" s="6">
        <v>43.780967712402301</v>
      </c>
      <c r="L3955" s="6">
        <v>30.7097358703613</v>
      </c>
    </row>
    <row r="3956" spans="1:12" x14ac:dyDescent="0.25">
      <c r="A3956">
        <v>1712009</v>
      </c>
      <c r="B3956" t="str">
        <f t="shared" si="61"/>
        <v>LAJEADO, TO, Brasil</v>
      </c>
      <c r="C3956" s="4" t="str">
        <f>_xlfn.XLOOKUP(A3956,[1]!DadosGHD[CD_GEOCMU],[1]!DadosGHD[Região])</f>
        <v>NO</v>
      </c>
      <c r="D3956" s="4" t="str">
        <f>_xlfn.XLOOKUP(A3956,[1]!DadosGHD[CD_GEOCMU],[1]!DadosGHD[uf])</f>
        <v>TO</v>
      </c>
      <c r="E3956" s="5" t="str">
        <f>_xlfn.XLOOKUP(A3956,[1]!DadosGHD[CD_GEOCMU],[1]!DadosGHD[MUNICIPIO])</f>
        <v>LAJEADO</v>
      </c>
      <c r="F3956" s="6">
        <v>48.595672607421903</v>
      </c>
      <c r="G3956" s="6">
        <v>43.735523223877003</v>
      </c>
      <c r="H3956" s="6">
        <v>58.832637786865199</v>
      </c>
      <c r="I3956" s="6">
        <v>48.691722869873097</v>
      </c>
      <c r="J3956" s="6">
        <v>43.732089996337898</v>
      </c>
      <c r="K3956" s="6">
        <v>33.899246215820298</v>
      </c>
      <c r="L3956" s="6">
        <v>35.130928039550803</v>
      </c>
    </row>
    <row r="3957" spans="1:12" x14ac:dyDescent="0.25">
      <c r="A3957">
        <v>4215752</v>
      </c>
      <c r="B3957" t="str">
        <f t="shared" si="61"/>
        <v>SAO BERNARDINO, SC, Brasil</v>
      </c>
      <c r="C3957" s="4" t="str">
        <f>_xlfn.XLOOKUP(A3957,[1]!DadosGHD[CD_GEOCMU],[1]!DadosGHD[Região])</f>
        <v>SL</v>
      </c>
      <c r="D3957" s="4" t="str">
        <f>_xlfn.XLOOKUP(A3957,[1]!DadosGHD[CD_GEOCMU],[1]!DadosGHD[uf])</f>
        <v>SC</v>
      </c>
      <c r="E3957" s="5" t="str">
        <f>_xlfn.XLOOKUP(A3957,[1]!DadosGHD[CD_GEOCMU],[1]!DadosGHD[MUNICIPIO])</f>
        <v>SAO BERNARDINO</v>
      </c>
      <c r="F3957" s="6">
        <v>48.595996856689503</v>
      </c>
      <c r="G3957" s="6">
        <v>58.757404327392599</v>
      </c>
      <c r="H3957" s="6">
        <v>58.839542388916001</v>
      </c>
      <c r="I3957" s="6">
        <v>58.827033996582003</v>
      </c>
      <c r="J3957" s="6">
        <v>63.984508514404297</v>
      </c>
      <c r="K3957" s="6">
        <v>53.989139556884801</v>
      </c>
      <c r="L3957" s="6">
        <v>48.488082885742202</v>
      </c>
    </row>
    <row r="3958" spans="1:12" x14ac:dyDescent="0.25">
      <c r="A3958">
        <v>4116000</v>
      </c>
      <c r="B3958" t="str">
        <f t="shared" si="61"/>
        <v>MIRASELVA, PR, Brasil</v>
      </c>
      <c r="C3958" s="4" t="str">
        <f>_xlfn.XLOOKUP(A3958,[1]!DadosGHD[CD_GEOCMU],[1]!DadosGHD[Região])</f>
        <v>SL</v>
      </c>
      <c r="D3958" s="4" t="str">
        <f>_xlfn.XLOOKUP(A3958,[1]!DadosGHD[CD_GEOCMU],[1]!DadosGHD[uf])</f>
        <v>PR</v>
      </c>
      <c r="E3958" s="5" t="str">
        <f>_xlfn.XLOOKUP(A3958,[1]!DadosGHD[CD_GEOCMU],[1]!DadosGHD[MUNICIPIO])</f>
        <v>MIRASELVA</v>
      </c>
      <c r="F3958" s="6">
        <v>48.596019744873097</v>
      </c>
      <c r="G3958" s="6">
        <v>48.755691528320298</v>
      </c>
      <c r="H3958" s="6">
        <v>38.840396881103501</v>
      </c>
      <c r="I3958" s="6">
        <v>43.692680358886697</v>
      </c>
      <c r="J3958" s="6">
        <v>33.831687927246101</v>
      </c>
      <c r="K3958" s="6">
        <v>33.857364654541001</v>
      </c>
      <c r="L3958" s="6">
        <v>39.557888031005902</v>
      </c>
    </row>
    <row r="3959" spans="1:12" x14ac:dyDescent="0.25">
      <c r="A3959">
        <v>3116209</v>
      </c>
      <c r="B3959" t="str">
        <f t="shared" si="61"/>
        <v>CHIADOR, MG, Brasil</v>
      </c>
      <c r="C3959" s="4" t="str">
        <f>_xlfn.XLOOKUP(A3959,[1]!DadosGHD[CD_GEOCMU],[1]!DadosGHD[Região])</f>
        <v>SD</v>
      </c>
      <c r="D3959" s="4" t="str">
        <f>_xlfn.XLOOKUP(A3959,[1]!DadosGHD[CD_GEOCMU],[1]!DadosGHD[uf])</f>
        <v>MG</v>
      </c>
      <c r="E3959" s="5" t="str">
        <f>_xlfn.XLOOKUP(A3959,[1]!DadosGHD[CD_GEOCMU],[1]!DadosGHD[MUNICIPIO])</f>
        <v>CHIADOR</v>
      </c>
      <c r="F3959" s="6">
        <v>48.596019744873097</v>
      </c>
      <c r="G3959" s="6">
        <v>43.726547241210902</v>
      </c>
      <c r="H3959" s="6">
        <v>43.786796569824197</v>
      </c>
      <c r="I3959" s="6">
        <v>48.718170166015597</v>
      </c>
      <c r="J3959" s="6">
        <v>43.799728393554702</v>
      </c>
      <c r="K3959" s="6">
        <v>43.796222686767599</v>
      </c>
      <c r="L3959" s="6">
        <v>35.124137878417997</v>
      </c>
    </row>
    <row r="3960" spans="1:12" x14ac:dyDescent="0.25">
      <c r="A3960">
        <v>2504009</v>
      </c>
      <c r="B3960" t="str">
        <f t="shared" si="61"/>
        <v>CAMPINA GRANDE, PB, Brasil</v>
      </c>
      <c r="C3960" s="4" t="str">
        <f>_xlfn.XLOOKUP(A3960,[1]!DadosGHD[CD_GEOCMU],[1]!DadosGHD[Região])</f>
        <v>NE</v>
      </c>
      <c r="D3960" s="4" t="str">
        <f>_xlfn.XLOOKUP(A3960,[1]!DadosGHD[CD_GEOCMU],[1]!DadosGHD[uf])</f>
        <v>PB</v>
      </c>
      <c r="E3960" s="5" t="str">
        <f>_xlfn.XLOOKUP(A3960,[1]!DadosGHD[CD_GEOCMU],[1]!DadosGHD[MUNICIPIO])</f>
        <v>CAMPINA GRANDE</v>
      </c>
      <c r="F3960" s="6">
        <v>48.596237182617202</v>
      </c>
      <c r="G3960" s="6">
        <v>48.687210083007798</v>
      </c>
      <c r="H3960" s="6">
        <v>48.737873077392599</v>
      </c>
      <c r="I3960" s="6">
        <v>48.712509155273402</v>
      </c>
      <c r="J3960" s="6">
        <v>48.768268585205099</v>
      </c>
      <c r="K3960" s="6">
        <v>48.825450897216797</v>
      </c>
      <c r="L3960" s="6">
        <v>48.518959045410199</v>
      </c>
    </row>
    <row r="3961" spans="1:12" x14ac:dyDescent="0.25">
      <c r="A3961">
        <v>4211256</v>
      </c>
      <c r="B3961" t="str">
        <f t="shared" si="61"/>
        <v>MORRO GRANDE, SC, Brasil</v>
      </c>
      <c r="C3961" s="4" t="str">
        <f>_xlfn.XLOOKUP(A3961,[1]!DadosGHD[CD_GEOCMU],[1]!DadosGHD[Região])</f>
        <v>SL</v>
      </c>
      <c r="D3961" s="4" t="str">
        <f>_xlfn.XLOOKUP(A3961,[1]!DadosGHD[CD_GEOCMU],[1]!DadosGHD[uf])</f>
        <v>SC</v>
      </c>
      <c r="E3961" s="5" t="str">
        <f>_xlfn.XLOOKUP(A3961,[1]!DadosGHD[CD_GEOCMU],[1]!DadosGHD[MUNICIPIO])</f>
        <v>MORRO GRANDE</v>
      </c>
      <c r="F3961" s="6">
        <v>48.596488952636697</v>
      </c>
      <c r="G3961" s="6">
        <v>53.723228454589801</v>
      </c>
      <c r="H3961" s="6">
        <v>53.766956329345703</v>
      </c>
      <c r="I3961" s="6">
        <v>53.727893829345703</v>
      </c>
      <c r="J3961" s="6">
        <v>53.752853393554702</v>
      </c>
      <c r="K3961" s="6">
        <v>48.888702392578097</v>
      </c>
      <c r="L3961" s="6">
        <v>48.504676818847699</v>
      </c>
    </row>
    <row r="3962" spans="1:12" x14ac:dyDescent="0.25">
      <c r="A3962">
        <v>3301009</v>
      </c>
      <c r="B3962" t="str">
        <f t="shared" si="61"/>
        <v>CAMPOS DOS GOYTACAZES, RJ, Brasil</v>
      </c>
      <c r="C3962" s="4" t="str">
        <f>_xlfn.XLOOKUP(A3962,[1]!DadosGHD[CD_GEOCMU],[1]!DadosGHD[Região])</f>
        <v>SD</v>
      </c>
      <c r="D3962" s="4" t="str">
        <f>_xlfn.XLOOKUP(A3962,[1]!DadosGHD[CD_GEOCMU],[1]!DadosGHD[uf])</f>
        <v>RJ</v>
      </c>
      <c r="E3962" s="5" t="str">
        <f>_xlfn.XLOOKUP(A3962,[1]!DadosGHD[CD_GEOCMU],[1]!DadosGHD[MUNICIPIO])</f>
        <v>CAMPOS DOS GOYTACAZES</v>
      </c>
      <c r="F3962" s="6">
        <v>48.596694946289098</v>
      </c>
      <c r="G3962" s="6">
        <v>48.661220550537102</v>
      </c>
      <c r="H3962" s="6">
        <v>43.8219604492188</v>
      </c>
      <c r="I3962" s="6">
        <v>43.784984588623097</v>
      </c>
      <c r="J3962" s="6">
        <v>43.811973571777301</v>
      </c>
      <c r="K3962" s="6">
        <v>43.814769744873097</v>
      </c>
      <c r="L3962" s="6">
        <v>44.056419372558601</v>
      </c>
    </row>
    <row r="3963" spans="1:12" x14ac:dyDescent="0.25">
      <c r="A3963">
        <v>3204401</v>
      </c>
      <c r="B3963" t="str">
        <f t="shared" si="61"/>
        <v>RIO NOVO DO SUL, ES, Brasil</v>
      </c>
      <c r="C3963" s="4" t="str">
        <f>_xlfn.XLOOKUP(A3963,[1]!DadosGHD[CD_GEOCMU],[1]!DadosGHD[Região])</f>
        <v>SD</v>
      </c>
      <c r="D3963" s="4" t="str">
        <f>_xlfn.XLOOKUP(A3963,[1]!DadosGHD[CD_GEOCMU],[1]!DadosGHD[uf])</f>
        <v>ES</v>
      </c>
      <c r="E3963" s="5" t="str">
        <f>_xlfn.XLOOKUP(A3963,[1]!DadosGHD[CD_GEOCMU],[1]!DadosGHD[MUNICIPIO])</f>
        <v>RIO NOVO DO SUL</v>
      </c>
      <c r="F3963" s="6">
        <v>48.596755981445298</v>
      </c>
      <c r="G3963" s="6">
        <v>48.691402435302699</v>
      </c>
      <c r="H3963" s="6">
        <v>48.783843994140597</v>
      </c>
      <c r="I3963" s="6">
        <v>48.724357604980497</v>
      </c>
      <c r="J3963" s="6">
        <v>48.716773986816399</v>
      </c>
      <c r="K3963" s="6">
        <v>48.810398101806598</v>
      </c>
      <c r="L3963" s="6">
        <v>44.028587341308601</v>
      </c>
    </row>
    <row r="3964" spans="1:12" x14ac:dyDescent="0.25">
      <c r="A3964">
        <v>4301701</v>
      </c>
      <c r="B3964" t="str">
        <f t="shared" si="61"/>
        <v>BARAO DE COTEGIPE, RS, Brasil</v>
      </c>
      <c r="C3964" s="4" t="str">
        <f>_xlfn.XLOOKUP(A3964,[1]!DadosGHD[CD_GEOCMU],[1]!DadosGHD[Região])</f>
        <v>SL</v>
      </c>
      <c r="D3964" s="4" t="str">
        <f>_xlfn.XLOOKUP(A3964,[1]!DadosGHD[CD_GEOCMU],[1]!DadosGHD[uf])</f>
        <v>RS</v>
      </c>
      <c r="E3964" s="5" t="str">
        <f>_xlfn.XLOOKUP(A3964,[1]!DadosGHD[CD_GEOCMU],[1]!DadosGHD[MUNICIPIO])</f>
        <v>BARAO DE COTEGIPE</v>
      </c>
      <c r="F3964" s="6">
        <v>48.596755981445298</v>
      </c>
      <c r="G3964" s="6">
        <v>43.651157379150398</v>
      </c>
      <c r="H3964" s="6">
        <v>48.786121368408203</v>
      </c>
      <c r="I3964" s="6">
        <v>53.7249946594238</v>
      </c>
      <c r="J3964" s="6">
        <v>48.793128967285199</v>
      </c>
      <c r="K3964" s="6">
        <v>53.943618774414098</v>
      </c>
      <c r="L3964" s="6">
        <v>57.564861297607401</v>
      </c>
    </row>
    <row r="3965" spans="1:12" x14ac:dyDescent="0.25">
      <c r="A3965">
        <v>5003454</v>
      </c>
      <c r="B3965" t="str">
        <f t="shared" si="61"/>
        <v>DEODAPOLIS, MS, Brasil</v>
      </c>
      <c r="C3965" s="4" t="str">
        <f>_xlfn.XLOOKUP(A3965,[1]!DadosGHD[CD_GEOCMU],[1]!DadosGHD[Região])</f>
        <v>CO</v>
      </c>
      <c r="D3965" s="4" t="str">
        <f>_xlfn.XLOOKUP(A3965,[1]!DadosGHD[CD_GEOCMU],[1]!DadosGHD[uf])</f>
        <v>MS</v>
      </c>
      <c r="E3965" s="5" t="str">
        <f>_xlfn.XLOOKUP(A3965,[1]!DadosGHD[CD_GEOCMU],[1]!DadosGHD[MUNICIPIO])</f>
        <v>DEODAPOLIS</v>
      </c>
      <c r="F3965" s="6">
        <v>48.596965789794901</v>
      </c>
      <c r="G3965" s="6">
        <v>48.744861602783203</v>
      </c>
      <c r="H3965" s="6">
        <v>48.831550598144503</v>
      </c>
      <c r="I3965" s="6">
        <v>48.727458953857401</v>
      </c>
      <c r="J3965" s="6">
        <v>43.773826599121101</v>
      </c>
      <c r="K3965" s="6">
        <v>43.785957336425803</v>
      </c>
      <c r="L3965" s="6">
        <v>39.561336517333999</v>
      </c>
    </row>
    <row r="3966" spans="1:12" x14ac:dyDescent="0.25">
      <c r="A3966">
        <v>3510203</v>
      </c>
      <c r="B3966" t="str">
        <f t="shared" si="61"/>
        <v>CAPAO BONITO, SP, Brasil</v>
      </c>
      <c r="C3966" s="4" t="str">
        <f>_xlfn.XLOOKUP(A3966,[1]!DadosGHD[CD_GEOCMU],[1]!DadosGHD[Região])</f>
        <v>SD</v>
      </c>
      <c r="D3966" s="4" t="str">
        <f>_xlfn.XLOOKUP(A3966,[1]!DadosGHD[CD_GEOCMU],[1]!DadosGHD[uf])</f>
        <v>SP</v>
      </c>
      <c r="E3966" s="5" t="str">
        <f>_xlfn.XLOOKUP(A3966,[1]!DadosGHD[CD_GEOCMU],[1]!DadosGHD[MUNICIPIO])</f>
        <v>CAPAO BONITO</v>
      </c>
      <c r="F3966" s="6">
        <v>48.597129821777301</v>
      </c>
      <c r="G3966" s="6">
        <v>48.682056427002003</v>
      </c>
      <c r="H3966" s="6">
        <v>43.837509155273402</v>
      </c>
      <c r="I3966" s="6">
        <v>48.720821380615199</v>
      </c>
      <c r="J3966" s="6">
        <v>48.738410949707003</v>
      </c>
      <c r="K3966" s="6">
        <v>43.839206695556598</v>
      </c>
      <c r="L3966" s="6">
        <v>39.612419128417997</v>
      </c>
    </row>
    <row r="3967" spans="1:12" x14ac:dyDescent="0.25">
      <c r="A3967">
        <v>3515103</v>
      </c>
      <c r="B3967" t="str">
        <f t="shared" si="61"/>
        <v>EMBU-GUACU, SP, Brasil</v>
      </c>
      <c r="C3967" s="4" t="str">
        <f>_xlfn.XLOOKUP(A3967,[1]!DadosGHD[CD_GEOCMU],[1]!DadosGHD[Região])</f>
        <v>SD</v>
      </c>
      <c r="D3967" s="4" t="str">
        <f>_xlfn.XLOOKUP(A3967,[1]!DadosGHD[CD_GEOCMU],[1]!DadosGHD[uf])</f>
        <v>SP</v>
      </c>
      <c r="E3967" s="5" t="str">
        <f>_xlfn.XLOOKUP(A3967,[1]!DadosGHD[CD_GEOCMU],[1]!DadosGHD[MUNICIPIO])</f>
        <v>EMBU-GUACU</v>
      </c>
      <c r="F3967" s="6">
        <v>48.597129821777301</v>
      </c>
      <c r="G3967" s="6">
        <v>48.665760040283203</v>
      </c>
      <c r="H3967" s="6">
        <v>43.809776306152301</v>
      </c>
      <c r="I3967" s="6">
        <v>43.729042053222699</v>
      </c>
      <c r="J3967" s="6">
        <v>38.842899322509801</v>
      </c>
      <c r="K3967" s="6">
        <v>38.857643127441399</v>
      </c>
      <c r="L3967" s="6">
        <v>48.524246215820298</v>
      </c>
    </row>
    <row r="3968" spans="1:12" x14ac:dyDescent="0.25">
      <c r="A3968">
        <v>4202800</v>
      </c>
      <c r="B3968" t="str">
        <f t="shared" si="61"/>
        <v>BRACO DO NORTE, SC, Brasil</v>
      </c>
      <c r="C3968" s="4" t="str">
        <f>_xlfn.XLOOKUP(A3968,[1]!DadosGHD[CD_GEOCMU],[1]!DadosGHD[Região])</f>
        <v>SL</v>
      </c>
      <c r="D3968" s="4" t="str">
        <f>_xlfn.XLOOKUP(A3968,[1]!DadosGHD[CD_GEOCMU],[1]!DadosGHD[uf])</f>
        <v>SC</v>
      </c>
      <c r="E3968" s="5" t="str">
        <f>_xlfn.XLOOKUP(A3968,[1]!DadosGHD[CD_GEOCMU],[1]!DadosGHD[MUNICIPIO])</f>
        <v>BRACO DO NORTE</v>
      </c>
      <c r="F3968" s="6">
        <v>48.597274780273402</v>
      </c>
      <c r="G3968" s="6">
        <v>48.7284126281738</v>
      </c>
      <c r="H3968" s="6">
        <v>48.810195922851598</v>
      </c>
      <c r="I3968" s="6">
        <v>53.788871765136697</v>
      </c>
      <c r="J3968" s="6">
        <v>53.8255424499512</v>
      </c>
      <c r="K3968" s="6">
        <v>53.876842498779297</v>
      </c>
      <c r="L3968" s="6">
        <v>48.546150207519503</v>
      </c>
    </row>
    <row r="3969" spans="1:12" x14ac:dyDescent="0.25">
      <c r="A3969">
        <v>1711902</v>
      </c>
      <c r="B3969" t="str">
        <f t="shared" si="61"/>
        <v>LAGOA DA CONFUSAO, TO, Brasil</v>
      </c>
      <c r="C3969" s="4" t="str">
        <f>_xlfn.XLOOKUP(A3969,[1]!DadosGHD[CD_GEOCMU],[1]!DadosGHD[Região])</f>
        <v>NO</v>
      </c>
      <c r="D3969" s="4" t="str">
        <f>_xlfn.XLOOKUP(A3969,[1]!DadosGHD[CD_GEOCMU],[1]!DadosGHD[uf])</f>
        <v>TO</v>
      </c>
      <c r="E3969" s="5" t="str">
        <f>_xlfn.XLOOKUP(A3969,[1]!DadosGHD[CD_GEOCMU],[1]!DadosGHD[MUNICIPIO])</f>
        <v>LAGOA DA CONFUSAO</v>
      </c>
      <c r="F3969" s="6">
        <v>48.597373962402301</v>
      </c>
      <c r="G3969" s="6">
        <v>48.6831665039063</v>
      </c>
      <c r="H3969" s="6">
        <v>48.743858337402301</v>
      </c>
      <c r="I3969" s="6">
        <v>48.679580688476598</v>
      </c>
      <c r="J3969" s="6">
        <v>43.775016784667997</v>
      </c>
      <c r="K3969" s="6">
        <v>43.881576538085902</v>
      </c>
      <c r="L3969" s="6">
        <v>39.600208282470703</v>
      </c>
    </row>
    <row r="3970" spans="1:12" x14ac:dyDescent="0.25">
      <c r="A3970">
        <v>5002001</v>
      </c>
      <c r="B3970" t="str">
        <f t="shared" si="61"/>
        <v>BATAYPORA, MS, Brasil</v>
      </c>
      <c r="C3970" s="4" t="str">
        <f>_xlfn.XLOOKUP(A3970,[1]!DadosGHD[CD_GEOCMU],[1]!DadosGHD[Região])</f>
        <v>CO</v>
      </c>
      <c r="D3970" s="4" t="str">
        <f>_xlfn.XLOOKUP(A3970,[1]!DadosGHD[CD_GEOCMU],[1]!DadosGHD[uf])</f>
        <v>MS</v>
      </c>
      <c r="E3970" s="5" t="str">
        <f>_xlfn.XLOOKUP(A3970,[1]!DadosGHD[CD_GEOCMU],[1]!DadosGHD[MUNICIPIO])</f>
        <v>BATAYPORA</v>
      </c>
      <c r="F3970" s="6">
        <v>48.597484588623097</v>
      </c>
      <c r="G3970" s="6">
        <v>48.661521911621101</v>
      </c>
      <c r="H3970" s="6">
        <v>48.773612976074197</v>
      </c>
      <c r="I3970" s="6">
        <v>48.721836090087898</v>
      </c>
      <c r="J3970" s="6">
        <v>48.716495513916001</v>
      </c>
      <c r="K3970" s="6">
        <v>48.835609436035199</v>
      </c>
      <c r="L3970" s="6">
        <v>44.049087524414098</v>
      </c>
    </row>
    <row r="3971" spans="1:12" x14ac:dyDescent="0.25">
      <c r="A3971">
        <v>3502309</v>
      </c>
      <c r="B3971" t="str">
        <f t="shared" si="61"/>
        <v>ANHEMBI, SP, Brasil</v>
      </c>
      <c r="C3971" s="4" t="str">
        <f>_xlfn.XLOOKUP(A3971,[1]!DadosGHD[CD_GEOCMU],[1]!DadosGHD[Região])</f>
        <v>SD</v>
      </c>
      <c r="D3971" s="4" t="str">
        <f>_xlfn.XLOOKUP(A3971,[1]!DadosGHD[CD_GEOCMU],[1]!DadosGHD[uf])</f>
        <v>SP</v>
      </c>
      <c r="E3971" s="5" t="str">
        <f>_xlfn.XLOOKUP(A3971,[1]!DadosGHD[CD_GEOCMU],[1]!DadosGHD[MUNICIPIO])</f>
        <v>ANHEMBI</v>
      </c>
      <c r="F3971" s="6">
        <v>48.597560882568402</v>
      </c>
      <c r="G3971" s="6">
        <v>43.7440185546875</v>
      </c>
      <c r="H3971" s="6">
        <v>43.785221099853501</v>
      </c>
      <c r="I3971" s="6">
        <v>43.785816192627003</v>
      </c>
      <c r="J3971" s="6">
        <v>43.777767181396499</v>
      </c>
      <c r="K3971" s="6">
        <v>38.889030456542997</v>
      </c>
      <c r="L3971" s="6">
        <v>52.999946594238303</v>
      </c>
    </row>
    <row r="3972" spans="1:12" x14ac:dyDescent="0.25">
      <c r="A3972">
        <v>3519105</v>
      </c>
      <c r="B3972" t="str">
        <f t="shared" ref="B3972:B4035" si="62">_xlfn.CONCAT(E3972, ", ", D3972, ", Brasil")</f>
        <v>IACANGA, SP, Brasil</v>
      </c>
      <c r="C3972" s="4" t="str">
        <f>_xlfn.XLOOKUP(A3972,[1]!DadosGHD[CD_GEOCMU],[1]!DadosGHD[Região])</f>
        <v>SD</v>
      </c>
      <c r="D3972" s="4" t="str">
        <f>_xlfn.XLOOKUP(A3972,[1]!DadosGHD[CD_GEOCMU],[1]!DadosGHD[uf])</f>
        <v>SP</v>
      </c>
      <c r="E3972" s="5" t="str">
        <f>_xlfn.XLOOKUP(A3972,[1]!DadosGHD[CD_GEOCMU],[1]!DadosGHD[MUNICIPIO])</f>
        <v>IACANGA</v>
      </c>
      <c r="F3972" s="6">
        <v>48.5976371765137</v>
      </c>
      <c r="G3972" s="6">
        <v>48.650661468505902</v>
      </c>
      <c r="H3972" s="6">
        <v>48.736179351806598</v>
      </c>
      <c r="I3972" s="6">
        <v>48.7313041687012</v>
      </c>
      <c r="J3972" s="6">
        <v>48.769905090332003</v>
      </c>
      <c r="K3972" s="6">
        <v>48.817924499511697</v>
      </c>
      <c r="L3972" s="6">
        <v>48.514976501464801</v>
      </c>
    </row>
    <row r="3973" spans="1:12" x14ac:dyDescent="0.25">
      <c r="A3973">
        <v>3129905</v>
      </c>
      <c r="B3973" t="str">
        <f t="shared" si="62"/>
        <v>IBITIURA DE MINAS, MG, Brasil</v>
      </c>
      <c r="C3973" s="4" t="str">
        <f>_xlfn.XLOOKUP(A3973,[1]!DadosGHD[CD_GEOCMU],[1]!DadosGHD[Região])</f>
        <v>SD</v>
      </c>
      <c r="D3973" s="4" t="str">
        <f>_xlfn.XLOOKUP(A3973,[1]!DadosGHD[CD_GEOCMU],[1]!DadosGHD[uf])</f>
        <v>MG</v>
      </c>
      <c r="E3973" s="5" t="str">
        <f>_xlfn.XLOOKUP(A3973,[1]!DadosGHD[CD_GEOCMU],[1]!DadosGHD[MUNICIPIO])</f>
        <v>IBITIURA DE MINAS</v>
      </c>
      <c r="F3973" s="6">
        <v>48.597663879394503</v>
      </c>
      <c r="G3973" s="6">
        <v>48.6323432922363</v>
      </c>
      <c r="H3973" s="6">
        <v>43.825950622558601</v>
      </c>
      <c r="I3973" s="6">
        <v>43.788352966308601</v>
      </c>
      <c r="J3973" s="6">
        <v>48.696704864502003</v>
      </c>
      <c r="K3973" s="6">
        <v>53.881534576416001</v>
      </c>
      <c r="L3973" s="6">
        <v>53.042198181152301</v>
      </c>
    </row>
    <row r="3974" spans="1:12" x14ac:dyDescent="0.25">
      <c r="A3974">
        <v>4106852</v>
      </c>
      <c r="B3974" t="str">
        <f t="shared" si="62"/>
        <v>CRUZMALTINA, PR, Brasil</v>
      </c>
      <c r="C3974" s="4" t="str">
        <f>_xlfn.XLOOKUP(A3974,[1]!DadosGHD[CD_GEOCMU],[1]!DadosGHD[Região])</f>
        <v>SL</v>
      </c>
      <c r="D3974" s="4" t="str">
        <f>_xlfn.XLOOKUP(A3974,[1]!DadosGHD[CD_GEOCMU],[1]!DadosGHD[uf])</f>
        <v>PR</v>
      </c>
      <c r="E3974" s="5" t="str">
        <f>_xlfn.XLOOKUP(A3974,[1]!DadosGHD[CD_GEOCMU],[1]!DadosGHD[MUNICIPIO])</f>
        <v>CRUZMALTINA</v>
      </c>
      <c r="F3974" s="6">
        <v>48.597988128662102</v>
      </c>
      <c r="G3974" s="6">
        <v>53.687992095947301</v>
      </c>
      <c r="H3974" s="6">
        <v>53.760715484619098</v>
      </c>
      <c r="I3974" s="6">
        <v>53.727470397949197</v>
      </c>
      <c r="J3974" s="6">
        <v>53.769382476806598</v>
      </c>
      <c r="K3974" s="6">
        <v>59.007907867431598</v>
      </c>
      <c r="L3974" s="6">
        <v>48.514202117919901</v>
      </c>
    </row>
    <row r="3975" spans="1:12" x14ac:dyDescent="0.25">
      <c r="A3975">
        <v>3109303</v>
      </c>
      <c r="B3975" t="str">
        <f t="shared" si="62"/>
        <v>BURITIS, MG, Brasil</v>
      </c>
      <c r="C3975" s="4" t="str">
        <f>_xlfn.XLOOKUP(A3975,[1]!DadosGHD[CD_GEOCMU],[1]!DadosGHD[Região])</f>
        <v>SD</v>
      </c>
      <c r="D3975" s="4" t="str">
        <f>_xlfn.XLOOKUP(A3975,[1]!DadosGHD[CD_GEOCMU],[1]!DadosGHD[uf])</f>
        <v>MG</v>
      </c>
      <c r="E3975" s="5" t="str">
        <f>_xlfn.XLOOKUP(A3975,[1]!DadosGHD[CD_GEOCMU],[1]!DadosGHD[MUNICIPIO])</f>
        <v>BURITIS</v>
      </c>
      <c r="F3975" s="6">
        <v>48.598480224609403</v>
      </c>
      <c r="G3975" s="6">
        <v>48.696453094482401</v>
      </c>
      <c r="H3975" s="6">
        <v>48.767135620117202</v>
      </c>
      <c r="I3975" s="6">
        <v>48.693431854248097</v>
      </c>
      <c r="J3975" s="6">
        <v>48.767539978027301</v>
      </c>
      <c r="K3975" s="6">
        <v>48.853813171386697</v>
      </c>
      <c r="L3975" s="6">
        <v>39.604938507080099</v>
      </c>
    </row>
    <row r="3976" spans="1:12" x14ac:dyDescent="0.25">
      <c r="A3976">
        <v>3511508</v>
      </c>
      <c r="B3976" t="str">
        <f t="shared" si="62"/>
        <v>CERQUILHO, SP, Brasil</v>
      </c>
      <c r="C3976" s="4" t="str">
        <f>_xlfn.XLOOKUP(A3976,[1]!DadosGHD[CD_GEOCMU],[1]!DadosGHD[Região])</f>
        <v>SD</v>
      </c>
      <c r="D3976" s="4" t="str">
        <f>_xlfn.XLOOKUP(A3976,[1]!DadosGHD[CD_GEOCMU],[1]!DadosGHD[uf])</f>
        <v>SP</v>
      </c>
      <c r="E3976" s="5" t="str">
        <f>_xlfn.XLOOKUP(A3976,[1]!DadosGHD[CD_GEOCMU],[1]!DadosGHD[MUNICIPIO])</f>
        <v>CERQUILHO</v>
      </c>
      <c r="F3976" s="6">
        <v>48.5985107421875</v>
      </c>
      <c r="G3976" s="6">
        <v>48.744537353515597</v>
      </c>
      <c r="H3976" s="6">
        <v>53.8689575195313</v>
      </c>
      <c r="I3976" s="6">
        <v>53.825576782226598</v>
      </c>
      <c r="J3976" s="6">
        <v>53.855819702148402</v>
      </c>
      <c r="K3976" s="6">
        <v>53.8553657531738</v>
      </c>
      <c r="L3976" s="6">
        <v>57.573654174804702</v>
      </c>
    </row>
    <row r="3977" spans="1:12" x14ac:dyDescent="0.25">
      <c r="A3977">
        <v>4126272</v>
      </c>
      <c r="B3977" t="str">
        <f t="shared" si="62"/>
        <v>SAUDADE DO IGUACU, PR, Brasil</v>
      </c>
      <c r="C3977" s="4" t="str">
        <f>_xlfn.XLOOKUP(A3977,[1]!DadosGHD[CD_GEOCMU],[1]!DadosGHD[Região])</f>
        <v>SL</v>
      </c>
      <c r="D3977" s="4" t="str">
        <f>_xlfn.XLOOKUP(A3977,[1]!DadosGHD[CD_GEOCMU],[1]!DadosGHD[uf])</f>
        <v>PR</v>
      </c>
      <c r="E3977" s="5" t="str">
        <f>_xlfn.XLOOKUP(A3977,[1]!DadosGHD[CD_GEOCMU],[1]!DadosGHD[MUNICIPIO])</f>
        <v>SAUDADE DO IGUACU</v>
      </c>
      <c r="F3977" s="6">
        <v>48.598518371582003</v>
      </c>
      <c r="G3977" s="6">
        <v>43.724082946777301</v>
      </c>
      <c r="H3977" s="6">
        <v>48.715728759765597</v>
      </c>
      <c r="I3977" s="6">
        <v>48.813491821289098</v>
      </c>
      <c r="J3977" s="6">
        <v>48.723472595214801</v>
      </c>
      <c r="K3977" s="6">
        <v>48.805633544921903</v>
      </c>
      <c r="L3977" s="6">
        <v>44.064048767089801</v>
      </c>
    </row>
    <row r="3978" spans="1:12" x14ac:dyDescent="0.25">
      <c r="A3978">
        <v>3158300</v>
      </c>
      <c r="B3978" t="str">
        <f t="shared" si="62"/>
        <v>SANTANA DA VARGEM, MG, Brasil</v>
      </c>
      <c r="C3978" s="4" t="str">
        <f>_xlfn.XLOOKUP(A3978,[1]!DadosGHD[CD_GEOCMU],[1]!DadosGHD[Região])</f>
        <v>SD</v>
      </c>
      <c r="D3978" s="4" t="str">
        <f>_xlfn.XLOOKUP(A3978,[1]!DadosGHD[CD_GEOCMU],[1]!DadosGHD[uf])</f>
        <v>MG</v>
      </c>
      <c r="E3978" s="5" t="str">
        <f>_xlfn.XLOOKUP(A3978,[1]!DadosGHD[CD_GEOCMU],[1]!DadosGHD[MUNICIPIO])</f>
        <v>SANTANA DA VARGEM</v>
      </c>
      <c r="F3978" s="6">
        <v>48.598644256591797</v>
      </c>
      <c r="G3978" s="6">
        <v>53.720134735107401</v>
      </c>
      <c r="H3978" s="6">
        <v>53.760711669921903</v>
      </c>
      <c r="I3978" s="6">
        <v>48.819934844970703</v>
      </c>
      <c r="J3978" s="6">
        <v>48.748607635498097</v>
      </c>
      <c r="K3978" s="6">
        <v>48.798831939697301</v>
      </c>
      <c r="L3978" s="6">
        <v>44.032463073730497</v>
      </c>
    </row>
    <row r="3979" spans="1:12" x14ac:dyDescent="0.25">
      <c r="A3979">
        <v>3120607</v>
      </c>
      <c r="B3979" t="str">
        <f t="shared" si="62"/>
        <v>CRUCILANDIA, MG, Brasil</v>
      </c>
      <c r="C3979" s="4" t="str">
        <f>_xlfn.XLOOKUP(A3979,[1]!DadosGHD[CD_GEOCMU],[1]!DadosGHD[Região])</f>
        <v>SD</v>
      </c>
      <c r="D3979" s="4" t="str">
        <f>_xlfn.XLOOKUP(A3979,[1]!DadosGHD[CD_GEOCMU],[1]!DadosGHD[uf])</f>
        <v>MG</v>
      </c>
      <c r="E3979" s="5" t="str">
        <f>_xlfn.XLOOKUP(A3979,[1]!DadosGHD[CD_GEOCMU],[1]!DadosGHD[MUNICIPIO])</f>
        <v>CRUCILANDIA</v>
      </c>
      <c r="F3979" s="6">
        <v>48.598655700683601</v>
      </c>
      <c r="G3979" s="6">
        <v>38.758602142333999</v>
      </c>
      <c r="H3979" s="6">
        <v>38.805568695068402</v>
      </c>
      <c r="I3979" s="6">
        <v>38.799533843994098</v>
      </c>
      <c r="J3979" s="6">
        <v>38.833885192871101</v>
      </c>
      <c r="K3979" s="6">
        <v>43.764514923095703</v>
      </c>
      <c r="L3979" s="6">
        <v>35.130733489990199</v>
      </c>
    </row>
    <row r="3980" spans="1:12" x14ac:dyDescent="0.25">
      <c r="A3980">
        <v>5201454</v>
      </c>
      <c r="B3980" t="str">
        <f t="shared" si="62"/>
        <v>APARECIDA DO RIO DOCE, GO, Brasil</v>
      </c>
      <c r="C3980" s="4" t="str">
        <f>_xlfn.XLOOKUP(A3980,[1]!DadosGHD[CD_GEOCMU],[1]!DadosGHD[Região])</f>
        <v>CO</v>
      </c>
      <c r="D3980" s="4" t="str">
        <f>_xlfn.XLOOKUP(A3980,[1]!DadosGHD[CD_GEOCMU],[1]!DadosGHD[uf])</f>
        <v>GO</v>
      </c>
      <c r="E3980" s="5" t="str">
        <f>_xlfn.XLOOKUP(A3980,[1]!DadosGHD[CD_GEOCMU],[1]!DadosGHD[MUNICIPIO])</f>
        <v>APARECIDA DO RIO DOCE</v>
      </c>
      <c r="F3980" s="6">
        <v>48.598690032958999</v>
      </c>
      <c r="G3980" s="6">
        <v>53.745048522949197</v>
      </c>
      <c r="H3980" s="6">
        <v>53.810436248779297</v>
      </c>
      <c r="I3980" s="6">
        <v>53.837978363037102</v>
      </c>
      <c r="J3980" s="6">
        <v>53.899009704589801</v>
      </c>
      <c r="K3980" s="6">
        <v>53.948757171630902</v>
      </c>
      <c r="L3980" s="6">
        <v>44.074489593505902</v>
      </c>
    </row>
    <row r="3981" spans="1:12" x14ac:dyDescent="0.25">
      <c r="A3981">
        <v>3158409</v>
      </c>
      <c r="B3981" t="str">
        <f t="shared" si="62"/>
        <v>SANTANA DE CATAGUASES, MG, Brasil</v>
      </c>
      <c r="C3981" s="4" t="str">
        <f>_xlfn.XLOOKUP(A3981,[1]!DadosGHD[CD_GEOCMU],[1]!DadosGHD[Região])</f>
        <v>SD</v>
      </c>
      <c r="D3981" s="4" t="str">
        <f>_xlfn.XLOOKUP(A3981,[1]!DadosGHD[CD_GEOCMU],[1]!DadosGHD[uf])</f>
        <v>MG</v>
      </c>
      <c r="E3981" s="5" t="str">
        <f>_xlfn.XLOOKUP(A3981,[1]!DadosGHD[CD_GEOCMU],[1]!DadosGHD[MUNICIPIO])</f>
        <v>SANTANA DE CATAGUASES</v>
      </c>
      <c r="F3981" s="6">
        <v>48.598812103271499</v>
      </c>
      <c r="G3981" s="6">
        <v>43.675525665283203</v>
      </c>
      <c r="H3981" s="6">
        <v>43.733230590820298</v>
      </c>
      <c r="I3981" s="6">
        <v>43.692501068115199</v>
      </c>
      <c r="J3981" s="6">
        <v>43.705471038818402</v>
      </c>
      <c r="K3981" s="6">
        <v>38.869194030761697</v>
      </c>
      <c r="L3981" s="6">
        <v>30.7163200378418</v>
      </c>
    </row>
    <row r="3982" spans="1:12" x14ac:dyDescent="0.25">
      <c r="A3982">
        <v>3547908</v>
      </c>
      <c r="B3982" t="str">
        <f t="shared" si="62"/>
        <v>SANTO ANTONIO DA ALEGRIA, SP, Brasil</v>
      </c>
      <c r="C3982" s="4" t="str">
        <f>_xlfn.XLOOKUP(A3982,[1]!DadosGHD[CD_GEOCMU],[1]!DadosGHD[Região])</f>
        <v>SD</v>
      </c>
      <c r="D3982" s="4" t="str">
        <f>_xlfn.XLOOKUP(A3982,[1]!DadosGHD[CD_GEOCMU],[1]!DadosGHD[uf])</f>
        <v>SP</v>
      </c>
      <c r="E3982" s="5" t="str">
        <f>_xlfn.XLOOKUP(A3982,[1]!DadosGHD[CD_GEOCMU],[1]!DadosGHD[MUNICIPIO])</f>
        <v>SANTO ANTONIO DA ALEGRIA</v>
      </c>
      <c r="F3982" s="6">
        <v>48.599258422851598</v>
      </c>
      <c r="G3982" s="6">
        <v>48.665782928466797</v>
      </c>
      <c r="H3982" s="6">
        <v>48.806793212890597</v>
      </c>
      <c r="I3982" s="6">
        <v>48.803195953369098</v>
      </c>
      <c r="J3982" s="6">
        <v>48.793083190917997</v>
      </c>
      <c r="K3982" s="6">
        <v>48.859470367431598</v>
      </c>
      <c r="L3982" s="6">
        <v>53.021442413330099</v>
      </c>
    </row>
    <row r="3983" spans="1:12" x14ac:dyDescent="0.25">
      <c r="A3983">
        <v>3116605</v>
      </c>
      <c r="B3983" t="str">
        <f t="shared" si="62"/>
        <v>CLAUDIO, MG, Brasil</v>
      </c>
      <c r="C3983" s="4" t="str">
        <f>_xlfn.XLOOKUP(A3983,[1]!DadosGHD[CD_GEOCMU],[1]!DadosGHD[Região])</f>
        <v>SD</v>
      </c>
      <c r="D3983" s="4" t="str">
        <f>_xlfn.XLOOKUP(A3983,[1]!DadosGHD[CD_GEOCMU],[1]!DadosGHD[uf])</f>
        <v>MG</v>
      </c>
      <c r="E3983" s="5" t="str">
        <f>_xlfn.XLOOKUP(A3983,[1]!DadosGHD[CD_GEOCMU],[1]!DadosGHD[MUNICIPIO])</f>
        <v>CLAUDIO</v>
      </c>
      <c r="F3983" s="6">
        <v>48.599315643310597</v>
      </c>
      <c r="G3983" s="6">
        <v>53.697540283203097</v>
      </c>
      <c r="H3983" s="6">
        <v>48.835094451904297</v>
      </c>
      <c r="I3983" s="6">
        <v>48.806194305419901</v>
      </c>
      <c r="J3983" s="6">
        <v>53.747226715087898</v>
      </c>
      <c r="K3983" s="6">
        <v>53.818946838378899</v>
      </c>
      <c r="L3983" s="6">
        <v>53.049404144287102</v>
      </c>
    </row>
    <row r="3984" spans="1:12" x14ac:dyDescent="0.25">
      <c r="A3984">
        <v>3145208</v>
      </c>
      <c r="B3984" t="str">
        <f t="shared" si="62"/>
        <v>NOVA SERRANA, MG, Brasil</v>
      </c>
      <c r="C3984" s="4" t="str">
        <f>_xlfn.XLOOKUP(A3984,[1]!DadosGHD[CD_GEOCMU],[1]!DadosGHD[Região])</f>
        <v>SD</v>
      </c>
      <c r="D3984" s="4" t="str">
        <f>_xlfn.XLOOKUP(A3984,[1]!DadosGHD[CD_GEOCMU],[1]!DadosGHD[uf])</f>
        <v>MG</v>
      </c>
      <c r="E3984" s="5" t="str">
        <f>_xlfn.XLOOKUP(A3984,[1]!DadosGHD[CD_GEOCMU],[1]!DadosGHD[MUNICIPIO])</f>
        <v>NOVA SERRANA</v>
      </c>
      <c r="F3984" s="6">
        <v>48.599422454833999</v>
      </c>
      <c r="G3984" s="6">
        <v>48.733749389648402</v>
      </c>
      <c r="H3984" s="6">
        <v>48.781166076660199</v>
      </c>
      <c r="I3984" s="6">
        <v>48.7862358093262</v>
      </c>
      <c r="J3984" s="6">
        <v>48.830554962158203</v>
      </c>
      <c r="K3984" s="6">
        <v>48.873470306396499</v>
      </c>
      <c r="L3984" s="6">
        <v>53.014312744140597</v>
      </c>
    </row>
    <row r="3985" spans="1:12" x14ac:dyDescent="0.25">
      <c r="A3985">
        <v>3117108</v>
      </c>
      <c r="B3985" t="str">
        <f t="shared" si="62"/>
        <v>CONCEICAO DA APARECIDA, MG, Brasil</v>
      </c>
      <c r="C3985" s="4" t="str">
        <f>_xlfn.XLOOKUP(A3985,[1]!DadosGHD[CD_GEOCMU],[1]!DadosGHD[Região])</f>
        <v>SD</v>
      </c>
      <c r="D3985" s="4" t="str">
        <f>_xlfn.XLOOKUP(A3985,[1]!DadosGHD[CD_GEOCMU],[1]!DadosGHD[uf])</f>
        <v>MG</v>
      </c>
      <c r="E3985" s="5" t="str">
        <f>_xlfn.XLOOKUP(A3985,[1]!DadosGHD[CD_GEOCMU],[1]!DadosGHD[MUNICIPIO])</f>
        <v>CONCEICAO DA APARECIDA</v>
      </c>
      <c r="F3985" s="6">
        <v>48.599464416503899</v>
      </c>
      <c r="G3985" s="6">
        <v>48.709072113037102</v>
      </c>
      <c r="H3985" s="6">
        <v>53.748996734619098</v>
      </c>
      <c r="I3985" s="6">
        <v>53.758235931396499</v>
      </c>
      <c r="J3985" s="6">
        <v>53.805339813232401</v>
      </c>
      <c r="K3985" s="6">
        <v>53.898574829101598</v>
      </c>
      <c r="L3985" s="6">
        <v>44.058528900146499</v>
      </c>
    </row>
    <row r="3986" spans="1:12" x14ac:dyDescent="0.25">
      <c r="A3986">
        <v>3166907</v>
      </c>
      <c r="B3986" t="str">
        <f t="shared" si="62"/>
        <v>SERRANIA, MG, Brasil</v>
      </c>
      <c r="C3986" s="4" t="str">
        <f>_xlfn.XLOOKUP(A3986,[1]!DadosGHD[CD_GEOCMU],[1]!DadosGHD[Região])</f>
        <v>SD</v>
      </c>
      <c r="D3986" s="4" t="str">
        <f>_xlfn.XLOOKUP(A3986,[1]!DadosGHD[CD_GEOCMU],[1]!DadosGHD[uf])</f>
        <v>MG</v>
      </c>
      <c r="E3986" s="5" t="str">
        <f>_xlfn.XLOOKUP(A3986,[1]!DadosGHD[CD_GEOCMU],[1]!DadosGHD[MUNICIPIO])</f>
        <v>SERRANIA</v>
      </c>
      <c r="F3986" s="6">
        <v>48.599533081054702</v>
      </c>
      <c r="G3986" s="6">
        <v>48.6976509094238</v>
      </c>
      <c r="H3986" s="6">
        <v>48.757835388183601</v>
      </c>
      <c r="I3986" s="6">
        <v>48.748935699462898</v>
      </c>
      <c r="J3986" s="6">
        <v>53.744617462158203</v>
      </c>
      <c r="K3986" s="6">
        <v>48.905078887939503</v>
      </c>
      <c r="L3986" s="6">
        <v>53.004371643066399</v>
      </c>
    </row>
    <row r="3987" spans="1:12" x14ac:dyDescent="0.25">
      <c r="A3987">
        <v>3504602</v>
      </c>
      <c r="B3987" t="str">
        <f t="shared" si="62"/>
        <v>BADY BASSITT, SP, Brasil</v>
      </c>
      <c r="C3987" s="4" t="str">
        <f>_xlfn.XLOOKUP(A3987,[1]!DadosGHD[CD_GEOCMU],[1]!DadosGHD[Região])</f>
        <v>SD</v>
      </c>
      <c r="D3987" s="4" t="str">
        <f>_xlfn.XLOOKUP(A3987,[1]!DadosGHD[CD_GEOCMU],[1]!DadosGHD[uf])</f>
        <v>SP</v>
      </c>
      <c r="E3987" s="5" t="str">
        <f>_xlfn.XLOOKUP(A3987,[1]!DadosGHD[CD_GEOCMU],[1]!DadosGHD[MUNICIPIO])</f>
        <v>BADY BASSITT</v>
      </c>
      <c r="F3987" s="6">
        <v>48.599742889404297</v>
      </c>
      <c r="G3987" s="6">
        <v>48.712501525878899</v>
      </c>
      <c r="H3987" s="6">
        <v>48.813953399658203</v>
      </c>
      <c r="I3987" s="6">
        <v>48.793060302734403</v>
      </c>
      <c r="J3987" s="6">
        <v>48.8372192382813</v>
      </c>
      <c r="K3987" s="6">
        <v>43.828868865966797</v>
      </c>
      <c r="L3987" s="6">
        <v>48.556076049804702</v>
      </c>
    </row>
    <row r="3988" spans="1:12" x14ac:dyDescent="0.25">
      <c r="A3988">
        <v>5205703</v>
      </c>
      <c r="B3988" t="str">
        <f t="shared" si="62"/>
        <v>CORREGO DO OURO, GO, Brasil</v>
      </c>
      <c r="C3988" s="4" t="str">
        <f>_xlfn.XLOOKUP(A3988,[1]!DadosGHD[CD_GEOCMU],[1]!DadosGHD[Região])</f>
        <v>CO</v>
      </c>
      <c r="D3988" s="4" t="str">
        <f>_xlfn.XLOOKUP(A3988,[1]!DadosGHD[CD_GEOCMU],[1]!DadosGHD[uf])</f>
        <v>GO</v>
      </c>
      <c r="E3988" s="5" t="str">
        <f>_xlfn.XLOOKUP(A3988,[1]!DadosGHD[CD_GEOCMU],[1]!DadosGHD[MUNICIPIO])</f>
        <v>CORREGO DO OURO</v>
      </c>
      <c r="F3988" s="6">
        <v>48.599998474121101</v>
      </c>
      <c r="G3988" s="6">
        <v>43.715129852294901</v>
      </c>
      <c r="H3988" s="6">
        <v>48.828807830810597</v>
      </c>
      <c r="I3988" s="6">
        <v>53.782882690429702</v>
      </c>
      <c r="J3988" s="6">
        <v>53.823734283447301</v>
      </c>
      <c r="K3988" s="6">
        <v>48.884395599365199</v>
      </c>
      <c r="L3988" s="6">
        <v>44.0419731140137</v>
      </c>
    </row>
    <row r="3989" spans="1:12" x14ac:dyDescent="0.25">
      <c r="A3989">
        <v>4321667</v>
      </c>
      <c r="B3989" t="str">
        <f t="shared" si="62"/>
        <v>TRES CACHOEIRAS, RS, Brasil</v>
      </c>
      <c r="C3989" s="4" t="str">
        <f>_xlfn.XLOOKUP(A3989,[1]!DadosGHD[CD_GEOCMU],[1]!DadosGHD[Região])</f>
        <v>SL</v>
      </c>
      <c r="D3989" s="4" t="str">
        <f>_xlfn.XLOOKUP(A3989,[1]!DadosGHD[CD_GEOCMU],[1]!DadosGHD[uf])</f>
        <v>RS</v>
      </c>
      <c r="E3989" s="5" t="str">
        <f>_xlfn.XLOOKUP(A3989,[1]!DadosGHD[CD_GEOCMU],[1]!DadosGHD[MUNICIPIO])</f>
        <v>TRES CACHOEIRAS</v>
      </c>
      <c r="F3989" s="6">
        <v>48.600055694580099</v>
      </c>
      <c r="G3989" s="6">
        <v>48.700927734375</v>
      </c>
      <c r="H3989" s="6">
        <v>48.840732574462898</v>
      </c>
      <c r="I3989" s="6">
        <v>48.809444427490199</v>
      </c>
      <c r="J3989" s="6">
        <v>53.865840911865199</v>
      </c>
      <c r="K3989" s="6">
        <v>58.910354614257798</v>
      </c>
      <c r="L3989" s="6">
        <v>48.522869110107401</v>
      </c>
    </row>
    <row r="3990" spans="1:12" x14ac:dyDescent="0.25">
      <c r="A3990">
        <v>3557006</v>
      </c>
      <c r="B3990" t="str">
        <f t="shared" si="62"/>
        <v>VOTORANTIM, SP, Brasil</v>
      </c>
      <c r="C3990" s="4" t="str">
        <f>_xlfn.XLOOKUP(A3990,[1]!DadosGHD[CD_GEOCMU],[1]!DadosGHD[Região])</f>
        <v>SD</v>
      </c>
      <c r="D3990" s="4" t="str">
        <f>_xlfn.XLOOKUP(A3990,[1]!DadosGHD[CD_GEOCMU],[1]!DadosGHD[uf])</f>
        <v>SP</v>
      </c>
      <c r="E3990" s="5" t="str">
        <f>_xlfn.XLOOKUP(A3990,[1]!DadosGHD[CD_GEOCMU],[1]!DadosGHD[MUNICIPIO])</f>
        <v>VOTORANTIM</v>
      </c>
      <c r="F3990" s="6">
        <v>48.600059509277301</v>
      </c>
      <c r="G3990" s="6">
        <v>48.730598449707003</v>
      </c>
      <c r="H3990" s="6">
        <v>48.799102783203097</v>
      </c>
      <c r="I3990" s="6">
        <v>48.757888793945298</v>
      </c>
      <c r="J3990" s="6">
        <v>48.771919250488303</v>
      </c>
      <c r="K3990" s="6">
        <v>53.826675415039098</v>
      </c>
      <c r="L3990" s="6">
        <v>53.006992340087898</v>
      </c>
    </row>
    <row r="3991" spans="1:12" x14ac:dyDescent="0.25">
      <c r="A3991">
        <v>4120705</v>
      </c>
      <c r="B3991" t="str">
        <f t="shared" si="62"/>
        <v>QUATIGUA, PR, Brasil</v>
      </c>
      <c r="C3991" s="4" t="str">
        <f>_xlfn.XLOOKUP(A3991,[1]!DadosGHD[CD_GEOCMU],[1]!DadosGHD[Região])</f>
        <v>SL</v>
      </c>
      <c r="D3991" s="4" t="str">
        <f>_xlfn.XLOOKUP(A3991,[1]!DadosGHD[CD_GEOCMU],[1]!DadosGHD[uf])</f>
        <v>PR</v>
      </c>
      <c r="E3991" s="5" t="str">
        <f>_xlfn.XLOOKUP(A3991,[1]!DadosGHD[CD_GEOCMU],[1]!DadosGHD[MUNICIPIO])</f>
        <v>QUATIGUA</v>
      </c>
      <c r="F3991" s="6">
        <v>48.600624084472699</v>
      </c>
      <c r="G3991" s="6">
        <v>48.732021331787102</v>
      </c>
      <c r="H3991" s="6">
        <v>48.810764312744098</v>
      </c>
      <c r="I3991" s="6">
        <v>53.7237739562988</v>
      </c>
      <c r="J3991" s="6">
        <v>48.837329864502003</v>
      </c>
      <c r="K3991" s="6">
        <v>48.867961883544901</v>
      </c>
      <c r="L3991" s="6">
        <v>39.610061645507798</v>
      </c>
    </row>
    <row r="3992" spans="1:12" x14ac:dyDescent="0.25">
      <c r="A3992">
        <v>3118007</v>
      </c>
      <c r="B3992" t="str">
        <f t="shared" si="62"/>
        <v>CONGONHAS, MG, Brasil</v>
      </c>
      <c r="C3992" s="4" t="str">
        <f>_xlfn.XLOOKUP(A3992,[1]!DadosGHD[CD_GEOCMU],[1]!DadosGHD[Região])</f>
        <v>SD</v>
      </c>
      <c r="D3992" s="4" t="str">
        <f>_xlfn.XLOOKUP(A3992,[1]!DadosGHD[CD_GEOCMU],[1]!DadosGHD[uf])</f>
        <v>MG</v>
      </c>
      <c r="E3992" s="5" t="str">
        <f>_xlfn.XLOOKUP(A3992,[1]!DadosGHD[CD_GEOCMU],[1]!DadosGHD[MUNICIPIO])</f>
        <v>CONGONHAS</v>
      </c>
      <c r="F3992" s="6">
        <v>48.600925445556598</v>
      </c>
      <c r="G3992" s="6">
        <v>43.765636444091797</v>
      </c>
      <c r="H3992" s="6">
        <v>43.797225952148402</v>
      </c>
      <c r="I3992" s="6">
        <v>48.820075988769503</v>
      </c>
      <c r="J3992" s="6">
        <v>53.852573394775398</v>
      </c>
      <c r="K3992" s="6">
        <v>53.843692779541001</v>
      </c>
      <c r="L3992" s="6">
        <v>53.035392761230497</v>
      </c>
    </row>
    <row r="3993" spans="1:12" x14ac:dyDescent="0.25">
      <c r="A3993">
        <v>3137700</v>
      </c>
      <c r="B3993" t="str">
        <f t="shared" si="62"/>
        <v>LAJINHA, MG, Brasil</v>
      </c>
      <c r="C3993" s="4" t="str">
        <f>_xlfn.XLOOKUP(A3993,[1]!DadosGHD[CD_GEOCMU],[1]!DadosGHD[Região])</f>
        <v>SD</v>
      </c>
      <c r="D3993" s="4" t="str">
        <f>_xlfn.XLOOKUP(A3993,[1]!DadosGHD[CD_GEOCMU],[1]!DadosGHD[uf])</f>
        <v>MG</v>
      </c>
      <c r="E3993" s="5" t="str">
        <f>_xlfn.XLOOKUP(A3993,[1]!DadosGHD[CD_GEOCMU],[1]!DadosGHD[MUNICIPIO])</f>
        <v>LAJINHA</v>
      </c>
      <c r="F3993" s="6">
        <v>48.601020812988303</v>
      </c>
      <c r="G3993" s="6">
        <v>43.751884460449197</v>
      </c>
      <c r="H3993" s="6">
        <v>43.820384979248097</v>
      </c>
      <c r="I3993" s="6">
        <v>43.7890815734863</v>
      </c>
      <c r="J3993" s="6">
        <v>43.728672027587898</v>
      </c>
      <c r="K3993" s="6">
        <v>43.789356231689503</v>
      </c>
      <c r="L3993" s="6">
        <v>35.1391792297363</v>
      </c>
    </row>
    <row r="3994" spans="1:12" x14ac:dyDescent="0.25">
      <c r="A3994">
        <v>3137601</v>
      </c>
      <c r="B3994" t="str">
        <f t="shared" si="62"/>
        <v>LAGOA SANTA, MG, Brasil</v>
      </c>
      <c r="C3994" s="4" t="str">
        <f>_xlfn.XLOOKUP(A3994,[1]!DadosGHD[CD_GEOCMU],[1]!DadosGHD[Região])</f>
        <v>SD</v>
      </c>
      <c r="D3994" s="4" t="str">
        <f>_xlfn.XLOOKUP(A3994,[1]!DadosGHD[CD_GEOCMU],[1]!DadosGHD[uf])</f>
        <v>MG</v>
      </c>
      <c r="E3994" s="5" t="str">
        <f>_xlfn.XLOOKUP(A3994,[1]!DadosGHD[CD_GEOCMU],[1]!DadosGHD[MUNICIPIO])</f>
        <v>LAGOA SANTA</v>
      </c>
      <c r="F3994" s="6">
        <v>48.601081848144503</v>
      </c>
      <c r="G3994" s="6">
        <v>48.682136535644503</v>
      </c>
      <c r="H3994" s="6">
        <v>48.741645812988303</v>
      </c>
      <c r="I3994" s="6">
        <v>48.7049751281738</v>
      </c>
      <c r="J3994" s="6">
        <v>48.730766296386697</v>
      </c>
      <c r="K3994" s="6">
        <v>48.855098724365199</v>
      </c>
      <c r="L3994" s="6">
        <v>53.010391235351598</v>
      </c>
    </row>
    <row r="3995" spans="1:12" x14ac:dyDescent="0.25">
      <c r="A3995">
        <v>5216007</v>
      </c>
      <c r="B3995" t="str">
        <f t="shared" si="62"/>
        <v>PANAMA, GO, Brasil</v>
      </c>
      <c r="C3995" s="4" t="str">
        <f>_xlfn.XLOOKUP(A3995,[1]!DadosGHD[CD_GEOCMU],[1]!DadosGHD[Região])</f>
        <v>CO</v>
      </c>
      <c r="D3995" s="4" t="str">
        <f>_xlfn.XLOOKUP(A3995,[1]!DadosGHD[CD_GEOCMU],[1]!DadosGHD[uf])</f>
        <v>GO</v>
      </c>
      <c r="E3995" s="5" t="str">
        <f>_xlfn.XLOOKUP(A3995,[1]!DadosGHD[CD_GEOCMU],[1]!DadosGHD[MUNICIPIO])</f>
        <v>PANAMA</v>
      </c>
      <c r="F3995" s="6">
        <v>48.601089477539098</v>
      </c>
      <c r="G3995" s="6">
        <v>53.738094329833999</v>
      </c>
      <c r="H3995" s="6">
        <v>53.785614013671903</v>
      </c>
      <c r="I3995" s="6">
        <v>53.815868377685597</v>
      </c>
      <c r="J3995" s="6">
        <v>53.888149261474602</v>
      </c>
      <c r="K3995" s="6">
        <v>53.920726776123097</v>
      </c>
      <c r="L3995" s="6">
        <v>44.068893432617202</v>
      </c>
    </row>
    <row r="3996" spans="1:12" x14ac:dyDescent="0.25">
      <c r="A3996">
        <v>4206702</v>
      </c>
      <c r="B3996" t="str">
        <f t="shared" si="62"/>
        <v>HERVAL D'OESTE, SC, Brasil</v>
      </c>
      <c r="C3996" s="4" t="str">
        <f>_xlfn.XLOOKUP(A3996,[1]!DadosGHD[CD_GEOCMU],[1]!DadosGHD[Região])</f>
        <v>SL</v>
      </c>
      <c r="D3996" s="4" t="str">
        <f>_xlfn.XLOOKUP(A3996,[1]!DadosGHD[CD_GEOCMU],[1]!DadosGHD[uf])</f>
        <v>SC</v>
      </c>
      <c r="E3996" s="5" t="str">
        <f>_xlfn.XLOOKUP(A3996,[1]!DadosGHD[CD_GEOCMU],[1]!DadosGHD[MUNICIPIO])</f>
        <v>HERVAL D'OESTE</v>
      </c>
      <c r="F3996" s="6">
        <v>48.601150512695298</v>
      </c>
      <c r="G3996" s="6">
        <v>48.753700256347699</v>
      </c>
      <c r="H3996" s="6">
        <v>48.7986030578613</v>
      </c>
      <c r="I3996" s="6">
        <v>53.744613647460902</v>
      </c>
      <c r="J3996" s="6">
        <v>53.764312744140597</v>
      </c>
      <c r="K3996" s="6">
        <v>53.880489349365199</v>
      </c>
      <c r="L3996" s="6">
        <v>53.032337188720703</v>
      </c>
    </row>
    <row r="3997" spans="1:12" x14ac:dyDescent="0.25">
      <c r="A3997">
        <v>4125803</v>
      </c>
      <c r="B3997" t="str">
        <f t="shared" si="62"/>
        <v>SAO PEDRO DO IVAI, PR, Brasil</v>
      </c>
      <c r="C3997" s="4" t="str">
        <f>_xlfn.XLOOKUP(A3997,[1]!DadosGHD[CD_GEOCMU],[1]!DadosGHD[Região])</f>
        <v>SL</v>
      </c>
      <c r="D3997" s="4" t="str">
        <f>_xlfn.XLOOKUP(A3997,[1]!DadosGHD[CD_GEOCMU],[1]!DadosGHD[uf])</f>
        <v>PR</v>
      </c>
      <c r="E3997" s="5" t="str">
        <f>_xlfn.XLOOKUP(A3997,[1]!DadosGHD[CD_GEOCMU],[1]!DadosGHD[MUNICIPIO])</f>
        <v>SAO PEDRO DO IVAI</v>
      </c>
      <c r="F3997" s="6">
        <v>48.601367950439503</v>
      </c>
      <c r="G3997" s="6">
        <v>48.706729888916001</v>
      </c>
      <c r="H3997" s="6">
        <v>48.807289123535199</v>
      </c>
      <c r="I3997" s="6">
        <v>53.739925384521499</v>
      </c>
      <c r="J3997" s="6">
        <v>53.7367973327637</v>
      </c>
      <c r="K3997" s="6">
        <v>53.846427917480497</v>
      </c>
      <c r="L3997" s="6">
        <v>52.994472503662102</v>
      </c>
    </row>
    <row r="3998" spans="1:12" x14ac:dyDescent="0.25">
      <c r="A3998">
        <v>4113205</v>
      </c>
      <c r="B3998" t="str">
        <f t="shared" si="62"/>
        <v>LAPA, PR, Brasil</v>
      </c>
      <c r="C3998" s="4" t="str">
        <f>_xlfn.XLOOKUP(A3998,[1]!DadosGHD[CD_GEOCMU],[1]!DadosGHD[Região])</f>
        <v>SL</v>
      </c>
      <c r="D3998" s="4" t="str">
        <f>_xlfn.XLOOKUP(A3998,[1]!DadosGHD[CD_GEOCMU],[1]!DadosGHD[uf])</f>
        <v>PR</v>
      </c>
      <c r="E3998" s="5" t="str">
        <f>_xlfn.XLOOKUP(A3998,[1]!DadosGHD[CD_GEOCMU],[1]!DadosGHD[MUNICIPIO])</f>
        <v>LAPA</v>
      </c>
      <c r="F3998" s="6">
        <v>48.601692199707003</v>
      </c>
      <c r="G3998" s="6">
        <v>48.680183410644503</v>
      </c>
      <c r="H3998" s="6">
        <v>48.755714416503899</v>
      </c>
      <c r="I3998" s="6">
        <v>48.742660522460902</v>
      </c>
      <c r="J3998" s="6">
        <v>48.768241882324197</v>
      </c>
      <c r="K3998" s="6">
        <v>48.814811706542997</v>
      </c>
      <c r="L3998" s="6">
        <v>44.076606750488303</v>
      </c>
    </row>
    <row r="3999" spans="1:12" x14ac:dyDescent="0.25">
      <c r="A3999">
        <v>4201901</v>
      </c>
      <c r="B3999" t="str">
        <f t="shared" si="62"/>
        <v>AURORA, SC, Brasil</v>
      </c>
      <c r="C3999" s="4" t="str">
        <f>_xlfn.XLOOKUP(A3999,[1]!DadosGHD[CD_GEOCMU],[1]!DadosGHD[Região])</f>
        <v>SL</v>
      </c>
      <c r="D3999" s="4" t="str">
        <f>_xlfn.XLOOKUP(A3999,[1]!DadosGHD[CD_GEOCMU],[1]!DadosGHD[uf])</f>
        <v>SC</v>
      </c>
      <c r="E3999" s="5" t="str">
        <f>_xlfn.XLOOKUP(A3999,[1]!DadosGHD[CD_GEOCMU],[1]!DadosGHD[MUNICIPIO])</f>
        <v>AURORA</v>
      </c>
      <c r="F3999" s="6">
        <v>48.601760864257798</v>
      </c>
      <c r="G3999" s="6">
        <v>53.819717407226598</v>
      </c>
      <c r="H3999" s="6">
        <v>53.757431030273402</v>
      </c>
      <c r="I3999" s="6">
        <v>53.731021881103501</v>
      </c>
      <c r="J3999" s="6">
        <v>58.8727416992188</v>
      </c>
      <c r="K3999" s="6">
        <v>59.1373291015625</v>
      </c>
      <c r="L3999" s="6">
        <v>53.026523590087898</v>
      </c>
    </row>
    <row r="4000" spans="1:12" x14ac:dyDescent="0.25">
      <c r="A4000">
        <v>4116505</v>
      </c>
      <c r="B4000" t="str">
        <f t="shared" si="62"/>
        <v>NOVA ALIANCA DO IVAI, PR, Brasil</v>
      </c>
      <c r="C4000" s="4" t="str">
        <f>_xlfn.XLOOKUP(A4000,[1]!DadosGHD[CD_GEOCMU],[1]!DadosGHD[Região])</f>
        <v>SL</v>
      </c>
      <c r="D4000" s="4" t="str">
        <f>_xlfn.XLOOKUP(A4000,[1]!DadosGHD[CD_GEOCMU],[1]!DadosGHD[uf])</f>
        <v>PR</v>
      </c>
      <c r="E4000" s="5" t="str">
        <f>_xlfn.XLOOKUP(A4000,[1]!DadosGHD[CD_GEOCMU],[1]!DadosGHD[MUNICIPIO])</f>
        <v>NOVA ALIANCA DO IVAI</v>
      </c>
      <c r="F4000" s="6">
        <v>48.601818084716797</v>
      </c>
      <c r="G4000" s="6">
        <v>28.913108825683601</v>
      </c>
      <c r="H4000" s="6">
        <v>28.9453945159912</v>
      </c>
      <c r="I4000" s="6">
        <v>28.925552368164102</v>
      </c>
      <c r="J4000" s="6">
        <v>28.943109512329102</v>
      </c>
      <c r="K4000" s="6">
        <v>28.970293045043899</v>
      </c>
      <c r="L4000" s="6">
        <v>30.685543060302699</v>
      </c>
    </row>
    <row r="4001" spans="1:12" x14ac:dyDescent="0.25">
      <c r="A4001">
        <v>4320800</v>
      </c>
      <c r="B4001" t="str">
        <f t="shared" si="62"/>
        <v>SOLEDADE, RS, Brasil</v>
      </c>
      <c r="C4001" s="4" t="str">
        <f>_xlfn.XLOOKUP(A4001,[1]!DadosGHD[CD_GEOCMU],[1]!DadosGHD[Região])</f>
        <v>SL</v>
      </c>
      <c r="D4001" s="4" t="str">
        <f>_xlfn.XLOOKUP(A4001,[1]!DadosGHD[CD_GEOCMU],[1]!DadosGHD[uf])</f>
        <v>RS</v>
      </c>
      <c r="E4001" s="5" t="str">
        <f>_xlfn.XLOOKUP(A4001,[1]!DadosGHD[CD_GEOCMU],[1]!DadosGHD[MUNICIPIO])</f>
        <v>SOLEDADE</v>
      </c>
      <c r="F4001" s="6">
        <v>48.601886749267599</v>
      </c>
      <c r="G4001" s="6">
        <v>48.737140655517599</v>
      </c>
      <c r="H4001" s="6">
        <v>48.844211578369098</v>
      </c>
      <c r="I4001" s="6">
        <v>53.840526580810597</v>
      </c>
      <c r="J4001" s="6">
        <v>58.828567504882798</v>
      </c>
      <c r="K4001" s="6">
        <v>53.988143920898402</v>
      </c>
      <c r="L4001" s="6">
        <v>57.506443023681598</v>
      </c>
    </row>
    <row r="4002" spans="1:12" x14ac:dyDescent="0.25">
      <c r="A4002">
        <v>3205176</v>
      </c>
      <c r="B4002" t="str">
        <f t="shared" si="62"/>
        <v>VILA VALERIO, ES, Brasil</v>
      </c>
      <c r="C4002" s="4" t="str">
        <f>_xlfn.XLOOKUP(A4002,[1]!DadosGHD[CD_GEOCMU],[1]!DadosGHD[Região])</f>
        <v>SD</v>
      </c>
      <c r="D4002" s="4" t="str">
        <f>_xlfn.XLOOKUP(A4002,[1]!DadosGHD[CD_GEOCMU],[1]!DadosGHD[uf])</f>
        <v>ES</v>
      </c>
      <c r="E4002" s="5" t="str">
        <f>_xlfn.XLOOKUP(A4002,[1]!DadosGHD[CD_GEOCMU],[1]!DadosGHD[MUNICIPIO])</f>
        <v>VILA VALERIO</v>
      </c>
      <c r="F4002" s="6">
        <v>48.601932525634801</v>
      </c>
      <c r="G4002" s="6">
        <v>48.711616516113303</v>
      </c>
      <c r="H4002" s="6">
        <v>48.802013397216797</v>
      </c>
      <c r="I4002" s="6">
        <v>48.776771545410199</v>
      </c>
      <c r="J4002" s="6">
        <v>48.779289245605497</v>
      </c>
      <c r="K4002" s="6">
        <v>48.779094696044901</v>
      </c>
      <c r="L4002" s="6">
        <v>35.138317108154297</v>
      </c>
    </row>
    <row r="4003" spans="1:12" x14ac:dyDescent="0.25">
      <c r="A4003">
        <v>5203939</v>
      </c>
      <c r="B4003" t="str">
        <f t="shared" si="62"/>
        <v>BURITI DE GOIAS, GO, Brasil</v>
      </c>
      <c r="C4003" s="4" t="str">
        <f>_xlfn.XLOOKUP(A4003,[1]!DadosGHD[CD_GEOCMU],[1]!DadosGHD[Região])</f>
        <v>CO</v>
      </c>
      <c r="D4003" s="4" t="str">
        <f>_xlfn.XLOOKUP(A4003,[1]!DadosGHD[CD_GEOCMU],[1]!DadosGHD[uf])</f>
        <v>GO</v>
      </c>
      <c r="E4003" s="5" t="str">
        <f>_xlfn.XLOOKUP(A4003,[1]!DadosGHD[CD_GEOCMU],[1]!DadosGHD[MUNICIPIO])</f>
        <v>BURITI DE GOIAS</v>
      </c>
      <c r="F4003" s="6">
        <v>48.602108001708999</v>
      </c>
      <c r="G4003" s="6">
        <v>43.727996826171903</v>
      </c>
      <c r="H4003" s="6">
        <v>48.757495880127003</v>
      </c>
      <c r="I4003" s="6">
        <v>48.7492866516113</v>
      </c>
      <c r="J4003" s="6">
        <v>48.733642578125</v>
      </c>
      <c r="K4003" s="6">
        <v>43.829387664794901</v>
      </c>
      <c r="L4003" s="6">
        <v>39.5839233398438</v>
      </c>
    </row>
    <row r="4004" spans="1:12" x14ac:dyDescent="0.25">
      <c r="A4004">
        <v>4200309</v>
      </c>
      <c r="B4004" t="str">
        <f t="shared" si="62"/>
        <v>AGRONOMICA, SC, Brasil</v>
      </c>
      <c r="C4004" s="4" t="str">
        <f>_xlfn.XLOOKUP(A4004,[1]!DadosGHD[CD_GEOCMU],[1]!DadosGHD[Região])</f>
        <v>SL</v>
      </c>
      <c r="D4004" s="4" t="str">
        <f>_xlfn.XLOOKUP(A4004,[1]!DadosGHD[CD_GEOCMU],[1]!DadosGHD[uf])</f>
        <v>SC</v>
      </c>
      <c r="E4004" s="5" t="str">
        <f>_xlfn.XLOOKUP(A4004,[1]!DadosGHD[CD_GEOCMU],[1]!DadosGHD[MUNICIPIO])</f>
        <v>AGRONOMICA</v>
      </c>
      <c r="F4004" s="6">
        <v>48.602115631103501</v>
      </c>
      <c r="G4004" s="6">
        <v>53.669681549072301</v>
      </c>
      <c r="H4004" s="6">
        <v>53.7560844421387</v>
      </c>
      <c r="I4004" s="6">
        <v>53.757595062255902</v>
      </c>
      <c r="J4004" s="6">
        <v>58.850513458252003</v>
      </c>
      <c r="K4004" s="6">
        <v>53.943145751953097</v>
      </c>
      <c r="L4004" s="6">
        <v>44.064624786377003</v>
      </c>
    </row>
    <row r="4005" spans="1:12" x14ac:dyDescent="0.25">
      <c r="A4005">
        <v>3113305</v>
      </c>
      <c r="B4005" t="str">
        <f t="shared" si="62"/>
        <v>CARANGOLA, MG, Brasil</v>
      </c>
      <c r="C4005" s="4" t="str">
        <f>_xlfn.XLOOKUP(A4005,[1]!DadosGHD[CD_GEOCMU],[1]!DadosGHD[Região])</f>
        <v>SD</v>
      </c>
      <c r="D4005" s="4" t="str">
        <f>_xlfn.XLOOKUP(A4005,[1]!DadosGHD[CD_GEOCMU],[1]!DadosGHD[uf])</f>
        <v>MG</v>
      </c>
      <c r="E4005" s="5" t="str">
        <f>_xlfn.XLOOKUP(A4005,[1]!DadosGHD[CD_GEOCMU],[1]!DadosGHD[MUNICIPIO])</f>
        <v>CARANGOLA</v>
      </c>
      <c r="F4005" s="6">
        <v>48.602607727050803</v>
      </c>
      <c r="G4005" s="6">
        <v>48.650447845458999</v>
      </c>
      <c r="H4005" s="6">
        <v>48.764812469482401</v>
      </c>
      <c r="I4005" s="6">
        <v>48.730091094970703</v>
      </c>
      <c r="J4005" s="6">
        <v>48.788909912109403</v>
      </c>
      <c r="K4005" s="6">
        <v>48.881015777587898</v>
      </c>
      <c r="L4005" s="6">
        <v>48.520709991455099</v>
      </c>
    </row>
    <row r="4006" spans="1:12" x14ac:dyDescent="0.25">
      <c r="A4006">
        <v>4207809</v>
      </c>
      <c r="B4006" t="str">
        <f t="shared" si="62"/>
        <v>IRANI, SC, Brasil</v>
      </c>
      <c r="C4006" s="4" t="str">
        <f>_xlfn.XLOOKUP(A4006,[1]!DadosGHD[CD_GEOCMU],[1]!DadosGHD[Região])</f>
        <v>SL</v>
      </c>
      <c r="D4006" s="4" t="str">
        <f>_xlfn.XLOOKUP(A4006,[1]!DadosGHD[CD_GEOCMU],[1]!DadosGHD[uf])</f>
        <v>SC</v>
      </c>
      <c r="E4006" s="5" t="str">
        <f>_xlfn.XLOOKUP(A4006,[1]!DadosGHD[CD_GEOCMU],[1]!DadosGHD[MUNICIPIO])</f>
        <v>IRANI</v>
      </c>
      <c r="F4006" s="6">
        <v>48.602657318115199</v>
      </c>
      <c r="G4006" s="6">
        <v>48.699283599853501</v>
      </c>
      <c r="H4006" s="6">
        <v>48.7662353515625</v>
      </c>
      <c r="I4006" s="6">
        <v>48.746822357177699</v>
      </c>
      <c r="J4006" s="6">
        <v>53.8954467773438</v>
      </c>
      <c r="K4006" s="6">
        <v>53.964736938476598</v>
      </c>
      <c r="L4006" s="6">
        <v>53.047042846679702</v>
      </c>
    </row>
    <row r="4007" spans="1:12" x14ac:dyDescent="0.25">
      <c r="A4007">
        <v>3522109</v>
      </c>
      <c r="B4007" t="str">
        <f t="shared" si="62"/>
        <v>ITANHAEM, SP, Brasil</v>
      </c>
      <c r="C4007" s="4" t="str">
        <f>_xlfn.XLOOKUP(A4007,[1]!DadosGHD[CD_GEOCMU],[1]!DadosGHD[Região])</f>
        <v>SD</v>
      </c>
      <c r="D4007" s="4" t="str">
        <f>_xlfn.XLOOKUP(A4007,[1]!DadosGHD[CD_GEOCMU],[1]!DadosGHD[uf])</f>
        <v>SP</v>
      </c>
      <c r="E4007" s="5" t="str">
        <f>_xlfn.XLOOKUP(A4007,[1]!DadosGHD[CD_GEOCMU],[1]!DadosGHD[MUNICIPIO])</f>
        <v>ITANHAEM</v>
      </c>
      <c r="F4007" s="6">
        <v>48.602657318115199</v>
      </c>
      <c r="G4007" s="6">
        <v>48.635040283203097</v>
      </c>
      <c r="H4007" s="6">
        <v>43.768203735351598</v>
      </c>
      <c r="I4007" s="6">
        <v>43.714443206787102</v>
      </c>
      <c r="J4007" s="6">
        <v>48.762966156005902</v>
      </c>
      <c r="K4007" s="6">
        <v>48.881645202636697</v>
      </c>
      <c r="L4007" s="6">
        <v>57.537330627441399</v>
      </c>
    </row>
    <row r="4008" spans="1:12" x14ac:dyDescent="0.25">
      <c r="A4008">
        <v>4127403</v>
      </c>
      <c r="B4008" t="str">
        <f t="shared" si="62"/>
        <v>TERRA ROXA, PR, Brasil</v>
      </c>
      <c r="C4008" s="4" t="str">
        <f>_xlfn.XLOOKUP(A4008,[1]!DadosGHD[CD_GEOCMU],[1]!DadosGHD[Região])</f>
        <v>SL</v>
      </c>
      <c r="D4008" s="4" t="str">
        <f>_xlfn.XLOOKUP(A4008,[1]!DadosGHD[CD_GEOCMU],[1]!DadosGHD[uf])</f>
        <v>PR</v>
      </c>
      <c r="E4008" s="5" t="str">
        <f>_xlfn.XLOOKUP(A4008,[1]!DadosGHD[CD_GEOCMU],[1]!DadosGHD[MUNICIPIO])</f>
        <v>TERRA ROXA</v>
      </c>
      <c r="F4008" s="6">
        <v>48.602748870849602</v>
      </c>
      <c r="G4008" s="6">
        <v>48.703521728515597</v>
      </c>
      <c r="H4008" s="6">
        <v>53.764488220214801</v>
      </c>
      <c r="I4008" s="6">
        <v>53.804523468017599</v>
      </c>
      <c r="J4008" s="6">
        <v>53.87646484375</v>
      </c>
      <c r="K4008" s="6">
        <v>53.926944732666001</v>
      </c>
      <c r="L4008" s="6">
        <v>48.552295684814503</v>
      </c>
    </row>
    <row r="4009" spans="1:12" x14ac:dyDescent="0.25">
      <c r="A4009">
        <v>3202009</v>
      </c>
      <c r="B4009" t="str">
        <f t="shared" si="62"/>
        <v>DORES DO RIO PRETO, ES, Brasil</v>
      </c>
      <c r="C4009" s="4" t="str">
        <f>_xlfn.XLOOKUP(A4009,[1]!DadosGHD[CD_GEOCMU],[1]!DadosGHD[Região])</f>
        <v>SD</v>
      </c>
      <c r="D4009" s="4" t="str">
        <f>_xlfn.XLOOKUP(A4009,[1]!DadosGHD[CD_GEOCMU],[1]!DadosGHD[uf])</f>
        <v>ES</v>
      </c>
      <c r="E4009" s="5" t="str">
        <f>_xlfn.XLOOKUP(A4009,[1]!DadosGHD[CD_GEOCMU],[1]!DadosGHD[MUNICIPIO])</f>
        <v>DORES DO RIO PRETO</v>
      </c>
      <c r="F4009" s="6">
        <v>48.603015899658203</v>
      </c>
      <c r="G4009" s="6">
        <v>43.750862121582003</v>
      </c>
      <c r="H4009" s="6">
        <v>43.758640289306598</v>
      </c>
      <c r="I4009" s="6">
        <v>43.733100891113303</v>
      </c>
      <c r="J4009" s="6">
        <v>48.778507232666001</v>
      </c>
      <c r="K4009" s="6">
        <v>48.893711090087898</v>
      </c>
      <c r="L4009" s="6">
        <v>48.506649017333999</v>
      </c>
    </row>
    <row r="4010" spans="1:12" x14ac:dyDescent="0.25">
      <c r="A4010">
        <v>5218300</v>
      </c>
      <c r="B4010" t="str">
        <f t="shared" si="62"/>
        <v>POSSE, GO, Brasil</v>
      </c>
      <c r="C4010" s="4" t="str">
        <f>_xlfn.XLOOKUP(A4010,[1]!DadosGHD[CD_GEOCMU],[1]!DadosGHD[Região])</f>
        <v>CO</v>
      </c>
      <c r="D4010" s="4" t="str">
        <f>_xlfn.XLOOKUP(A4010,[1]!DadosGHD[CD_GEOCMU],[1]!DadosGHD[uf])</f>
        <v>GO</v>
      </c>
      <c r="E4010" s="5" t="str">
        <f>_xlfn.XLOOKUP(A4010,[1]!DadosGHD[CD_GEOCMU],[1]!DadosGHD[MUNICIPIO])</f>
        <v>POSSE</v>
      </c>
      <c r="F4010" s="6">
        <v>48.603172302246101</v>
      </c>
      <c r="G4010" s="6">
        <v>48.6710205078125</v>
      </c>
      <c r="H4010" s="6">
        <v>48.751274108886697</v>
      </c>
      <c r="I4010" s="6">
        <v>48.702686309814503</v>
      </c>
      <c r="J4010" s="6">
        <v>48.704540252685597</v>
      </c>
      <c r="K4010" s="6">
        <v>48.8031005859375</v>
      </c>
      <c r="L4010" s="6">
        <v>35.1126708984375</v>
      </c>
    </row>
    <row r="4011" spans="1:12" x14ac:dyDescent="0.25">
      <c r="A4011">
        <v>5210000</v>
      </c>
      <c r="B4011" t="str">
        <f t="shared" si="62"/>
        <v>INHUMAS, GO, Brasil</v>
      </c>
      <c r="C4011" s="4" t="str">
        <f>_xlfn.XLOOKUP(A4011,[1]!DadosGHD[CD_GEOCMU],[1]!DadosGHD[Região])</f>
        <v>CO</v>
      </c>
      <c r="D4011" s="4" t="str">
        <f>_xlfn.XLOOKUP(A4011,[1]!DadosGHD[CD_GEOCMU],[1]!DadosGHD[uf])</f>
        <v>GO</v>
      </c>
      <c r="E4011" s="5" t="str">
        <f>_xlfn.XLOOKUP(A4011,[1]!DadosGHD[CD_GEOCMU],[1]!DadosGHD[MUNICIPIO])</f>
        <v>INHUMAS</v>
      </c>
      <c r="F4011" s="6">
        <v>48.603260040283203</v>
      </c>
      <c r="G4011" s="6">
        <v>48.725570678710902</v>
      </c>
      <c r="H4011" s="6">
        <v>48.758907318115199</v>
      </c>
      <c r="I4011" s="6">
        <v>48.712779998779297</v>
      </c>
      <c r="J4011" s="6">
        <v>48.7008666992188</v>
      </c>
      <c r="K4011" s="6">
        <v>43.832283020019503</v>
      </c>
      <c r="L4011" s="6">
        <v>39.609439849853501</v>
      </c>
    </row>
    <row r="4012" spans="1:12" x14ac:dyDescent="0.25">
      <c r="A4012">
        <v>3121308</v>
      </c>
      <c r="B4012" t="str">
        <f t="shared" si="62"/>
        <v>DESCOBERTO, MG, Brasil</v>
      </c>
      <c r="C4012" s="4" t="str">
        <f>_xlfn.XLOOKUP(A4012,[1]!DadosGHD[CD_GEOCMU],[1]!DadosGHD[Região])</f>
        <v>SD</v>
      </c>
      <c r="D4012" s="4" t="str">
        <f>_xlfn.XLOOKUP(A4012,[1]!DadosGHD[CD_GEOCMU],[1]!DadosGHD[uf])</f>
        <v>MG</v>
      </c>
      <c r="E4012" s="5" t="str">
        <f>_xlfn.XLOOKUP(A4012,[1]!DadosGHD[CD_GEOCMU],[1]!DadosGHD[MUNICIPIO])</f>
        <v>DESCOBERTO</v>
      </c>
      <c r="F4012" s="6">
        <v>48.603305816650398</v>
      </c>
      <c r="G4012" s="6">
        <v>43.716323852539098</v>
      </c>
      <c r="H4012" s="6">
        <v>43.778816223144503</v>
      </c>
      <c r="I4012" s="6">
        <v>48.762119293212898</v>
      </c>
      <c r="J4012" s="6">
        <v>48.767692565917997</v>
      </c>
      <c r="K4012" s="6">
        <v>48.773021697998097</v>
      </c>
      <c r="L4012" s="6">
        <v>39.611534118652301</v>
      </c>
    </row>
    <row r="4013" spans="1:12" x14ac:dyDescent="0.25">
      <c r="A4013">
        <v>3202405</v>
      </c>
      <c r="B4013" t="str">
        <f t="shared" si="62"/>
        <v>GUARAPARI, ES, Brasil</v>
      </c>
      <c r="C4013" s="4" t="str">
        <f>_xlfn.XLOOKUP(A4013,[1]!DadosGHD[CD_GEOCMU],[1]!DadosGHD[Região])</f>
        <v>SD</v>
      </c>
      <c r="D4013" s="4" t="str">
        <f>_xlfn.XLOOKUP(A4013,[1]!DadosGHD[CD_GEOCMU],[1]!DadosGHD[uf])</f>
        <v>ES</v>
      </c>
      <c r="E4013" s="5" t="str">
        <f>_xlfn.XLOOKUP(A4013,[1]!DadosGHD[CD_GEOCMU],[1]!DadosGHD[MUNICIPIO])</f>
        <v>GUARAPARI</v>
      </c>
      <c r="F4013" s="6">
        <v>48.604099273681598</v>
      </c>
      <c r="G4013" s="6">
        <v>48.672554016113303</v>
      </c>
      <c r="H4013" s="6">
        <v>48.776596069335902</v>
      </c>
      <c r="I4013" s="6">
        <v>48.738498687744098</v>
      </c>
      <c r="J4013" s="6">
        <v>48.742633819580099</v>
      </c>
      <c r="K4013" s="6">
        <v>48.777450561523402</v>
      </c>
      <c r="L4013" s="6">
        <v>48.5337944030762</v>
      </c>
    </row>
    <row r="4014" spans="1:12" x14ac:dyDescent="0.25">
      <c r="A4014">
        <v>4313375</v>
      </c>
      <c r="B4014" t="str">
        <f t="shared" si="62"/>
        <v>NOVA SANTA RITA, RS, Brasil</v>
      </c>
      <c r="C4014" s="4" t="str">
        <f>_xlfn.XLOOKUP(A4014,[1]!DadosGHD[CD_GEOCMU],[1]!DadosGHD[Região])</f>
        <v>SL</v>
      </c>
      <c r="D4014" s="4" t="str">
        <f>_xlfn.XLOOKUP(A4014,[1]!DadosGHD[CD_GEOCMU],[1]!DadosGHD[uf])</f>
        <v>RS</v>
      </c>
      <c r="E4014" s="5" t="str">
        <f>_xlfn.XLOOKUP(A4014,[1]!DadosGHD[CD_GEOCMU],[1]!DadosGHD[MUNICIPIO])</f>
        <v>NOVA SANTA RITA</v>
      </c>
      <c r="F4014" s="6">
        <v>48.604103088378899</v>
      </c>
      <c r="G4014" s="6">
        <v>48.731754302978501</v>
      </c>
      <c r="H4014" s="6">
        <v>48.739105224609403</v>
      </c>
      <c r="I4014" s="6">
        <v>48.795459747314503</v>
      </c>
      <c r="J4014" s="6">
        <v>48.698650360107401</v>
      </c>
      <c r="K4014" s="6">
        <v>48.800373077392599</v>
      </c>
      <c r="L4014" s="6">
        <v>48.543033599853501</v>
      </c>
    </row>
    <row r="4015" spans="1:12" x14ac:dyDescent="0.25">
      <c r="A4015">
        <v>3554003</v>
      </c>
      <c r="B4015" t="str">
        <f t="shared" si="62"/>
        <v>TATUI, SP, Brasil</v>
      </c>
      <c r="C4015" s="4" t="str">
        <f>_xlfn.XLOOKUP(A4015,[1]!DadosGHD[CD_GEOCMU],[1]!DadosGHD[Região])</f>
        <v>SD</v>
      </c>
      <c r="D4015" s="4" t="str">
        <f>_xlfn.XLOOKUP(A4015,[1]!DadosGHD[CD_GEOCMU],[1]!DadosGHD[uf])</f>
        <v>SP</v>
      </c>
      <c r="E4015" s="5" t="str">
        <f>_xlfn.XLOOKUP(A4015,[1]!DadosGHD[CD_GEOCMU],[1]!DadosGHD[MUNICIPIO])</f>
        <v>TATUI</v>
      </c>
      <c r="F4015" s="6">
        <v>48.604114532470703</v>
      </c>
      <c r="G4015" s="6">
        <v>48.679370880127003</v>
      </c>
      <c r="H4015" s="6">
        <v>43.8268432617188</v>
      </c>
      <c r="I4015" s="6">
        <v>53.750961303710902</v>
      </c>
      <c r="J4015" s="6">
        <v>53.872482299804702</v>
      </c>
      <c r="K4015" s="6">
        <v>53.926887512207003</v>
      </c>
      <c r="L4015" s="6">
        <v>57.5234375</v>
      </c>
    </row>
    <row r="4016" spans="1:12" x14ac:dyDescent="0.25">
      <c r="A4016">
        <v>4107850</v>
      </c>
      <c r="B4016" t="str">
        <f t="shared" si="62"/>
        <v>FLOR DA SERRA DO SUL, PR, Brasil</v>
      </c>
      <c r="C4016" s="4" t="str">
        <f>_xlfn.XLOOKUP(A4016,[1]!DadosGHD[CD_GEOCMU],[1]!DadosGHD[Região])</f>
        <v>SL</v>
      </c>
      <c r="D4016" s="4" t="str">
        <f>_xlfn.XLOOKUP(A4016,[1]!DadosGHD[CD_GEOCMU],[1]!DadosGHD[uf])</f>
        <v>PR</v>
      </c>
      <c r="E4016" s="5" t="str">
        <f>_xlfn.XLOOKUP(A4016,[1]!DadosGHD[CD_GEOCMU],[1]!DadosGHD[MUNICIPIO])</f>
        <v>FLOR DA SERRA DO SUL</v>
      </c>
      <c r="F4016" s="6">
        <v>48.604114532470703</v>
      </c>
      <c r="G4016" s="6">
        <v>48.749942779541001</v>
      </c>
      <c r="H4016" s="6">
        <v>48.807506561279297</v>
      </c>
      <c r="I4016" s="6">
        <v>48.820949554443402</v>
      </c>
      <c r="J4016" s="6">
        <v>53.8596801757813</v>
      </c>
      <c r="K4016" s="6">
        <v>53.8636665344238</v>
      </c>
      <c r="L4016" s="6">
        <v>48.550895690917997</v>
      </c>
    </row>
    <row r="4017" spans="1:12" x14ac:dyDescent="0.25">
      <c r="A4017">
        <v>5006200</v>
      </c>
      <c r="B4017" t="str">
        <f t="shared" si="62"/>
        <v>NOVA ANDRADINA, MS, Brasil</v>
      </c>
      <c r="C4017" s="4" t="str">
        <f>_xlfn.XLOOKUP(A4017,[1]!DadosGHD[CD_GEOCMU],[1]!DadosGHD[Região])</f>
        <v>CO</v>
      </c>
      <c r="D4017" s="4" t="str">
        <f>_xlfn.XLOOKUP(A4017,[1]!DadosGHD[CD_GEOCMU],[1]!DadosGHD[uf])</f>
        <v>MS</v>
      </c>
      <c r="E4017" s="5" t="str">
        <f>_xlfn.XLOOKUP(A4017,[1]!DadosGHD[CD_GEOCMU],[1]!DadosGHD[MUNICIPIO])</f>
        <v>NOVA ANDRADINA</v>
      </c>
      <c r="F4017" s="6">
        <v>48.604179382324197</v>
      </c>
      <c r="G4017" s="6">
        <v>48.713451385498097</v>
      </c>
      <c r="H4017" s="6">
        <v>48.758819580078097</v>
      </c>
      <c r="I4017" s="6">
        <v>48.697757720947301</v>
      </c>
      <c r="J4017" s="6">
        <v>48.761867523193402</v>
      </c>
      <c r="K4017" s="6">
        <v>48.814529418945298</v>
      </c>
      <c r="L4017" s="6">
        <v>44.0205688476563</v>
      </c>
    </row>
    <row r="4018" spans="1:12" x14ac:dyDescent="0.25">
      <c r="A4018">
        <v>4215307</v>
      </c>
      <c r="B4018" t="str">
        <f t="shared" si="62"/>
        <v>SALETE, SC, Brasil</v>
      </c>
      <c r="C4018" s="4" t="str">
        <f>_xlfn.XLOOKUP(A4018,[1]!DadosGHD[CD_GEOCMU],[1]!DadosGHD[Região])</f>
        <v>SL</v>
      </c>
      <c r="D4018" s="4" t="str">
        <f>_xlfn.XLOOKUP(A4018,[1]!DadosGHD[CD_GEOCMU],[1]!DadosGHD[uf])</f>
        <v>SC</v>
      </c>
      <c r="E4018" s="5" t="str">
        <f>_xlfn.XLOOKUP(A4018,[1]!DadosGHD[CD_GEOCMU],[1]!DadosGHD[MUNICIPIO])</f>
        <v>SALETE</v>
      </c>
      <c r="F4018" s="6">
        <v>48.604190826416001</v>
      </c>
      <c r="G4018" s="6">
        <v>48.764438629150398</v>
      </c>
      <c r="H4018" s="6">
        <v>48.824108123779297</v>
      </c>
      <c r="I4018" s="6">
        <v>48.785606384277301</v>
      </c>
      <c r="J4018" s="6">
        <v>53.8153686523438</v>
      </c>
      <c r="K4018" s="6">
        <v>53.941715240478501</v>
      </c>
      <c r="L4018" s="6">
        <v>39.588760375976598</v>
      </c>
    </row>
    <row r="4019" spans="1:12" x14ac:dyDescent="0.25">
      <c r="A4019">
        <v>4116059</v>
      </c>
      <c r="B4019" t="str">
        <f t="shared" si="62"/>
        <v>MISSAL, PR, Brasil</v>
      </c>
      <c r="C4019" s="4" t="str">
        <f>_xlfn.XLOOKUP(A4019,[1]!DadosGHD[CD_GEOCMU],[1]!DadosGHD[Região])</f>
        <v>SL</v>
      </c>
      <c r="D4019" s="4" t="str">
        <f>_xlfn.XLOOKUP(A4019,[1]!DadosGHD[CD_GEOCMU],[1]!DadosGHD[uf])</f>
        <v>PR</v>
      </c>
      <c r="E4019" s="5" t="str">
        <f>_xlfn.XLOOKUP(A4019,[1]!DadosGHD[CD_GEOCMU],[1]!DadosGHD[MUNICIPIO])</f>
        <v>MISSAL</v>
      </c>
      <c r="F4019" s="6">
        <v>48.604194641113303</v>
      </c>
      <c r="G4019" s="6">
        <v>48.766345977783203</v>
      </c>
      <c r="H4019" s="6">
        <v>48.811367034912102</v>
      </c>
      <c r="I4019" s="6">
        <v>48.771369934082003</v>
      </c>
      <c r="J4019" s="6">
        <v>48.750907897949197</v>
      </c>
      <c r="K4019" s="6">
        <v>59.056198120117202</v>
      </c>
      <c r="L4019" s="6">
        <v>53.008468627929702</v>
      </c>
    </row>
    <row r="4020" spans="1:12" x14ac:dyDescent="0.25">
      <c r="A4020">
        <v>4113908</v>
      </c>
      <c r="B4020" t="str">
        <f t="shared" si="62"/>
        <v>MALLET, PR, Brasil</v>
      </c>
      <c r="C4020" s="4" t="str">
        <f>_xlfn.XLOOKUP(A4020,[1]!DadosGHD[CD_GEOCMU],[1]!DadosGHD[Região])</f>
        <v>SL</v>
      </c>
      <c r="D4020" s="4" t="str">
        <f>_xlfn.XLOOKUP(A4020,[1]!DadosGHD[CD_GEOCMU],[1]!DadosGHD[uf])</f>
        <v>PR</v>
      </c>
      <c r="E4020" s="5" t="str">
        <f>_xlfn.XLOOKUP(A4020,[1]!DadosGHD[CD_GEOCMU],[1]!DadosGHD[MUNICIPIO])</f>
        <v>MALLET</v>
      </c>
      <c r="F4020" s="6">
        <v>48.604339599609403</v>
      </c>
      <c r="G4020" s="6">
        <v>53.657806396484403</v>
      </c>
      <c r="H4020" s="6">
        <v>48.839393615722699</v>
      </c>
      <c r="I4020" s="6">
        <v>48.796535491943402</v>
      </c>
      <c r="J4020" s="6">
        <v>48.797348022460902</v>
      </c>
      <c r="K4020" s="6">
        <v>53.852790832519503</v>
      </c>
      <c r="L4020" s="6">
        <v>48.499454498291001</v>
      </c>
    </row>
    <row r="4021" spans="1:12" x14ac:dyDescent="0.25">
      <c r="A4021">
        <v>4207502</v>
      </c>
      <c r="B4021" t="str">
        <f t="shared" si="62"/>
        <v>INDAIAL, SC, Brasil</v>
      </c>
      <c r="C4021" s="4" t="str">
        <f>_xlfn.XLOOKUP(A4021,[1]!DadosGHD[CD_GEOCMU],[1]!DadosGHD[Região])</f>
        <v>SL</v>
      </c>
      <c r="D4021" s="4" t="str">
        <f>_xlfn.XLOOKUP(A4021,[1]!DadosGHD[CD_GEOCMU],[1]!DadosGHD[uf])</f>
        <v>SC</v>
      </c>
      <c r="E4021" s="5" t="str">
        <f>_xlfn.XLOOKUP(A4021,[1]!DadosGHD[CD_GEOCMU],[1]!DadosGHD[MUNICIPIO])</f>
        <v>INDAIAL</v>
      </c>
      <c r="F4021" s="6">
        <v>48.604373931884801</v>
      </c>
      <c r="G4021" s="6">
        <v>48.760665893554702</v>
      </c>
      <c r="H4021" s="6">
        <v>58.832374572753899</v>
      </c>
      <c r="I4021" s="6">
        <v>53.776287078857401</v>
      </c>
      <c r="J4021" s="6">
        <v>53.823463439941399</v>
      </c>
      <c r="K4021" s="6">
        <v>53.895389556884801</v>
      </c>
      <c r="L4021" s="6">
        <v>57.4982299804688</v>
      </c>
    </row>
    <row r="4022" spans="1:12" x14ac:dyDescent="0.25">
      <c r="A4022">
        <v>3114709</v>
      </c>
      <c r="B4022" t="str">
        <f t="shared" si="62"/>
        <v>CARVALHOPOLIS, MG, Brasil</v>
      </c>
      <c r="C4022" s="4" t="str">
        <f>_xlfn.XLOOKUP(A4022,[1]!DadosGHD[CD_GEOCMU],[1]!DadosGHD[Região])</f>
        <v>SD</v>
      </c>
      <c r="D4022" s="4" t="str">
        <f>_xlfn.XLOOKUP(A4022,[1]!DadosGHD[CD_GEOCMU],[1]!DadosGHD[uf])</f>
        <v>MG</v>
      </c>
      <c r="E4022" s="5" t="str">
        <f>_xlfn.XLOOKUP(A4022,[1]!DadosGHD[CD_GEOCMU],[1]!DadosGHD[MUNICIPIO])</f>
        <v>CARVALHOPOLIS</v>
      </c>
      <c r="F4022" s="6">
        <v>48.604469299316399</v>
      </c>
      <c r="G4022" s="6">
        <v>43.751976013183601</v>
      </c>
      <c r="H4022" s="6">
        <v>43.786872863769503</v>
      </c>
      <c r="I4022" s="6">
        <v>48.797149658203097</v>
      </c>
      <c r="J4022" s="6">
        <v>53.863582611083999</v>
      </c>
      <c r="K4022" s="6">
        <v>48.911651611328097</v>
      </c>
      <c r="L4022" s="6">
        <v>48.560123443603501</v>
      </c>
    </row>
    <row r="4023" spans="1:12" x14ac:dyDescent="0.25">
      <c r="A4023">
        <v>3203205</v>
      </c>
      <c r="B4023" t="str">
        <f t="shared" si="62"/>
        <v>LINHARES, ES, Brasil</v>
      </c>
      <c r="C4023" s="4" t="str">
        <f>_xlfn.XLOOKUP(A4023,[1]!DadosGHD[CD_GEOCMU],[1]!DadosGHD[Região])</f>
        <v>SD</v>
      </c>
      <c r="D4023" s="4" t="str">
        <f>_xlfn.XLOOKUP(A4023,[1]!DadosGHD[CD_GEOCMU],[1]!DadosGHD[uf])</f>
        <v>ES</v>
      </c>
      <c r="E4023" s="5" t="str">
        <f>_xlfn.XLOOKUP(A4023,[1]!DadosGHD[CD_GEOCMU],[1]!DadosGHD[MUNICIPIO])</f>
        <v>LINHARES</v>
      </c>
      <c r="F4023" s="6">
        <v>48.604583740234403</v>
      </c>
      <c r="G4023" s="6">
        <v>48.696117401123097</v>
      </c>
      <c r="H4023" s="6">
        <v>48.749404907226598</v>
      </c>
      <c r="I4023" s="6">
        <v>48.705539703369098</v>
      </c>
      <c r="J4023" s="6">
        <v>48.794055938720703</v>
      </c>
      <c r="K4023" s="6">
        <v>48.7979545593262</v>
      </c>
      <c r="L4023" s="6">
        <v>48.500194549560597</v>
      </c>
    </row>
    <row r="4024" spans="1:12" x14ac:dyDescent="0.25">
      <c r="A4024">
        <v>4308409</v>
      </c>
      <c r="B4024" t="str">
        <f t="shared" si="62"/>
        <v>FORMIGUEIRO, RS, Brasil</v>
      </c>
      <c r="C4024" s="4" t="str">
        <f>_xlfn.XLOOKUP(A4024,[1]!DadosGHD[CD_GEOCMU],[1]!DadosGHD[Região])</f>
        <v>SL</v>
      </c>
      <c r="D4024" s="4" t="str">
        <f>_xlfn.XLOOKUP(A4024,[1]!DadosGHD[CD_GEOCMU],[1]!DadosGHD[uf])</f>
        <v>RS</v>
      </c>
      <c r="E4024" s="5" t="str">
        <f>_xlfn.XLOOKUP(A4024,[1]!DadosGHD[CD_GEOCMU],[1]!DadosGHD[MUNICIPIO])</f>
        <v>FORMIGUEIRO</v>
      </c>
      <c r="F4024" s="6">
        <v>48.604915618896499</v>
      </c>
      <c r="G4024" s="6">
        <v>53.748359680175803</v>
      </c>
      <c r="H4024" s="6">
        <v>53.878829956054702</v>
      </c>
      <c r="I4024" s="6">
        <v>53.774944305419901</v>
      </c>
      <c r="J4024" s="6">
        <v>43.803482055664098</v>
      </c>
      <c r="K4024" s="6">
        <v>43.849025726318402</v>
      </c>
      <c r="L4024" s="6">
        <v>35.130828857421903</v>
      </c>
    </row>
    <row r="4025" spans="1:12" x14ac:dyDescent="0.25">
      <c r="A4025">
        <v>3145851</v>
      </c>
      <c r="B4025" t="str">
        <f t="shared" si="62"/>
        <v>ORATORIOS, MG, Brasil</v>
      </c>
      <c r="C4025" s="4" t="str">
        <f>_xlfn.XLOOKUP(A4025,[1]!DadosGHD[CD_GEOCMU],[1]!DadosGHD[Região])</f>
        <v>SD</v>
      </c>
      <c r="D4025" s="4" t="str">
        <f>_xlfn.XLOOKUP(A4025,[1]!DadosGHD[CD_GEOCMU],[1]!DadosGHD[uf])</f>
        <v>MG</v>
      </c>
      <c r="E4025" s="5" t="str">
        <f>_xlfn.XLOOKUP(A4025,[1]!DadosGHD[CD_GEOCMU],[1]!DadosGHD[MUNICIPIO])</f>
        <v>ORATORIOS</v>
      </c>
      <c r="F4025" s="6">
        <v>48.604991912841797</v>
      </c>
      <c r="G4025" s="6">
        <v>33.8451538085938</v>
      </c>
      <c r="H4025" s="6">
        <v>33.842174530029297</v>
      </c>
      <c r="I4025" s="6">
        <v>33.8482666015625</v>
      </c>
      <c r="J4025" s="6">
        <v>33.870578765869098</v>
      </c>
      <c r="K4025" s="6">
        <v>33.908378601074197</v>
      </c>
      <c r="L4025" s="6">
        <v>44.0309028625488</v>
      </c>
    </row>
    <row r="4026" spans="1:12" x14ac:dyDescent="0.25">
      <c r="A4026">
        <v>3108107</v>
      </c>
      <c r="B4026" t="str">
        <f t="shared" si="62"/>
        <v>BONFIM, MG, Brasil</v>
      </c>
      <c r="C4026" s="4" t="str">
        <f>_xlfn.XLOOKUP(A4026,[1]!DadosGHD[CD_GEOCMU],[1]!DadosGHD[Região])</f>
        <v>SD</v>
      </c>
      <c r="D4026" s="4" t="str">
        <f>_xlfn.XLOOKUP(A4026,[1]!DadosGHD[CD_GEOCMU],[1]!DadosGHD[uf])</f>
        <v>MG</v>
      </c>
      <c r="E4026" s="5" t="str">
        <f>_xlfn.XLOOKUP(A4026,[1]!DadosGHD[CD_GEOCMU],[1]!DadosGHD[MUNICIPIO])</f>
        <v>BONFIM</v>
      </c>
      <c r="F4026" s="6">
        <v>48.6050834655762</v>
      </c>
      <c r="G4026" s="6">
        <v>48.724983215332003</v>
      </c>
      <c r="H4026" s="6">
        <v>48.780216217041001</v>
      </c>
      <c r="I4026" s="6">
        <v>48.740978240966797</v>
      </c>
      <c r="J4026" s="6">
        <v>48.766288757324197</v>
      </c>
      <c r="K4026" s="6">
        <v>48.902538299560597</v>
      </c>
      <c r="L4026" s="6">
        <v>44.021171569824197</v>
      </c>
    </row>
    <row r="4027" spans="1:12" x14ac:dyDescent="0.25">
      <c r="A4027">
        <v>4105003</v>
      </c>
      <c r="B4027" t="str">
        <f t="shared" si="62"/>
        <v>CATANDUVAS, PR, Brasil</v>
      </c>
      <c r="C4027" s="4" t="str">
        <f>_xlfn.XLOOKUP(A4027,[1]!DadosGHD[CD_GEOCMU],[1]!DadosGHD[Região])</f>
        <v>SL</v>
      </c>
      <c r="D4027" s="4" t="str">
        <f>_xlfn.XLOOKUP(A4027,[1]!DadosGHD[CD_GEOCMU],[1]!DadosGHD[uf])</f>
        <v>PR</v>
      </c>
      <c r="E4027" s="5" t="str">
        <f>_xlfn.XLOOKUP(A4027,[1]!DadosGHD[CD_GEOCMU],[1]!DadosGHD[MUNICIPIO])</f>
        <v>CATANDUVAS</v>
      </c>
      <c r="F4027" s="6">
        <v>48.6051216125488</v>
      </c>
      <c r="G4027" s="6">
        <v>48.7712211608887</v>
      </c>
      <c r="H4027" s="6">
        <v>48.745853424072301</v>
      </c>
      <c r="I4027" s="6">
        <v>48.769920349121101</v>
      </c>
      <c r="J4027" s="6">
        <v>53.853092193603501</v>
      </c>
      <c r="K4027" s="6">
        <v>53.959274291992202</v>
      </c>
      <c r="L4027" s="6">
        <v>44.023780822753899</v>
      </c>
    </row>
    <row r="4028" spans="1:12" x14ac:dyDescent="0.25">
      <c r="A4028">
        <v>1600303</v>
      </c>
      <c r="B4028" t="str">
        <f t="shared" si="62"/>
        <v>MACAPA, AP, Brasil</v>
      </c>
      <c r="C4028" s="4" t="str">
        <f>_xlfn.XLOOKUP(A4028,[1]!DadosGHD[CD_GEOCMU],[1]!DadosGHD[Região])</f>
        <v>NO</v>
      </c>
      <c r="D4028" s="4" t="str">
        <f>_xlfn.XLOOKUP(A4028,[1]!DadosGHD[CD_GEOCMU],[1]!DadosGHD[uf])</f>
        <v>AP</v>
      </c>
      <c r="E4028" s="5" t="str">
        <f>_xlfn.XLOOKUP(A4028,[1]!DadosGHD[CD_GEOCMU],[1]!DadosGHD[MUNICIPIO])</f>
        <v>MACAPA</v>
      </c>
      <c r="F4028" s="6">
        <v>48.606292724609403</v>
      </c>
      <c r="G4028" s="6">
        <v>48.643898010253899</v>
      </c>
      <c r="H4028" s="6">
        <v>43.794990539550803</v>
      </c>
      <c r="I4028" s="6">
        <v>43.756992340087898</v>
      </c>
      <c r="J4028" s="6">
        <v>43.797679901123097</v>
      </c>
      <c r="K4028" s="6">
        <v>43.846073150634801</v>
      </c>
      <c r="L4028" s="6">
        <v>44.067985534667997</v>
      </c>
    </row>
    <row r="4029" spans="1:12" x14ac:dyDescent="0.25">
      <c r="A4029">
        <v>3548401</v>
      </c>
      <c r="B4029" t="str">
        <f t="shared" si="62"/>
        <v>SANTOPOLIS DO AGUAPEI, SP, Brasil</v>
      </c>
      <c r="C4029" s="4" t="str">
        <f>_xlfn.XLOOKUP(A4029,[1]!DadosGHD[CD_GEOCMU],[1]!DadosGHD[Região])</f>
        <v>SD</v>
      </c>
      <c r="D4029" s="4" t="str">
        <f>_xlfn.XLOOKUP(A4029,[1]!DadosGHD[CD_GEOCMU],[1]!DadosGHD[uf])</f>
        <v>SP</v>
      </c>
      <c r="E4029" s="5" t="str">
        <f>_xlfn.XLOOKUP(A4029,[1]!DadosGHD[CD_GEOCMU],[1]!DadosGHD[MUNICIPIO])</f>
        <v>SANTOPOLIS DO AGUAPEI</v>
      </c>
      <c r="F4029" s="6">
        <v>48.606349945068402</v>
      </c>
      <c r="G4029" s="6">
        <v>48.677085876464801</v>
      </c>
      <c r="H4029" s="6">
        <v>43.825038909912102</v>
      </c>
      <c r="I4029" s="6">
        <v>43.768970489502003</v>
      </c>
      <c r="J4029" s="6">
        <v>43.781211853027301</v>
      </c>
      <c r="K4029" s="6">
        <v>43.845218658447301</v>
      </c>
      <c r="L4029" s="6">
        <v>44.035533905029297</v>
      </c>
    </row>
    <row r="4030" spans="1:12" x14ac:dyDescent="0.25">
      <c r="A4030">
        <v>3531803</v>
      </c>
      <c r="B4030" t="str">
        <f t="shared" si="62"/>
        <v>MONTE MOR, SP, Brasil</v>
      </c>
      <c r="C4030" s="4" t="str">
        <f>_xlfn.XLOOKUP(A4030,[1]!DadosGHD[CD_GEOCMU],[1]!DadosGHD[Região])</f>
        <v>SD</v>
      </c>
      <c r="D4030" s="4" t="str">
        <f>_xlfn.XLOOKUP(A4030,[1]!DadosGHD[CD_GEOCMU],[1]!DadosGHD[uf])</f>
        <v>SP</v>
      </c>
      <c r="E4030" s="5" t="str">
        <f>_xlfn.XLOOKUP(A4030,[1]!DadosGHD[CD_GEOCMU],[1]!DadosGHD[MUNICIPIO])</f>
        <v>MONTE MOR</v>
      </c>
      <c r="F4030" s="6">
        <v>48.606998443603501</v>
      </c>
      <c r="G4030" s="6">
        <v>43.711387634277301</v>
      </c>
      <c r="H4030" s="6">
        <v>43.754726409912102</v>
      </c>
      <c r="I4030" s="6">
        <v>48.683254241943402</v>
      </c>
      <c r="J4030" s="6">
        <v>48.787837982177699</v>
      </c>
      <c r="K4030" s="6">
        <v>48.828395843505902</v>
      </c>
      <c r="L4030" s="6">
        <v>48.528652191162102</v>
      </c>
    </row>
    <row r="4031" spans="1:12" x14ac:dyDescent="0.25">
      <c r="A4031">
        <v>4124202</v>
      </c>
      <c r="B4031" t="str">
        <f t="shared" si="62"/>
        <v>SANTO ANTONIO DO CAIUA, PR, Brasil</v>
      </c>
      <c r="C4031" s="4" t="str">
        <f>_xlfn.XLOOKUP(A4031,[1]!DadosGHD[CD_GEOCMU],[1]!DadosGHD[Região])</f>
        <v>SL</v>
      </c>
      <c r="D4031" s="4" t="str">
        <f>_xlfn.XLOOKUP(A4031,[1]!DadosGHD[CD_GEOCMU],[1]!DadosGHD[uf])</f>
        <v>PR</v>
      </c>
      <c r="E4031" s="5" t="str">
        <f>_xlfn.XLOOKUP(A4031,[1]!DadosGHD[CD_GEOCMU],[1]!DadosGHD[MUNICIPIO])</f>
        <v>SANTO ANTONIO DO CAIUA</v>
      </c>
      <c r="F4031" s="6">
        <v>48.607635498046903</v>
      </c>
      <c r="G4031" s="6">
        <v>43.733963012695298</v>
      </c>
      <c r="H4031" s="6">
        <v>43.784793853759801</v>
      </c>
      <c r="I4031" s="6">
        <v>43.750789642333999</v>
      </c>
      <c r="J4031" s="6">
        <v>43.7691650390625</v>
      </c>
      <c r="K4031" s="6">
        <v>43.7979927062988</v>
      </c>
      <c r="L4031" s="6">
        <v>39.5987739562988</v>
      </c>
    </row>
    <row r="4032" spans="1:12" x14ac:dyDescent="0.25">
      <c r="A4032">
        <v>3204104</v>
      </c>
      <c r="B4032" t="str">
        <f t="shared" si="62"/>
        <v>PINHEIROS, ES, Brasil</v>
      </c>
      <c r="C4032" s="4" t="str">
        <f>_xlfn.XLOOKUP(A4032,[1]!DadosGHD[CD_GEOCMU],[1]!DadosGHD[Região])</f>
        <v>SD</v>
      </c>
      <c r="D4032" s="4" t="str">
        <f>_xlfn.XLOOKUP(A4032,[1]!DadosGHD[CD_GEOCMU],[1]!DadosGHD[uf])</f>
        <v>ES</v>
      </c>
      <c r="E4032" s="5" t="str">
        <f>_xlfn.XLOOKUP(A4032,[1]!DadosGHD[CD_GEOCMU],[1]!DadosGHD[MUNICIPIO])</f>
        <v>PINHEIROS</v>
      </c>
      <c r="F4032" s="6">
        <v>48.607696533203097</v>
      </c>
      <c r="G4032" s="6">
        <v>48.6912231445313</v>
      </c>
      <c r="H4032" s="6">
        <v>48.818290710449197</v>
      </c>
      <c r="I4032" s="6">
        <v>48.744049072265597</v>
      </c>
      <c r="J4032" s="6">
        <v>48.742679595947301</v>
      </c>
      <c r="K4032" s="6">
        <v>43.878665924072301</v>
      </c>
      <c r="L4032" s="6">
        <v>35.152332305908203</v>
      </c>
    </row>
    <row r="4033" spans="1:12" x14ac:dyDescent="0.25">
      <c r="A4033">
        <v>3171402</v>
      </c>
      <c r="B4033" t="str">
        <f t="shared" si="62"/>
        <v>VIEIRAS, MG, Brasil</v>
      </c>
      <c r="C4033" s="4" t="str">
        <f>_xlfn.XLOOKUP(A4033,[1]!DadosGHD[CD_GEOCMU],[1]!DadosGHD[Região])</f>
        <v>SD</v>
      </c>
      <c r="D4033" s="4" t="str">
        <f>_xlfn.XLOOKUP(A4033,[1]!DadosGHD[CD_GEOCMU],[1]!DadosGHD[uf])</f>
        <v>MG</v>
      </c>
      <c r="E4033" s="5" t="str">
        <f>_xlfn.XLOOKUP(A4033,[1]!DadosGHD[CD_GEOCMU],[1]!DadosGHD[MUNICIPIO])</f>
        <v>VIEIRAS</v>
      </c>
      <c r="F4033" s="6">
        <v>48.607723236083999</v>
      </c>
      <c r="G4033" s="6">
        <v>48.726524353027301</v>
      </c>
      <c r="H4033" s="6">
        <v>48.8171195983887</v>
      </c>
      <c r="I4033" s="6">
        <v>53.712692260742202</v>
      </c>
      <c r="J4033" s="6">
        <v>43.812324523925803</v>
      </c>
      <c r="K4033" s="6">
        <v>43.834117889404297</v>
      </c>
      <c r="L4033" s="6">
        <v>35.157997131347699</v>
      </c>
    </row>
    <row r="4034" spans="1:12" x14ac:dyDescent="0.25">
      <c r="A4034">
        <v>4210035</v>
      </c>
      <c r="B4034" t="str">
        <f t="shared" si="62"/>
        <v>LUZERNA, SC, Brasil</v>
      </c>
      <c r="C4034" s="4" t="str">
        <f>_xlfn.XLOOKUP(A4034,[1]!DadosGHD[CD_GEOCMU],[1]!DadosGHD[Região])</f>
        <v>SL</v>
      </c>
      <c r="D4034" s="4" t="str">
        <f>_xlfn.XLOOKUP(A4034,[1]!DadosGHD[CD_GEOCMU],[1]!DadosGHD[uf])</f>
        <v>SC</v>
      </c>
      <c r="E4034" s="5" t="str">
        <f>_xlfn.XLOOKUP(A4034,[1]!DadosGHD[CD_GEOCMU],[1]!DadosGHD[MUNICIPIO])</f>
        <v>LUZERNA</v>
      </c>
      <c r="F4034" s="6">
        <v>48.607830047607401</v>
      </c>
      <c r="G4034" s="6">
        <v>48.716716766357401</v>
      </c>
      <c r="H4034" s="6">
        <v>48.790077209472699</v>
      </c>
      <c r="I4034" s="6">
        <v>53.800064086914098</v>
      </c>
      <c r="J4034" s="6">
        <v>53.808994293212898</v>
      </c>
      <c r="K4034" s="6">
        <v>48.831130981445298</v>
      </c>
      <c r="L4034" s="6">
        <v>53.000389099121101</v>
      </c>
    </row>
    <row r="4035" spans="1:12" x14ac:dyDescent="0.25">
      <c r="A4035">
        <v>4312005</v>
      </c>
      <c r="B4035" t="str">
        <f t="shared" si="62"/>
        <v>MARIANO MORO, RS, Brasil</v>
      </c>
      <c r="C4035" s="4" t="str">
        <f>_xlfn.XLOOKUP(A4035,[1]!DadosGHD[CD_GEOCMU],[1]!DadosGHD[Região])</f>
        <v>SL</v>
      </c>
      <c r="D4035" s="4" t="str">
        <f>_xlfn.XLOOKUP(A4035,[1]!DadosGHD[CD_GEOCMU],[1]!DadosGHD[uf])</f>
        <v>RS</v>
      </c>
      <c r="E4035" s="5" t="str">
        <f>_xlfn.XLOOKUP(A4035,[1]!DadosGHD[CD_GEOCMU],[1]!DadosGHD[MUNICIPIO])</f>
        <v>MARIANO MORO</v>
      </c>
      <c r="F4035" s="6">
        <v>48.608364105224602</v>
      </c>
      <c r="G4035" s="6">
        <v>58.788139343261697</v>
      </c>
      <c r="H4035" s="6">
        <v>58.869697570800803</v>
      </c>
      <c r="I4035" s="6">
        <v>58.899513244628899</v>
      </c>
      <c r="J4035" s="6">
        <v>64.039611816406307</v>
      </c>
      <c r="K4035" s="6">
        <v>59.023197174072301</v>
      </c>
      <c r="L4035" s="6">
        <v>57.568614959716797</v>
      </c>
    </row>
    <row r="4036" spans="1:12" x14ac:dyDescent="0.25">
      <c r="A4036">
        <v>3527256</v>
      </c>
      <c r="B4036" t="str">
        <f t="shared" ref="B4036:B4099" si="63">_xlfn.CONCAT(E4036, ", ", D4036, ", Brasil")</f>
        <v>LOURDES, SP, Brasil</v>
      </c>
      <c r="C4036" s="4" t="str">
        <f>_xlfn.XLOOKUP(A4036,[1]!DadosGHD[CD_GEOCMU],[1]!DadosGHD[Região])</f>
        <v>SD</v>
      </c>
      <c r="D4036" s="4" t="str">
        <f>_xlfn.XLOOKUP(A4036,[1]!DadosGHD[CD_GEOCMU],[1]!DadosGHD[uf])</f>
        <v>SP</v>
      </c>
      <c r="E4036" s="5" t="str">
        <f>_xlfn.XLOOKUP(A4036,[1]!DadosGHD[CD_GEOCMU],[1]!DadosGHD[MUNICIPIO])</f>
        <v>LOURDES</v>
      </c>
      <c r="F4036" s="6">
        <v>48.608364105224602</v>
      </c>
      <c r="G4036" s="6">
        <v>43.744232177734403</v>
      </c>
      <c r="H4036" s="6">
        <v>43.789859771728501</v>
      </c>
      <c r="I4036" s="6">
        <v>43.735591888427699</v>
      </c>
      <c r="J4036" s="6">
        <v>43.728347778320298</v>
      </c>
      <c r="K4036" s="6">
        <v>43.7679252624512</v>
      </c>
      <c r="L4036" s="6">
        <v>35.114387512207003</v>
      </c>
    </row>
    <row r="4037" spans="1:12" x14ac:dyDescent="0.25">
      <c r="A4037">
        <v>4203006</v>
      </c>
      <c r="B4037" t="str">
        <f t="shared" si="63"/>
        <v>CACADOR, SC, Brasil</v>
      </c>
      <c r="C4037" s="4" t="str">
        <f>_xlfn.XLOOKUP(A4037,[1]!DadosGHD[CD_GEOCMU],[1]!DadosGHD[Região])</f>
        <v>SL</v>
      </c>
      <c r="D4037" s="4" t="str">
        <f>_xlfn.XLOOKUP(A4037,[1]!DadosGHD[CD_GEOCMU],[1]!DadosGHD[uf])</f>
        <v>SC</v>
      </c>
      <c r="E4037" s="5" t="str">
        <f>_xlfn.XLOOKUP(A4037,[1]!DadosGHD[CD_GEOCMU],[1]!DadosGHD[MUNICIPIO])</f>
        <v>CACADOR</v>
      </c>
      <c r="F4037" s="6">
        <v>48.608688354492202</v>
      </c>
      <c r="G4037" s="6">
        <v>48.647624969482401</v>
      </c>
      <c r="H4037" s="6">
        <v>43.820323944091797</v>
      </c>
      <c r="I4037" s="6">
        <v>48.80615234375</v>
      </c>
      <c r="J4037" s="6">
        <v>53.7761039733887</v>
      </c>
      <c r="K4037" s="6">
        <v>48.915157318115199</v>
      </c>
      <c r="L4037" s="6">
        <v>52.9974365234375</v>
      </c>
    </row>
    <row r="4038" spans="1:12" x14ac:dyDescent="0.25">
      <c r="A4038">
        <v>4202073</v>
      </c>
      <c r="B4038" t="str">
        <f t="shared" si="63"/>
        <v>BALNEARIO GAIVOTA, SC, Brasil</v>
      </c>
      <c r="C4038" s="4" t="str">
        <f>_xlfn.XLOOKUP(A4038,[1]!DadosGHD[CD_GEOCMU],[1]!DadosGHD[Região])</f>
        <v>SL</v>
      </c>
      <c r="D4038" s="4" t="str">
        <f>_xlfn.XLOOKUP(A4038,[1]!DadosGHD[CD_GEOCMU],[1]!DadosGHD[uf])</f>
        <v>SC</v>
      </c>
      <c r="E4038" s="5" t="str">
        <f>_xlfn.XLOOKUP(A4038,[1]!DadosGHD[CD_GEOCMU],[1]!DadosGHD[MUNICIPIO])</f>
        <v>BALNEARIO GAIVOTA</v>
      </c>
      <c r="F4038" s="6">
        <v>48.608840942382798</v>
      </c>
      <c r="G4038" s="6">
        <v>43.718803405761697</v>
      </c>
      <c r="H4038" s="6">
        <v>43.819614410400398</v>
      </c>
      <c r="I4038" s="6">
        <v>43.7181587219238</v>
      </c>
      <c r="J4038" s="6">
        <v>38.831031799316399</v>
      </c>
      <c r="K4038" s="6">
        <v>43.845321655273402</v>
      </c>
      <c r="L4038" s="6">
        <v>35.144989013671903</v>
      </c>
    </row>
    <row r="4039" spans="1:12" x14ac:dyDescent="0.25">
      <c r="A4039">
        <v>4308300</v>
      </c>
      <c r="B4039" t="str">
        <f t="shared" si="63"/>
        <v>FONTOURA XAVIER, RS, Brasil</v>
      </c>
      <c r="C4039" s="4" t="str">
        <f>_xlfn.XLOOKUP(A4039,[1]!DadosGHD[CD_GEOCMU],[1]!DadosGHD[Região])</f>
        <v>SL</v>
      </c>
      <c r="D4039" s="4" t="str">
        <f>_xlfn.XLOOKUP(A4039,[1]!DadosGHD[CD_GEOCMU],[1]!DadosGHD[uf])</f>
        <v>RS</v>
      </c>
      <c r="E4039" s="5" t="str">
        <f>_xlfn.XLOOKUP(A4039,[1]!DadosGHD[CD_GEOCMU],[1]!DadosGHD[MUNICIPIO])</f>
        <v>FONTOURA XAVIER</v>
      </c>
      <c r="F4039" s="6">
        <v>48.609359741210902</v>
      </c>
      <c r="G4039" s="6">
        <v>48.724342346191399</v>
      </c>
      <c r="H4039" s="6">
        <v>48.804100036621101</v>
      </c>
      <c r="I4039" s="6">
        <v>48.762325286865199</v>
      </c>
      <c r="J4039" s="6">
        <v>48.794960021972699</v>
      </c>
      <c r="K4039" s="6">
        <v>48.837108612060597</v>
      </c>
      <c r="L4039" s="6">
        <v>39.578411102294901</v>
      </c>
    </row>
    <row r="4040" spans="1:12" x14ac:dyDescent="0.25">
      <c r="A4040">
        <v>4216206</v>
      </c>
      <c r="B4040" t="str">
        <f t="shared" si="63"/>
        <v>SAO FRANCISCO DO SUL, SC, Brasil</v>
      </c>
      <c r="C4040" s="4" t="str">
        <f>_xlfn.XLOOKUP(A4040,[1]!DadosGHD[CD_GEOCMU],[1]!DadosGHD[Região])</f>
        <v>SL</v>
      </c>
      <c r="D4040" s="4" t="str">
        <f>_xlfn.XLOOKUP(A4040,[1]!DadosGHD[CD_GEOCMU],[1]!DadosGHD[uf])</f>
        <v>SC</v>
      </c>
      <c r="E4040" s="5" t="str">
        <f>_xlfn.XLOOKUP(A4040,[1]!DadosGHD[CD_GEOCMU],[1]!DadosGHD[MUNICIPIO])</f>
        <v>SAO FRANCISCO DO SUL</v>
      </c>
      <c r="F4040" s="6">
        <v>48.609401702880902</v>
      </c>
      <c r="G4040" s="6">
        <v>48.641277313232401</v>
      </c>
      <c r="H4040" s="6">
        <v>43.785888671875</v>
      </c>
      <c r="I4040" s="6">
        <v>43.7752685546875</v>
      </c>
      <c r="J4040" s="6">
        <v>43.805610656738303</v>
      </c>
      <c r="K4040" s="6">
        <v>43.872844696044901</v>
      </c>
      <c r="L4040" s="6">
        <v>48.525115966796903</v>
      </c>
    </row>
    <row r="4041" spans="1:12" x14ac:dyDescent="0.25">
      <c r="A4041">
        <v>3301157</v>
      </c>
      <c r="B4041" t="str">
        <f t="shared" si="63"/>
        <v>CARDOSO MOREIRA, RJ, Brasil</v>
      </c>
      <c r="C4041" s="4" t="str">
        <f>_xlfn.XLOOKUP(A4041,[1]!DadosGHD[CD_GEOCMU],[1]!DadosGHD[Região])</f>
        <v>SD</v>
      </c>
      <c r="D4041" s="4" t="str">
        <f>_xlfn.XLOOKUP(A4041,[1]!DadosGHD[CD_GEOCMU],[1]!DadosGHD[uf])</f>
        <v>RJ</v>
      </c>
      <c r="E4041" s="5" t="str">
        <f>_xlfn.XLOOKUP(A4041,[1]!DadosGHD[CD_GEOCMU],[1]!DadosGHD[MUNICIPIO])</f>
        <v>CARDOSO MOREIRA</v>
      </c>
      <c r="F4041" s="6">
        <v>48.610183715820298</v>
      </c>
      <c r="G4041" s="6">
        <v>43.692024230957003</v>
      </c>
      <c r="H4041" s="6">
        <v>43.777168273925803</v>
      </c>
      <c r="I4041" s="6">
        <v>43.7695121765137</v>
      </c>
      <c r="J4041" s="6">
        <v>43.763893127441399</v>
      </c>
      <c r="K4041" s="6">
        <v>38.873481750488303</v>
      </c>
      <c r="L4041" s="6">
        <v>39.608318328857401</v>
      </c>
    </row>
    <row r="4042" spans="1:12" x14ac:dyDescent="0.25">
      <c r="A4042">
        <v>5209804</v>
      </c>
      <c r="B4042" t="str">
        <f t="shared" si="63"/>
        <v>HIDROLINA, GO, Brasil</v>
      </c>
      <c r="C4042" s="4" t="str">
        <f>_xlfn.XLOOKUP(A4042,[1]!DadosGHD[CD_GEOCMU],[1]!DadosGHD[Região])</f>
        <v>CO</v>
      </c>
      <c r="D4042" s="4" t="str">
        <f>_xlfn.XLOOKUP(A4042,[1]!DadosGHD[CD_GEOCMU],[1]!DadosGHD[uf])</f>
        <v>GO</v>
      </c>
      <c r="E4042" s="5" t="str">
        <f>_xlfn.XLOOKUP(A4042,[1]!DadosGHD[CD_GEOCMU],[1]!DadosGHD[MUNICIPIO])</f>
        <v>HIDROLINA</v>
      </c>
      <c r="F4042" s="6">
        <v>48.610244750976598</v>
      </c>
      <c r="G4042" s="6">
        <v>48.755886077880902</v>
      </c>
      <c r="H4042" s="6">
        <v>53.833263397216797</v>
      </c>
      <c r="I4042" s="6">
        <v>48.675880432128899</v>
      </c>
      <c r="J4042" s="6">
        <v>48.705795288085902</v>
      </c>
      <c r="K4042" s="6">
        <v>43.875404357910199</v>
      </c>
      <c r="L4042" s="6">
        <v>30.706291198730501</v>
      </c>
    </row>
    <row r="4043" spans="1:12" x14ac:dyDescent="0.25">
      <c r="A4043">
        <v>3526704</v>
      </c>
      <c r="B4043" t="str">
        <f t="shared" si="63"/>
        <v>LEME, SP, Brasil</v>
      </c>
      <c r="C4043" s="4" t="str">
        <f>_xlfn.XLOOKUP(A4043,[1]!DadosGHD[CD_GEOCMU],[1]!DadosGHD[Região])</f>
        <v>SD</v>
      </c>
      <c r="D4043" s="4" t="str">
        <f>_xlfn.XLOOKUP(A4043,[1]!DadosGHD[CD_GEOCMU],[1]!DadosGHD[uf])</f>
        <v>SP</v>
      </c>
      <c r="E4043" s="5" t="str">
        <f>_xlfn.XLOOKUP(A4043,[1]!DadosGHD[CD_GEOCMU],[1]!DadosGHD[MUNICIPIO])</f>
        <v>LEME</v>
      </c>
      <c r="F4043" s="6">
        <v>48.610862731933601</v>
      </c>
      <c r="G4043" s="6">
        <v>48.678871154785199</v>
      </c>
      <c r="H4043" s="6">
        <v>48.7522583007813</v>
      </c>
      <c r="I4043" s="6">
        <v>48.679439544677699</v>
      </c>
      <c r="J4043" s="6">
        <v>43.825809478759801</v>
      </c>
      <c r="K4043" s="6">
        <v>48.835811614990199</v>
      </c>
      <c r="L4043" s="6">
        <v>57.5118598937988</v>
      </c>
    </row>
    <row r="4044" spans="1:12" x14ac:dyDescent="0.25">
      <c r="A4044">
        <v>3137106</v>
      </c>
      <c r="B4044" t="str">
        <f t="shared" si="63"/>
        <v>LAGAMAR, MG, Brasil</v>
      </c>
      <c r="C4044" s="4" t="str">
        <f>_xlfn.XLOOKUP(A4044,[1]!DadosGHD[CD_GEOCMU],[1]!DadosGHD[Região])</f>
        <v>SD</v>
      </c>
      <c r="D4044" s="4" t="str">
        <f>_xlfn.XLOOKUP(A4044,[1]!DadosGHD[CD_GEOCMU],[1]!DadosGHD[uf])</f>
        <v>MG</v>
      </c>
      <c r="E4044" s="5" t="str">
        <f>_xlfn.XLOOKUP(A4044,[1]!DadosGHD[CD_GEOCMU],[1]!DadosGHD[MUNICIPIO])</f>
        <v>LAGAMAR</v>
      </c>
      <c r="F4044" s="6">
        <v>48.610889434814503</v>
      </c>
      <c r="G4044" s="6">
        <v>48.7239799499512</v>
      </c>
      <c r="H4044" s="6">
        <v>48.789791107177699</v>
      </c>
      <c r="I4044" s="6">
        <v>48.734359741210902</v>
      </c>
      <c r="J4044" s="6">
        <v>48.739433288574197</v>
      </c>
      <c r="K4044" s="6">
        <v>48.773311614990199</v>
      </c>
      <c r="L4044" s="6">
        <v>39.583106994628899</v>
      </c>
    </row>
    <row r="4045" spans="1:12" x14ac:dyDescent="0.25">
      <c r="A4045">
        <v>4109203</v>
      </c>
      <c r="B4045" t="str">
        <f t="shared" si="63"/>
        <v>GUARACI, PR, Brasil</v>
      </c>
      <c r="C4045" s="4" t="str">
        <f>_xlfn.XLOOKUP(A4045,[1]!DadosGHD[CD_GEOCMU],[1]!DadosGHD[Região])</f>
        <v>SL</v>
      </c>
      <c r="D4045" s="4" t="str">
        <f>_xlfn.XLOOKUP(A4045,[1]!DadosGHD[CD_GEOCMU],[1]!DadosGHD[uf])</f>
        <v>PR</v>
      </c>
      <c r="E4045" s="5" t="str">
        <f>_xlfn.XLOOKUP(A4045,[1]!DadosGHD[CD_GEOCMU],[1]!DadosGHD[MUNICIPIO])</f>
        <v>GUARACI</v>
      </c>
      <c r="F4045" s="6">
        <v>48.611232757568402</v>
      </c>
      <c r="G4045" s="6">
        <v>43.747077941894503</v>
      </c>
      <c r="H4045" s="6">
        <v>43.8001098632813</v>
      </c>
      <c r="I4045" s="6">
        <v>48.734451293945298</v>
      </c>
      <c r="J4045" s="6">
        <v>48.744209289550803</v>
      </c>
      <c r="K4045" s="6">
        <v>48.849983215332003</v>
      </c>
      <c r="L4045" s="6">
        <v>53.038402557373097</v>
      </c>
    </row>
    <row r="4046" spans="1:12" x14ac:dyDescent="0.25">
      <c r="A4046">
        <v>4216503</v>
      </c>
      <c r="B4046" t="str">
        <f t="shared" si="63"/>
        <v>SAO JOAQUIM, SC, Brasil</v>
      </c>
      <c r="C4046" s="4" t="str">
        <f>_xlfn.XLOOKUP(A4046,[1]!DadosGHD[CD_GEOCMU],[1]!DadosGHD[Região])</f>
        <v>SL</v>
      </c>
      <c r="D4046" s="4" t="str">
        <f>_xlfn.XLOOKUP(A4046,[1]!DadosGHD[CD_GEOCMU],[1]!DadosGHD[uf])</f>
        <v>SC</v>
      </c>
      <c r="E4046" s="5" t="str">
        <f>_xlfn.XLOOKUP(A4046,[1]!DadosGHD[CD_GEOCMU],[1]!DadosGHD[MUNICIPIO])</f>
        <v>SAO JOAQUIM</v>
      </c>
      <c r="F4046" s="6">
        <v>48.611709594726598</v>
      </c>
      <c r="G4046" s="6">
        <v>53.662136077880902</v>
      </c>
      <c r="H4046" s="6">
        <v>48.823677062988303</v>
      </c>
      <c r="I4046" s="6">
        <v>48.784381866455099</v>
      </c>
      <c r="J4046" s="6">
        <v>48.760868072509801</v>
      </c>
      <c r="K4046" s="6">
        <v>43.833694458007798</v>
      </c>
      <c r="L4046" s="6">
        <v>35.143196105957003</v>
      </c>
    </row>
    <row r="4047" spans="1:12" x14ac:dyDescent="0.25">
      <c r="A4047">
        <v>3113800</v>
      </c>
      <c r="B4047" t="str">
        <f t="shared" si="63"/>
        <v>CARMESIA, MG, Brasil</v>
      </c>
      <c r="C4047" s="4" t="str">
        <f>_xlfn.XLOOKUP(A4047,[1]!DadosGHD[CD_GEOCMU],[1]!DadosGHD[Região])</f>
        <v>SD</v>
      </c>
      <c r="D4047" s="4" t="str">
        <f>_xlfn.XLOOKUP(A4047,[1]!DadosGHD[CD_GEOCMU],[1]!DadosGHD[uf])</f>
        <v>MG</v>
      </c>
      <c r="E4047" s="5" t="str">
        <f>_xlfn.XLOOKUP(A4047,[1]!DadosGHD[CD_GEOCMU],[1]!DadosGHD[MUNICIPIO])</f>
        <v>CARMESIA</v>
      </c>
      <c r="F4047" s="6">
        <v>48.612071990966797</v>
      </c>
      <c r="G4047" s="6">
        <v>48.629287719726598</v>
      </c>
      <c r="H4047" s="6">
        <v>43.820281982421903</v>
      </c>
      <c r="I4047" s="6">
        <v>43.7395629882813</v>
      </c>
      <c r="J4047" s="6">
        <v>43.748661041259801</v>
      </c>
      <c r="K4047" s="6">
        <v>43.768333435058601</v>
      </c>
      <c r="L4047" s="6">
        <v>35.112937927246101</v>
      </c>
    </row>
    <row r="4048" spans="1:12" x14ac:dyDescent="0.25">
      <c r="A4048">
        <v>5206602</v>
      </c>
      <c r="B4048" t="str">
        <f t="shared" si="63"/>
        <v>CUMARI, GO, Brasil</v>
      </c>
      <c r="C4048" s="4" t="str">
        <f>_xlfn.XLOOKUP(A4048,[1]!DadosGHD[CD_GEOCMU],[1]!DadosGHD[Região])</f>
        <v>CO</v>
      </c>
      <c r="D4048" s="4" t="str">
        <f>_xlfn.XLOOKUP(A4048,[1]!DadosGHD[CD_GEOCMU],[1]!DadosGHD[uf])</f>
        <v>GO</v>
      </c>
      <c r="E4048" s="5" t="str">
        <f>_xlfn.XLOOKUP(A4048,[1]!DadosGHD[CD_GEOCMU],[1]!DadosGHD[MUNICIPIO])</f>
        <v>CUMARI</v>
      </c>
      <c r="F4048" s="6">
        <v>48.612133026123097</v>
      </c>
      <c r="G4048" s="6">
        <v>43.750545501708999</v>
      </c>
      <c r="H4048" s="6">
        <v>48.749496459960902</v>
      </c>
      <c r="I4048" s="6">
        <v>48.717830657958999</v>
      </c>
      <c r="J4048" s="6">
        <v>48.718006134033203</v>
      </c>
      <c r="K4048" s="6">
        <v>48.798091888427699</v>
      </c>
      <c r="L4048" s="6">
        <v>53.043510437011697</v>
      </c>
    </row>
    <row r="4049" spans="1:12" x14ac:dyDescent="0.25">
      <c r="A4049">
        <v>3504404</v>
      </c>
      <c r="B4049" t="str">
        <f t="shared" si="63"/>
        <v>AVANHANDAVA, SP, Brasil</v>
      </c>
      <c r="C4049" s="4" t="str">
        <f>_xlfn.XLOOKUP(A4049,[1]!DadosGHD[CD_GEOCMU],[1]!DadosGHD[Região])</f>
        <v>SD</v>
      </c>
      <c r="D4049" s="4" t="str">
        <f>_xlfn.XLOOKUP(A4049,[1]!DadosGHD[CD_GEOCMU],[1]!DadosGHD[uf])</f>
        <v>SP</v>
      </c>
      <c r="E4049" s="5" t="str">
        <f>_xlfn.XLOOKUP(A4049,[1]!DadosGHD[CD_GEOCMU],[1]!DadosGHD[MUNICIPIO])</f>
        <v>AVANHANDAVA</v>
      </c>
      <c r="F4049" s="6">
        <v>48.612392425537102</v>
      </c>
      <c r="G4049" s="6">
        <v>43.745475769042997</v>
      </c>
      <c r="H4049" s="6">
        <v>43.750530242919901</v>
      </c>
      <c r="I4049" s="6">
        <v>38.8016166687012</v>
      </c>
      <c r="J4049" s="6">
        <v>38.7882270812988</v>
      </c>
      <c r="K4049" s="6">
        <v>38.807647705078097</v>
      </c>
      <c r="L4049" s="6">
        <v>30.712150573730501</v>
      </c>
    </row>
    <row r="4050" spans="1:12" x14ac:dyDescent="0.25">
      <c r="A4050">
        <v>3147204</v>
      </c>
      <c r="B4050" t="str">
        <f t="shared" si="63"/>
        <v>PARAGUACU, MG, Brasil</v>
      </c>
      <c r="C4050" s="4" t="str">
        <f>_xlfn.XLOOKUP(A4050,[1]!DadosGHD[CD_GEOCMU],[1]!DadosGHD[Região])</f>
        <v>SD</v>
      </c>
      <c r="D4050" s="4" t="str">
        <f>_xlfn.XLOOKUP(A4050,[1]!DadosGHD[CD_GEOCMU],[1]!DadosGHD[uf])</f>
        <v>MG</v>
      </c>
      <c r="E4050" s="5" t="str">
        <f>_xlfn.XLOOKUP(A4050,[1]!DadosGHD[CD_GEOCMU],[1]!DadosGHD[MUNICIPIO])</f>
        <v>PARAGUACU</v>
      </c>
      <c r="F4050" s="6">
        <v>48.612457275390597</v>
      </c>
      <c r="G4050" s="6">
        <v>48.753494262695298</v>
      </c>
      <c r="H4050" s="6">
        <v>48.788139343261697</v>
      </c>
      <c r="I4050" s="6">
        <v>48.690509796142599</v>
      </c>
      <c r="J4050" s="6">
        <v>43.823085784912102</v>
      </c>
      <c r="K4050" s="6">
        <v>48.775169372558601</v>
      </c>
      <c r="L4050" s="6">
        <v>44.041168212890597</v>
      </c>
    </row>
    <row r="4051" spans="1:12" x14ac:dyDescent="0.25">
      <c r="A4051">
        <v>2101400</v>
      </c>
      <c r="B4051" t="str">
        <f t="shared" si="63"/>
        <v>BALSAS, MA, Brasil</v>
      </c>
      <c r="C4051" s="4" t="str">
        <f>_xlfn.XLOOKUP(A4051,[1]!DadosGHD[CD_GEOCMU],[1]!DadosGHD[Região])</f>
        <v>NE</v>
      </c>
      <c r="D4051" s="4" t="str">
        <f>_xlfn.XLOOKUP(A4051,[1]!DadosGHD[CD_GEOCMU],[1]!DadosGHD[uf])</f>
        <v>MA</v>
      </c>
      <c r="E4051" s="5" t="str">
        <f>_xlfn.XLOOKUP(A4051,[1]!DadosGHD[CD_GEOCMU],[1]!DadosGHD[MUNICIPIO])</f>
        <v>BALSAS</v>
      </c>
      <c r="F4051" s="6">
        <v>48.612541198730497</v>
      </c>
      <c r="G4051" s="6">
        <v>48.735733032226598</v>
      </c>
      <c r="H4051" s="6">
        <v>48.848011016845703</v>
      </c>
      <c r="I4051" s="6">
        <v>48.823394775390597</v>
      </c>
      <c r="J4051" s="6">
        <v>53.7275390625</v>
      </c>
      <c r="K4051" s="6">
        <v>48.895645141601598</v>
      </c>
      <c r="L4051" s="6">
        <v>39.598606109619098</v>
      </c>
    </row>
    <row r="4052" spans="1:12" x14ac:dyDescent="0.25">
      <c r="A4052">
        <v>5103957</v>
      </c>
      <c r="B4052" t="str">
        <f t="shared" si="63"/>
        <v>GLORIA D'OESTE, MT, Brasil</v>
      </c>
      <c r="C4052" s="4" t="str">
        <f>_xlfn.XLOOKUP(A4052,[1]!DadosGHD[CD_GEOCMU],[1]!DadosGHD[Região])</f>
        <v>CO</v>
      </c>
      <c r="D4052" s="4" t="str">
        <f>_xlfn.XLOOKUP(A4052,[1]!DadosGHD[CD_GEOCMU],[1]!DadosGHD[uf])</f>
        <v>MT</v>
      </c>
      <c r="E4052" s="5" t="str">
        <f>_xlfn.XLOOKUP(A4052,[1]!DadosGHD[CD_GEOCMU],[1]!DadosGHD[MUNICIPIO])</f>
        <v>GLORIA D'OESTE</v>
      </c>
      <c r="F4052" s="6">
        <v>48.613033294677699</v>
      </c>
      <c r="G4052" s="6">
        <v>53.7426567077637</v>
      </c>
      <c r="H4052" s="6">
        <v>53.772087097167997</v>
      </c>
      <c r="I4052" s="6">
        <v>53.757633209228501</v>
      </c>
      <c r="J4052" s="6">
        <v>53.763267517089801</v>
      </c>
      <c r="K4052" s="6">
        <v>53.932571411132798</v>
      </c>
      <c r="L4052" s="6">
        <v>48.536907196044901</v>
      </c>
    </row>
    <row r="4053" spans="1:12" x14ac:dyDescent="0.25">
      <c r="A4053">
        <v>3555406</v>
      </c>
      <c r="B4053" t="str">
        <f t="shared" si="63"/>
        <v>UBATUBA, SP, Brasil</v>
      </c>
      <c r="C4053" s="4" t="str">
        <f>_xlfn.XLOOKUP(A4053,[1]!DadosGHD[CD_GEOCMU],[1]!DadosGHD[Região])</f>
        <v>SD</v>
      </c>
      <c r="D4053" s="4" t="str">
        <f>_xlfn.XLOOKUP(A4053,[1]!DadosGHD[CD_GEOCMU],[1]!DadosGHD[uf])</f>
        <v>SP</v>
      </c>
      <c r="E4053" s="5" t="str">
        <f>_xlfn.XLOOKUP(A4053,[1]!DadosGHD[CD_GEOCMU],[1]!DadosGHD[MUNICIPIO])</f>
        <v>UBATUBA</v>
      </c>
      <c r="F4053" s="6">
        <v>48.613048553466797</v>
      </c>
      <c r="G4053" s="6">
        <v>48.670932769775398</v>
      </c>
      <c r="H4053" s="6">
        <v>43.789268493652301</v>
      </c>
      <c r="I4053" s="6">
        <v>43.805355072021499</v>
      </c>
      <c r="J4053" s="6">
        <v>48.807823181152301</v>
      </c>
      <c r="K4053" s="6">
        <v>48.869270324707003</v>
      </c>
      <c r="L4053" s="6">
        <v>57.525730133056598</v>
      </c>
    </row>
    <row r="4054" spans="1:12" x14ac:dyDescent="0.25">
      <c r="A4054">
        <v>2304905</v>
      </c>
      <c r="B4054" t="str">
        <f t="shared" si="63"/>
        <v>GROAIRAS, CE, Brasil</v>
      </c>
      <c r="C4054" s="4" t="str">
        <f>_xlfn.XLOOKUP(A4054,[1]!DadosGHD[CD_GEOCMU],[1]!DadosGHD[Região])</f>
        <v>NE</v>
      </c>
      <c r="D4054" s="4" t="str">
        <f>_xlfn.XLOOKUP(A4054,[1]!DadosGHD[CD_GEOCMU],[1]!DadosGHD[uf])</f>
        <v>CE</v>
      </c>
      <c r="E4054" s="5" t="str">
        <f>_xlfn.XLOOKUP(A4054,[1]!DadosGHD[CD_GEOCMU],[1]!DadosGHD[MUNICIPIO])</f>
        <v>GROAIRAS</v>
      </c>
      <c r="F4054" s="6">
        <v>48.613079071044901</v>
      </c>
      <c r="G4054" s="6">
        <v>48.684055328369098</v>
      </c>
      <c r="H4054" s="6">
        <v>48.722080230712898</v>
      </c>
      <c r="I4054" s="6">
        <v>48.807327270507798</v>
      </c>
      <c r="J4054" s="6">
        <v>48.784530639648402</v>
      </c>
      <c r="K4054" s="6">
        <v>43.813076019287102</v>
      </c>
      <c r="L4054" s="6">
        <v>57.515720367431598</v>
      </c>
    </row>
    <row r="4055" spans="1:12" x14ac:dyDescent="0.25">
      <c r="A4055">
        <v>4213609</v>
      </c>
      <c r="B4055" t="str">
        <f t="shared" si="63"/>
        <v>PORTO UNIAO, SC, Brasil</v>
      </c>
      <c r="C4055" s="4" t="str">
        <f>_xlfn.XLOOKUP(A4055,[1]!DadosGHD[CD_GEOCMU],[1]!DadosGHD[Região])</f>
        <v>SL</v>
      </c>
      <c r="D4055" s="4" t="str">
        <f>_xlfn.XLOOKUP(A4055,[1]!DadosGHD[CD_GEOCMU],[1]!DadosGHD[uf])</f>
        <v>SC</v>
      </c>
      <c r="E4055" s="5" t="str">
        <f>_xlfn.XLOOKUP(A4055,[1]!DadosGHD[CD_GEOCMU],[1]!DadosGHD[MUNICIPIO])</f>
        <v>PORTO UNIAO</v>
      </c>
      <c r="F4055" s="6">
        <v>48.613105773925803</v>
      </c>
      <c r="G4055" s="6">
        <v>48.699905395507798</v>
      </c>
      <c r="H4055" s="6">
        <v>48.745750427246101</v>
      </c>
      <c r="I4055" s="6">
        <v>48.770164489746101</v>
      </c>
      <c r="J4055" s="6">
        <v>48.817291259765597</v>
      </c>
      <c r="K4055" s="6">
        <v>53.989677429199197</v>
      </c>
      <c r="L4055" s="6">
        <v>57.5044555664063</v>
      </c>
    </row>
    <row r="4056" spans="1:12" x14ac:dyDescent="0.25">
      <c r="A4056">
        <v>3512902</v>
      </c>
      <c r="B4056" t="str">
        <f t="shared" si="63"/>
        <v>COSMORAMA, SP, Brasil</v>
      </c>
      <c r="C4056" s="4" t="str">
        <f>_xlfn.XLOOKUP(A4056,[1]!DadosGHD[CD_GEOCMU],[1]!DadosGHD[Região])</f>
        <v>SD</v>
      </c>
      <c r="D4056" s="4" t="str">
        <f>_xlfn.XLOOKUP(A4056,[1]!DadosGHD[CD_GEOCMU],[1]!DadosGHD[uf])</f>
        <v>SP</v>
      </c>
      <c r="E4056" s="5" t="str">
        <f>_xlfn.XLOOKUP(A4056,[1]!DadosGHD[CD_GEOCMU],[1]!DadosGHD[MUNICIPIO])</f>
        <v>COSMORAMA</v>
      </c>
      <c r="F4056" s="6">
        <v>48.613147735595703</v>
      </c>
      <c r="G4056" s="6">
        <v>48.707710266113303</v>
      </c>
      <c r="H4056" s="6">
        <v>48.718013763427699</v>
      </c>
      <c r="I4056" s="6">
        <v>43.767894744873097</v>
      </c>
      <c r="J4056" s="6">
        <v>38.845485687255902</v>
      </c>
      <c r="K4056" s="6">
        <v>43.821834564208999</v>
      </c>
      <c r="L4056" s="6">
        <v>35.117294311523402</v>
      </c>
    </row>
    <row r="4057" spans="1:12" x14ac:dyDescent="0.25">
      <c r="A4057">
        <v>3153400</v>
      </c>
      <c r="B4057" t="str">
        <f t="shared" si="63"/>
        <v>PRESIDENTE OLEGARIO, MG, Brasil</v>
      </c>
      <c r="C4057" s="4" t="str">
        <f>_xlfn.XLOOKUP(A4057,[1]!DadosGHD[CD_GEOCMU],[1]!DadosGHD[Região])</f>
        <v>SD</v>
      </c>
      <c r="D4057" s="4" t="str">
        <f>_xlfn.XLOOKUP(A4057,[1]!DadosGHD[CD_GEOCMU],[1]!DadosGHD[uf])</f>
        <v>MG</v>
      </c>
      <c r="E4057" s="5" t="str">
        <f>_xlfn.XLOOKUP(A4057,[1]!DadosGHD[CD_GEOCMU],[1]!DadosGHD[MUNICIPIO])</f>
        <v>PRESIDENTE OLEGARIO</v>
      </c>
      <c r="F4057" s="6">
        <v>48.613670349121101</v>
      </c>
      <c r="G4057" s="6">
        <v>48.704086303710902</v>
      </c>
      <c r="H4057" s="6">
        <v>48.798202514648402</v>
      </c>
      <c r="I4057" s="6">
        <v>48.784263610839801</v>
      </c>
      <c r="J4057" s="6">
        <v>48.785572052002003</v>
      </c>
      <c r="K4057" s="6">
        <v>48.805515289306598</v>
      </c>
      <c r="L4057" s="6">
        <v>39.584991455078097</v>
      </c>
    </row>
    <row r="4058" spans="1:12" x14ac:dyDescent="0.25">
      <c r="A4058">
        <v>3118601</v>
      </c>
      <c r="B4058" t="str">
        <f t="shared" si="63"/>
        <v>CONTAGEM, MG, Brasil</v>
      </c>
      <c r="C4058" s="4" t="str">
        <f>_xlfn.XLOOKUP(A4058,[1]!DadosGHD[CD_GEOCMU],[1]!DadosGHD[Região])</f>
        <v>SD</v>
      </c>
      <c r="D4058" s="4" t="str">
        <f>_xlfn.XLOOKUP(A4058,[1]!DadosGHD[CD_GEOCMU],[1]!DadosGHD[uf])</f>
        <v>MG</v>
      </c>
      <c r="E4058" s="5" t="str">
        <f>_xlfn.XLOOKUP(A4058,[1]!DadosGHD[CD_GEOCMU],[1]!DadosGHD[MUNICIPIO])</f>
        <v>CONTAGEM</v>
      </c>
      <c r="F4058" s="6">
        <v>48.613956451416001</v>
      </c>
      <c r="G4058" s="6">
        <v>48.643196105957003</v>
      </c>
      <c r="H4058" s="6">
        <v>43.8278198242188</v>
      </c>
      <c r="I4058" s="6">
        <v>48.6772270202637</v>
      </c>
      <c r="J4058" s="6">
        <v>48.717372894287102</v>
      </c>
      <c r="K4058" s="6">
        <v>48.7973823547363</v>
      </c>
      <c r="L4058" s="6">
        <v>53.005374908447301</v>
      </c>
    </row>
    <row r="4059" spans="1:12" x14ac:dyDescent="0.25">
      <c r="A4059">
        <v>4126108</v>
      </c>
      <c r="B4059" t="str">
        <f t="shared" si="63"/>
        <v>SAO TOME, PR, Brasil</v>
      </c>
      <c r="C4059" s="4" t="str">
        <f>_xlfn.XLOOKUP(A4059,[1]!DadosGHD[CD_GEOCMU],[1]!DadosGHD[Região])</f>
        <v>SL</v>
      </c>
      <c r="D4059" s="4" t="str">
        <f>_xlfn.XLOOKUP(A4059,[1]!DadosGHD[CD_GEOCMU],[1]!DadosGHD[uf])</f>
        <v>PR</v>
      </c>
      <c r="E4059" s="5" t="str">
        <f>_xlfn.XLOOKUP(A4059,[1]!DadosGHD[CD_GEOCMU],[1]!DadosGHD[MUNICIPIO])</f>
        <v>SAO TOME</v>
      </c>
      <c r="F4059" s="6">
        <v>48.614677429199197</v>
      </c>
      <c r="G4059" s="6">
        <v>43.697216033935597</v>
      </c>
      <c r="H4059" s="6">
        <v>43.741371154785199</v>
      </c>
      <c r="I4059" s="6">
        <v>43.7544555664063</v>
      </c>
      <c r="J4059" s="6">
        <v>43.734046936035199</v>
      </c>
      <c r="K4059" s="6">
        <v>38.8066215515137</v>
      </c>
      <c r="L4059" s="6">
        <v>35.134967803955099</v>
      </c>
    </row>
    <row r="4060" spans="1:12" x14ac:dyDescent="0.25">
      <c r="A4060">
        <v>5106257</v>
      </c>
      <c r="B4060" t="str">
        <f t="shared" si="63"/>
        <v>NOVA XAVANTINA, MT, Brasil</v>
      </c>
      <c r="C4060" s="4" t="str">
        <f>_xlfn.XLOOKUP(A4060,[1]!DadosGHD[CD_GEOCMU],[1]!DadosGHD[Região])</f>
        <v>CO</v>
      </c>
      <c r="D4060" s="4" t="str">
        <f>_xlfn.XLOOKUP(A4060,[1]!DadosGHD[CD_GEOCMU],[1]!DadosGHD[uf])</f>
        <v>MT</v>
      </c>
      <c r="E4060" s="5" t="str">
        <f>_xlfn.XLOOKUP(A4060,[1]!DadosGHD[CD_GEOCMU],[1]!DadosGHD[MUNICIPIO])</f>
        <v>NOVA XAVANTINA</v>
      </c>
      <c r="F4060" s="6">
        <v>48.614860534667997</v>
      </c>
      <c r="G4060" s="6">
        <v>48.746417999267599</v>
      </c>
      <c r="H4060" s="6">
        <v>48.725765228271499</v>
      </c>
      <c r="I4060" s="6">
        <v>43.805011749267599</v>
      </c>
      <c r="J4060" s="6">
        <v>48.729644775390597</v>
      </c>
      <c r="K4060" s="6">
        <v>43.869762420654297</v>
      </c>
      <c r="L4060" s="6">
        <v>30.714990615844702</v>
      </c>
    </row>
    <row r="4061" spans="1:12" x14ac:dyDescent="0.25">
      <c r="A4061">
        <v>4124053</v>
      </c>
      <c r="B4061" t="str">
        <f t="shared" si="63"/>
        <v>SANTA TEREZINHA DE ITAIPU, PR, Brasil</v>
      </c>
      <c r="C4061" s="4" t="str">
        <f>_xlfn.XLOOKUP(A4061,[1]!DadosGHD[CD_GEOCMU],[1]!DadosGHD[Região])</f>
        <v>SL</v>
      </c>
      <c r="D4061" s="4" t="str">
        <f>_xlfn.XLOOKUP(A4061,[1]!DadosGHD[CD_GEOCMU],[1]!DadosGHD[uf])</f>
        <v>PR</v>
      </c>
      <c r="E4061" s="5" t="str">
        <f>_xlfn.XLOOKUP(A4061,[1]!DadosGHD[CD_GEOCMU],[1]!DadosGHD[MUNICIPIO])</f>
        <v>SANTA TEREZINHA DE ITAIPU</v>
      </c>
      <c r="F4061" s="6">
        <v>48.615192413330099</v>
      </c>
      <c r="G4061" s="6">
        <v>48.677894592285199</v>
      </c>
      <c r="H4061" s="6">
        <v>48.821201324462898</v>
      </c>
      <c r="I4061" s="6">
        <v>48.781742095947301</v>
      </c>
      <c r="J4061" s="6">
        <v>48.7782592773438</v>
      </c>
      <c r="K4061" s="6">
        <v>48.766292572021499</v>
      </c>
      <c r="L4061" s="6">
        <v>44.052158355712898</v>
      </c>
    </row>
    <row r="4062" spans="1:12" x14ac:dyDescent="0.25">
      <c r="A4062">
        <v>3525003</v>
      </c>
      <c r="B4062" t="str">
        <f t="shared" si="63"/>
        <v>JANDIRA, SP, Brasil</v>
      </c>
      <c r="C4062" s="4" t="str">
        <f>_xlfn.XLOOKUP(A4062,[1]!DadosGHD[CD_GEOCMU],[1]!DadosGHD[Região])</f>
        <v>SD</v>
      </c>
      <c r="D4062" s="4" t="str">
        <f>_xlfn.XLOOKUP(A4062,[1]!DadosGHD[CD_GEOCMU],[1]!DadosGHD[uf])</f>
        <v>SP</v>
      </c>
      <c r="E4062" s="5" t="str">
        <f>_xlfn.XLOOKUP(A4062,[1]!DadosGHD[CD_GEOCMU],[1]!DadosGHD[MUNICIPIO])</f>
        <v>JANDIRA</v>
      </c>
      <c r="F4062" s="6">
        <v>48.615257263183601</v>
      </c>
      <c r="G4062" s="6">
        <v>48.682228088378899</v>
      </c>
      <c r="H4062" s="6">
        <v>43.829769134521499</v>
      </c>
      <c r="I4062" s="6">
        <v>43.772682189941399</v>
      </c>
      <c r="J4062" s="6">
        <v>43.743034362792997</v>
      </c>
      <c r="K4062" s="6">
        <v>38.876091003417997</v>
      </c>
      <c r="L4062" s="6">
        <v>44.037895202636697</v>
      </c>
    </row>
    <row r="4063" spans="1:12" x14ac:dyDescent="0.25">
      <c r="A4063">
        <v>5200506</v>
      </c>
      <c r="B4063" t="str">
        <f t="shared" si="63"/>
        <v>ALOANDIA, GO, Brasil</v>
      </c>
      <c r="C4063" s="4" t="str">
        <f>_xlfn.XLOOKUP(A4063,[1]!DadosGHD[CD_GEOCMU],[1]!DadosGHD[Região])</f>
        <v>CO</v>
      </c>
      <c r="D4063" s="4" t="str">
        <f>_xlfn.XLOOKUP(A4063,[1]!DadosGHD[CD_GEOCMU],[1]!DadosGHD[uf])</f>
        <v>GO</v>
      </c>
      <c r="E4063" s="5" t="str">
        <f>_xlfn.XLOOKUP(A4063,[1]!DadosGHD[CD_GEOCMU],[1]!DadosGHD[MUNICIPIO])</f>
        <v>ALOANDIA</v>
      </c>
      <c r="F4063" s="6">
        <v>48.615272521972699</v>
      </c>
      <c r="G4063" s="6">
        <v>43.741439819335902</v>
      </c>
      <c r="H4063" s="6">
        <v>43.803558349609403</v>
      </c>
      <c r="I4063" s="6">
        <v>43.783485412597699</v>
      </c>
      <c r="J4063" s="6">
        <v>43.777278900146499</v>
      </c>
      <c r="K4063" s="6">
        <v>43.806674957275398</v>
      </c>
      <c r="L4063" s="6">
        <v>35.149711608886697</v>
      </c>
    </row>
    <row r="4064" spans="1:12" x14ac:dyDescent="0.25">
      <c r="A4064">
        <v>4215703</v>
      </c>
      <c r="B4064" t="str">
        <f t="shared" si="63"/>
        <v>SANTO AMARO DA IMPERATRIZ, SC, Brasil</v>
      </c>
      <c r="C4064" s="4" t="str">
        <f>_xlfn.XLOOKUP(A4064,[1]!DadosGHD[CD_GEOCMU],[1]!DadosGHD[Região])</f>
        <v>SL</v>
      </c>
      <c r="D4064" s="4" t="str">
        <f>_xlfn.XLOOKUP(A4064,[1]!DadosGHD[CD_GEOCMU],[1]!DadosGHD[uf])</f>
        <v>SC</v>
      </c>
      <c r="E4064" s="5" t="str">
        <f>_xlfn.XLOOKUP(A4064,[1]!DadosGHD[CD_GEOCMU],[1]!DadosGHD[MUNICIPIO])</f>
        <v>SANTO AMARO DA IMPERATRIZ</v>
      </c>
      <c r="F4064" s="6">
        <v>48.615386962890597</v>
      </c>
      <c r="G4064" s="6">
        <v>48.767818450927699</v>
      </c>
      <c r="H4064" s="6">
        <v>53.749176025390597</v>
      </c>
      <c r="I4064" s="6">
        <v>53.7440376281738</v>
      </c>
      <c r="J4064" s="6">
        <v>53.755550384521499</v>
      </c>
      <c r="K4064" s="6">
        <v>53.914226531982401</v>
      </c>
      <c r="L4064" s="6">
        <v>57.542572021484403</v>
      </c>
    </row>
    <row r="4065" spans="1:12" x14ac:dyDescent="0.25">
      <c r="A4065">
        <v>3305802</v>
      </c>
      <c r="B4065" t="str">
        <f t="shared" si="63"/>
        <v>TERESOPOLIS, RJ, Brasil</v>
      </c>
      <c r="C4065" s="4" t="str">
        <f>_xlfn.XLOOKUP(A4065,[1]!DadosGHD[CD_GEOCMU],[1]!DadosGHD[Região])</f>
        <v>SD</v>
      </c>
      <c r="D4065" s="4" t="str">
        <f>_xlfn.XLOOKUP(A4065,[1]!DadosGHD[CD_GEOCMU],[1]!DadosGHD[uf])</f>
        <v>RJ</v>
      </c>
      <c r="E4065" s="5" t="str">
        <f>_xlfn.XLOOKUP(A4065,[1]!DadosGHD[CD_GEOCMU],[1]!DadosGHD[MUNICIPIO])</f>
        <v>TERESOPOLIS</v>
      </c>
      <c r="F4065" s="6">
        <v>48.615501403808601</v>
      </c>
      <c r="G4065" s="6">
        <v>48.716106414794901</v>
      </c>
      <c r="H4065" s="6">
        <v>48.762466430664098</v>
      </c>
      <c r="I4065" s="6">
        <v>48.786239624023402</v>
      </c>
      <c r="J4065" s="6">
        <v>48.821460723877003</v>
      </c>
      <c r="K4065" s="6">
        <v>48.817668914794901</v>
      </c>
      <c r="L4065" s="6">
        <v>53.014568328857401</v>
      </c>
    </row>
    <row r="4066" spans="1:12" x14ac:dyDescent="0.25">
      <c r="A4066">
        <v>3549607</v>
      </c>
      <c r="B4066" t="str">
        <f t="shared" si="63"/>
        <v>SAO JOSE DO BARREIRO, SP, Brasil</v>
      </c>
      <c r="C4066" s="4" t="str">
        <f>_xlfn.XLOOKUP(A4066,[1]!DadosGHD[CD_GEOCMU],[1]!DadosGHD[Região])</f>
        <v>SD</v>
      </c>
      <c r="D4066" s="4" t="str">
        <f>_xlfn.XLOOKUP(A4066,[1]!DadosGHD[CD_GEOCMU],[1]!DadosGHD[uf])</f>
        <v>SP</v>
      </c>
      <c r="E4066" s="5" t="str">
        <f>_xlfn.XLOOKUP(A4066,[1]!DadosGHD[CD_GEOCMU],[1]!DadosGHD[MUNICIPIO])</f>
        <v>SAO JOSE DO BARREIRO</v>
      </c>
      <c r="F4066" s="6">
        <v>48.615669250488303</v>
      </c>
      <c r="G4066" s="6">
        <v>43.730037689208999</v>
      </c>
      <c r="H4066" s="6">
        <v>43.830276489257798</v>
      </c>
      <c r="I4066" s="6">
        <v>43.799633026123097</v>
      </c>
      <c r="J4066" s="6">
        <v>43.743423461914098</v>
      </c>
      <c r="K4066" s="6">
        <v>43.8025093078613</v>
      </c>
      <c r="L4066" s="6">
        <v>39.591632843017599</v>
      </c>
    </row>
    <row r="4067" spans="1:12" x14ac:dyDescent="0.25">
      <c r="A4067">
        <v>4100806</v>
      </c>
      <c r="B4067" t="str">
        <f t="shared" si="63"/>
        <v>ALVORADA DO SUL, PR, Brasil</v>
      </c>
      <c r="C4067" s="4" t="str">
        <f>_xlfn.XLOOKUP(A4067,[1]!DadosGHD[CD_GEOCMU],[1]!DadosGHD[Região])</f>
        <v>SL</v>
      </c>
      <c r="D4067" s="4" t="str">
        <f>_xlfn.XLOOKUP(A4067,[1]!DadosGHD[CD_GEOCMU],[1]!DadosGHD[uf])</f>
        <v>PR</v>
      </c>
      <c r="E4067" s="5" t="str">
        <f>_xlfn.XLOOKUP(A4067,[1]!DadosGHD[CD_GEOCMU],[1]!DadosGHD[MUNICIPIO])</f>
        <v>ALVORADA DO SUL</v>
      </c>
      <c r="F4067" s="6">
        <v>48.615798950195298</v>
      </c>
      <c r="G4067" s="6">
        <v>53.6645698547363</v>
      </c>
      <c r="H4067" s="6">
        <v>53.752681732177699</v>
      </c>
      <c r="I4067" s="6">
        <v>48.780712127685597</v>
      </c>
      <c r="J4067" s="6">
        <v>53.740966796875</v>
      </c>
      <c r="K4067" s="6">
        <v>48.8519096374512</v>
      </c>
      <c r="L4067" s="6">
        <v>44.0430717468262</v>
      </c>
    </row>
    <row r="4068" spans="1:12" x14ac:dyDescent="0.25">
      <c r="A4068">
        <v>1702307</v>
      </c>
      <c r="B4068" t="str">
        <f t="shared" si="63"/>
        <v>ARAPOEMA, TO, Brasil</v>
      </c>
      <c r="C4068" s="4" t="str">
        <f>_xlfn.XLOOKUP(A4068,[1]!DadosGHD[CD_GEOCMU],[1]!DadosGHD[Região])</f>
        <v>NO</v>
      </c>
      <c r="D4068" s="4" t="str">
        <f>_xlfn.XLOOKUP(A4068,[1]!DadosGHD[CD_GEOCMU],[1]!DadosGHD[uf])</f>
        <v>TO</v>
      </c>
      <c r="E4068" s="5" t="str">
        <f>_xlfn.XLOOKUP(A4068,[1]!DadosGHD[CD_GEOCMU],[1]!DadosGHD[MUNICIPIO])</f>
        <v>ARAPOEMA</v>
      </c>
      <c r="F4068" s="6">
        <v>48.616001129150398</v>
      </c>
      <c r="G4068" s="6">
        <v>48.671142578125</v>
      </c>
      <c r="H4068" s="6">
        <v>43.8241577148438</v>
      </c>
      <c r="I4068" s="6">
        <v>43.747161865234403</v>
      </c>
      <c r="J4068" s="6">
        <v>43.7144584655762</v>
      </c>
      <c r="K4068" s="6">
        <v>38.8510551452637</v>
      </c>
      <c r="L4068" s="6">
        <v>30.684026718139702</v>
      </c>
    </row>
    <row r="4069" spans="1:12" x14ac:dyDescent="0.25">
      <c r="A4069">
        <v>4206504</v>
      </c>
      <c r="B4069" t="str">
        <f t="shared" si="63"/>
        <v>GUARAMIRIM, SC, Brasil</v>
      </c>
      <c r="C4069" s="4" t="str">
        <f>_xlfn.XLOOKUP(A4069,[1]!DadosGHD[CD_GEOCMU],[1]!DadosGHD[Região])</f>
        <v>SL</v>
      </c>
      <c r="D4069" s="4" t="str">
        <f>_xlfn.XLOOKUP(A4069,[1]!DadosGHD[CD_GEOCMU],[1]!DadosGHD[uf])</f>
        <v>SC</v>
      </c>
      <c r="E4069" s="5" t="str">
        <f>_xlfn.XLOOKUP(A4069,[1]!DadosGHD[CD_GEOCMU],[1]!DadosGHD[MUNICIPIO])</f>
        <v>GUARAMIRIM</v>
      </c>
      <c r="F4069" s="6">
        <v>48.616176605224602</v>
      </c>
      <c r="G4069" s="6">
        <v>48.725765228271499</v>
      </c>
      <c r="H4069" s="6">
        <v>53.748992919921903</v>
      </c>
      <c r="I4069" s="6">
        <v>53.746730804443402</v>
      </c>
      <c r="J4069" s="6">
        <v>53.822147369384801</v>
      </c>
      <c r="K4069" s="6">
        <v>53.881103515625</v>
      </c>
      <c r="L4069" s="6">
        <v>53.011138916015597</v>
      </c>
    </row>
    <row r="4070" spans="1:12" x14ac:dyDescent="0.25">
      <c r="A4070">
        <v>5002209</v>
      </c>
      <c r="B4070" t="str">
        <f t="shared" si="63"/>
        <v>BONITO, MS, Brasil</v>
      </c>
      <c r="C4070" s="4" t="str">
        <f>_xlfn.XLOOKUP(A4070,[1]!DadosGHD[CD_GEOCMU],[1]!DadosGHD[Região])</f>
        <v>CO</v>
      </c>
      <c r="D4070" s="4" t="str">
        <f>_xlfn.XLOOKUP(A4070,[1]!DadosGHD[CD_GEOCMU],[1]!DadosGHD[uf])</f>
        <v>MS</v>
      </c>
      <c r="E4070" s="5" t="str">
        <f>_xlfn.XLOOKUP(A4070,[1]!DadosGHD[CD_GEOCMU],[1]!DadosGHD[MUNICIPIO])</f>
        <v>BONITO</v>
      </c>
      <c r="F4070" s="6">
        <v>48.616897583007798</v>
      </c>
      <c r="G4070" s="6">
        <v>48.667312622070298</v>
      </c>
      <c r="H4070" s="6">
        <v>48.837791442871101</v>
      </c>
      <c r="I4070" s="6">
        <v>48.803394317627003</v>
      </c>
      <c r="J4070" s="6">
        <v>48.751873016357401</v>
      </c>
      <c r="K4070" s="6">
        <v>48.772560119628899</v>
      </c>
      <c r="L4070" s="6">
        <v>35.122432708740199</v>
      </c>
    </row>
    <row r="4071" spans="1:12" x14ac:dyDescent="0.25">
      <c r="A4071">
        <v>4306601</v>
      </c>
      <c r="B4071" t="str">
        <f t="shared" si="63"/>
        <v>DOM PEDRITO, RS, Brasil</v>
      </c>
      <c r="C4071" s="4" t="str">
        <f>_xlfn.XLOOKUP(A4071,[1]!DadosGHD[CD_GEOCMU],[1]!DadosGHD[Região])</f>
        <v>SL</v>
      </c>
      <c r="D4071" s="4" t="str">
        <f>_xlfn.XLOOKUP(A4071,[1]!DadosGHD[CD_GEOCMU],[1]!DadosGHD[uf])</f>
        <v>RS</v>
      </c>
      <c r="E4071" s="5" t="str">
        <f>_xlfn.XLOOKUP(A4071,[1]!DadosGHD[CD_GEOCMU],[1]!DadosGHD[MUNICIPIO])</f>
        <v>DOM PEDRITO</v>
      </c>
      <c r="F4071" s="6">
        <v>48.617111206054702</v>
      </c>
      <c r="G4071" s="6">
        <v>53.6735229492188</v>
      </c>
      <c r="H4071" s="6">
        <v>53.837558746337898</v>
      </c>
      <c r="I4071" s="6">
        <v>53.847480773925803</v>
      </c>
      <c r="J4071" s="6">
        <v>53.892284393310597</v>
      </c>
      <c r="K4071" s="6">
        <v>53.957164764404297</v>
      </c>
      <c r="L4071" s="6">
        <v>53.023880004882798</v>
      </c>
    </row>
    <row r="4072" spans="1:12" x14ac:dyDescent="0.25">
      <c r="A4072">
        <v>4206603</v>
      </c>
      <c r="B4072" t="str">
        <f t="shared" si="63"/>
        <v>GUARUJA DO SUL, SC, Brasil</v>
      </c>
      <c r="C4072" s="4" t="str">
        <f>_xlfn.XLOOKUP(A4072,[1]!DadosGHD[CD_GEOCMU],[1]!DadosGHD[Região])</f>
        <v>SL</v>
      </c>
      <c r="D4072" s="4" t="str">
        <f>_xlfn.XLOOKUP(A4072,[1]!DadosGHD[CD_GEOCMU],[1]!DadosGHD[uf])</f>
        <v>SC</v>
      </c>
      <c r="E4072" s="5" t="str">
        <f>_xlfn.XLOOKUP(A4072,[1]!DadosGHD[CD_GEOCMU],[1]!DadosGHD[MUNICIPIO])</f>
        <v>GUARUJA DO SUL</v>
      </c>
      <c r="F4072" s="6">
        <v>48.617313385009801</v>
      </c>
      <c r="G4072" s="6">
        <v>53.669116973877003</v>
      </c>
      <c r="H4072" s="6">
        <v>43.840835571289098</v>
      </c>
      <c r="I4072" s="6">
        <v>48.723918914794901</v>
      </c>
      <c r="J4072" s="6">
        <v>53.848224639892599</v>
      </c>
      <c r="K4072" s="6">
        <v>53.8971977233887</v>
      </c>
      <c r="L4072" s="6">
        <v>53.054359436035199</v>
      </c>
    </row>
    <row r="4073" spans="1:12" x14ac:dyDescent="0.25">
      <c r="A4073">
        <v>3508405</v>
      </c>
      <c r="B4073" t="str">
        <f t="shared" si="63"/>
        <v>CABREUVA, SP, Brasil</v>
      </c>
      <c r="C4073" s="4" t="str">
        <f>_xlfn.XLOOKUP(A4073,[1]!DadosGHD[CD_GEOCMU],[1]!DadosGHD[Região])</f>
        <v>SD</v>
      </c>
      <c r="D4073" s="4" t="str">
        <f>_xlfn.XLOOKUP(A4073,[1]!DadosGHD[CD_GEOCMU],[1]!DadosGHD[uf])</f>
        <v>SP</v>
      </c>
      <c r="E4073" s="5" t="str">
        <f>_xlfn.XLOOKUP(A4073,[1]!DadosGHD[CD_GEOCMU],[1]!DadosGHD[MUNICIPIO])</f>
        <v>CABREUVA</v>
      </c>
      <c r="F4073" s="6">
        <v>48.617561340332003</v>
      </c>
      <c r="G4073" s="6">
        <v>48.684722900390597</v>
      </c>
      <c r="H4073" s="6">
        <v>48.723705291748097</v>
      </c>
      <c r="I4073" s="6">
        <v>43.769596099853501</v>
      </c>
      <c r="J4073" s="6">
        <v>43.758384704589801</v>
      </c>
      <c r="K4073" s="6">
        <v>43.832901000976598</v>
      </c>
      <c r="L4073" s="6">
        <v>44.049118041992202</v>
      </c>
    </row>
    <row r="4074" spans="1:12" x14ac:dyDescent="0.25">
      <c r="A4074">
        <v>4308250</v>
      </c>
      <c r="B4074" t="str">
        <f t="shared" si="63"/>
        <v>FLORIANO PEIXOTO, RS, Brasil</v>
      </c>
      <c r="C4074" s="4" t="str">
        <f>_xlfn.XLOOKUP(A4074,[1]!DadosGHD[CD_GEOCMU],[1]!DadosGHD[Região])</f>
        <v>SL</v>
      </c>
      <c r="D4074" s="4" t="str">
        <f>_xlfn.XLOOKUP(A4074,[1]!DadosGHD[CD_GEOCMU],[1]!DadosGHD[uf])</f>
        <v>RS</v>
      </c>
      <c r="E4074" s="5" t="str">
        <f>_xlfn.XLOOKUP(A4074,[1]!DadosGHD[CD_GEOCMU],[1]!DadosGHD[MUNICIPIO])</f>
        <v>FLORIANO PEIXOTO</v>
      </c>
      <c r="F4074" s="6">
        <v>48.617671966552699</v>
      </c>
      <c r="G4074" s="6">
        <v>53.6884574890137</v>
      </c>
      <c r="H4074" s="6">
        <v>53.8211669921875</v>
      </c>
      <c r="I4074" s="6">
        <v>53.783733367919901</v>
      </c>
      <c r="J4074" s="6">
        <v>53.861072540283203</v>
      </c>
      <c r="K4074" s="6">
        <v>53.923561096191399</v>
      </c>
      <c r="L4074" s="6">
        <v>44.063518524169901</v>
      </c>
    </row>
    <row r="4075" spans="1:12" x14ac:dyDescent="0.25">
      <c r="A4075">
        <v>3551504</v>
      </c>
      <c r="B4075" t="str">
        <f t="shared" si="63"/>
        <v>SERRANA, SP, Brasil</v>
      </c>
      <c r="C4075" s="4" t="str">
        <f>_xlfn.XLOOKUP(A4075,[1]!DadosGHD[CD_GEOCMU],[1]!DadosGHD[Região])</f>
        <v>SD</v>
      </c>
      <c r="D4075" s="4" t="str">
        <f>_xlfn.XLOOKUP(A4075,[1]!DadosGHD[CD_GEOCMU],[1]!DadosGHD[uf])</f>
        <v>SP</v>
      </c>
      <c r="E4075" s="5" t="str">
        <f>_xlfn.XLOOKUP(A4075,[1]!DadosGHD[CD_GEOCMU],[1]!DadosGHD[MUNICIPIO])</f>
        <v>SERRANA</v>
      </c>
      <c r="F4075" s="6">
        <v>48.6178169250488</v>
      </c>
      <c r="G4075" s="6">
        <v>48.683094024658203</v>
      </c>
      <c r="H4075" s="6">
        <v>43.8237915039063</v>
      </c>
      <c r="I4075" s="6">
        <v>48.680274963378899</v>
      </c>
      <c r="J4075" s="6">
        <v>43.778438568115199</v>
      </c>
      <c r="K4075" s="6">
        <v>43.855552673339801</v>
      </c>
      <c r="L4075" s="6">
        <v>48.528388977050803</v>
      </c>
    </row>
    <row r="4076" spans="1:12" x14ac:dyDescent="0.25">
      <c r="A4076">
        <v>4101200</v>
      </c>
      <c r="B4076" t="str">
        <f t="shared" si="63"/>
        <v>ANTONINA, PR, Brasil</v>
      </c>
      <c r="C4076" s="4" t="str">
        <f>_xlfn.XLOOKUP(A4076,[1]!DadosGHD[CD_GEOCMU],[1]!DadosGHD[Região])</f>
        <v>SL</v>
      </c>
      <c r="D4076" s="4" t="str">
        <f>_xlfn.XLOOKUP(A4076,[1]!DadosGHD[CD_GEOCMU],[1]!DadosGHD[uf])</f>
        <v>PR</v>
      </c>
      <c r="E4076" s="5" t="str">
        <f>_xlfn.XLOOKUP(A4076,[1]!DadosGHD[CD_GEOCMU],[1]!DadosGHD[MUNICIPIO])</f>
        <v>ANTONINA</v>
      </c>
      <c r="F4076" s="6">
        <v>48.618118286132798</v>
      </c>
      <c r="G4076" s="6">
        <v>48.6821479797363</v>
      </c>
      <c r="H4076" s="6">
        <v>48.780616760253899</v>
      </c>
      <c r="I4076" s="6">
        <v>48.748802185058601</v>
      </c>
      <c r="J4076" s="6">
        <v>48.764339447021499</v>
      </c>
      <c r="K4076" s="6">
        <v>48.870594024658203</v>
      </c>
      <c r="L4076" s="6">
        <v>53.049221038818402</v>
      </c>
    </row>
    <row r="4077" spans="1:12" x14ac:dyDescent="0.25">
      <c r="A4077">
        <v>3502606</v>
      </c>
      <c r="B4077" t="str">
        <f t="shared" si="63"/>
        <v>APARECIDA D'OESTE, SP, Brasil</v>
      </c>
      <c r="C4077" s="4" t="str">
        <f>_xlfn.XLOOKUP(A4077,[1]!DadosGHD[CD_GEOCMU],[1]!DadosGHD[Região])</f>
        <v>SD</v>
      </c>
      <c r="D4077" s="4" t="str">
        <f>_xlfn.XLOOKUP(A4077,[1]!DadosGHD[CD_GEOCMU],[1]!DadosGHD[uf])</f>
        <v>SP</v>
      </c>
      <c r="E4077" s="5" t="str">
        <f>_xlfn.XLOOKUP(A4077,[1]!DadosGHD[CD_GEOCMU],[1]!DadosGHD[MUNICIPIO])</f>
        <v>APARECIDA D'OESTE</v>
      </c>
      <c r="F4077" s="6">
        <v>48.618228912353501</v>
      </c>
      <c r="G4077" s="6">
        <v>48.665267944335902</v>
      </c>
      <c r="H4077" s="6">
        <v>48.843448638916001</v>
      </c>
      <c r="I4077" s="6">
        <v>48.804733276367202</v>
      </c>
      <c r="J4077" s="6">
        <v>48.717113494873097</v>
      </c>
      <c r="K4077" s="6">
        <v>43.785633087158203</v>
      </c>
      <c r="L4077" s="6">
        <v>30.708694458007798</v>
      </c>
    </row>
    <row r="4078" spans="1:12" x14ac:dyDescent="0.25">
      <c r="A4078">
        <v>3519006</v>
      </c>
      <c r="B4078" t="str">
        <f t="shared" si="63"/>
        <v>HERCULANDIA, SP, Brasil</v>
      </c>
      <c r="C4078" s="4" t="str">
        <f>_xlfn.XLOOKUP(A4078,[1]!DadosGHD[CD_GEOCMU],[1]!DadosGHD[Região])</f>
        <v>SD</v>
      </c>
      <c r="D4078" s="4" t="str">
        <f>_xlfn.XLOOKUP(A4078,[1]!DadosGHD[CD_GEOCMU],[1]!DadosGHD[uf])</f>
        <v>SP</v>
      </c>
      <c r="E4078" s="5" t="str">
        <f>_xlfn.XLOOKUP(A4078,[1]!DadosGHD[CD_GEOCMU],[1]!DadosGHD[MUNICIPIO])</f>
        <v>HERCULANDIA</v>
      </c>
      <c r="F4078" s="6">
        <v>48.618412017822301</v>
      </c>
      <c r="G4078" s="6">
        <v>48.728271484375</v>
      </c>
      <c r="H4078" s="6">
        <v>48.805213928222699</v>
      </c>
      <c r="I4078" s="6">
        <v>48.804141998291001</v>
      </c>
      <c r="J4078" s="6">
        <v>48.821662902832003</v>
      </c>
      <c r="K4078" s="6">
        <v>48.830692291259801</v>
      </c>
      <c r="L4078" s="6">
        <v>57.498191833496101</v>
      </c>
    </row>
    <row r="4079" spans="1:12" x14ac:dyDescent="0.25">
      <c r="A4079">
        <v>4101051</v>
      </c>
      <c r="B4079" t="str">
        <f t="shared" si="63"/>
        <v>ANAHY, PR, Brasil</v>
      </c>
      <c r="C4079" s="4" t="str">
        <f>_xlfn.XLOOKUP(A4079,[1]!DadosGHD[CD_GEOCMU],[1]!DadosGHD[Região])</f>
        <v>SL</v>
      </c>
      <c r="D4079" s="4" t="str">
        <f>_xlfn.XLOOKUP(A4079,[1]!DadosGHD[CD_GEOCMU],[1]!DadosGHD[uf])</f>
        <v>PR</v>
      </c>
      <c r="E4079" s="5" t="str">
        <f>_xlfn.XLOOKUP(A4079,[1]!DadosGHD[CD_GEOCMU],[1]!DadosGHD[MUNICIPIO])</f>
        <v>ANAHY</v>
      </c>
      <c r="F4079" s="6">
        <v>48.618453979492202</v>
      </c>
      <c r="G4079" s="6">
        <v>48.648399353027301</v>
      </c>
      <c r="H4079" s="6">
        <v>43.803737640380902</v>
      </c>
      <c r="I4079" s="6">
        <v>43.739208221435597</v>
      </c>
      <c r="J4079" s="6">
        <v>43.756065368652301</v>
      </c>
      <c r="K4079" s="6">
        <v>43.758323669433601</v>
      </c>
      <c r="L4079" s="6">
        <v>35.130287170410199</v>
      </c>
    </row>
    <row r="4080" spans="1:12" x14ac:dyDescent="0.25">
      <c r="A4080">
        <v>3163201</v>
      </c>
      <c r="B4080" t="str">
        <f t="shared" si="63"/>
        <v>SAO JOSE DO ALEGRE, MG, Brasil</v>
      </c>
      <c r="C4080" s="4" t="str">
        <f>_xlfn.XLOOKUP(A4080,[1]!DadosGHD[CD_GEOCMU],[1]!DadosGHD[Região])</f>
        <v>SD</v>
      </c>
      <c r="D4080" s="4" t="str">
        <f>_xlfn.XLOOKUP(A4080,[1]!DadosGHD[CD_GEOCMU],[1]!DadosGHD[uf])</f>
        <v>MG</v>
      </c>
      <c r="E4080" s="5" t="str">
        <f>_xlfn.XLOOKUP(A4080,[1]!DadosGHD[CD_GEOCMU],[1]!DadosGHD[MUNICIPIO])</f>
        <v>SAO JOSE DO ALEGRE</v>
      </c>
      <c r="F4080" s="6">
        <v>48.618564605712898</v>
      </c>
      <c r="G4080" s="6">
        <v>48.6911430358887</v>
      </c>
      <c r="H4080" s="6">
        <v>48.818252563476598</v>
      </c>
      <c r="I4080" s="6">
        <v>53.770336151123097</v>
      </c>
      <c r="J4080" s="6">
        <v>53.742240905761697</v>
      </c>
      <c r="K4080" s="6">
        <v>53.891677856445298</v>
      </c>
      <c r="L4080" s="6">
        <v>48.542552947998097</v>
      </c>
    </row>
    <row r="4081" spans="1:12" x14ac:dyDescent="0.25">
      <c r="A4081">
        <v>3543709</v>
      </c>
      <c r="B4081" t="str">
        <f t="shared" si="63"/>
        <v>RINCAO, SP, Brasil</v>
      </c>
      <c r="C4081" s="4" t="str">
        <f>_xlfn.XLOOKUP(A4081,[1]!DadosGHD[CD_GEOCMU],[1]!DadosGHD[Região])</f>
        <v>SD</v>
      </c>
      <c r="D4081" s="4" t="str">
        <f>_xlfn.XLOOKUP(A4081,[1]!DadosGHD[CD_GEOCMU],[1]!DadosGHD[uf])</f>
        <v>SP</v>
      </c>
      <c r="E4081" s="5" t="str">
        <f>_xlfn.XLOOKUP(A4081,[1]!DadosGHD[CD_GEOCMU],[1]!DadosGHD[MUNICIPIO])</f>
        <v>RINCAO</v>
      </c>
      <c r="F4081" s="6">
        <v>48.619003295898402</v>
      </c>
      <c r="G4081" s="6">
        <v>48.665889739990199</v>
      </c>
      <c r="H4081" s="6">
        <v>43.840305328369098</v>
      </c>
      <c r="I4081" s="6">
        <v>48.698566436767599</v>
      </c>
      <c r="J4081" s="6">
        <v>43.804935455322301</v>
      </c>
      <c r="K4081" s="6">
        <v>43.883121490478501</v>
      </c>
      <c r="L4081" s="6">
        <v>52.994068145752003</v>
      </c>
    </row>
    <row r="4082" spans="1:12" x14ac:dyDescent="0.25">
      <c r="A4082">
        <v>3300225</v>
      </c>
      <c r="B4082" t="str">
        <f t="shared" si="63"/>
        <v>AREAL, RJ, Brasil</v>
      </c>
      <c r="C4082" s="4" t="str">
        <f>_xlfn.XLOOKUP(A4082,[1]!DadosGHD[CD_GEOCMU],[1]!DadosGHD[Região])</f>
        <v>SD</v>
      </c>
      <c r="D4082" s="4" t="str">
        <f>_xlfn.XLOOKUP(A4082,[1]!DadosGHD[CD_GEOCMU],[1]!DadosGHD[uf])</f>
        <v>RJ</v>
      </c>
      <c r="E4082" s="5" t="str">
        <f>_xlfn.XLOOKUP(A4082,[1]!DadosGHD[CD_GEOCMU],[1]!DadosGHD[MUNICIPIO])</f>
        <v>AREAL</v>
      </c>
      <c r="F4082" s="6">
        <v>48.619106292724602</v>
      </c>
      <c r="G4082" s="6">
        <v>48.653617858886697</v>
      </c>
      <c r="H4082" s="6">
        <v>43.738605499267599</v>
      </c>
      <c r="I4082" s="6">
        <v>43.7295951843262</v>
      </c>
      <c r="J4082" s="6">
        <v>43.716484069824197</v>
      </c>
      <c r="K4082" s="6">
        <v>38.830268859863303</v>
      </c>
      <c r="L4082" s="6">
        <v>48.490718841552699</v>
      </c>
    </row>
    <row r="4083" spans="1:12" x14ac:dyDescent="0.25">
      <c r="A4083">
        <v>3517505</v>
      </c>
      <c r="B4083" t="str">
        <f t="shared" si="63"/>
        <v>GUAPIACU, SP, Brasil</v>
      </c>
      <c r="C4083" s="4" t="str">
        <f>_xlfn.XLOOKUP(A4083,[1]!DadosGHD[CD_GEOCMU],[1]!DadosGHD[Região])</f>
        <v>SD</v>
      </c>
      <c r="D4083" s="4" t="str">
        <f>_xlfn.XLOOKUP(A4083,[1]!DadosGHD[CD_GEOCMU],[1]!DadosGHD[uf])</f>
        <v>SP</v>
      </c>
      <c r="E4083" s="5" t="str">
        <f>_xlfn.XLOOKUP(A4083,[1]!DadosGHD[CD_GEOCMU],[1]!DadosGHD[MUNICIPIO])</f>
        <v>GUAPIACU</v>
      </c>
      <c r="F4083" s="6">
        <v>48.619285583496101</v>
      </c>
      <c r="G4083" s="6">
        <v>48.644645690917997</v>
      </c>
      <c r="H4083" s="6">
        <v>43.782833099365199</v>
      </c>
      <c r="I4083" s="6">
        <v>43.693000793457003</v>
      </c>
      <c r="J4083" s="6">
        <v>38.832176208496101</v>
      </c>
      <c r="K4083" s="6">
        <v>38.852977752685597</v>
      </c>
      <c r="L4083" s="6">
        <v>30.7025451660156</v>
      </c>
    </row>
    <row r="4084" spans="1:12" x14ac:dyDescent="0.25">
      <c r="A4084">
        <v>4203303</v>
      </c>
      <c r="B4084" t="str">
        <f t="shared" si="63"/>
        <v>CAMPO ALEGRE, SC, Brasil</v>
      </c>
      <c r="C4084" s="4" t="str">
        <f>_xlfn.XLOOKUP(A4084,[1]!DadosGHD[CD_GEOCMU],[1]!DadosGHD[Região])</f>
        <v>SL</v>
      </c>
      <c r="D4084" s="4" t="str">
        <f>_xlfn.XLOOKUP(A4084,[1]!DadosGHD[CD_GEOCMU],[1]!DadosGHD[uf])</f>
        <v>SC</v>
      </c>
      <c r="E4084" s="5" t="str">
        <f>_xlfn.XLOOKUP(A4084,[1]!DadosGHD[CD_GEOCMU],[1]!DadosGHD[MUNICIPIO])</f>
        <v>CAMPO ALEGRE</v>
      </c>
      <c r="F4084" s="6">
        <v>48.619426727294901</v>
      </c>
      <c r="G4084" s="6">
        <v>48.7090454101563</v>
      </c>
      <c r="H4084" s="6">
        <v>48.842029571533203</v>
      </c>
      <c r="I4084" s="6">
        <v>48.821395874023402</v>
      </c>
      <c r="J4084" s="6">
        <v>53.825893402099602</v>
      </c>
      <c r="K4084" s="6">
        <v>53.847110748291001</v>
      </c>
      <c r="L4084" s="6">
        <v>48.538864135742202</v>
      </c>
    </row>
    <row r="4085" spans="1:12" x14ac:dyDescent="0.25">
      <c r="A4085">
        <v>3143104</v>
      </c>
      <c r="B4085" t="str">
        <f t="shared" si="63"/>
        <v>MONTE CARMELO, MG, Brasil</v>
      </c>
      <c r="C4085" s="4" t="str">
        <f>_xlfn.XLOOKUP(A4085,[1]!DadosGHD[CD_GEOCMU],[1]!DadosGHD[Região])</f>
        <v>SD</v>
      </c>
      <c r="D4085" s="4" t="str">
        <f>_xlfn.XLOOKUP(A4085,[1]!DadosGHD[CD_GEOCMU],[1]!DadosGHD[uf])</f>
        <v>MG</v>
      </c>
      <c r="E4085" s="5" t="str">
        <f>_xlfn.XLOOKUP(A4085,[1]!DadosGHD[CD_GEOCMU],[1]!DadosGHD[MUNICIPIO])</f>
        <v>MONTE CARMELO</v>
      </c>
      <c r="F4085" s="6">
        <v>48.6196899414063</v>
      </c>
      <c r="G4085" s="6">
        <v>48.742000579833999</v>
      </c>
      <c r="H4085" s="6">
        <v>48.813442230224602</v>
      </c>
      <c r="I4085" s="6">
        <v>48.801082611083999</v>
      </c>
      <c r="J4085" s="6">
        <v>48.827629089355497</v>
      </c>
      <c r="K4085" s="6">
        <v>48.813838958740199</v>
      </c>
      <c r="L4085" s="6">
        <v>44.069133758544901</v>
      </c>
    </row>
    <row r="4086" spans="1:12" x14ac:dyDescent="0.25">
      <c r="A4086">
        <v>3171105</v>
      </c>
      <c r="B4086" t="str">
        <f t="shared" si="63"/>
        <v>VERISSIMO, MG, Brasil</v>
      </c>
      <c r="C4086" s="4" t="str">
        <f>_xlfn.XLOOKUP(A4086,[1]!DadosGHD[CD_GEOCMU],[1]!DadosGHD[Região])</f>
        <v>SD</v>
      </c>
      <c r="D4086" s="4" t="str">
        <f>_xlfn.XLOOKUP(A4086,[1]!DadosGHD[CD_GEOCMU],[1]!DadosGHD[uf])</f>
        <v>MG</v>
      </c>
      <c r="E4086" s="5" t="str">
        <f>_xlfn.XLOOKUP(A4086,[1]!DadosGHD[CD_GEOCMU],[1]!DadosGHD[MUNICIPIO])</f>
        <v>VERISSIMO</v>
      </c>
      <c r="F4086" s="6">
        <v>48.619773864746101</v>
      </c>
      <c r="G4086" s="6">
        <v>43.7502250671387</v>
      </c>
      <c r="H4086" s="6">
        <v>38.771270751953097</v>
      </c>
      <c r="I4086" s="6">
        <v>48.689128875732401</v>
      </c>
      <c r="J4086" s="6">
        <v>43.745807647705099</v>
      </c>
      <c r="K4086" s="6">
        <v>38.885929107666001</v>
      </c>
      <c r="L4086" s="6">
        <v>39.586467742919901</v>
      </c>
    </row>
    <row r="4087" spans="1:12" x14ac:dyDescent="0.25">
      <c r="A4087">
        <v>3501707</v>
      </c>
      <c r="B4087" t="str">
        <f t="shared" si="63"/>
        <v>AMERICO BRASILIENSE, SP, Brasil</v>
      </c>
      <c r="C4087" s="4" t="str">
        <f>_xlfn.XLOOKUP(A4087,[1]!DadosGHD[CD_GEOCMU],[1]!DadosGHD[Região])</f>
        <v>SD</v>
      </c>
      <c r="D4087" s="4" t="str">
        <f>_xlfn.XLOOKUP(A4087,[1]!DadosGHD[CD_GEOCMU],[1]!DadosGHD[uf])</f>
        <v>SP</v>
      </c>
      <c r="E4087" s="5" t="str">
        <f>_xlfn.XLOOKUP(A4087,[1]!DadosGHD[CD_GEOCMU],[1]!DadosGHD[MUNICIPIO])</f>
        <v>AMERICO BRASILIENSE</v>
      </c>
      <c r="F4087" s="6">
        <v>48.619922637939503</v>
      </c>
      <c r="G4087" s="6">
        <v>43.755836486816399</v>
      </c>
      <c r="H4087" s="6">
        <v>43.828723907470703</v>
      </c>
      <c r="I4087" s="6">
        <v>48.704227447509801</v>
      </c>
      <c r="J4087" s="6">
        <v>43.824649810791001</v>
      </c>
      <c r="K4087" s="6">
        <v>48.795078277587898</v>
      </c>
      <c r="L4087" s="6">
        <v>57.525279998779297</v>
      </c>
    </row>
    <row r="4088" spans="1:12" x14ac:dyDescent="0.25">
      <c r="A4088">
        <v>4123907</v>
      </c>
      <c r="B4088" t="str">
        <f t="shared" si="63"/>
        <v>SANTA MARIANA, PR, Brasil</v>
      </c>
      <c r="C4088" s="4" t="str">
        <f>_xlfn.XLOOKUP(A4088,[1]!DadosGHD[CD_GEOCMU],[1]!DadosGHD[Região])</f>
        <v>SL</v>
      </c>
      <c r="D4088" s="4" t="str">
        <f>_xlfn.XLOOKUP(A4088,[1]!DadosGHD[CD_GEOCMU],[1]!DadosGHD[uf])</f>
        <v>PR</v>
      </c>
      <c r="E4088" s="5" t="str">
        <f>_xlfn.XLOOKUP(A4088,[1]!DadosGHD[CD_GEOCMU],[1]!DadosGHD[MUNICIPIO])</f>
        <v>SANTA MARIANA</v>
      </c>
      <c r="F4088" s="6">
        <v>48.619956970214801</v>
      </c>
      <c r="G4088" s="6">
        <v>48.738460540771499</v>
      </c>
      <c r="H4088" s="6">
        <v>48.787124633789098</v>
      </c>
      <c r="I4088" s="6">
        <v>48.7476615905762</v>
      </c>
      <c r="J4088" s="6">
        <v>48.725658416748097</v>
      </c>
      <c r="K4088" s="6">
        <v>48.902923583984403</v>
      </c>
      <c r="L4088" s="6">
        <v>53.03271484375</v>
      </c>
    </row>
    <row r="4089" spans="1:12" x14ac:dyDescent="0.25">
      <c r="A4089">
        <v>5104203</v>
      </c>
      <c r="B4089" t="str">
        <f t="shared" si="63"/>
        <v>GUIRATINGA, MT, Brasil</v>
      </c>
      <c r="C4089" s="4" t="str">
        <f>_xlfn.XLOOKUP(A4089,[1]!DadosGHD[CD_GEOCMU],[1]!DadosGHD[Região])</f>
        <v>CO</v>
      </c>
      <c r="D4089" s="4" t="str">
        <f>_xlfn.XLOOKUP(A4089,[1]!DadosGHD[CD_GEOCMU],[1]!DadosGHD[uf])</f>
        <v>MT</v>
      </c>
      <c r="E4089" s="5" t="str">
        <f>_xlfn.XLOOKUP(A4089,[1]!DadosGHD[CD_GEOCMU],[1]!DadosGHD[MUNICIPIO])</f>
        <v>GUIRATINGA</v>
      </c>
      <c r="F4089" s="6">
        <v>48.619979858398402</v>
      </c>
      <c r="G4089" s="6">
        <v>48.717334747314503</v>
      </c>
      <c r="H4089" s="6">
        <v>48.740787506103501</v>
      </c>
      <c r="I4089" s="6">
        <v>48.689846038818402</v>
      </c>
      <c r="J4089" s="6">
        <v>43.781852722167997</v>
      </c>
      <c r="K4089" s="6">
        <v>43.785194396972699</v>
      </c>
      <c r="L4089" s="6">
        <v>39.601936340332003</v>
      </c>
    </row>
    <row r="4090" spans="1:12" x14ac:dyDescent="0.25">
      <c r="A4090">
        <v>3128006</v>
      </c>
      <c r="B4090" t="str">
        <f t="shared" si="63"/>
        <v>GUANHAES, MG, Brasil</v>
      </c>
      <c r="C4090" s="4" t="str">
        <f>_xlfn.XLOOKUP(A4090,[1]!DadosGHD[CD_GEOCMU],[1]!DadosGHD[Região])</f>
        <v>SD</v>
      </c>
      <c r="D4090" s="4" t="str">
        <f>_xlfn.XLOOKUP(A4090,[1]!DadosGHD[CD_GEOCMU],[1]!DadosGHD[uf])</f>
        <v>MG</v>
      </c>
      <c r="E4090" s="5" t="str">
        <f>_xlfn.XLOOKUP(A4090,[1]!DadosGHD[CD_GEOCMU],[1]!DadosGHD[MUNICIPIO])</f>
        <v>GUANHAES</v>
      </c>
      <c r="F4090" s="6">
        <v>48.620216369628899</v>
      </c>
      <c r="G4090" s="6">
        <v>48.6361083984375</v>
      </c>
      <c r="H4090" s="6">
        <v>53.761314392089801</v>
      </c>
      <c r="I4090" s="6">
        <v>48.749706268310597</v>
      </c>
      <c r="J4090" s="6">
        <v>43.790699005127003</v>
      </c>
      <c r="K4090" s="6">
        <v>43.868228912353501</v>
      </c>
      <c r="L4090" s="6">
        <v>39.604045867919901</v>
      </c>
    </row>
    <row r="4091" spans="1:12" x14ac:dyDescent="0.25">
      <c r="A4091">
        <v>3530904</v>
      </c>
      <c r="B4091" t="str">
        <f t="shared" si="63"/>
        <v>MOMBUCA, SP, Brasil</v>
      </c>
      <c r="C4091" s="4" t="str">
        <f>_xlfn.XLOOKUP(A4091,[1]!DadosGHD[CD_GEOCMU],[1]!DadosGHD[Região])</f>
        <v>SD</v>
      </c>
      <c r="D4091" s="4" t="str">
        <f>_xlfn.XLOOKUP(A4091,[1]!DadosGHD[CD_GEOCMU],[1]!DadosGHD[uf])</f>
        <v>SP</v>
      </c>
      <c r="E4091" s="5" t="str">
        <f>_xlfn.XLOOKUP(A4091,[1]!DadosGHD[CD_GEOCMU],[1]!DadosGHD[MUNICIPIO])</f>
        <v>MOMBUCA</v>
      </c>
      <c r="F4091" s="6">
        <v>48.620769500732401</v>
      </c>
      <c r="G4091" s="6">
        <v>48.646209716796903</v>
      </c>
      <c r="H4091" s="6">
        <v>48.730777740478501</v>
      </c>
      <c r="I4091" s="6">
        <v>53.832542419433601</v>
      </c>
      <c r="J4091" s="6">
        <v>53.886131286621101</v>
      </c>
      <c r="K4091" s="6">
        <v>53.896442413330099</v>
      </c>
      <c r="L4091" s="6">
        <v>53.021453857421903</v>
      </c>
    </row>
    <row r="4092" spans="1:12" x14ac:dyDescent="0.25">
      <c r="A4092">
        <v>3201001</v>
      </c>
      <c r="B4092" t="str">
        <f t="shared" si="63"/>
        <v>BOA ESPERANCA, ES, Brasil</v>
      </c>
      <c r="C4092" s="4" t="str">
        <f>_xlfn.XLOOKUP(A4092,[1]!DadosGHD[CD_GEOCMU],[1]!DadosGHD[Região])</f>
        <v>SD</v>
      </c>
      <c r="D4092" s="4" t="str">
        <f>_xlfn.XLOOKUP(A4092,[1]!DadosGHD[CD_GEOCMU],[1]!DadosGHD[uf])</f>
        <v>ES</v>
      </c>
      <c r="E4092" s="5" t="str">
        <f>_xlfn.XLOOKUP(A4092,[1]!DadosGHD[CD_GEOCMU],[1]!DadosGHD[MUNICIPIO])</f>
        <v>BOA ESPERANCA</v>
      </c>
      <c r="F4092" s="6">
        <v>48.621047973632798</v>
      </c>
      <c r="G4092" s="6">
        <v>48.766750335693402</v>
      </c>
      <c r="H4092" s="6">
        <v>53.760269165039098</v>
      </c>
      <c r="I4092" s="6">
        <v>53.711513519287102</v>
      </c>
      <c r="J4092" s="6">
        <v>48.795589447021499</v>
      </c>
      <c r="K4092" s="6">
        <v>43.824699401855497</v>
      </c>
      <c r="L4092" s="6">
        <v>39.589164733886697</v>
      </c>
    </row>
    <row r="4093" spans="1:12" x14ac:dyDescent="0.25">
      <c r="A4093">
        <v>3302809</v>
      </c>
      <c r="B4093" t="str">
        <f t="shared" si="63"/>
        <v>MENDES, RJ, Brasil</v>
      </c>
      <c r="C4093" s="4" t="str">
        <f>_xlfn.XLOOKUP(A4093,[1]!DadosGHD[CD_GEOCMU],[1]!DadosGHD[Região])</f>
        <v>SD</v>
      </c>
      <c r="D4093" s="4" t="str">
        <f>_xlfn.XLOOKUP(A4093,[1]!DadosGHD[CD_GEOCMU],[1]!DadosGHD[uf])</f>
        <v>RJ</v>
      </c>
      <c r="E4093" s="5" t="str">
        <f>_xlfn.XLOOKUP(A4093,[1]!DadosGHD[CD_GEOCMU],[1]!DadosGHD[MUNICIPIO])</f>
        <v>MENDES</v>
      </c>
      <c r="F4093" s="6">
        <v>48.621253967285199</v>
      </c>
      <c r="G4093" s="6">
        <v>48.6990356445313</v>
      </c>
      <c r="H4093" s="6">
        <v>48.759597778320298</v>
      </c>
      <c r="I4093" s="6">
        <v>48.754638671875</v>
      </c>
      <c r="J4093" s="6">
        <v>48.747512817382798</v>
      </c>
      <c r="K4093" s="6">
        <v>48.806995391845703</v>
      </c>
      <c r="L4093" s="6">
        <v>39.570316314697301</v>
      </c>
    </row>
    <row r="4094" spans="1:12" x14ac:dyDescent="0.25">
      <c r="A4094">
        <v>4215109</v>
      </c>
      <c r="B4094" t="str">
        <f t="shared" si="63"/>
        <v>RODEIO, SC, Brasil</v>
      </c>
      <c r="C4094" s="4" t="str">
        <f>_xlfn.XLOOKUP(A4094,[1]!DadosGHD[CD_GEOCMU],[1]!DadosGHD[Região])</f>
        <v>SL</v>
      </c>
      <c r="D4094" s="4" t="str">
        <f>_xlfn.XLOOKUP(A4094,[1]!DadosGHD[CD_GEOCMU],[1]!DadosGHD[uf])</f>
        <v>SC</v>
      </c>
      <c r="E4094" s="5" t="str">
        <f>_xlfn.XLOOKUP(A4094,[1]!DadosGHD[CD_GEOCMU],[1]!DadosGHD[MUNICIPIO])</f>
        <v>RODEIO</v>
      </c>
      <c r="F4094" s="6">
        <v>48.621364593505902</v>
      </c>
      <c r="G4094" s="6">
        <v>48.7095336914063</v>
      </c>
      <c r="H4094" s="6">
        <v>53.773246765136697</v>
      </c>
      <c r="I4094" s="6">
        <v>48.811435699462898</v>
      </c>
      <c r="J4094" s="6">
        <v>53.880973815917997</v>
      </c>
      <c r="K4094" s="6">
        <v>53.886611938476598</v>
      </c>
      <c r="L4094" s="6">
        <v>57.580089569091797</v>
      </c>
    </row>
    <row r="4095" spans="1:12" x14ac:dyDescent="0.25">
      <c r="A4095">
        <v>4110409</v>
      </c>
      <c r="B4095" t="str">
        <f t="shared" si="63"/>
        <v>INDIANOPOLIS, PR, Brasil</v>
      </c>
      <c r="C4095" s="4" t="str">
        <f>_xlfn.XLOOKUP(A4095,[1]!DadosGHD[CD_GEOCMU],[1]!DadosGHD[Região])</f>
        <v>SL</v>
      </c>
      <c r="D4095" s="4" t="str">
        <f>_xlfn.XLOOKUP(A4095,[1]!DadosGHD[CD_GEOCMU],[1]!DadosGHD[uf])</f>
        <v>PR</v>
      </c>
      <c r="E4095" s="5" t="str">
        <f>_xlfn.XLOOKUP(A4095,[1]!DadosGHD[CD_GEOCMU],[1]!DadosGHD[MUNICIPIO])</f>
        <v>INDIANOPOLIS</v>
      </c>
      <c r="F4095" s="6">
        <v>48.621379852294901</v>
      </c>
      <c r="G4095" s="6">
        <v>53.659725189208999</v>
      </c>
      <c r="H4095" s="6">
        <v>53.794521331787102</v>
      </c>
      <c r="I4095" s="6">
        <v>53.852794647216797</v>
      </c>
      <c r="J4095" s="6">
        <v>53.850578308105497</v>
      </c>
      <c r="K4095" s="6">
        <v>48.906047821044901</v>
      </c>
      <c r="L4095" s="6">
        <v>52.996623992919901</v>
      </c>
    </row>
    <row r="4096" spans="1:12" x14ac:dyDescent="0.25">
      <c r="A4096">
        <v>4123600</v>
      </c>
      <c r="B4096" t="str">
        <f t="shared" si="63"/>
        <v>SANTA INES, PR, Brasil</v>
      </c>
      <c r="C4096" s="4" t="str">
        <f>_xlfn.XLOOKUP(A4096,[1]!DadosGHD[CD_GEOCMU],[1]!DadosGHD[Região])</f>
        <v>SL</v>
      </c>
      <c r="D4096" s="4" t="str">
        <f>_xlfn.XLOOKUP(A4096,[1]!DadosGHD[CD_GEOCMU],[1]!DadosGHD[uf])</f>
        <v>PR</v>
      </c>
      <c r="E4096" s="5" t="str">
        <f>_xlfn.XLOOKUP(A4096,[1]!DadosGHD[CD_GEOCMU],[1]!DadosGHD[MUNICIPIO])</f>
        <v>SANTA INES</v>
      </c>
      <c r="F4096" s="6">
        <v>48.622177124023402</v>
      </c>
      <c r="G4096" s="6">
        <v>48.640342712402301</v>
      </c>
      <c r="H4096" s="6">
        <v>43.819526672363303</v>
      </c>
      <c r="I4096" s="6">
        <v>43.7822074890137</v>
      </c>
      <c r="J4096" s="6">
        <v>48.697410583496101</v>
      </c>
      <c r="K4096" s="6">
        <v>38.788764953613303</v>
      </c>
      <c r="L4096" s="6">
        <v>39.570514678955099</v>
      </c>
    </row>
    <row r="4097" spans="1:12" x14ac:dyDescent="0.25">
      <c r="A4097">
        <v>3514601</v>
      </c>
      <c r="B4097" t="str">
        <f t="shared" si="63"/>
        <v>DUMONT, SP, Brasil</v>
      </c>
      <c r="C4097" s="4" t="str">
        <f>_xlfn.XLOOKUP(A4097,[1]!DadosGHD[CD_GEOCMU],[1]!DadosGHD[Região])</f>
        <v>SD</v>
      </c>
      <c r="D4097" s="4" t="str">
        <f>_xlfn.XLOOKUP(A4097,[1]!DadosGHD[CD_GEOCMU],[1]!DadosGHD[uf])</f>
        <v>SP</v>
      </c>
      <c r="E4097" s="5" t="str">
        <f>_xlfn.XLOOKUP(A4097,[1]!DadosGHD[CD_GEOCMU],[1]!DadosGHD[MUNICIPIO])</f>
        <v>DUMONT</v>
      </c>
      <c r="F4097" s="6">
        <v>48.622200012207003</v>
      </c>
      <c r="G4097" s="6">
        <v>48.710731506347699</v>
      </c>
      <c r="H4097" s="6">
        <v>48.759273529052699</v>
      </c>
      <c r="I4097" s="6">
        <v>48.775150299072301</v>
      </c>
      <c r="J4097" s="6">
        <v>48.704002380371101</v>
      </c>
      <c r="K4097" s="6">
        <v>43.772743225097699</v>
      </c>
      <c r="L4097" s="6">
        <v>39.600570678710902</v>
      </c>
    </row>
    <row r="4098" spans="1:12" x14ac:dyDescent="0.25">
      <c r="A4098">
        <v>1100296</v>
      </c>
      <c r="B4098" t="str">
        <f t="shared" si="63"/>
        <v>SANTA LUZIA D'OESTE, RO, Brasil</v>
      </c>
      <c r="C4098" s="4" t="str">
        <f>_xlfn.XLOOKUP(A4098,[1]!DadosGHD[CD_GEOCMU],[1]!DadosGHD[Região])</f>
        <v>NO</v>
      </c>
      <c r="D4098" s="4" t="str">
        <f>_xlfn.XLOOKUP(A4098,[1]!DadosGHD[CD_GEOCMU],[1]!DadosGHD[uf])</f>
        <v>RO</v>
      </c>
      <c r="E4098" s="5" t="str">
        <f>_xlfn.XLOOKUP(A4098,[1]!DadosGHD[CD_GEOCMU],[1]!DadosGHD[MUNICIPIO])</f>
        <v>SANTA LUZIA D'OESTE</v>
      </c>
      <c r="F4098" s="6">
        <v>48.622337341308601</v>
      </c>
      <c r="G4098" s="6">
        <v>48.763942718505902</v>
      </c>
      <c r="H4098" s="6">
        <v>53.8132133483887</v>
      </c>
      <c r="I4098" s="6">
        <v>53.794692993164098</v>
      </c>
      <c r="J4098" s="6">
        <v>53.857292175292997</v>
      </c>
      <c r="K4098" s="6">
        <v>53.909744262695298</v>
      </c>
      <c r="L4098" s="6">
        <v>30.7227382659912</v>
      </c>
    </row>
    <row r="4099" spans="1:12" x14ac:dyDescent="0.25">
      <c r="A4099">
        <v>5204508</v>
      </c>
      <c r="B4099" t="str">
        <f t="shared" si="63"/>
        <v>CALDAS NOVAS, GO, Brasil</v>
      </c>
      <c r="C4099" s="4" t="str">
        <f>_xlfn.XLOOKUP(A4099,[1]!DadosGHD[CD_GEOCMU],[1]!DadosGHD[Região])</f>
        <v>CO</v>
      </c>
      <c r="D4099" s="4" t="str">
        <f>_xlfn.XLOOKUP(A4099,[1]!DadosGHD[CD_GEOCMU],[1]!DadosGHD[uf])</f>
        <v>GO</v>
      </c>
      <c r="E4099" s="5" t="str">
        <f>_xlfn.XLOOKUP(A4099,[1]!DadosGHD[CD_GEOCMU],[1]!DadosGHD[MUNICIPIO])</f>
        <v>CALDAS NOVAS</v>
      </c>
      <c r="F4099" s="6">
        <v>48.622653961181598</v>
      </c>
      <c r="G4099" s="6">
        <v>48.667861938476598</v>
      </c>
      <c r="H4099" s="6">
        <v>48.726654052734403</v>
      </c>
      <c r="I4099" s="6">
        <v>48.692165374755902</v>
      </c>
      <c r="J4099" s="6">
        <v>43.818756103515597</v>
      </c>
      <c r="K4099" s="6">
        <v>48.7852172851563</v>
      </c>
      <c r="L4099" s="6">
        <v>52.999801635742202</v>
      </c>
    </row>
    <row r="4100" spans="1:12" x14ac:dyDescent="0.25">
      <c r="A4100">
        <v>4306973</v>
      </c>
      <c r="B4100" t="str">
        <f t="shared" ref="B4100:B4163" si="64">_xlfn.CONCAT(E4100, ", ", D4100, ", Brasil")</f>
        <v>EREBANGO, RS, Brasil</v>
      </c>
      <c r="C4100" s="4" t="str">
        <f>_xlfn.XLOOKUP(A4100,[1]!DadosGHD[CD_GEOCMU],[1]!DadosGHD[Região])</f>
        <v>SL</v>
      </c>
      <c r="D4100" s="4" t="str">
        <f>_xlfn.XLOOKUP(A4100,[1]!DadosGHD[CD_GEOCMU],[1]!DadosGHD[uf])</f>
        <v>RS</v>
      </c>
      <c r="E4100" s="5" t="str">
        <f>_xlfn.XLOOKUP(A4100,[1]!DadosGHD[CD_GEOCMU],[1]!DadosGHD[MUNICIPIO])</f>
        <v>EREBANGO</v>
      </c>
      <c r="F4100" s="6">
        <v>48.622966766357401</v>
      </c>
      <c r="G4100" s="6">
        <v>58.890022277832003</v>
      </c>
      <c r="H4100" s="6">
        <v>63.952568054199197</v>
      </c>
      <c r="I4100" s="6">
        <v>63.9201850891113</v>
      </c>
      <c r="J4100" s="6">
        <v>63.981021881103501</v>
      </c>
      <c r="K4100" s="6">
        <v>59.081428527832003</v>
      </c>
      <c r="L4100" s="6">
        <v>53.045730590820298</v>
      </c>
    </row>
    <row r="4101" spans="1:12" x14ac:dyDescent="0.25">
      <c r="A4101">
        <v>5209952</v>
      </c>
      <c r="B4101" t="str">
        <f t="shared" si="64"/>
        <v>INDIARA, GO, Brasil</v>
      </c>
      <c r="C4101" s="4" t="str">
        <f>_xlfn.XLOOKUP(A4101,[1]!DadosGHD[CD_GEOCMU],[1]!DadosGHD[Região])</f>
        <v>CO</v>
      </c>
      <c r="D4101" s="4" t="str">
        <f>_xlfn.XLOOKUP(A4101,[1]!DadosGHD[CD_GEOCMU],[1]!DadosGHD[uf])</f>
        <v>GO</v>
      </c>
      <c r="E4101" s="5" t="str">
        <f>_xlfn.XLOOKUP(A4101,[1]!DadosGHD[CD_GEOCMU],[1]!DadosGHD[MUNICIPIO])</f>
        <v>INDIARA</v>
      </c>
      <c r="F4101" s="6">
        <v>48.623119354248097</v>
      </c>
      <c r="G4101" s="6">
        <v>48.773406982421903</v>
      </c>
      <c r="H4101" s="6">
        <v>48.857761383056598</v>
      </c>
      <c r="I4101" s="6">
        <v>48.822288513183601</v>
      </c>
      <c r="J4101" s="6">
        <v>48.809600830078097</v>
      </c>
      <c r="K4101" s="6">
        <v>53.969268798828097</v>
      </c>
      <c r="L4101" s="6">
        <v>52.982734680175803</v>
      </c>
    </row>
    <row r="4102" spans="1:12" x14ac:dyDescent="0.25">
      <c r="A4102">
        <v>3164605</v>
      </c>
      <c r="B4102" t="str">
        <f t="shared" si="64"/>
        <v>SAO SEBASTIAO DO OESTE, MG, Brasil</v>
      </c>
      <c r="C4102" s="4" t="str">
        <f>_xlfn.XLOOKUP(A4102,[1]!DadosGHD[CD_GEOCMU],[1]!DadosGHD[Região])</f>
        <v>SD</v>
      </c>
      <c r="D4102" s="4" t="str">
        <f>_xlfn.XLOOKUP(A4102,[1]!DadosGHD[CD_GEOCMU],[1]!DadosGHD[uf])</f>
        <v>MG</v>
      </c>
      <c r="E4102" s="5" t="str">
        <f>_xlfn.XLOOKUP(A4102,[1]!DadosGHD[CD_GEOCMU],[1]!DadosGHD[MUNICIPIO])</f>
        <v>SAO SEBASTIAO DO OESTE</v>
      </c>
      <c r="F4102" s="6">
        <v>48.623382568359403</v>
      </c>
      <c r="G4102" s="6">
        <v>48.6383056640625</v>
      </c>
      <c r="H4102" s="6">
        <v>43.8079643249512</v>
      </c>
      <c r="I4102" s="6">
        <v>43.739418029785199</v>
      </c>
      <c r="J4102" s="6">
        <v>38.8215522766113</v>
      </c>
      <c r="K4102" s="6">
        <v>43.860115051269503</v>
      </c>
      <c r="L4102" s="6">
        <v>35.147384643554702</v>
      </c>
    </row>
    <row r="4103" spans="1:12" x14ac:dyDescent="0.25">
      <c r="A4103">
        <v>3129103</v>
      </c>
      <c r="B4103" t="str">
        <f t="shared" si="64"/>
        <v>GURINHATA, MG, Brasil</v>
      </c>
      <c r="C4103" s="4" t="str">
        <f>_xlfn.XLOOKUP(A4103,[1]!DadosGHD[CD_GEOCMU],[1]!DadosGHD[Região])</f>
        <v>SD</v>
      </c>
      <c r="D4103" s="4" t="str">
        <f>_xlfn.XLOOKUP(A4103,[1]!DadosGHD[CD_GEOCMU],[1]!DadosGHD[uf])</f>
        <v>MG</v>
      </c>
      <c r="E4103" s="5" t="str">
        <f>_xlfn.XLOOKUP(A4103,[1]!DadosGHD[CD_GEOCMU],[1]!DadosGHD[MUNICIPIO])</f>
        <v>GURINHATA</v>
      </c>
      <c r="F4103" s="6">
        <v>48.624061584472699</v>
      </c>
      <c r="G4103" s="6">
        <v>53.696903228759801</v>
      </c>
      <c r="H4103" s="6">
        <v>53.794925689697301</v>
      </c>
      <c r="I4103" s="6">
        <v>53.790084838867202</v>
      </c>
      <c r="J4103" s="6">
        <v>48.827747344970703</v>
      </c>
      <c r="K4103" s="6">
        <v>43.866989135742202</v>
      </c>
      <c r="L4103" s="6">
        <v>44.038864135742202</v>
      </c>
    </row>
    <row r="4104" spans="1:12" x14ac:dyDescent="0.25">
      <c r="A4104">
        <v>4108700</v>
      </c>
      <c r="B4104" t="str">
        <f t="shared" si="64"/>
        <v>GRANDES RIOS, PR, Brasil</v>
      </c>
      <c r="C4104" s="4" t="str">
        <f>_xlfn.XLOOKUP(A4104,[1]!DadosGHD[CD_GEOCMU],[1]!DadosGHD[Região])</f>
        <v>SL</v>
      </c>
      <c r="D4104" s="4" t="str">
        <f>_xlfn.XLOOKUP(A4104,[1]!DadosGHD[CD_GEOCMU],[1]!DadosGHD[uf])</f>
        <v>PR</v>
      </c>
      <c r="E4104" s="5" t="str">
        <f>_xlfn.XLOOKUP(A4104,[1]!DadosGHD[CD_GEOCMU],[1]!DadosGHD[MUNICIPIO])</f>
        <v>GRANDES RIOS</v>
      </c>
      <c r="F4104" s="6">
        <v>48.624080657958999</v>
      </c>
      <c r="G4104" s="6">
        <v>53.657768249511697</v>
      </c>
      <c r="H4104" s="6">
        <v>48.807075500488303</v>
      </c>
      <c r="I4104" s="6">
        <v>48.676509857177699</v>
      </c>
      <c r="J4104" s="6">
        <v>43.8030815124512</v>
      </c>
      <c r="K4104" s="6">
        <v>48.804031372070298</v>
      </c>
      <c r="L4104" s="6">
        <v>39.6093940734863</v>
      </c>
    </row>
    <row r="4105" spans="1:12" x14ac:dyDescent="0.25">
      <c r="A4105">
        <v>3536109</v>
      </c>
      <c r="B4105" t="str">
        <f t="shared" si="64"/>
        <v>PARDINHO, SP, Brasil</v>
      </c>
      <c r="C4105" s="4" t="str">
        <f>_xlfn.XLOOKUP(A4105,[1]!DadosGHD[CD_GEOCMU],[1]!DadosGHD[Região])</f>
        <v>SD</v>
      </c>
      <c r="D4105" s="4" t="str">
        <f>_xlfn.XLOOKUP(A4105,[1]!DadosGHD[CD_GEOCMU],[1]!DadosGHD[uf])</f>
        <v>SP</v>
      </c>
      <c r="E4105" s="5" t="str">
        <f>_xlfn.XLOOKUP(A4105,[1]!DadosGHD[CD_GEOCMU],[1]!DadosGHD[MUNICIPIO])</f>
        <v>PARDINHO</v>
      </c>
      <c r="F4105" s="6">
        <v>48.624500274658203</v>
      </c>
      <c r="G4105" s="6">
        <v>43.752323150634801</v>
      </c>
      <c r="H4105" s="6">
        <v>43.796897888183601</v>
      </c>
      <c r="I4105" s="6">
        <v>48.759361267089801</v>
      </c>
      <c r="J4105" s="6">
        <v>53.848392486572301</v>
      </c>
      <c r="K4105" s="6">
        <v>53.923820495605497</v>
      </c>
      <c r="L4105" s="6">
        <v>57.574794769287102</v>
      </c>
    </row>
    <row r="4106" spans="1:12" x14ac:dyDescent="0.25">
      <c r="A4106">
        <v>5200159</v>
      </c>
      <c r="B4106" t="str">
        <f t="shared" si="64"/>
        <v>ADELANDIA, GO, Brasil</v>
      </c>
      <c r="C4106" s="4" t="str">
        <f>_xlfn.XLOOKUP(A4106,[1]!DadosGHD[CD_GEOCMU],[1]!DadosGHD[Região])</f>
        <v>CO</v>
      </c>
      <c r="D4106" s="4" t="str">
        <f>_xlfn.XLOOKUP(A4106,[1]!DadosGHD[CD_GEOCMU],[1]!DadosGHD[uf])</f>
        <v>GO</v>
      </c>
      <c r="E4106" s="5" t="str">
        <f>_xlfn.XLOOKUP(A4106,[1]!DadosGHD[CD_GEOCMU],[1]!DadosGHD[MUNICIPIO])</f>
        <v>ADELANDIA</v>
      </c>
      <c r="F4106" s="6">
        <v>48.624576568603501</v>
      </c>
      <c r="G4106" s="6">
        <v>43.752777099609403</v>
      </c>
      <c r="H4106" s="6">
        <v>43.7999877929688</v>
      </c>
      <c r="I4106" s="6">
        <v>43.781089782714801</v>
      </c>
      <c r="J4106" s="6">
        <v>48.722133636474602</v>
      </c>
      <c r="K4106" s="6">
        <v>43.7679252624512</v>
      </c>
      <c r="L4106" s="6">
        <v>26.2962341308594</v>
      </c>
    </row>
    <row r="4107" spans="1:12" x14ac:dyDescent="0.25">
      <c r="A4107">
        <v>4113809</v>
      </c>
      <c r="B4107" t="str">
        <f t="shared" si="64"/>
        <v>LUPIONOPOLIS, PR, Brasil</v>
      </c>
      <c r="C4107" s="4" t="str">
        <f>_xlfn.XLOOKUP(A4107,[1]!DadosGHD[CD_GEOCMU],[1]!DadosGHD[Região])</f>
        <v>SL</v>
      </c>
      <c r="D4107" s="4" t="str">
        <f>_xlfn.XLOOKUP(A4107,[1]!DadosGHD[CD_GEOCMU],[1]!DadosGHD[uf])</f>
        <v>PR</v>
      </c>
      <c r="E4107" s="5" t="str">
        <f>_xlfn.XLOOKUP(A4107,[1]!DadosGHD[CD_GEOCMU],[1]!DadosGHD[MUNICIPIO])</f>
        <v>LUPIONOPOLIS</v>
      </c>
      <c r="F4107" s="6">
        <v>48.625076293945298</v>
      </c>
      <c r="G4107" s="6">
        <v>48.740028381347699</v>
      </c>
      <c r="H4107" s="6">
        <v>48.761642456054702</v>
      </c>
      <c r="I4107" s="6">
        <v>53.795318603515597</v>
      </c>
      <c r="J4107" s="6">
        <v>53.779701232910199</v>
      </c>
      <c r="K4107" s="6">
        <v>53.854034423828097</v>
      </c>
      <c r="L4107" s="6">
        <v>53.065746307373097</v>
      </c>
    </row>
    <row r="4108" spans="1:12" x14ac:dyDescent="0.25">
      <c r="A4108">
        <v>3102605</v>
      </c>
      <c r="B4108" t="str">
        <f t="shared" si="64"/>
        <v>ANDRADAS, MG, Brasil</v>
      </c>
      <c r="C4108" s="4" t="str">
        <f>_xlfn.XLOOKUP(A4108,[1]!DadosGHD[CD_GEOCMU],[1]!DadosGHD[Região])</f>
        <v>SD</v>
      </c>
      <c r="D4108" s="4" t="str">
        <f>_xlfn.XLOOKUP(A4108,[1]!DadosGHD[CD_GEOCMU],[1]!DadosGHD[uf])</f>
        <v>MG</v>
      </c>
      <c r="E4108" s="5" t="str">
        <f>_xlfn.XLOOKUP(A4108,[1]!DadosGHD[CD_GEOCMU],[1]!DadosGHD[MUNICIPIO])</f>
        <v>ANDRADAS</v>
      </c>
      <c r="F4108" s="6">
        <v>48.625083923339801</v>
      </c>
      <c r="G4108" s="6">
        <v>48.6923217773438</v>
      </c>
      <c r="H4108" s="6">
        <v>43.8359375</v>
      </c>
      <c r="I4108" s="6">
        <v>48.776134490966797</v>
      </c>
      <c r="J4108" s="6">
        <v>53.816471099853501</v>
      </c>
      <c r="K4108" s="6">
        <v>53.850406646728501</v>
      </c>
      <c r="L4108" s="6">
        <v>53.0562133789063</v>
      </c>
    </row>
    <row r="4109" spans="1:12" x14ac:dyDescent="0.25">
      <c r="A4109">
        <v>3115300</v>
      </c>
      <c r="B4109" t="str">
        <f t="shared" si="64"/>
        <v>CATAGUASES, MG, Brasil</v>
      </c>
      <c r="C4109" s="4" t="str">
        <f>_xlfn.XLOOKUP(A4109,[1]!DadosGHD[CD_GEOCMU],[1]!DadosGHD[Região])</f>
        <v>SD</v>
      </c>
      <c r="D4109" s="4" t="str">
        <f>_xlfn.XLOOKUP(A4109,[1]!DadosGHD[CD_GEOCMU],[1]!DadosGHD[uf])</f>
        <v>MG</v>
      </c>
      <c r="E4109" s="5" t="str">
        <f>_xlfn.XLOOKUP(A4109,[1]!DadosGHD[CD_GEOCMU],[1]!DadosGHD[MUNICIPIO])</f>
        <v>CATAGUASES</v>
      </c>
      <c r="F4109" s="6">
        <v>48.625133514404297</v>
      </c>
      <c r="G4109" s="6">
        <v>43.726032257080099</v>
      </c>
      <c r="H4109" s="6">
        <v>48.726512908935597</v>
      </c>
      <c r="I4109" s="6">
        <v>48.721057891845703</v>
      </c>
      <c r="J4109" s="6">
        <v>48.795177459716797</v>
      </c>
      <c r="K4109" s="6">
        <v>48.841114044189503</v>
      </c>
      <c r="L4109" s="6">
        <v>53.063224792480497</v>
      </c>
    </row>
    <row r="4110" spans="1:12" x14ac:dyDescent="0.25">
      <c r="A4110">
        <v>3131703</v>
      </c>
      <c r="B4110" t="str">
        <f t="shared" si="64"/>
        <v>ITABIRA, MG, Brasil</v>
      </c>
      <c r="C4110" s="4" t="str">
        <f>_xlfn.XLOOKUP(A4110,[1]!DadosGHD[CD_GEOCMU],[1]!DadosGHD[Região])</f>
        <v>SD</v>
      </c>
      <c r="D4110" s="4" t="str">
        <f>_xlfn.XLOOKUP(A4110,[1]!DadosGHD[CD_GEOCMU],[1]!DadosGHD[uf])</f>
        <v>MG</v>
      </c>
      <c r="E4110" s="5" t="str">
        <f>_xlfn.XLOOKUP(A4110,[1]!DadosGHD[CD_GEOCMU],[1]!DadosGHD[MUNICIPIO])</f>
        <v>ITABIRA</v>
      </c>
      <c r="F4110" s="6">
        <v>48.625152587890597</v>
      </c>
      <c r="G4110" s="6">
        <v>48.748569488525398</v>
      </c>
      <c r="H4110" s="6">
        <v>48.799610137939503</v>
      </c>
      <c r="I4110" s="6">
        <v>48.762687683105497</v>
      </c>
      <c r="J4110" s="6">
        <v>48.787555694580099</v>
      </c>
      <c r="K4110" s="6">
        <v>48.848934173583999</v>
      </c>
      <c r="L4110" s="6">
        <v>53.054603576660199</v>
      </c>
    </row>
    <row r="4111" spans="1:12" x14ac:dyDescent="0.25">
      <c r="A4111">
        <v>3526100</v>
      </c>
      <c r="B4111" t="str">
        <f t="shared" si="64"/>
        <v>JUQUIA, SP, Brasil</v>
      </c>
      <c r="C4111" s="4" t="str">
        <f>_xlfn.XLOOKUP(A4111,[1]!DadosGHD[CD_GEOCMU],[1]!DadosGHD[Região])</f>
        <v>SD</v>
      </c>
      <c r="D4111" s="4" t="str">
        <f>_xlfn.XLOOKUP(A4111,[1]!DadosGHD[CD_GEOCMU],[1]!DadosGHD[uf])</f>
        <v>SP</v>
      </c>
      <c r="E4111" s="5" t="str">
        <f>_xlfn.XLOOKUP(A4111,[1]!DadosGHD[CD_GEOCMU],[1]!DadosGHD[MUNICIPIO])</f>
        <v>JUQUIA</v>
      </c>
      <c r="F4111" s="6">
        <v>48.625404357910199</v>
      </c>
      <c r="G4111" s="6">
        <v>48.676868438720703</v>
      </c>
      <c r="H4111" s="6">
        <v>43.826366424560597</v>
      </c>
      <c r="I4111" s="6">
        <v>43.799953460693402</v>
      </c>
      <c r="J4111" s="6">
        <v>43.810012817382798</v>
      </c>
      <c r="K4111" s="6">
        <v>43.858184814453097</v>
      </c>
      <c r="L4111" s="6">
        <v>48.492347717285199</v>
      </c>
    </row>
    <row r="4112" spans="1:12" x14ac:dyDescent="0.25">
      <c r="A4112">
        <v>3536901</v>
      </c>
      <c r="B4112" t="str">
        <f t="shared" si="64"/>
        <v>PEDRANOPOLIS, SP, Brasil</v>
      </c>
      <c r="C4112" s="4" t="str">
        <f>_xlfn.XLOOKUP(A4112,[1]!DadosGHD[CD_GEOCMU],[1]!DadosGHD[Região])</f>
        <v>SD</v>
      </c>
      <c r="D4112" s="4" t="str">
        <f>_xlfn.XLOOKUP(A4112,[1]!DadosGHD[CD_GEOCMU],[1]!DadosGHD[uf])</f>
        <v>SP</v>
      </c>
      <c r="E4112" s="5" t="str">
        <f>_xlfn.XLOOKUP(A4112,[1]!DadosGHD[CD_GEOCMU],[1]!DadosGHD[MUNICIPIO])</f>
        <v>PEDRANOPOLIS</v>
      </c>
      <c r="F4112" s="6">
        <v>48.625446319580099</v>
      </c>
      <c r="G4112" s="6">
        <v>28.913595199585</v>
      </c>
      <c r="H4112" s="6">
        <v>28.967597961425799</v>
      </c>
      <c r="I4112" s="6">
        <v>33.793647766113303</v>
      </c>
      <c r="J4112" s="6">
        <v>33.845249176025398</v>
      </c>
      <c r="K4112" s="6">
        <v>28.9924831390381</v>
      </c>
      <c r="L4112" s="6">
        <v>30.705982208251999</v>
      </c>
    </row>
    <row r="4113" spans="1:12" x14ac:dyDescent="0.25">
      <c r="A4113">
        <v>3556958</v>
      </c>
      <c r="B4113" t="str">
        <f t="shared" si="64"/>
        <v>VITORIA BRASIL, SP, Brasil</v>
      </c>
      <c r="C4113" s="4" t="str">
        <f>_xlfn.XLOOKUP(A4113,[1]!DadosGHD[CD_GEOCMU],[1]!DadosGHD[Região])</f>
        <v>SD</v>
      </c>
      <c r="D4113" s="4" t="str">
        <f>_xlfn.XLOOKUP(A4113,[1]!DadosGHD[CD_GEOCMU],[1]!DadosGHD[uf])</f>
        <v>SP</v>
      </c>
      <c r="E4113" s="5" t="str">
        <f>_xlfn.XLOOKUP(A4113,[1]!DadosGHD[CD_GEOCMU],[1]!DadosGHD[MUNICIPIO])</f>
        <v>VITORIA BRASIL</v>
      </c>
      <c r="F4113" s="6">
        <v>48.625595092773402</v>
      </c>
      <c r="G4113" s="6">
        <v>28.92116355896</v>
      </c>
      <c r="H4113" s="6">
        <v>28.942651748657202</v>
      </c>
      <c r="I4113" s="6">
        <v>28.925045013427699</v>
      </c>
      <c r="J4113" s="6">
        <v>28.9409065246582</v>
      </c>
      <c r="K4113" s="6">
        <v>28.9686679840088</v>
      </c>
      <c r="L4113" s="6">
        <v>26.2798957824707</v>
      </c>
    </row>
    <row r="4114" spans="1:12" x14ac:dyDescent="0.25">
      <c r="A4114">
        <v>3536570</v>
      </c>
      <c r="B4114" t="str">
        <f t="shared" si="64"/>
        <v>PAULISTANIA, SP, Brasil</v>
      </c>
      <c r="C4114" s="4" t="str">
        <f>_xlfn.XLOOKUP(A4114,[1]!DadosGHD[CD_GEOCMU],[1]!DadosGHD[Região])</f>
        <v>SD</v>
      </c>
      <c r="D4114" s="4" t="str">
        <f>_xlfn.XLOOKUP(A4114,[1]!DadosGHD[CD_GEOCMU],[1]!DadosGHD[uf])</f>
        <v>SP</v>
      </c>
      <c r="E4114" s="5" t="str">
        <f>_xlfn.XLOOKUP(A4114,[1]!DadosGHD[CD_GEOCMU],[1]!DadosGHD[MUNICIPIO])</f>
        <v>PAULISTANIA</v>
      </c>
      <c r="F4114" s="6">
        <v>48.625667572021499</v>
      </c>
      <c r="G4114" s="6">
        <v>28.913352966308601</v>
      </c>
      <c r="H4114" s="6">
        <v>33.855358123779297</v>
      </c>
      <c r="I4114" s="6">
        <v>33.839481353759801</v>
      </c>
      <c r="J4114" s="6">
        <v>38.7875366210938</v>
      </c>
      <c r="K4114" s="6">
        <v>38.8054809570313</v>
      </c>
      <c r="L4114" s="6">
        <v>44.056251525878899</v>
      </c>
    </row>
    <row r="4115" spans="1:12" x14ac:dyDescent="0.25">
      <c r="A4115">
        <v>3301801</v>
      </c>
      <c r="B4115" t="str">
        <f t="shared" si="64"/>
        <v>ENGENHEIRO PAULO DE FRONTIN, RJ, Brasil</v>
      </c>
      <c r="C4115" s="4" t="str">
        <f>_xlfn.XLOOKUP(A4115,[1]!DadosGHD[CD_GEOCMU],[1]!DadosGHD[Região])</f>
        <v>SD</v>
      </c>
      <c r="D4115" s="4" t="str">
        <f>_xlfn.XLOOKUP(A4115,[1]!DadosGHD[CD_GEOCMU],[1]!DadosGHD[uf])</f>
        <v>RJ</v>
      </c>
      <c r="E4115" s="5" t="str">
        <f>_xlfn.XLOOKUP(A4115,[1]!DadosGHD[CD_GEOCMU],[1]!DadosGHD[MUNICIPIO])</f>
        <v>ENGENHEIRO PAULO DE FRONTIN</v>
      </c>
      <c r="F4115" s="6">
        <v>48.625770568847699</v>
      </c>
      <c r="G4115" s="6">
        <v>48.686511993408203</v>
      </c>
      <c r="H4115" s="6">
        <v>48.753116607666001</v>
      </c>
      <c r="I4115" s="6">
        <v>43.807743072509801</v>
      </c>
      <c r="J4115" s="6">
        <v>43.793327331542997</v>
      </c>
      <c r="K4115" s="6">
        <v>43.779937744140597</v>
      </c>
      <c r="L4115" s="6">
        <v>39.556175231933601</v>
      </c>
    </row>
    <row r="4116" spans="1:12" x14ac:dyDescent="0.25">
      <c r="A4116">
        <v>3145604</v>
      </c>
      <c r="B4116" t="str">
        <f t="shared" si="64"/>
        <v>OLIVEIRA, MG, Brasil</v>
      </c>
      <c r="C4116" s="4" t="str">
        <f>_xlfn.XLOOKUP(A4116,[1]!DadosGHD[CD_GEOCMU],[1]!DadosGHD[Região])</f>
        <v>SD</v>
      </c>
      <c r="D4116" s="4" t="str">
        <f>_xlfn.XLOOKUP(A4116,[1]!DadosGHD[CD_GEOCMU],[1]!DadosGHD[uf])</f>
        <v>MG</v>
      </c>
      <c r="E4116" s="5" t="str">
        <f>_xlfn.XLOOKUP(A4116,[1]!DadosGHD[CD_GEOCMU],[1]!DadosGHD[MUNICIPIO])</f>
        <v>OLIVEIRA</v>
      </c>
      <c r="F4116" s="6">
        <v>48.625789642333999</v>
      </c>
      <c r="G4116" s="6">
        <v>53.686836242675803</v>
      </c>
      <c r="H4116" s="6">
        <v>53.804225921630902</v>
      </c>
      <c r="I4116" s="6">
        <v>53.792533874511697</v>
      </c>
      <c r="J4116" s="6">
        <v>53.844692230224602</v>
      </c>
      <c r="K4116" s="6">
        <v>53.900299072265597</v>
      </c>
      <c r="L4116" s="6">
        <v>57.548976898193402</v>
      </c>
    </row>
    <row r="4117" spans="1:12" x14ac:dyDescent="0.25">
      <c r="A4117">
        <v>3527306</v>
      </c>
      <c r="B4117" t="str">
        <f t="shared" si="64"/>
        <v>LOUVEIRA, SP, Brasil</v>
      </c>
      <c r="C4117" s="4" t="str">
        <f>_xlfn.XLOOKUP(A4117,[1]!DadosGHD[CD_GEOCMU],[1]!DadosGHD[Região])</f>
        <v>SD</v>
      </c>
      <c r="D4117" s="4" t="str">
        <f>_xlfn.XLOOKUP(A4117,[1]!DadosGHD[CD_GEOCMU],[1]!DadosGHD[uf])</f>
        <v>SP</v>
      </c>
      <c r="E4117" s="5" t="str">
        <f>_xlfn.XLOOKUP(A4117,[1]!DadosGHD[CD_GEOCMU],[1]!DadosGHD[MUNICIPIO])</f>
        <v>LOUVEIRA</v>
      </c>
      <c r="F4117" s="6">
        <v>48.625888824462898</v>
      </c>
      <c r="G4117" s="6">
        <v>48.635349273681598</v>
      </c>
      <c r="H4117" s="6">
        <v>43.822006225585902</v>
      </c>
      <c r="I4117" s="6">
        <v>48.735141754150398</v>
      </c>
      <c r="J4117" s="6">
        <v>48.831783294677699</v>
      </c>
      <c r="K4117" s="6">
        <v>53.850822448730497</v>
      </c>
      <c r="L4117" s="6">
        <v>57.542755126953097</v>
      </c>
    </row>
    <row r="4118" spans="1:12" x14ac:dyDescent="0.25">
      <c r="A4118">
        <v>3109501</v>
      </c>
      <c r="B4118" t="str">
        <f t="shared" si="64"/>
        <v>CABO VERDE, MG, Brasil</v>
      </c>
      <c r="C4118" s="4" t="str">
        <f>_xlfn.XLOOKUP(A4118,[1]!DadosGHD[CD_GEOCMU],[1]!DadosGHD[Região])</f>
        <v>SD</v>
      </c>
      <c r="D4118" s="4" t="str">
        <f>_xlfn.XLOOKUP(A4118,[1]!DadosGHD[CD_GEOCMU],[1]!DadosGHD[uf])</f>
        <v>MG</v>
      </c>
      <c r="E4118" s="5" t="str">
        <f>_xlfn.XLOOKUP(A4118,[1]!DadosGHD[CD_GEOCMU],[1]!DadosGHD[MUNICIPIO])</f>
        <v>CABO VERDE</v>
      </c>
      <c r="F4118" s="6">
        <v>48.6263236999512</v>
      </c>
      <c r="G4118" s="6">
        <v>48.642055511474602</v>
      </c>
      <c r="H4118" s="6">
        <v>48.735965728759801</v>
      </c>
      <c r="I4118" s="6">
        <v>48.6954956054688</v>
      </c>
      <c r="J4118" s="6">
        <v>48.732135772705099</v>
      </c>
      <c r="K4118" s="6">
        <v>48.779808044433601</v>
      </c>
      <c r="L4118" s="6">
        <v>44.019790649414098</v>
      </c>
    </row>
    <row r="4119" spans="1:12" x14ac:dyDescent="0.25">
      <c r="A4119">
        <v>5221700</v>
      </c>
      <c r="B4119" t="str">
        <f t="shared" si="64"/>
        <v>URUANA, GO, Brasil</v>
      </c>
      <c r="C4119" s="4" t="str">
        <f>_xlfn.XLOOKUP(A4119,[1]!DadosGHD[CD_GEOCMU],[1]!DadosGHD[Região])</f>
        <v>CO</v>
      </c>
      <c r="D4119" s="4" t="str">
        <f>_xlfn.XLOOKUP(A4119,[1]!DadosGHD[CD_GEOCMU],[1]!DadosGHD[uf])</f>
        <v>GO</v>
      </c>
      <c r="E4119" s="5" t="str">
        <f>_xlfn.XLOOKUP(A4119,[1]!DadosGHD[CD_GEOCMU],[1]!DadosGHD[MUNICIPIO])</f>
        <v>URUANA</v>
      </c>
      <c r="F4119" s="6">
        <v>48.626380920410199</v>
      </c>
      <c r="G4119" s="6">
        <v>48.690387725830099</v>
      </c>
      <c r="H4119" s="6">
        <v>48.778064727783203</v>
      </c>
      <c r="I4119" s="6">
        <v>48.711250305175803</v>
      </c>
      <c r="J4119" s="6">
        <v>48.7752876281738</v>
      </c>
      <c r="K4119" s="6">
        <v>48.796722412109403</v>
      </c>
      <c r="L4119" s="6">
        <v>35.153537750244098</v>
      </c>
    </row>
    <row r="4120" spans="1:12" x14ac:dyDescent="0.25">
      <c r="A4120">
        <v>4100608</v>
      </c>
      <c r="B4120" t="str">
        <f t="shared" si="64"/>
        <v>ALTO PARANA, PR, Brasil</v>
      </c>
      <c r="C4120" s="4" t="str">
        <f>_xlfn.XLOOKUP(A4120,[1]!DadosGHD[CD_GEOCMU],[1]!DadosGHD[Região])</f>
        <v>SL</v>
      </c>
      <c r="D4120" s="4" t="str">
        <f>_xlfn.XLOOKUP(A4120,[1]!DadosGHD[CD_GEOCMU],[1]!DadosGHD[uf])</f>
        <v>PR</v>
      </c>
      <c r="E4120" s="5" t="str">
        <f>_xlfn.XLOOKUP(A4120,[1]!DadosGHD[CD_GEOCMU],[1]!DadosGHD[MUNICIPIO])</f>
        <v>ALTO PARANA</v>
      </c>
      <c r="F4120" s="6">
        <v>48.626422882080099</v>
      </c>
      <c r="G4120" s="6">
        <v>48.748756408691399</v>
      </c>
      <c r="H4120" s="6">
        <v>48.761985778808601</v>
      </c>
      <c r="I4120" s="6">
        <v>48.753162384033203</v>
      </c>
      <c r="J4120" s="6">
        <v>48.823162078857401</v>
      </c>
      <c r="K4120" s="6">
        <v>48.834892272949197</v>
      </c>
      <c r="L4120" s="6">
        <v>48.505687713623097</v>
      </c>
    </row>
    <row r="4121" spans="1:12" x14ac:dyDescent="0.25">
      <c r="A4121">
        <v>3151602</v>
      </c>
      <c r="B4121" t="str">
        <f t="shared" si="64"/>
        <v>PLANURA, MG, Brasil</v>
      </c>
      <c r="C4121" s="4" t="str">
        <f>_xlfn.XLOOKUP(A4121,[1]!DadosGHD[CD_GEOCMU],[1]!DadosGHD[Região])</f>
        <v>SD</v>
      </c>
      <c r="D4121" s="4" t="str">
        <f>_xlfn.XLOOKUP(A4121,[1]!DadosGHD[CD_GEOCMU],[1]!DadosGHD[uf])</f>
        <v>MG</v>
      </c>
      <c r="E4121" s="5" t="str">
        <f>_xlfn.XLOOKUP(A4121,[1]!DadosGHD[CD_GEOCMU],[1]!DadosGHD[MUNICIPIO])</f>
        <v>PLANURA</v>
      </c>
      <c r="F4121" s="6">
        <v>48.626918792724602</v>
      </c>
      <c r="G4121" s="6">
        <v>48.677516937255902</v>
      </c>
      <c r="H4121" s="6">
        <v>48.754566192627003</v>
      </c>
      <c r="I4121" s="6">
        <v>48.725502014160199</v>
      </c>
      <c r="J4121" s="6">
        <v>48.776260375976598</v>
      </c>
      <c r="K4121" s="6">
        <v>48.767429351806598</v>
      </c>
      <c r="L4121" s="6">
        <v>48.557838439941399</v>
      </c>
    </row>
    <row r="4122" spans="1:12" x14ac:dyDescent="0.25">
      <c r="A4122">
        <v>4122503</v>
      </c>
      <c r="B4122" t="str">
        <f t="shared" si="64"/>
        <v>RONCADOR, PR, Brasil</v>
      </c>
      <c r="C4122" s="4" t="str">
        <f>_xlfn.XLOOKUP(A4122,[1]!DadosGHD[CD_GEOCMU],[1]!DadosGHD[Região])</f>
        <v>SL</v>
      </c>
      <c r="D4122" s="4" t="str">
        <f>_xlfn.XLOOKUP(A4122,[1]!DadosGHD[CD_GEOCMU],[1]!DadosGHD[uf])</f>
        <v>PR</v>
      </c>
      <c r="E4122" s="5" t="str">
        <f>_xlfn.XLOOKUP(A4122,[1]!DadosGHD[CD_GEOCMU],[1]!DadosGHD[MUNICIPIO])</f>
        <v>RONCADOR</v>
      </c>
      <c r="F4122" s="6">
        <v>48.627040863037102</v>
      </c>
      <c r="G4122" s="6">
        <v>48.769191741943402</v>
      </c>
      <c r="H4122" s="6">
        <v>48.822116851806598</v>
      </c>
      <c r="I4122" s="6">
        <v>53.845840454101598</v>
      </c>
      <c r="J4122" s="6">
        <v>53.8097953796387</v>
      </c>
      <c r="K4122" s="6">
        <v>48.852931976318402</v>
      </c>
      <c r="L4122" s="6">
        <v>35.126106262207003</v>
      </c>
    </row>
    <row r="4123" spans="1:12" x14ac:dyDescent="0.25">
      <c r="A4123">
        <v>3549201</v>
      </c>
      <c r="B4123" t="str">
        <f t="shared" si="64"/>
        <v>SAO JOAO DAS DUAS PONTES, SP, Brasil</v>
      </c>
      <c r="C4123" s="4" t="str">
        <f>_xlfn.XLOOKUP(A4123,[1]!DadosGHD[CD_GEOCMU],[1]!DadosGHD[Região])</f>
        <v>SD</v>
      </c>
      <c r="D4123" s="4" t="str">
        <f>_xlfn.XLOOKUP(A4123,[1]!DadosGHD[CD_GEOCMU],[1]!DadosGHD[uf])</f>
        <v>SP</v>
      </c>
      <c r="E4123" s="5" t="str">
        <f>_xlfn.XLOOKUP(A4123,[1]!DadosGHD[CD_GEOCMU],[1]!DadosGHD[MUNICIPIO])</f>
        <v>SAO JOAO DAS DUAS PONTES</v>
      </c>
      <c r="F4123" s="6">
        <v>48.627410888671903</v>
      </c>
      <c r="G4123" s="6">
        <v>48.649684906005902</v>
      </c>
      <c r="H4123" s="6">
        <v>43.809524536132798</v>
      </c>
      <c r="I4123" s="6">
        <v>43.727493286132798</v>
      </c>
      <c r="J4123" s="6">
        <v>43.733119964599602</v>
      </c>
      <c r="K4123" s="6">
        <v>33.855377197265597</v>
      </c>
      <c r="L4123" s="6">
        <v>39.601810455322301</v>
      </c>
    </row>
    <row r="4124" spans="1:12" x14ac:dyDescent="0.25">
      <c r="A4124">
        <v>4117297</v>
      </c>
      <c r="B4124" t="str">
        <f t="shared" si="64"/>
        <v>NOVO ITACOLOMI, PR, Brasil</v>
      </c>
      <c r="C4124" s="4" t="str">
        <f>_xlfn.XLOOKUP(A4124,[1]!DadosGHD[CD_GEOCMU],[1]!DadosGHD[Região])</f>
        <v>SL</v>
      </c>
      <c r="D4124" s="4" t="str">
        <f>_xlfn.XLOOKUP(A4124,[1]!DadosGHD[CD_GEOCMU],[1]!DadosGHD[uf])</f>
        <v>PR</v>
      </c>
      <c r="E4124" s="5" t="str">
        <f>_xlfn.XLOOKUP(A4124,[1]!DadosGHD[CD_GEOCMU],[1]!DadosGHD[MUNICIPIO])</f>
        <v>NOVO ITACOLOMI</v>
      </c>
      <c r="F4124" s="6">
        <v>48.627662658691399</v>
      </c>
      <c r="G4124" s="6">
        <v>53.735519409179702</v>
      </c>
      <c r="H4124" s="6">
        <v>53.802463531494098</v>
      </c>
      <c r="I4124" s="6">
        <v>53.774154663085902</v>
      </c>
      <c r="J4124" s="6">
        <v>53.813236236572301</v>
      </c>
      <c r="K4124" s="6">
        <v>43.835735321044901</v>
      </c>
      <c r="L4124" s="6">
        <v>35.115993499755902</v>
      </c>
    </row>
    <row r="4125" spans="1:12" x14ac:dyDescent="0.25">
      <c r="A4125">
        <v>1100155</v>
      </c>
      <c r="B4125" t="str">
        <f t="shared" si="64"/>
        <v>OURO PRETO DO OESTE, RO, Brasil</v>
      </c>
      <c r="C4125" s="4" t="str">
        <f>_xlfn.XLOOKUP(A4125,[1]!DadosGHD[CD_GEOCMU],[1]!DadosGHD[Região])</f>
        <v>NO</v>
      </c>
      <c r="D4125" s="4" t="str">
        <f>_xlfn.XLOOKUP(A4125,[1]!DadosGHD[CD_GEOCMU],[1]!DadosGHD[uf])</f>
        <v>RO</v>
      </c>
      <c r="E4125" s="5" t="str">
        <f>_xlfn.XLOOKUP(A4125,[1]!DadosGHD[CD_GEOCMU],[1]!DadosGHD[MUNICIPIO])</f>
        <v>OURO PRETO DO OESTE</v>
      </c>
      <c r="F4125" s="6">
        <v>48.628395080566399</v>
      </c>
      <c r="G4125" s="6">
        <v>48.691257476806598</v>
      </c>
      <c r="H4125" s="6">
        <v>48.827346801757798</v>
      </c>
      <c r="I4125" s="6">
        <v>48.750984191894503</v>
      </c>
      <c r="J4125" s="6">
        <v>48.790786743164098</v>
      </c>
      <c r="K4125" s="6">
        <v>48.845882415771499</v>
      </c>
      <c r="L4125" s="6">
        <v>44.020351409912102</v>
      </c>
    </row>
    <row r="4126" spans="1:12" x14ac:dyDescent="0.25">
      <c r="A4126">
        <v>3525854</v>
      </c>
      <c r="B4126" t="str">
        <f t="shared" si="64"/>
        <v>JUMIRIM, SP, Brasil</v>
      </c>
      <c r="C4126" s="4" t="str">
        <f>_xlfn.XLOOKUP(A4126,[1]!DadosGHD[CD_GEOCMU],[1]!DadosGHD[Região])</f>
        <v>SD</v>
      </c>
      <c r="D4126" s="4" t="str">
        <f>_xlfn.XLOOKUP(A4126,[1]!DadosGHD[CD_GEOCMU],[1]!DadosGHD[uf])</f>
        <v>SP</v>
      </c>
      <c r="E4126" s="5" t="str">
        <f>_xlfn.XLOOKUP(A4126,[1]!DadosGHD[CD_GEOCMU],[1]!DadosGHD[MUNICIPIO])</f>
        <v>JUMIRIM</v>
      </c>
      <c r="F4126" s="6">
        <v>48.628440856933601</v>
      </c>
      <c r="G4126" s="6">
        <v>53.702754974365199</v>
      </c>
      <c r="H4126" s="6">
        <v>48.836441040039098</v>
      </c>
      <c r="I4126" s="6">
        <v>48.817817687988303</v>
      </c>
      <c r="J4126" s="6">
        <v>53.737300872802699</v>
      </c>
      <c r="K4126" s="6">
        <v>53.905078887939503</v>
      </c>
      <c r="L4126" s="6">
        <v>57.589881896972699</v>
      </c>
    </row>
    <row r="4127" spans="1:12" x14ac:dyDescent="0.25">
      <c r="A4127">
        <v>4215653</v>
      </c>
      <c r="B4127" t="str">
        <f t="shared" si="64"/>
        <v>SANTA ROSA DO SUL, SC, Brasil</v>
      </c>
      <c r="C4127" s="4" t="str">
        <f>_xlfn.XLOOKUP(A4127,[1]!DadosGHD[CD_GEOCMU],[1]!DadosGHD[Região])</f>
        <v>SL</v>
      </c>
      <c r="D4127" s="4" t="str">
        <f>_xlfn.XLOOKUP(A4127,[1]!DadosGHD[CD_GEOCMU],[1]!DadosGHD[uf])</f>
        <v>SC</v>
      </c>
      <c r="E4127" s="5" t="str">
        <f>_xlfn.XLOOKUP(A4127,[1]!DadosGHD[CD_GEOCMU],[1]!DadosGHD[MUNICIPIO])</f>
        <v>SANTA ROSA DO SUL</v>
      </c>
      <c r="F4127" s="6">
        <v>48.628612518310597</v>
      </c>
      <c r="G4127" s="6">
        <v>58.842170715332003</v>
      </c>
      <c r="H4127" s="6">
        <v>58.848915100097699</v>
      </c>
      <c r="I4127" s="6">
        <v>53.750370025634801</v>
      </c>
      <c r="J4127" s="6">
        <v>53.780372619628899</v>
      </c>
      <c r="K4127" s="6">
        <v>48.8326606750488</v>
      </c>
      <c r="L4127" s="6">
        <v>39.605125427246101</v>
      </c>
    </row>
    <row r="4128" spans="1:12" x14ac:dyDescent="0.25">
      <c r="A4128">
        <v>3500907</v>
      </c>
      <c r="B4128" t="str">
        <f t="shared" si="64"/>
        <v>ALTAIR, SP, Brasil</v>
      </c>
      <c r="C4128" s="4" t="str">
        <f>_xlfn.XLOOKUP(A4128,[1]!DadosGHD[CD_GEOCMU],[1]!DadosGHD[Região])</f>
        <v>SD</v>
      </c>
      <c r="D4128" s="4" t="str">
        <f>_xlfn.XLOOKUP(A4128,[1]!DadosGHD[CD_GEOCMU],[1]!DadosGHD[uf])</f>
        <v>SP</v>
      </c>
      <c r="E4128" s="5" t="str">
        <f>_xlfn.XLOOKUP(A4128,[1]!DadosGHD[CD_GEOCMU],[1]!DadosGHD[MUNICIPIO])</f>
        <v>ALTAIR</v>
      </c>
      <c r="F4128" s="6">
        <v>48.629501342773402</v>
      </c>
      <c r="G4128" s="6">
        <v>48.6649169921875</v>
      </c>
      <c r="H4128" s="6">
        <v>43.832920074462898</v>
      </c>
      <c r="I4128" s="6">
        <v>43.784477233886697</v>
      </c>
      <c r="J4128" s="6">
        <v>43.782901763916001</v>
      </c>
      <c r="K4128" s="6">
        <v>43.811412811279297</v>
      </c>
      <c r="L4128" s="6">
        <v>35.149585723877003</v>
      </c>
    </row>
    <row r="4129" spans="1:12" x14ac:dyDescent="0.25">
      <c r="A4129">
        <v>5204904</v>
      </c>
      <c r="B4129" t="str">
        <f t="shared" si="64"/>
        <v>CAMPOS BELOS, GO, Brasil</v>
      </c>
      <c r="C4129" s="4" t="str">
        <f>_xlfn.XLOOKUP(A4129,[1]!DadosGHD[CD_GEOCMU],[1]!DadosGHD[Região])</f>
        <v>CO</v>
      </c>
      <c r="D4129" s="4" t="str">
        <f>_xlfn.XLOOKUP(A4129,[1]!DadosGHD[CD_GEOCMU],[1]!DadosGHD[uf])</f>
        <v>GO</v>
      </c>
      <c r="E4129" s="5" t="str">
        <f>_xlfn.XLOOKUP(A4129,[1]!DadosGHD[CD_GEOCMU],[1]!DadosGHD[MUNICIPIO])</f>
        <v>CAMPOS BELOS</v>
      </c>
      <c r="F4129" s="6">
        <v>48.629627227783203</v>
      </c>
      <c r="G4129" s="6">
        <v>48.725532531738303</v>
      </c>
      <c r="H4129" s="6">
        <v>48.769241333007798</v>
      </c>
      <c r="I4129" s="6">
        <v>48.719108581542997</v>
      </c>
      <c r="J4129" s="6">
        <v>48.715099334716797</v>
      </c>
      <c r="K4129" s="6">
        <v>43.885669708252003</v>
      </c>
      <c r="L4129" s="6">
        <v>35.144283294677699</v>
      </c>
    </row>
    <row r="4130" spans="1:12" x14ac:dyDescent="0.25">
      <c r="A4130">
        <v>4211603</v>
      </c>
      <c r="B4130" t="str">
        <f t="shared" si="64"/>
        <v>NOVA VENEZA, SC, Brasil</v>
      </c>
      <c r="C4130" s="4" t="str">
        <f>_xlfn.XLOOKUP(A4130,[1]!DadosGHD[CD_GEOCMU],[1]!DadosGHD[Região])</f>
        <v>SL</v>
      </c>
      <c r="D4130" s="4" t="str">
        <f>_xlfn.XLOOKUP(A4130,[1]!DadosGHD[CD_GEOCMU],[1]!DadosGHD[uf])</f>
        <v>SC</v>
      </c>
      <c r="E4130" s="5" t="str">
        <f>_xlfn.XLOOKUP(A4130,[1]!DadosGHD[CD_GEOCMU],[1]!DadosGHD[MUNICIPIO])</f>
        <v>NOVA VENEZA</v>
      </c>
      <c r="F4130" s="6">
        <v>48.629764556884801</v>
      </c>
      <c r="G4130" s="6">
        <v>48.718185424804702</v>
      </c>
      <c r="H4130" s="6">
        <v>48.825187683105497</v>
      </c>
      <c r="I4130" s="6">
        <v>53.8524360656738</v>
      </c>
      <c r="J4130" s="6">
        <v>58.900547027587898</v>
      </c>
      <c r="K4130" s="6">
        <v>53.984771728515597</v>
      </c>
      <c r="L4130" s="6">
        <v>57.540084838867202</v>
      </c>
    </row>
    <row r="4131" spans="1:12" x14ac:dyDescent="0.25">
      <c r="A4131">
        <v>4117800</v>
      </c>
      <c r="B4131" t="str">
        <f t="shared" si="64"/>
        <v>PALMITAL, PR, Brasil</v>
      </c>
      <c r="C4131" s="4" t="str">
        <f>_xlfn.XLOOKUP(A4131,[1]!DadosGHD[CD_GEOCMU],[1]!DadosGHD[Região])</f>
        <v>SL</v>
      </c>
      <c r="D4131" s="4" t="str">
        <f>_xlfn.XLOOKUP(A4131,[1]!DadosGHD[CD_GEOCMU],[1]!DadosGHD[uf])</f>
        <v>PR</v>
      </c>
      <c r="E4131" s="5" t="str">
        <f>_xlfn.XLOOKUP(A4131,[1]!DadosGHD[CD_GEOCMU],[1]!DadosGHD[MUNICIPIO])</f>
        <v>PALMITAL</v>
      </c>
      <c r="F4131" s="6">
        <v>48.629795074462898</v>
      </c>
      <c r="G4131" s="6">
        <v>53.675212860107401</v>
      </c>
      <c r="H4131" s="6">
        <v>48.784702301025398</v>
      </c>
      <c r="I4131" s="6">
        <v>48.719081878662102</v>
      </c>
      <c r="J4131" s="6">
        <v>53.754024505615199</v>
      </c>
      <c r="K4131" s="6">
        <v>53.840732574462898</v>
      </c>
      <c r="L4131" s="6">
        <v>39.563522338867202</v>
      </c>
    </row>
    <row r="4132" spans="1:12" x14ac:dyDescent="0.25">
      <c r="A4132">
        <v>4203600</v>
      </c>
      <c r="B4132" t="str">
        <f t="shared" si="64"/>
        <v>CAMPOS NOVOS, SC, Brasil</v>
      </c>
      <c r="C4132" s="4" t="str">
        <f>_xlfn.XLOOKUP(A4132,[1]!DadosGHD[CD_GEOCMU],[1]!DadosGHD[Região])</f>
        <v>SL</v>
      </c>
      <c r="D4132" s="4" t="str">
        <f>_xlfn.XLOOKUP(A4132,[1]!DadosGHD[CD_GEOCMU],[1]!DadosGHD[uf])</f>
        <v>SC</v>
      </c>
      <c r="E4132" s="5" t="str">
        <f>_xlfn.XLOOKUP(A4132,[1]!DadosGHD[CD_GEOCMU],[1]!DadosGHD[MUNICIPIO])</f>
        <v>CAMPOS NOVOS</v>
      </c>
      <c r="F4132" s="6">
        <v>48.629798889160199</v>
      </c>
      <c r="G4132" s="6">
        <v>53.768253326416001</v>
      </c>
      <c r="H4132" s="6">
        <v>53.842300415039098</v>
      </c>
      <c r="I4132" s="6">
        <v>53.723426818847699</v>
      </c>
      <c r="J4132" s="6">
        <v>53.786880493164098</v>
      </c>
      <c r="K4132" s="6">
        <v>53.9131889343262</v>
      </c>
      <c r="L4132" s="6">
        <v>48.496486663818402</v>
      </c>
    </row>
    <row r="4133" spans="1:12" x14ac:dyDescent="0.25">
      <c r="A4133">
        <v>3537503</v>
      </c>
      <c r="B4133" t="str">
        <f t="shared" si="64"/>
        <v>PEREIRAS, SP, Brasil</v>
      </c>
      <c r="C4133" s="4" t="str">
        <f>_xlfn.XLOOKUP(A4133,[1]!DadosGHD[CD_GEOCMU],[1]!DadosGHD[Região])</f>
        <v>SD</v>
      </c>
      <c r="D4133" s="4" t="str">
        <f>_xlfn.XLOOKUP(A4133,[1]!DadosGHD[CD_GEOCMU],[1]!DadosGHD[uf])</f>
        <v>SP</v>
      </c>
      <c r="E4133" s="5" t="str">
        <f>_xlfn.XLOOKUP(A4133,[1]!DadosGHD[CD_GEOCMU],[1]!DadosGHD[MUNICIPIO])</f>
        <v>PEREIRAS</v>
      </c>
      <c r="F4133" s="6">
        <v>48.630424499511697</v>
      </c>
      <c r="G4133" s="6">
        <v>48.637969970703097</v>
      </c>
      <c r="H4133" s="6">
        <v>43.810089111328097</v>
      </c>
      <c r="I4133" s="6">
        <v>43.7609252929688</v>
      </c>
      <c r="J4133" s="6">
        <v>43.768680572509801</v>
      </c>
      <c r="K4133" s="6">
        <v>48.779018402099602</v>
      </c>
      <c r="L4133" s="6">
        <v>53.014041900634801</v>
      </c>
    </row>
    <row r="4134" spans="1:12" x14ac:dyDescent="0.25">
      <c r="A4134">
        <v>3550001</v>
      </c>
      <c r="B4134" t="str">
        <f t="shared" si="64"/>
        <v>SAO LUIS DO PARAITINGA, SP, Brasil</v>
      </c>
      <c r="C4134" s="4" t="str">
        <f>_xlfn.XLOOKUP(A4134,[1]!DadosGHD[CD_GEOCMU],[1]!DadosGHD[Região])</f>
        <v>SD</v>
      </c>
      <c r="D4134" s="4" t="str">
        <f>_xlfn.XLOOKUP(A4134,[1]!DadosGHD[CD_GEOCMU],[1]!DadosGHD[uf])</f>
        <v>SP</v>
      </c>
      <c r="E4134" s="5" t="str">
        <f>_xlfn.XLOOKUP(A4134,[1]!DadosGHD[CD_GEOCMU],[1]!DadosGHD[MUNICIPIO])</f>
        <v>SAO LUIS DO PARAITINGA</v>
      </c>
      <c r="F4134" s="6">
        <v>48.630538940429702</v>
      </c>
      <c r="G4134" s="6">
        <v>48.736927032470703</v>
      </c>
      <c r="H4134" s="6">
        <v>48.799465179443402</v>
      </c>
      <c r="I4134" s="6">
        <v>48.742713928222699</v>
      </c>
      <c r="J4134" s="6">
        <v>48.730094909667997</v>
      </c>
      <c r="K4134" s="6">
        <v>48.795310974121101</v>
      </c>
      <c r="L4134" s="6">
        <v>44.016578674316399</v>
      </c>
    </row>
    <row r="4135" spans="1:12" x14ac:dyDescent="0.25">
      <c r="A4135">
        <v>3529203</v>
      </c>
      <c r="B4135" t="str">
        <f t="shared" si="64"/>
        <v>MARTINOPOLIS, SP, Brasil</v>
      </c>
      <c r="C4135" s="4" t="str">
        <f>_xlfn.XLOOKUP(A4135,[1]!DadosGHD[CD_GEOCMU],[1]!DadosGHD[Região])</f>
        <v>SD</v>
      </c>
      <c r="D4135" s="4" t="str">
        <f>_xlfn.XLOOKUP(A4135,[1]!DadosGHD[CD_GEOCMU],[1]!DadosGHD[uf])</f>
        <v>SP</v>
      </c>
      <c r="E4135" s="5" t="str">
        <f>_xlfn.XLOOKUP(A4135,[1]!DadosGHD[CD_GEOCMU],[1]!DadosGHD[MUNICIPIO])</f>
        <v>MARTINOPOLIS</v>
      </c>
      <c r="F4135" s="6">
        <v>48.631008148193402</v>
      </c>
      <c r="G4135" s="6">
        <v>48.656097412109403</v>
      </c>
      <c r="H4135" s="6">
        <v>43.7852592468262</v>
      </c>
      <c r="I4135" s="6">
        <v>43.750381469726598</v>
      </c>
      <c r="J4135" s="6">
        <v>48.717838287353501</v>
      </c>
      <c r="K4135" s="6">
        <v>48.818550109863303</v>
      </c>
      <c r="L4135" s="6">
        <v>48.525825500488303</v>
      </c>
    </row>
    <row r="4136" spans="1:12" x14ac:dyDescent="0.25">
      <c r="A4136">
        <v>5007307</v>
      </c>
      <c r="B4136" t="str">
        <f t="shared" si="64"/>
        <v>RIO NEGRO, MS, Brasil</v>
      </c>
      <c r="C4136" s="4" t="str">
        <f>_xlfn.XLOOKUP(A4136,[1]!DadosGHD[CD_GEOCMU],[1]!DadosGHD[Região])</f>
        <v>CO</v>
      </c>
      <c r="D4136" s="4" t="str">
        <f>_xlfn.XLOOKUP(A4136,[1]!DadosGHD[CD_GEOCMU],[1]!DadosGHD[uf])</f>
        <v>MS</v>
      </c>
      <c r="E4136" s="5" t="str">
        <f>_xlfn.XLOOKUP(A4136,[1]!DadosGHD[CD_GEOCMU],[1]!DadosGHD[MUNICIPIO])</f>
        <v>RIO NEGRO</v>
      </c>
      <c r="F4136" s="6">
        <v>48.631607055664098</v>
      </c>
      <c r="G4136" s="6">
        <v>43.690994262695298</v>
      </c>
      <c r="H4136" s="6">
        <v>43.731399536132798</v>
      </c>
      <c r="I4136" s="6">
        <v>43.678169250488303</v>
      </c>
      <c r="J4136" s="6">
        <v>38.805126190185597</v>
      </c>
      <c r="K4136" s="6">
        <v>38.810020446777301</v>
      </c>
      <c r="L4136" s="6">
        <v>35.133205413818402</v>
      </c>
    </row>
    <row r="4137" spans="1:12" x14ac:dyDescent="0.25">
      <c r="A4137">
        <v>3138625</v>
      </c>
      <c r="B4137" t="str">
        <f t="shared" si="64"/>
        <v>LIMEIRA DO OESTE, MG, Brasil</v>
      </c>
      <c r="C4137" s="4" t="str">
        <f>_xlfn.XLOOKUP(A4137,[1]!DadosGHD[CD_GEOCMU],[1]!DadosGHD[Região])</f>
        <v>SD</v>
      </c>
      <c r="D4137" s="4" t="str">
        <f>_xlfn.XLOOKUP(A4137,[1]!DadosGHD[CD_GEOCMU],[1]!DadosGHD[uf])</f>
        <v>MG</v>
      </c>
      <c r="E4137" s="5" t="str">
        <f>_xlfn.XLOOKUP(A4137,[1]!DadosGHD[CD_GEOCMU],[1]!DadosGHD[MUNICIPIO])</f>
        <v>LIMEIRA DO OESTE</v>
      </c>
      <c r="F4137" s="6">
        <v>48.631900787353501</v>
      </c>
      <c r="G4137" s="6">
        <v>48.679977416992202</v>
      </c>
      <c r="H4137" s="6">
        <v>48.734462738037102</v>
      </c>
      <c r="I4137" s="6">
        <v>48.687496185302699</v>
      </c>
      <c r="J4137" s="6">
        <v>48.706649780273402</v>
      </c>
      <c r="K4137" s="6">
        <v>43.859127044677699</v>
      </c>
      <c r="L4137" s="6">
        <v>39.590744018554702</v>
      </c>
    </row>
    <row r="4138" spans="1:12" x14ac:dyDescent="0.25">
      <c r="A4138">
        <v>3106705</v>
      </c>
      <c r="B4138" t="str">
        <f t="shared" si="64"/>
        <v>BETIM, MG, Brasil</v>
      </c>
      <c r="C4138" s="4" t="str">
        <f>_xlfn.XLOOKUP(A4138,[1]!DadosGHD[CD_GEOCMU],[1]!DadosGHD[Região])</f>
        <v>SD</v>
      </c>
      <c r="D4138" s="4" t="str">
        <f>_xlfn.XLOOKUP(A4138,[1]!DadosGHD[CD_GEOCMU],[1]!DadosGHD[uf])</f>
        <v>MG</v>
      </c>
      <c r="E4138" s="5" t="str">
        <f>_xlfn.XLOOKUP(A4138,[1]!DadosGHD[CD_GEOCMU],[1]!DadosGHD[MUNICIPIO])</f>
        <v>BETIM</v>
      </c>
      <c r="F4138" s="6">
        <v>48.632015228271499</v>
      </c>
      <c r="G4138" s="6">
        <v>48.675849914550803</v>
      </c>
      <c r="H4138" s="6">
        <v>48.721340179443402</v>
      </c>
      <c r="I4138" s="6">
        <v>43.804519653320298</v>
      </c>
      <c r="J4138" s="6">
        <v>43.806663513183601</v>
      </c>
      <c r="K4138" s="6">
        <v>48.765213012695298</v>
      </c>
      <c r="L4138" s="6">
        <v>48.522678375244098</v>
      </c>
    </row>
    <row r="4139" spans="1:12" x14ac:dyDescent="0.25">
      <c r="A4139">
        <v>5203401</v>
      </c>
      <c r="B4139" t="str">
        <f t="shared" si="64"/>
        <v>BOM JARDIM DE GOIAS, GO, Brasil</v>
      </c>
      <c r="C4139" s="4" t="str">
        <f>_xlfn.XLOOKUP(A4139,[1]!DadosGHD[CD_GEOCMU],[1]!DadosGHD[Região])</f>
        <v>CO</v>
      </c>
      <c r="D4139" s="4" t="str">
        <f>_xlfn.XLOOKUP(A4139,[1]!DadosGHD[CD_GEOCMU],[1]!DadosGHD[uf])</f>
        <v>GO</v>
      </c>
      <c r="E4139" s="5" t="str">
        <f>_xlfn.XLOOKUP(A4139,[1]!DadosGHD[CD_GEOCMU],[1]!DadosGHD[MUNICIPIO])</f>
        <v>BOM JARDIM DE GOIAS</v>
      </c>
      <c r="F4139" s="6">
        <v>48.632057189941399</v>
      </c>
      <c r="G4139" s="6">
        <v>48.703502655029297</v>
      </c>
      <c r="H4139" s="6">
        <v>48.8382377624512</v>
      </c>
      <c r="I4139" s="6">
        <v>48.7838745117188</v>
      </c>
      <c r="J4139" s="6">
        <v>53.745800018310597</v>
      </c>
      <c r="K4139" s="6">
        <v>53.813743591308601</v>
      </c>
      <c r="L4139" s="6">
        <v>48.558582305908203</v>
      </c>
    </row>
    <row r="4140" spans="1:12" x14ac:dyDescent="0.25">
      <c r="A4140">
        <v>3555208</v>
      </c>
      <c r="B4140" t="str">
        <f t="shared" si="64"/>
        <v>TURIUBA, SP, Brasil</v>
      </c>
      <c r="C4140" s="4" t="str">
        <f>_xlfn.XLOOKUP(A4140,[1]!DadosGHD[CD_GEOCMU],[1]!DadosGHD[Região])</f>
        <v>SD</v>
      </c>
      <c r="D4140" s="4" t="str">
        <f>_xlfn.XLOOKUP(A4140,[1]!DadosGHD[CD_GEOCMU],[1]!DadosGHD[uf])</f>
        <v>SP</v>
      </c>
      <c r="E4140" s="5" t="str">
        <f>_xlfn.XLOOKUP(A4140,[1]!DadosGHD[CD_GEOCMU],[1]!DadosGHD[MUNICIPIO])</f>
        <v>TURIUBA</v>
      </c>
      <c r="F4140" s="6">
        <v>48.632133483886697</v>
      </c>
      <c r="G4140" s="6">
        <v>43.756034851074197</v>
      </c>
      <c r="H4140" s="6">
        <v>43.7883491516113</v>
      </c>
      <c r="I4140" s="6">
        <v>43.732856750488303</v>
      </c>
      <c r="J4140" s="6">
        <v>43.728294372558601</v>
      </c>
      <c r="K4140" s="6">
        <v>43.7679252624512</v>
      </c>
      <c r="L4140" s="6">
        <v>35.114387512207003</v>
      </c>
    </row>
    <row r="4141" spans="1:12" x14ac:dyDescent="0.25">
      <c r="A4141">
        <v>3528403</v>
      </c>
      <c r="B4141" t="str">
        <f t="shared" si="64"/>
        <v>MAIRINQUE, SP, Brasil</v>
      </c>
      <c r="C4141" s="4" t="str">
        <f>_xlfn.XLOOKUP(A4141,[1]!DadosGHD[CD_GEOCMU],[1]!DadosGHD[Região])</f>
        <v>SD</v>
      </c>
      <c r="D4141" s="4" t="str">
        <f>_xlfn.XLOOKUP(A4141,[1]!DadosGHD[CD_GEOCMU],[1]!DadosGHD[uf])</f>
        <v>SP</v>
      </c>
      <c r="E4141" s="5" t="str">
        <f>_xlfn.XLOOKUP(A4141,[1]!DadosGHD[CD_GEOCMU],[1]!DadosGHD[MUNICIPIO])</f>
        <v>MAIRINQUE</v>
      </c>
      <c r="F4141" s="6">
        <v>48.632144927978501</v>
      </c>
      <c r="G4141" s="6">
        <v>48.664741516113303</v>
      </c>
      <c r="H4141" s="6">
        <v>43.810726165771499</v>
      </c>
      <c r="I4141" s="6">
        <v>43.800754547119098</v>
      </c>
      <c r="J4141" s="6">
        <v>48.701164245605497</v>
      </c>
      <c r="K4141" s="6">
        <v>43.875476837158203</v>
      </c>
      <c r="L4141" s="6">
        <v>48.520286560058601</v>
      </c>
    </row>
    <row r="4142" spans="1:12" x14ac:dyDescent="0.25">
      <c r="A4142">
        <v>4122172</v>
      </c>
      <c r="B4142" t="str">
        <f t="shared" si="64"/>
        <v>RIO BRANCO DO IVAI, PR, Brasil</v>
      </c>
      <c r="C4142" s="4" t="str">
        <f>_xlfn.XLOOKUP(A4142,[1]!DadosGHD[CD_GEOCMU],[1]!DadosGHD[Região])</f>
        <v>SL</v>
      </c>
      <c r="D4142" s="4" t="str">
        <f>_xlfn.XLOOKUP(A4142,[1]!DadosGHD[CD_GEOCMU],[1]!DadosGHD[uf])</f>
        <v>PR</v>
      </c>
      <c r="E4142" s="5" t="str">
        <f>_xlfn.XLOOKUP(A4142,[1]!DadosGHD[CD_GEOCMU],[1]!DadosGHD[MUNICIPIO])</f>
        <v>RIO BRANCO DO IVAI</v>
      </c>
      <c r="F4142" s="6">
        <v>48.632297515869098</v>
      </c>
      <c r="G4142" s="6">
        <v>38.760875701904297</v>
      </c>
      <c r="H4142" s="6">
        <v>28.9602966308594</v>
      </c>
      <c r="I4142" s="6">
        <v>28.960273742675799</v>
      </c>
      <c r="J4142" s="6">
        <v>33.816032409667997</v>
      </c>
      <c r="K4142" s="6">
        <v>28.989057540893601</v>
      </c>
      <c r="L4142" s="6">
        <v>30.7168788909912</v>
      </c>
    </row>
    <row r="4143" spans="1:12" x14ac:dyDescent="0.25">
      <c r="A4143">
        <v>3504909</v>
      </c>
      <c r="B4143" t="str">
        <f t="shared" si="64"/>
        <v>BANANAL, SP, Brasil</v>
      </c>
      <c r="C4143" s="4" t="str">
        <f>_xlfn.XLOOKUP(A4143,[1]!DadosGHD[CD_GEOCMU],[1]!DadosGHD[Região])</f>
        <v>SD</v>
      </c>
      <c r="D4143" s="4" t="str">
        <f>_xlfn.XLOOKUP(A4143,[1]!DadosGHD[CD_GEOCMU],[1]!DadosGHD[uf])</f>
        <v>SP</v>
      </c>
      <c r="E4143" s="5" t="str">
        <f>_xlfn.XLOOKUP(A4143,[1]!DadosGHD[CD_GEOCMU],[1]!DadosGHD[MUNICIPIO])</f>
        <v>BANANAL</v>
      </c>
      <c r="F4143" s="6">
        <v>48.632472991943402</v>
      </c>
      <c r="G4143" s="6">
        <v>48.766284942627003</v>
      </c>
      <c r="H4143" s="6">
        <v>48.848762512207003</v>
      </c>
      <c r="I4143" s="6">
        <v>53.715663909912102</v>
      </c>
      <c r="J4143" s="6">
        <v>53.877780914306598</v>
      </c>
      <c r="K4143" s="6">
        <v>53.863449096679702</v>
      </c>
      <c r="L4143" s="6">
        <v>52.982826232910199</v>
      </c>
    </row>
    <row r="4144" spans="1:12" x14ac:dyDescent="0.25">
      <c r="A4144">
        <v>3138609</v>
      </c>
      <c r="B4144" t="str">
        <f t="shared" si="64"/>
        <v>LIMA DUARTE, MG, Brasil</v>
      </c>
      <c r="C4144" s="4" t="str">
        <f>_xlfn.XLOOKUP(A4144,[1]!DadosGHD[CD_GEOCMU],[1]!DadosGHD[Região])</f>
        <v>SD</v>
      </c>
      <c r="D4144" s="4" t="str">
        <f>_xlfn.XLOOKUP(A4144,[1]!DadosGHD[CD_GEOCMU],[1]!DadosGHD[uf])</f>
        <v>MG</v>
      </c>
      <c r="E4144" s="5" t="str">
        <f>_xlfn.XLOOKUP(A4144,[1]!DadosGHD[CD_GEOCMU],[1]!DadosGHD[MUNICIPIO])</f>
        <v>LIMA DUARTE</v>
      </c>
      <c r="F4144" s="6">
        <v>48.632705688476598</v>
      </c>
      <c r="G4144" s="6">
        <v>48.644870758056598</v>
      </c>
      <c r="H4144" s="6">
        <v>48.7453804016113</v>
      </c>
      <c r="I4144" s="6">
        <v>48.783168792724602</v>
      </c>
      <c r="J4144" s="6">
        <v>48.8077201843262</v>
      </c>
      <c r="K4144" s="6">
        <v>48.883419036865199</v>
      </c>
      <c r="L4144" s="6">
        <v>52.97998046875</v>
      </c>
    </row>
    <row r="4145" spans="1:12" x14ac:dyDescent="0.25">
      <c r="A4145">
        <v>4301206</v>
      </c>
      <c r="B4145" t="str">
        <f t="shared" si="64"/>
        <v>ARROIO DO TIGRE, RS, Brasil</v>
      </c>
      <c r="C4145" s="4" t="str">
        <f>_xlfn.XLOOKUP(A4145,[1]!DadosGHD[CD_GEOCMU],[1]!DadosGHD[Região])</f>
        <v>SL</v>
      </c>
      <c r="D4145" s="4" t="str">
        <f>_xlfn.XLOOKUP(A4145,[1]!DadosGHD[CD_GEOCMU],[1]!DadosGHD[uf])</f>
        <v>RS</v>
      </c>
      <c r="E4145" s="5" t="str">
        <f>_xlfn.XLOOKUP(A4145,[1]!DadosGHD[CD_GEOCMU],[1]!DadosGHD[MUNICIPIO])</f>
        <v>ARROIO DO TIGRE</v>
      </c>
      <c r="F4145" s="6">
        <v>48.632720947265597</v>
      </c>
      <c r="G4145" s="6">
        <v>48.685169219970703</v>
      </c>
      <c r="H4145" s="6">
        <v>43.771621704101598</v>
      </c>
      <c r="I4145" s="6">
        <v>43.750377655029297</v>
      </c>
      <c r="J4145" s="6">
        <v>43.775234222412102</v>
      </c>
      <c r="K4145" s="6">
        <v>43.828922271728501</v>
      </c>
      <c r="L4145" s="6">
        <v>39.602336883544901</v>
      </c>
    </row>
    <row r="4146" spans="1:12" x14ac:dyDescent="0.25">
      <c r="A4146">
        <v>3154705</v>
      </c>
      <c r="B4146" t="str">
        <f t="shared" si="64"/>
        <v>RIBEIRAO VERMELHO, MG, Brasil</v>
      </c>
      <c r="C4146" s="4" t="str">
        <f>_xlfn.XLOOKUP(A4146,[1]!DadosGHD[CD_GEOCMU],[1]!DadosGHD[Região])</f>
        <v>SD</v>
      </c>
      <c r="D4146" s="4" t="str">
        <f>_xlfn.XLOOKUP(A4146,[1]!DadosGHD[CD_GEOCMU],[1]!DadosGHD[uf])</f>
        <v>MG</v>
      </c>
      <c r="E4146" s="5" t="str">
        <f>_xlfn.XLOOKUP(A4146,[1]!DadosGHD[CD_GEOCMU],[1]!DadosGHD[MUNICIPIO])</f>
        <v>RIBEIRAO VERMELHO</v>
      </c>
      <c r="F4146" s="6">
        <v>48.6327934265137</v>
      </c>
      <c r="G4146" s="6">
        <v>48.6381645202637</v>
      </c>
      <c r="H4146" s="6">
        <v>43.826244354248097</v>
      </c>
      <c r="I4146" s="6">
        <v>48.717113494873097</v>
      </c>
      <c r="J4146" s="6">
        <v>48.734569549560597</v>
      </c>
      <c r="K4146" s="6">
        <v>48.887893676757798</v>
      </c>
      <c r="L4146" s="6">
        <v>57.576316833496101</v>
      </c>
    </row>
    <row r="4147" spans="1:12" x14ac:dyDescent="0.25">
      <c r="A4147">
        <v>1709500</v>
      </c>
      <c r="B4147" t="str">
        <f t="shared" si="64"/>
        <v>GURUPI, TO, Brasil</v>
      </c>
      <c r="C4147" s="4" t="str">
        <f>_xlfn.XLOOKUP(A4147,[1]!DadosGHD[CD_GEOCMU],[1]!DadosGHD[Região])</f>
        <v>NO</v>
      </c>
      <c r="D4147" s="4" t="str">
        <f>_xlfn.XLOOKUP(A4147,[1]!DadosGHD[CD_GEOCMU],[1]!DadosGHD[uf])</f>
        <v>TO</v>
      </c>
      <c r="E4147" s="5" t="str">
        <f>_xlfn.XLOOKUP(A4147,[1]!DadosGHD[CD_GEOCMU],[1]!DadosGHD[MUNICIPIO])</f>
        <v>GURUPI</v>
      </c>
      <c r="F4147" s="6">
        <v>48.632900238037102</v>
      </c>
      <c r="G4147" s="6">
        <v>48.715835571289098</v>
      </c>
      <c r="H4147" s="6">
        <v>48.755989074707003</v>
      </c>
      <c r="I4147" s="6">
        <v>48.724246978759801</v>
      </c>
      <c r="J4147" s="6">
        <v>43.789173126220703</v>
      </c>
      <c r="K4147" s="6">
        <v>43.839519500732401</v>
      </c>
      <c r="L4147" s="6">
        <v>39.557090759277301</v>
      </c>
    </row>
    <row r="4148" spans="1:12" x14ac:dyDescent="0.25">
      <c r="A4148">
        <v>3133501</v>
      </c>
      <c r="B4148" t="str">
        <f t="shared" si="64"/>
        <v>ITAPECERICA, MG, Brasil</v>
      </c>
      <c r="C4148" s="4" t="str">
        <f>_xlfn.XLOOKUP(A4148,[1]!DadosGHD[CD_GEOCMU],[1]!DadosGHD[Região])</f>
        <v>SD</v>
      </c>
      <c r="D4148" s="4" t="str">
        <f>_xlfn.XLOOKUP(A4148,[1]!DadosGHD[CD_GEOCMU],[1]!DadosGHD[uf])</f>
        <v>MG</v>
      </c>
      <c r="E4148" s="5" t="str">
        <f>_xlfn.XLOOKUP(A4148,[1]!DadosGHD[CD_GEOCMU],[1]!DadosGHD[MUNICIPIO])</f>
        <v>ITAPECERICA</v>
      </c>
      <c r="F4148" s="6">
        <v>48.632911682128899</v>
      </c>
      <c r="G4148" s="6">
        <v>53.662548065185597</v>
      </c>
      <c r="H4148" s="6">
        <v>53.749988555908203</v>
      </c>
      <c r="I4148" s="6">
        <v>48.787582397460902</v>
      </c>
      <c r="J4148" s="6">
        <v>53.775730133056598</v>
      </c>
      <c r="K4148" s="6">
        <v>48.901573181152301</v>
      </c>
      <c r="L4148" s="6">
        <v>52.982933044433601</v>
      </c>
    </row>
    <row r="4149" spans="1:12" x14ac:dyDescent="0.25">
      <c r="A4149">
        <v>3167202</v>
      </c>
      <c r="B4149" t="str">
        <f t="shared" si="64"/>
        <v>SETE LAGOAS, MG, Brasil</v>
      </c>
      <c r="C4149" s="4" t="str">
        <f>_xlfn.XLOOKUP(A4149,[1]!DadosGHD[CD_GEOCMU],[1]!DadosGHD[Região])</f>
        <v>SD</v>
      </c>
      <c r="D4149" s="4" t="str">
        <f>_xlfn.XLOOKUP(A4149,[1]!DadosGHD[CD_GEOCMU],[1]!DadosGHD[uf])</f>
        <v>MG</v>
      </c>
      <c r="E4149" s="5" t="str">
        <f>_xlfn.XLOOKUP(A4149,[1]!DadosGHD[CD_GEOCMU],[1]!DadosGHD[MUNICIPIO])</f>
        <v>SETE LAGOAS</v>
      </c>
      <c r="F4149" s="6">
        <v>48.632923126220703</v>
      </c>
      <c r="G4149" s="6">
        <v>48.725841522216797</v>
      </c>
      <c r="H4149" s="6">
        <v>48.794185638427699</v>
      </c>
      <c r="I4149" s="6">
        <v>48.787681579589801</v>
      </c>
      <c r="J4149" s="6">
        <v>48.8304634094238</v>
      </c>
      <c r="K4149" s="6">
        <v>48.862335205078097</v>
      </c>
      <c r="L4149" s="6">
        <v>53.042308807373097</v>
      </c>
    </row>
    <row r="4150" spans="1:12" x14ac:dyDescent="0.25">
      <c r="A4150">
        <v>3114006</v>
      </c>
      <c r="B4150" t="str">
        <f t="shared" si="64"/>
        <v>CARMO DA MATA, MG, Brasil</v>
      </c>
      <c r="C4150" s="4" t="str">
        <f>_xlfn.XLOOKUP(A4150,[1]!DadosGHD[CD_GEOCMU],[1]!DadosGHD[Região])</f>
        <v>SD</v>
      </c>
      <c r="D4150" s="4" t="str">
        <f>_xlfn.XLOOKUP(A4150,[1]!DadosGHD[CD_GEOCMU],[1]!DadosGHD[uf])</f>
        <v>MG</v>
      </c>
      <c r="E4150" s="5" t="str">
        <f>_xlfn.XLOOKUP(A4150,[1]!DadosGHD[CD_GEOCMU],[1]!DadosGHD[MUNICIPIO])</f>
        <v>CARMO DA MATA</v>
      </c>
      <c r="F4150" s="6">
        <v>48.632930755615199</v>
      </c>
      <c r="G4150" s="6">
        <v>53.714637756347699</v>
      </c>
      <c r="H4150" s="6">
        <v>53.868251800537102</v>
      </c>
      <c r="I4150" s="6">
        <v>53.855918884277301</v>
      </c>
      <c r="J4150" s="6">
        <v>53.835140228271499</v>
      </c>
      <c r="K4150" s="6">
        <v>53.840343475341797</v>
      </c>
      <c r="L4150" s="6">
        <v>57.530990600585902</v>
      </c>
    </row>
    <row r="4151" spans="1:12" x14ac:dyDescent="0.25">
      <c r="A4151">
        <v>3127305</v>
      </c>
      <c r="B4151" t="str">
        <f t="shared" si="64"/>
        <v>GALILEIA, MG, Brasil</v>
      </c>
      <c r="C4151" s="4" t="str">
        <f>_xlfn.XLOOKUP(A4151,[1]!DadosGHD[CD_GEOCMU],[1]!DadosGHD[Região])</f>
        <v>SD</v>
      </c>
      <c r="D4151" s="4" t="str">
        <f>_xlfn.XLOOKUP(A4151,[1]!DadosGHD[CD_GEOCMU],[1]!DadosGHD[uf])</f>
        <v>MG</v>
      </c>
      <c r="E4151" s="5" t="str">
        <f>_xlfn.XLOOKUP(A4151,[1]!DadosGHD[CD_GEOCMU],[1]!DadosGHD[MUNICIPIO])</f>
        <v>GALILEIA</v>
      </c>
      <c r="F4151" s="6">
        <v>48.633365631103501</v>
      </c>
      <c r="G4151" s="6">
        <v>48.658527374267599</v>
      </c>
      <c r="H4151" s="6">
        <v>48.724857330322301</v>
      </c>
      <c r="I4151" s="6">
        <v>43.807380676269503</v>
      </c>
      <c r="J4151" s="6">
        <v>43.763053894042997</v>
      </c>
      <c r="K4151" s="6">
        <v>43.797046661377003</v>
      </c>
      <c r="L4151" s="6">
        <v>39.599906921386697</v>
      </c>
    </row>
    <row r="4152" spans="1:12" x14ac:dyDescent="0.25">
      <c r="A4152">
        <v>3527900</v>
      </c>
      <c r="B4152" t="str">
        <f t="shared" si="64"/>
        <v>LUTECIA, SP, Brasil</v>
      </c>
      <c r="C4152" s="4" t="str">
        <f>_xlfn.XLOOKUP(A4152,[1]!DadosGHD[CD_GEOCMU],[1]!DadosGHD[Região])</f>
        <v>SD</v>
      </c>
      <c r="D4152" s="4" t="str">
        <f>_xlfn.XLOOKUP(A4152,[1]!DadosGHD[CD_GEOCMU],[1]!DadosGHD[uf])</f>
        <v>SP</v>
      </c>
      <c r="E4152" s="5" t="str">
        <f>_xlfn.XLOOKUP(A4152,[1]!DadosGHD[CD_GEOCMU],[1]!DadosGHD[MUNICIPIO])</f>
        <v>LUTECIA</v>
      </c>
      <c r="F4152" s="6">
        <v>48.6334419250488</v>
      </c>
      <c r="G4152" s="6">
        <v>43.754501342773402</v>
      </c>
      <c r="H4152" s="6">
        <v>43.814468383789098</v>
      </c>
      <c r="I4152" s="6">
        <v>48.7059326171875</v>
      </c>
      <c r="J4152" s="6">
        <v>48.8169555664063</v>
      </c>
      <c r="K4152" s="6">
        <v>48.784168243408203</v>
      </c>
      <c r="L4152" s="6">
        <v>44.017551422119098</v>
      </c>
    </row>
    <row r="4153" spans="1:12" x14ac:dyDescent="0.25">
      <c r="A4153">
        <v>3140803</v>
      </c>
      <c r="B4153" t="str">
        <f t="shared" si="64"/>
        <v>MATIAS BARBOSA, MG, Brasil</v>
      </c>
      <c r="C4153" s="4" t="str">
        <f>_xlfn.XLOOKUP(A4153,[1]!DadosGHD[CD_GEOCMU],[1]!DadosGHD[Região])</f>
        <v>SD</v>
      </c>
      <c r="D4153" s="4" t="str">
        <f>_xlfn.XLOOKUP(A4153,[1]!DadosGHD[CD_GEOCMU],[1]!DadosGHD[uf])</f>
        <v>MG</v>
      </c>
      <c r="E4153" s="5" t="str">
        <f>_xlfn.XLOOKUP(A4153,[1]!DadosGHD[CD_GEOCMU],[1]!DadosGHD[MUNICIPIO])</f>
        <v>MATIAS BARBOSA</v>
      </c>
      <c r="F4153" s="6">
        <v>48.633625030517599</v>
      </c>
      <c r="G4153" s="6">
        <v>48.715015411377003</v>
      </c>
      <c r="H4153" s="6">
        <v>48.821094512939503</v>
      </c>
      <c r="I4153" s="6">
        <v>48.821266174316399</v>
      </c>
      <c r="J4153" s="6">
        <v>53.7695922851563</v>
      </c>
      <c r="K4153" s="6">
        <v>48.873790740966797</v>
      </c>
      <c r="L4153" s="6">
        <v>53.027076721191399</v>
      </c>
    </row>
    <row r="4154" spans="1:12" x14ac:dyDescent="0.25">
      <c r="A4154">
        <v>3114550</v>
      </c>
      <c r="B4154" t="str">
        <f t="shared" si="64"/>
        <v>CARNEIRINHO, MG, Brasil</v>
      </c>
      <c r="C4154" s="4" t="str">
        <f>_xlfn.XLOOKUP(A4154,[1]!DadosGHD[CD_GEOCMU],[1]!DadosGHD[Região])</f>
        <v>SD</v>
      </c>
      <c r="D4154" s="4" t="str">
        <f>_xlfn.XLOOKUP(A4154,[1]!DadosGHD[CD_GEOCMU],[1]!DadosGHD[uf])</f>
        <v>MG</v>
      </c>
      <c r="E4154" s="5" t="str">
        <f>_xlfn.XLOOKUP(A4154,[1]!DadosGHD[CD_GEOCMU],[1]!DadosGHD[MUNICIPIO])</f>
        <v>CARNEIRINHO</v>
      </c>
      <c r="F4154" s="6">
        <v>48.633899688720703</v>
      </c>
      <c r="G4154" s="6">
        <v>48.649887084960902</v>
      </c>
      <c r="H4154" s="6">
        <v>48.789546966552699</v>
      </c>
      <c r="I4154" s="6">
        <v>48.788722991943402</v>
      </c>
      <c r="J4154" s="6">
        <v>53.771610260009801</v>
      </c>
      <c r="K4154" s="6">
        <v>48.810680389404297</v>
      </c>
      <c r="L4154" s="6">
        <v>39.583702087402301</v>
      </c>
    </row>
    <row r="4155" spans="1:12" x14ac:dyDescent="0.25">
      <c r="A4155">
        <v>4109807</v>
      </c>
      <c r="B4155" t="str">
        <f t="shared" si="64"/>
        <v>IBIPORA, PR, Brasil</v>
      </c>
      <c r="C4155" s="4" t="str">
        <f>_xlfn.XLOOKUP(A4155,[1]!DadosGHD[CD_GEOCMU],[1]!DadosGHD[Região])</f>
        <v>SL</v>
      </c>
      <c r="D4155" s="4" t="str">
        <f>_xlfn.XLOOKUP(A4155,[1]!DadosGHD[CD_GEOCMU],[1]!DadosGHD[uf])</f>
        <v>PR</v>
      </c>
      <c r="E4155" s="5" t="str">
        <f>_xlfn.XLOOKUP(A4155,[1]!DadosGHD[CD_GEOCMU],[1]!DadosGHD[MUNICIPIO])</f>
        <v>IBIPORA</v>
      </c>
      <c r="F4155" s="6">
        <v>48.634243011474602</v>
      </c>
      <c r="G4155" s="6">
        <v>48.738193511962898</v>
      </c>
      <c r="H4155" s="6">
        <v>48.787258148193402</v>
      </c>
      <c r="I4155" s="6">
        <v>48.719211578369098</v>
      </c>
      <c r="J4155" s="6">
        <v>43.790451049804702</v>
      </c>
      <c r="K4155" s="6">
        <v>43.8172607421875</v>
      </c>
      <c r="L4155" s="6">
        <v>39.598045349121101</v>
      </c>
    </row>
    <row r="4156" spans="1:12" x14ac:dyDescent="0.25">
      <c r="A4156">
        <v>4118451</v>
      </c>
      <c r="B4156" t="str">
        <f t="shared" si="64"/>
        <v>PATO BRAGADO, PR, Brasil</v>
      </c>
      <c r="C4156" s="4" t="str">
        <f>_xlfn.XLOOKUP(A4156,[1]!DadosGHD[CD_GEOCMU],[1]!DadosGHD[Região])</f>
        <v>SL</v>
      </c>
      <c r="D4156" s="4" t="str">
        <f>_xlfn.XLOOKUP(A4156,[1]!DadosGHD[CD_GEOCMU],[1]!DadosGHD[uf])</f>
        <v>PR</v>
      </c>
      <c r="E4156" s="5" t="str">
        <f>_xlfn.XLOOKUP(A4156,[1]!DadosGHD[CD_GEOCMU],[1]!DadosGHD[MUNICIPIO])</f>
        <v>PATO BRAGADO</v>
      </c>
      <c r="F4156" s="6">
        <v>48.634265899658203</v>
      </c>
      <c r="G4156" s="6">
        <v>53.699871063232401</v>
      </c>
      <c r="H4156" s="6">
        <v>53.868064880371101</v>
      </c>
      <c r="I4156" s="6">
        <v>53.882400512695298</v>
      </c>
      <c r="J4156" s="6">
        <v>58.945465087890597</v>
      </c>
      <c r="K4156" s="6">
        <v>59.001384735107401</v>
      </c>
      <c r="L4156" s="6">
        <v>57.564483642578097</v>
      </c>
    </row>
    <row r="4157" spans="1:12" x14ac:dyDescent="0.25">
      <c r="A4157">
        <v>4119707</v>
      </c>
      <c r="B4157" t="str">
        <f t="shared" si="64"/>
        <v>PLANALTINA DO PARANA, PR, Brasil</v>
      </c>
      <c r="C4157" s="4" t="str">
        <f>_xlfn.XLOOKUP(A4157,[1]!DadosGHD[CD_GEOCMU],[1]!DadosGHD[Região])</f>
        <v>SL</v>
      </c>
      <c r="D4157" s="4" t="str">
        <f>_xlfn.XLOOKUP(A4157,[1]!DadosGHD[CD_GEOCMU],[1]!DadosGHD[uf])</f>
        <v>PR</v>
      </c>
      <c r="E4157" s="5" t="str">
        <f>_xlfn.XLOOKUP(A4157,[1]!DadosGHD[CD_GEOCMU],[1]!DadosGHD[MUNICIPIO])</f>
        <v>PLANALTINA DO PARANA</v>
      </c>
      <c r="F4157" s="6">
        <v>48.634368896484403</v>
      </c>
      <c r="G4157" s="6">
        <v>53.720672607421903</v>
      </c>
      <c r="H4157" s="6">
        <v>53.797966003417997</v>
      </c>
      <c r="I4157" s="6">
        <v>53.759098052978501</v>
      </c>
      <c r="J4157" s="6">
        <v>53.764915466308601</v>
      </c>
      <c r="K4157" s="6">
        <v>43.869319915771499</v>
      </c>
      <c r="L4157" s="6">
        <v>39.581295013427699</v>
      </c>
    </row>
    <row r="4158" spans="1:12" x14ac:dyDescent="0.25">
      <c r="A4158">
        <v>4309308</v>
      </c>
      <c r="B4158" t="str">
        <f t="shared" si="64"/>
        <v>GUAIBA, RS, Brasil</v>
      </c>
      <c r="C4158" s="4" t="str">
        <f>_xlfn.XLOOKUP(A4158,[1]!DadosGHD[CD_GEOCMU],[1]!DadosGHD[Região])</f>
        <v>SL</v>
      </c>
      <c r="D4158" s="4" t="str">
        <f>_xlfn.XLOOKUP(A4158,[1]!DadosGHD[CD_GEOCMU],[1]!DadosGHD[uf])</f>
        <v>RS</v>
      </c>
      <c r="E4158" s="5" t="str">
        <f>_xlfn.XLOOKUP(A4158,[1]!DadosGHD[CD_GEOCMU],[1]!DadosGHD[MUNICIPIO])</f>
        <v>GUAIBA</v>
      </c>
      <c r="F4158" s="6">
        <v>48.634689331054702</v>
      </c>
      <c r="G4158" s="6">
        <v>48.724964141845703</v>
      </c>
      <c r="H4158" s="6">
        <v>48.791435241699197</v>
      </c>
      <c r="I4158" s="6">
        <v>48.745449066162102</v>
      </c>
      <c r="J4158" s="6">
        <v>43.803848266601598</v>
      </c>
      <c r="K4158" s="6">
        <v>48.837390899658203</v>
      </c>
      <c r="L4158" s="6">
        <v>52.995075225830099</v>
      </c>
    </row>
    <row r="4159" spans="1:12" x14ac:dyDescent="0.25">
      <c r="A4159">
        <v>4318200</v>
      </c>
      <c r="B4159" t="str">
        <f t="shared" si="64"/>
        <v>SAO FRANCISCO DE PAULA, RS, Brasil</v>
      </c>
      <c r="C4159" s="4" t="str">
        <f>_xlfn.XLOOKUP(A4159,[1]!DadosGHD[CD_GEOCMU],[1]!DadosGHD[Região])</f>
        <v>SL</v>
      </c>
      <c r="D4159" s="4" t="str">
        <f>_xlfn.XLOOKUP(A4159,[1]!DadosGHD[CD_GEOCMU],[1]!DadosGHD[uf])</f>
        <v>RS</v>
      </c>
      <c r="E4159" s="5" t="str">
        <f>_xlfn.XLOOKUP(A4159,[1]!DadosGHD[CD_GEOCMU],[1]!DadosGHD[MUNICIPIO])</f>
        <v>SAO FRANCISCO DE PAULA</v>
      </c>
      <c r="F4159" s="6">
        <v>48.634723663330099</v>
      </c>
      <c r="G4159" s="6">
        <v>48.717967987060597</v>
      </c>
      <c r="H4159" s="6">
        <v>48.779018402099602</v>
      </c>
      <c r="I4159" s="6">
        <v>48.812210083007798</v>
      </c>
      <c r="J4159" s="6">
        <v>48.813510894775398</v>
      </c>
      <c r="K4159" s="6">
        <v>53.906360626220703</v>
      </c>
      <c r="L4159" s="6">
        <v>53.022209167480497</v>
      </c>
    </row>
    <row r="4160" spans="1:12" x14ac:dyDescent="0.25">
      <c r="A4160">
        <v>3524204</v>
      </c>
      <c r="B4160" t="str">
        <f t="shared" si="64"/>
        <v>JABORANDI, SP, Brasil</v>
      </c>
      <c r="C4160" s="4" t="str">
        <f>_xlfn.XLOOKUP(A4160,[1]!DadosGHD[CD_GEOCMU],[1]!DadosGHD[Região])</f>
        <v>SD</v>
      </c>
      <c r="D4160" s="4" t="str">
        <f>_xlfn.XLOOKUP(A4160,[1]!DadosGHD[CD_GEOCMU],[1]!DadosGHD[uf])</f>
        <v>SP</v>
      </c>
      <c r="E4160" s="5" t="str">
        <f>_xlfn.XLOOKUP(A4160,[1]!DadosGHD[CD_GEOCMU],[1]!DadosGHD[MUNICIPIO])</f>
        <v>JABORANDI</v>
      </c>
      <c r="F4160" s="6">
        <v>48.634918212890597</v>
      </c>
      <c r="G4160" s="6">
        <v>53.674037933349602</v>
      </c>
      <c r="H4160" s="6">
        <v>48.749336242675803</v>
      </c>
      <c r="I4160" s="6">
        <v>43.781974792480497</v>
      </c>
      <c r="J4160" s="6">
        <v>43.772068023681598</v>
      </c>
      <c r="K4160" s="6">
        <v>43.828128814697301</v>
      </c>
      <c r="L4160" s="6">
        <v>48.499813079833999</v>
      </c>
    </row>
    <row r="4161" spans="1:12" x14ac:dyDescent="0.25">
      <c r="A4161">
        <v>1720903</v>
      </c>
      <c r="B4161" t="str">
        <f t="shared" si="64"/>
        <v>TAGUATINGA, TO, Brasil</v>
      </c>
      <c r="C4161" s="4" t="str">
        <f>_xlfn.XLOOKUP(A4161,[1]!DadosGHD[CD_GEOCMU],[1]!DadosGHD[Região])</f>
        <v>NO</v>
      </c>
      <c r="D4161" s="4" t="str">
        <f>_xlfn.XLOOKUP(A4161,[1]!DadosGHD[CD_GEOCMU],[1]!DadosGHD[uf])</f>
        <v>TO</v>
      </c>
      <c r="E4161" s="5" t="str">
        <f>_xlfn.XLOOKUP(A4161,[1]!DadosGHD[CD_GEOCMU],[1]!DadosGHD[MUNICIPIO])</f>
        <v>TAGUATINGA</v>
      </c>
      <c r="F4161" s="6">
        <v>48.635059356689503</v>
      </c>
      <c r="G4161" s="6">
        <v>48.658573150634801</v>
      </c>
      <c r="H4161" s="6">
        <v>48.719764709472699</v>
      </c>
      <c r="I4161" s="6">
        <v>43.804985046386697</v>
      </c>
      <c r="J4161" s="6">
        <v>43.807361602783203</v>
      </c>
      <c r="K4161" s="6">
        <v>43.844898223877003</v>
      </c>
      <c r="L4161" s="6">
        <v>35.119197845458999</v>
      </c>
    </row>
    <row r="4162" spans="1:12" x14ac:dyDescent="0.25">
      <c r="A4162">
        <v>1200054</v>
      </c>
      <c r="B4162" t="str">
        <f t="shared" si="64"/>
        <v>ASSIS BRASIL, AC, Brasil</v>
      </c>
      <c r="C4162" s="4" t="str">
        <f>_xlfn.XLOOKUP(A4162,[1]!DadosGHD[CD_GEOCMU],[1]!DadosGHD[Região])</f>
        <v>NO</v>
      </c>
      <c r="D4162" s="4" t="str">
        <f>_xlfn.XLOOKUP(A4162,[1]!DadosGHD[CD_GEOCMU],[1]!DadosGHD[uf])</f>
        <v>AC</v>
      </c>
      <c r="E4162" s="5" t="str">
        <f>_xlfn.XLOOKUP(A4162,[1]!DadosGHD[CD_GEOCMU],[1]!DadosGHD[MUNICIPIO])</f>
        <v>ASSIS BRASIL</v>
      </c>
      <c r="F4162" s="6">
        <v>48.635406494140597</v>
      </c>
      <c r="G4162" s="6">
        <v>43.690273284912102</v>
      </c>
      <c r="H4162" s="6">
        <v>43.712558746337898</v>
      </c>
      <c r="I4162" s="6">
        <v>38.819255828857401</v>
      </c>
      <c r="J4162" s="6">
        <v>38.827095031738303</v>
      </c>
      <c r="K4162" s="6">
        <v>38.852901458740199</v>
      </c>
      <c r="L4162" s="6">
        <v>30.708665847778299</v>
      </c>
    </row>
    <row r="4163" spans="1:12" x14ac:dyDescent="0.25">
      <c r="A4163">
        <v>4110706</v>
      </c>
      <c r="B4163" t="str">
        <f t="shared" si="64"/>
        <v>IRATI, PR, Brasil</v>
      </c>
      <c r="C4163" s="4" t="str">
        <f>_xlfn.XLOOKUP(A4163,[1]!DadosGHD[CD_GEOCMU],[1]!DadosGHD[Região])</f>
        <v>SL</v>
      </c>
      <c r="D4163" s="4" t="str">
        <f>_xlfn.XLOOKUP(A4163,[1]!DadosGHD[CD_GEOCMU],[1]!DadosGHD[uf])</f>
        <v>PR</v>
      </c>
      <c r="E4163" s="5" t="str">
        <f>_xlfn.XLOOKUP(A4163,[1]!DadosGHD[CD_GEOCMU],[1]!DadosGHD[MUNICIPIO])</f>
        <v>IRATI</v>
      </c>
      <c r="F4163" s="6">
        <v>48.635566711425803</v>
      </c>
      <c r="G4163" s="6">
        <v>48.748687744140597</v>
      </c>
      <c r="H4163" s="6">
        <v>53.820831298828097</v>
      </c>
      <c r="I4163" s="6">
        <v>53.795722961425803</v>
      </c>
      <c r="J4163" s="6">
        <v>53.760810852050803</v>
      </c>
      <c r="K4163" s="6">
        <v>53.817615509033203</v>
      </c>
      <c r="L4163" s="6">
        <v>53.027164459228501</v>
      </c>
    </row>
    <row r="4164" spans="1:12" x14ac:dyDescent="0.25">
      <c r="A4164">
        <v>3520301</v>
      </c>
      <c r="B4164" t="str">
        <f t="shared" ref="B4164:B4227" si="65">_xlfn.CONCAT(E4164, ", ", D4164, ", Brasil")</f>
        <v>IGUAPE, SP, Brasil</v>
      </c>
      <c r="C4164" s="4" t="str">
        <f>_xlfn.XLOOKUP(A4164,[1]!DadosGHD[CD_GEOCMU],[1]!DadosGHD[Região])</f>
        <v>SD</v>
      </c>
      <c r="D4164" s="4" t="str">
        <f>_xlfn.XLOOKUP(A4164,[1]!DadosGHD[CD_GEOCMU],[1]!DadosGHD[uf])</f>
        <v>SP</v>
      </c>
      <c r="E4164" s="5" t="str">
        <f>_xlfn.XLOOKUP(A4164,[1]!DadosGHD[CD_GEOCMU],[1]!DadosGHD[MUNICIPIO])</f>
        <v>IGUAPE</v>
      </c>
      <c r="F4164" s="6">
        <v>48.635795593261697</v>
      </c>
      <c r="G4164" s="6">
        <v>48.714427947998097</v>
      </c>
      <c r="H4164" s="6">
        <v>48.742500305175803</v>
      </c>
      <c r="I4164" s="6">
        <v>48.7130126953125</v>
      </c>
      <c r="J4164" s="6">
        <v>48.752033233642599</v>
      </c>
      <c r="K4164" s="6">
        <v>48.792671203613303</v>
      </c>
      <c r="L4164" s="6">
        <v>52.9859809875488</v>
      </c>
    </row>
    <row r="4165" spans="1:12" x14ac:dyDescent="0.25">
      <c r="A4165">
        <v>5204409</v>
      </c>
      <c r="B4165" t="str">
        <f t="shared" si="65"/>
        <v>CAIAPONIA, GO, Brasil</v>
      </c>
      <c r="C4165" s="4" t="str">
        <f>_xlfn.XLOOKUP(A4165,[1]!DadosGHD[CD_GEOCMU],[1]!DadosGHD[Região])</f>
        <v>CO</v>
      </c>
      <c r="D4165" s="4" t="str">
        <f>_xlfn.XLOOKUP(A4165,[1]!DadosGHD[CD_GEOCMU],[1]!DadosGHD[uf])</f>
        <v>GO</v>
      </c>
      <c r="E4165" s="5" t="str">
        <f>_xlfn.XLOOKUP(A4165,[1]!DadosGHD[CD_GEOCMU],[1]!DadosGHD[MUNICIPIO])</f>
        <v>CAIAPONIA</v>
      </c>
      <c r="F4165" s="6">
        <v>48.636146545410199</v>
      </c>
      <c r="G4165" s="6">
        <v>48.6888618469238</v>
      </c>
      <c r="H4165" s="6">
        <v>48.734432220458999</v>
      </c>
      <c r="I4165" s="6">
        <v>48.704280853271499</v>
      </c>
      <c r="J4165" s="6">
        <v>48.720592498779297</v>
      </c>
      <c r="K4165" s="6">
        <v>48.819065093994098</v>
      </c>
      <c r="L4165" s="6">
        <v>35.128646850585902</v>
      </c>
    </row>
    <row r="4166" spans="1:12" x14ac:dyDescent="0.25">
      <c r="A4166">
        <v>3542305</v>
      </c>
      <c r="B4166" t="str">
        <f t="shared" si="65"/>
        <v>REDENCAO DA SERRA, SP, Brasil</v>
      </c>
      <c r="C4166" s="4" t="str">
        <f>_xlfn.XLOOKUP(A4166,[1]!DadosGHD[CD_GEOCMU],[1]!DadosGHD[Região])</f>
        <v>SD</v>
      </c>
      <c r="D4166" s="4" t="str">
        <f>_xlfn.XLOOKUP(A4166,[1]!DadosGHD[CD_GEOCMU],[1]!DadosGHD[uf])</f>
        <v>SP</v>
      </c>
      <c r="E4166" s="5" t="str">
        <f>_xlfn.XLOOKUP(A4166,[1]!DadosGHD[CD_GEOCMU],[1]!DadosGHD[MUNICIPIO])</f>
        <v>REDENCAO DA SERRA</v>
      </c>
      <c r="F4166" s="6">
        <v>48.636383056640597</v>
      </c>
      <c r="G4166" s="6">
        <v>48.637546539306598</v>
      </c>
      <c r="H4166" s="6">
        <v>43.837814331054702</v>
      </c>
      <c r="I4166" s="6">
        <v>48.6819038391113</v>
      </c>
      <c r="J4166" s="6">
        <v>43.807914733886697</v>
      </c>
      <c r="K4166" s="6">
        <v>43.869895935058601</v>
      </c>
      <c r="L4166" s="6">
        <v>39.611419677734403</v>
      </c>
    </row>
    <row r="4167" spans="1:12" x14ac:dyDescent="0.25">
      <c r="A4167">
        <v>3536257</v>
      </c>
      <c r="B4167" t="str">
        <f t="shared" si="65"/>
        <v>PARISI, SP, Brasil</v>
      </c>
      <c r="C4167" s="4" t="str">
        <f>_xlfn.XLOOKUP(A4167,[1]!DadosGHD[CD_GEOCMU],[1]!DadosGHD[Região])</f>
        <v>SD</v>
      </c>
      <c r="D4167" s="4" t="str">
        <f>_xlfn.XLOOKUP(A4167,[1]!DadosGHD[CD_GEOCMU],[1]!DadosGHD[uf])</f>
        <v>SP</v>
      </c>
      <c r="E4167" s="5" t="str">
        <f>_xlfn.XLOOKUP(A4167,[1]!DadosGHD[CD_GEOCMU],[1]!DadosGHD[MUNICIPIO])</f>
        <v>PARISI</v>
      </c>
      <c r="F4167" s="6">
        <v>48.636638641357401</v>
      </c>
      <c r="G4167" s="6">
        <v>48.737762451171903</v>
      </c>
      <c r="H4167" s="6">
        <v>48.841453552246101</v>
      </c>
      <c r="I4167" s="6">
        <v>53.728248596191399</v>
      </c>
      <c r="J4167" s="6">
        <v>43.810569763183601</v>
      </c>
      <c r="K4167" s="6">
        <v>43.808174133300803</v>
      </c>
      <c r="L4167" s="6">
        <v>35.136272430419901</v>
      </c>
    </row>
    <row r="4168" spans="1:12" x14ac:dyDescent="0.25">
      <c r="A4168">
        <v>2509701</v>
      </c>
      <c r="B4168" t="str">
        <f t="shared" si="65"/>
        <v>MONTEIRO, PB, Brasil</v>
      </c>
      <c r="C4168" s="4" t="str">
        <f>_xlfn.XLOOKUP(A4168,[1]!DadosGHD[CD_GEOCMU],[1]!DadosGHD[Região])</f>
        <v>NE</v>
      </c>
      <c r="D4168" s="4" t="str">
        <f>_xlfn.XLOOKUP(A4168,[1]!DadosGHD[CD_GEOCMU],[1]!DadosGHD[uf])</f>
        <v>PB</v>
      </c>
      <c r="E4168" s="5" t="str">
        <f>_xlfn.XLOOKUP(A4168,[1]!DadosGHD[CD_GEOCMU],[1]!DadosGHD[MUNICIPIO])</f>
        <v>MONTEIRO</v>
      </c>
      <c r="F4168" s="6">
        <v>48.636989593505902</v>
      </c>
      <c r="G4168" s="6">
        <v>48.774604797363303</v>
      </c>
      <c r="H4168" s="6">
        <v>48.798374176025398</v>
      </c>
      <c r="I4168" s="6">
        <v>48.810092926025398</v>
      </c>
      <c r="J4168" s="6">
        <v>53.730518341064503</v>
      </c>
      <c r="K4168" s="6">
        <v>64.13623046875</v>
      </c>
      <c r="L4168" s="6">
        <v>52.9884033203125</v>
      </c>
    </row>
    <row r="4169" spans="1:12" x14ac:dyDescent="0.25">
      <c r="A4169">
        <v>5218102</v>
      </c>
      <c r="B4169" t="str">
        <f t="shared" si="65"/>
        <v>PORTELANDIA, GO, Brasil</v>
      </c>
      <c r="C4169" s="4" t="str">
        <f>_xlfn.XLOOKUP(A4169,[1]!DadosGHD[CD_GEOCMU],[1]!DadosGHD[Região])</f>
        <v>CO</v>
      </c>
      <c r="D4169" s="4" t="str">
        <f>_xlfn.XLOOKUP(A4169,[1]!DadosGHD[CD_GEOCMU],[1]!DadosGHD[uf])</f>
        <v>GO</v>
      </c>
      <c r="E4169" s="5" t="str">
        <f>_xlfn.XLOOKUP(A4169,[1]!DadosGHD[CD_GEOCMU],[1]!DadosGHD[MUNICIPIO])</f>
        <v>PORTELANDIA</v>
      </c>
      <c r="F4169" s="6">
        <v>48.637344360351598</v>
      </c>
      <c r="G4169" s="6">
        <v>53.744667053222699</v>
      </c>
      <c r="H4169" s="6">
        <v>48.8137397766113</v>
      </c>
      <c r="I4169" s="6">
        <v>53.7654838562012</v>
      </c>
      <c r="J4169" s="6">
        <v>58.925899505615199</v>
      </c>
      <c r="K4169" s="6">
        <v>48.825927734375</v>
      </c>
      <c r="L4169" s="6">
        <v>39.572502136230497</v>
      </c>
    </row>
    <row r="4170" spans="1:12" x14ac:dyDescent="0.25">
      <c r="A4170">
        <v>3168705</v>
      </c>
      <c r="B4170" t="str">
        <f t="shared" si="65"/>
        <v>TIMOTEO, MG, Brasil</v>
      </c>
      <c r="C4170" s="4" t="str">
        <f>_xlfn.XLOOKUP(A4170,[1]!DadosGHD[CD_GEOCMU],[1]!DadosGHD[Região])</f>
        <v>SD</v>
      </c>
      <c r="D4170" s="4" t="str">
        <f>_xlfn.XLOOKUP(A4170,[1]!DadosGHD[CD_GEOCMU],[1]!DadosGHD[uf])</f>
        <v>MG</v>
      </c>
      <c r="E4170" s="5" t="str">
        <f>_xlfn.XLOOKUP(A4170,[1]!DadosGHD[CD_GEOCMU],[1]!DadosGHD[MUNICIPIO])</f>
        <v>TIMOTEO</v>
      </c>
      <c r="F4170" s="6">
        <v>48.6374320983887</v>
      </c>
      <c r="G4170" s="6">
        <v>48.711647033691399</v>
      </c>
      <c r="H4170" s="6">
        <v>53.8244018554688</v>
      </c>
      <c r="I4170" s="6">
        <v>48.709426879882798</v>
      </c>
      <c r="J4170" s="6">
        <v>48.751571655273402</v>
      </c>
      <c r="K4170" s="6">
        <v>48.813484191894503</v>
      </c>
      <c r="L4170" s="6">
        <v>53.057285308837898</v>
      </c>
    </row>
    <row r="4171" spans="1:12" x14ac:dyDescent="0.25">
      <c r="A4171">
        <v>4312500</v>
      </c>
      <c r="B4171" t="str">
        <f t="shared" si="65"/>
        <v>MOSTARDAS, RS, Brasil</v>
      </c>
      <c r="C4171" s="4" t="str">
        <f>_xlfn.XLOOKUP(A4171,[1]!DadosGHD[CD_GEOCMU],[1]!DadosGHD[Região])</f>
        <v>SL</v>
      </c>
      <c r="D4171" s="4" t="str">
        <f>_xlfn.XLOOKUP(A4171,[1]!DadosGHD[CD_GEOCMU],[1]!DadosGHD[uf])</f>
        <v>RS</v>
      </c>
      <c r="E4171" s="5" t="str">
        <f>_xlfn.XLOOKUP(A4171,[1]!DadosGHD[CD_GEOCMU],[1]!DadosGHD[MUNICIPIO])</f>
        <v>MOSTARDAS</v>
      </c>
      <c r="F4171" s="6">
        <v>48.637653350830099</v>
      </c>
      <c r="G4171" s="6">
        <v>48.734344482421903</v>
      </c>
      <c r="H4171" s="6">
        <v>48.836429595947301</v>
      </c>
      <c r="I4171" s="6">
        <v>48.770847320556598</v>
      </c>
      <c r="J4171" s="6">
        <v>48.775203704833999</v>
      </c>
      <c r="K4171" s="6">
        <v>48.828292846679702</v>
      </c>
      <c r="L4171" s="6">
        <v>39.595615386962898</v>
      </c>
    </row>
    <row r="4172" spans="1:12" x14ac:dyDescent="0.25">
      <c r="A4172">
        <v>3147808</v>
      </c>
      <c r="B4172" t="str">
        <f t="shared" si="65"/>
        <v>PASSA-VINTE, MG, Brasil</v>
      </c>
      <c r="C4172" s="4" t="str">
        <f>_xlfn.XLOOKUP(A4172,[1]!DadosGHD[CD_GEOCMU],[1]!DadosGHD[Região])</f>
        <v>SD</v>
      </c>
      <c r="D4172" s="4" t="str">
        <f>_xlfn.XLOOKUP(A4172,[1]!DadosGHD[CD_GEOCMU],[1]!DadosGHD[uf])</f>
        <v>MG</v>
      </c>
      <c r="E4172" s="5" t="str">
        <f>_xlfn.XLOOKUP(A4172,[1]!DadosGHD[CD_GEOCMU],[1]!DadosGHD[MUNICIPIO])</f>
        <v>PASSA-VINTE</v>
      </c>
      <c r="F4172" s="6">
        <v>48.637725830078097</v>
      </c>
      <c r="G4172" s="6">
        <v>48.629421234130902</v>
      </c>
      <c r="H4172" s="6">
        <v>48.726303100585902</v>
      </c>
      <c r="I4172" s="6">
        <v>48.6867065429688</v>
      </c>
      <c r="J4172" s="6">
        <v>48.717975616455099</v>
      </c>
      <c r="K4172" s="6">
        <v>43.839279174804702</v>
      </c>
      <c r="L4172" s="6">
        <v>30.713960647583001</v>
      </c>
    </row>
    <row r="4173" spans="1:12" x14ac:dyDescent="0.25">
      <c r="A4173">
        <v>4124400</v>
      </c>
      <c r="B4173" t="str">
        <f t="shared" si="65"/>
        <v>SANTO ANTONIO DO SUDOESTE, PR, Brasil</v>
      </c>
      <c r="C4173" s="4" t="str">
        <f>_xlfn.XLOOKUP(A4173,[1]!DadosGHD[CD_GEOCMU],[1]!DadosGHD[Região])</f>
        <v>SL</v>
      </c>
      <c r="D4173" s="4" t="str">
        <f>_xlfn.XLOOKUP(A4173,[1]!DadosGHD[CD_GEOCMU],[1]!DadosGHD[uf])</f>
        <v>PR</v>
      </c>
      <c r="E4173" s="5" t="str">
        <f>_xlfn.XLOOKUP(A4173,[1]!DadosGHD[CD_GEOCMU],[1]!DadosGHD[MUNICIPIO])</f>
        <v>SANTO ANTONIO DO SUDOESTE</v>
      </c>
      <c r="F4173" s="6">
        <v>48.637840270996101</v>
      </c>
      <c r="G4173" s="6">
        <v>48.728824615478501</v>
      </c>
      <c r="H4173" s="6">
        <v>48.780914306640597</v>
      </c>
      <c r="I4173" s="6">
        <v>63.920761108398402</v>
      </c>
      <c r="J4173" s="6">
        <v>53.842811584472699</v>
      </c>
      <c r="K4173" s="6">
        <v>53.903919219970703</v>
      </c>
      <c r="L4173" s="6">
        <v>48.555789947509801</v>
      </c>
    </row>
    <row r="4174" spans="1:12" x14ac:dyDescent="0.25">
      <c r="A4174">
        <v>4203402</v>
      </c>
      <c r="B4174" t="str">
        <f t="shared" si="65"/>
        <v>CAMPO BELO DO SUL, SC, Brasil</v>
      </c>
      <c r="C4174" s="4" t="str">
        <f>_xlfn.XLOOKUP(A4174,[1]!DadosGHD[CD_GEOCMU],[1]!DadosGHD[Região])</f>
        <v>SL</v>
      </c>
      <c r="D4174" s="4" t="str">
        <f>_xlfn.XLOOKUP(A4174,[1]!DadosGHD[CD_GEOCMU],[1]!DadosGHD[uf])</f>
        <v>SC</v>
      </c>
      <c r="E4174" s="5" t="str">
        <f>_xlfn.XLOOKUP(A4174,[1]!DadosGHD[CD_GEOCMU],[1]!DadosGHD[MUNICIPIO])</f>
        <v>CAMPO BELO DO SUL</v>
      </c>
      <c r="F4174" s="6">
        <v>48.638191223144503</v>
      </c>
      <c r="G4174" s="6">
        <v>48.740493774414098</v>
      </c>
      <c r="H4174" s="6">
        <v>48.768783569335902</v>
      </c>
      <c r="I4174" s="6">
        <v>48.728172302246101</v>
      </c>
      <c r="J4174" s="6">
        <v>48.732822418212898</v>
      </c>
      <c r="K4174" s="6">
        <v>48.866592407226598</v>
      </c>
      <c r="L4174" s="6">
        <v>44.039089202880902</v>
      </c>
    </row>
    <row r="4175" spans="1:12" x14ac:dyDescent="0.25">
      <c r="A4175">
        <v>5208103</v>
      </c>
      <c r="B4175" t="str">
        <f t="shared" si="65"/>
        <v>FORMOSO, GO, Brasil</v>
      </c>
      <c r="C4175" s="4" t="str">
        <f>_xlfn.XLOOKUP(A4175,[1]!DadosGHD[CD_GEOCMU],[1]!DadosGHD[Região])</f>
        <v>CO</v>
      </c>
      <c r="D4175" s="4" t="str">
        <f>_xlfn.XLOOKUP(A4175,[1]!DadosGHD[CD_GEOCMU],[1]!DadosGHD[uf])</f>
        <v>GO</v>
      </c>
      <c r="E4175" s="5" t="str">
        <f>_xlfn.XLOOKUP(A4175,[1]!DadosGHD[CD_GEOCMU],[1]!DadosGHD[MUNICIPIO])</f>
        <v>FORMOSO</v>
      </c>
      <c r="F4175" s="6">
        <v>48.638275146484403</v>
      </c>
      <c r="G4175" s="6">
        <v>48.721221923828097</v>
      </c>
      <c r="H4175" s="6">
        <v>48.799076080322301</v>
      </c>
      <c r="I4175" s="6">
        <v>53.724918365478501</v>
      </c>
      <c r="J4175" s="6">
        <v>53.750411987304702</v>
      </c>
      <c r="K4175" s="6">
        <v>48.825893402099602</v>
      </c>
      <c r="L4175" s="6">
        <v>35.1531372070313</v>
      </c>
    </row>
    <row r="4176" spans="1:12" x14ac:dyDescent="0.25">
      <c r="A4176">
        <v>4206108</v>
      </c>
      <c r="B4176" t="str">
        <f t="shared" si="65"/>
        <v>GRAO PARA, SC, Brasil</v>
      </c>
      <c r="C4176" s="4" t="str">
        <f>_xlfn.XLOOKUP(A4176,[1]!DadosGHD[CD_GEOCMU],[1]!DadosGHD[Região])</f>
        <v>SL</v>
      </c>
      <c r="D4176" s="4" t="str">
        <f>_xlfn.XLOOKUP(A4176,[1]!DadosGHD[CD_GEOCMU],[1]!DadosGHD[uf])</f>
        <v>SC</v>
      </c>
      <c r="E4176" s="5" t="str">
        <f>_xlfn.XLOOKUP(A4176,[1]!DadosGHD[CD_GEOCMU],[1]!DadosGHD[MUNICIPIO])</f>
        <v>GRAO PARA</v>
      </c>
      <c r="F4176" s="6">
        <v>48.638481140136697</v>
      </c>
      <c r="G4176" s="6">
        <v>53.698539733886697</v>
      </c>
      <c r="H4176" s="6">
        <v>53.819431304931598</v>
      </c>
      <c r="I4176" s="6">
        <v>53.756660461425803</v>
      </c>
      <c r="J4176" s="6">
        <v>48.7382202148438</v>
      </c>
      <c r="K4176" s="6">
        <v>48.809162139892599</v>
      </c>
      <c r="L4176" s="6">
        <v>44.048873901367202</v>
      </c>
    </row>
    <row r="4177" spans="1:12" x14ac:dyDescent="0.25">
      <c r="A4177">
        <v>3135001</v>
      </c>
      <c r="B4177" t="str">
        <f t="shared" si="65"/>
        <v>JAGUARACU, MG, Brasil</v>
      </c>
      <c r="C4177" s="4" t="str">
        <f>_xlfn.XLOOKUP(A4177,[1]!DadosGHD[CD_GEOCMU],[1]!DadosGHD[Região])</f>
        <v>SD</v>
      </c>
      <c r="D4177" s="4" t="str">
        <f>_xlfn.XLOOKUP(A4177,[1]!DadosGHD[CD_GEOCMU],[1]!DadosGHD[uf])</f>
        <v>MG</v>
      </c>
      <c r="E4177" s="5" t="str">
        <f>_xlfn.XLOOKUP(A4177,[1]!DadosGHD[CD_GEOCMU],[1]!DadosGHD[MUNICIPIO])</f>
        <v>JAGUARACU</v>
      </c>
      <c r="F4177" s="6">
        <v>48.638565063476598</v>
      </c>
      <c r="G4177" s="6">
        <v>48.646499633789098</v>
      </c>
      <c r="H4177" s="6">
        <v>43.803199768066399</v>
      </c>
      <c r="I4177" s="6">
        <v>43.7628173828125</v>
      </c>
      <c r="J4177" s="6">
        <v>48.698036193847699</v>
      </c>
      <c r="K4177" s="6">
        <v>43.872730255127003</v>
      </c>
      <c r="L4177" s="6">
        <v>44.035114288330099</v>
      </c>
    </row>
    <row r="4178" spans="1:12" x14ac:dyDescent="0.25">
      <c r="A4178">
        <v>4103404</v>
      </c>
      <c r="B4178" t="str">
        <f t="shared" si="65"/>
        <v>CAFEARA, PR, Brasil</v>
      </c>
      <c r="C4178" s="4" t="str">
        <f>_xlfn.XLOOKUP(A4178,[1]!DadosGHD[CD_GEOCMU],[1]!DadosGHD[Região])</f>
        <v>SL</v>
      </c>
      <c r="D4178" s="4" t="str">
        <f>_xlfn.XLOOKUP(A4178,[1]!DadosGHD[CD_GEOCMU],[1]!DadosGHD[uf])</f>
        <v>PR</v>
      </c>
      <c r="E4178" s="5" t="str">
        <f>_xlfn.XLOOKUP(A4178,[1]!DadosGHD[CD_GEOCMU],[1]!DadosGHD[MUNICIPIO])</f>
        <v>CAFEARA</v>
      </c>
      <c r="F4178" s="6">
        <v>48.638694763183601</v>
      </c>
      <c r="G4178" s="6">
        <v>48.6497192382813</v>
      </c>
      <c r="H4178" s="6">
        <v>48.7846488952637</v>
      </c>
      <c r="I4178" s="6">
        <v>58.794223785400398</v>
      </c>
      <c r="J4178" s="6">
        <v>58.827274322509801</v>
      </c>
      <c r="K4178" s="6">
        <v>48.906036376953097</v>
      </c>
      <c r="L4178" s="6">
        <v>53.039276123046903</v>
      </c>
    </row>
    <row r="4179" spans="1:12" x14ac:dyDescent="0.25">
      <c r="A4179">
        <v>4322350</v>
      </c>
      <c r="B4179" t="str">
        <f t="shared" si="65"/>
        <v>UNIAO DA SERRA, RS, Brasil</v>
      </c>
      <c r="C4179" s="4" t="str">
        <f>_xlfn.XLOOKUP(A4179,[1]!DadosGHD[CD_GEOCMU],[1]!DadosGHD[Região])</f>
        <v>SL</v>
      </c>
      <c r="D4179" s="4" t="str">
        <f>_xlfn.XLOOKUP(A4179,[1]!DadosGHD[CD_GEOCMU],[1]!DadosGHD[uf])</f>
        <v>RS</v>
      </c>
      <c r="E4179" s="5" t="str">
        <f>_xlfn.XLOOKUP(A4179,[1]!DadosGHD[CD_GEOCMU],[1]!DadosGHD[MUNICIPIO])</f>
        <v>UNIAO DA SERRA</v>
      </c>
      <c r="F4179" s="6">
        <v>48.638736724853501</v>
      </c>
      <c r="G4179" s="6">
        <v>58.919944763183601</v>
      </c>
      <c r="H4179" s="6">
        <v>63.978416442871101</v>
      </c>
      <c r="I4179" s="6">
        <v>48.695926666259801</v>
      </c>
      <c r="J4179" s="6">
        <v>38.761531829833999</v>
      </c>
      <c r="K4179" s="6">
        <v>38.798622131347699</v>
      </c>
      <c r="L4179" s="6">
        <v>30.7020263671875</v>
      </c>
    </row>
    <row r="4180" spans="1:12" x14ac:dyDescent="0.25">
      <c r="A4180">
        <v>4321634</v>
      </c>
      <c r="B4180" t="str">
        <f t="shared" si="65"/>
        <v>TRES ARROIOS, RS, Brasil</v>
      </c>
      <c r="C4180" s="4" t="str">
        <f>_xlfn.XLOOKUP(A4180,[1]!DadosGHD[CD_GEOCMU],[1]!DadosGHD[Região])</f>
        <v>SL</v>
      </c>
      <c r="D4180" s="4" t="str">
        <f>_xlfn.XLOOKUP(A4180,[1]!DadosGHD[CD_GEOCMU],[1]!DadosGHD[uf])</f>
        <v>RS</v>
      </c>
      <c r="E4180" s="5" t="str">
        <f>_xlfn.XLOOKUP(A4180,[1]!DadosGHD[CD_GEOCMU],[1]!DadosGHD[MUNICIPIO])</f>
        <v>TRES ARROIOS</v>
      </c>
      <c r="F4180" s="6">
        <v>48.638832092285199</v>
      </c>
      <c r="G4180" s="6">
        <v>58.803680419921903</v>
      </c>
      <c r="H4180" s="6">
        <v>58.920799255371101</v>
      </c>
      <c r="I4180" s="6">
        <v>58.957374572753899</v>
      </c>
      <c r="J4180" s="6">
        <v>64.039611816406307</v>
      </c>
      <c r="K4180" s="6">
        <v>64.090721130371094</v>
      </c>
      <c r="L4180" s="6">
        <v>57.589881896972699</v>
      </c>
    </row>
    <row r="4181" spans="1:12" x14ac:dyDescent="0.25">
      <c r="A4181">
        <v>3552403</v>
      </c>
      <c r="B4181" t="str">
        <f t="shared" si="65"/>
        <v>SUMARE, SP, Brasil</v>
      </c>
      <c r="C4181" s="4" t="str">
        <f>_xlfn.XLOOKUP(A4181,[1]!DadosGHD[CD_GEOCMU],[1]!DadosGHD[Região])</f>
        <v>SD</v>
      </c>
      <c r="D4181" s="4" t="str">
        <f>_xlfn.XLOOKUP(A4181,[1]!DadosGHD[CD_GEOCMU],[1]!DadosGHD[uf])</f>
        <v>SP</v>
      </c>
      <c r="E4181" s="5" t="str">
        <f>_xlfn.XLOOKUP(A4181,[1]!DadosGHD[CD_GEOCMU],[1]!DadosGHD[MUNICIPIO])</f>
        <v>SUMARE</v>
      </c>
      <c r="F4181" s="6">
        <v>48.639331817627003</v>
      </c>
      <c r="G4181" s="6">
        <v>48.662265777587898</v>
      </c>
      <c r="H4181" s="6">
        <v>43.824607849121101</v>
      </c>
      <c r="I4181" s="6">
        <v>48.794830322265597</v>
      </c>
      <c r="J4181" s="6">
        <v>53.76123046875</v>
      </c>
      <c r="K4181" s="6">
        <v>48.909103393554702</v>
      </c>
      <c r="L4181" s="6">
        <v>53.0361328125</v>
      </c>
    </row>
    <row r="4182" spans="1:12" x14ac:dyDescent="0.25">
      <c r="A4182">
        <v>3507001</v>
      </c>
      <c r="B4182" t="str">
        <f t="shared" si="65"/>
        <v>BOITUVA, SP, Brasil</v>
      </c>
      <c r="C4182" s="4" t="str">
        <f>_xlfn.XLOOKUP(A4182,[1]!DadosGHD[CD_GEOCMU],[1]!DadosGHD[Região])</f>
        <v>SD</v>
      </c>
      <c r="D4182" s="4" t="str">
        <f>_xlfn.XLOOKUP(A4182,[1]!DadosGHD[CD_GEOCMU],[1]!DadosGHD[uf])</f>
        <v>SP</v>
      </c>
      <c r="E4182" s="5" t="str">
        <f>_xlfn.XLOOKUP(A4182,[1]!DadosGHD[CD_GEOCMU],[1]!DadosGHD[MUNICIPIO])</f>
        <v>BOITUVA</v>
      </c>
      <c r="F4182" s="6">
        <v>48.6399955749512</v>
      </c>
      <c r="G4182" s="6">
        <v>48.722568511962898</v>
      </c>
      <c r="H4182" s="6">
        <v>48.765415191650398</v>
      </c>
      <c r="I4182" s="6">
        <v>53.824424743652301</v>
      </c>
      <c r="J4182" s="6">
        <v>58.807018280029297</v>
      </c>
      <c r="K4182" s="6">
        <v>53.936336517333999</v>
      </c>
      <c r="L4182" s="6">
        <v>57.561565399169901</v>
      </c>
    </row>
    <row r="4183" spans="1:12" x14ac:dyDescent="0.25">
      <c r="A4183">
        <v>3546306</v>
      </c>
      <c r="B4183" t="str">
        <f t="shared" si="65"/>
        <v>SANTA CRUZ DAS PALMEIRAS, SP, Brasil</v>
      </c>
      <c r="C4183" s="4" t="str">
        <f>_xlfn.XLOOKUP(A4183,[1]!DadosGHD[CD_GEOCMU],[1]!DadosGHD[Região])</f>
        <v>SD</v>
      </c>
      <c r="D4183" s="4" t="str">
        <f>_xlfn.XLOOKUP(A4183,[1]!DadosGHD[CD_GEOCMU],[1]!DadosGHD[uf])</f>
        <v>SP</v>
      </c>
      <c r="E4183" s="5" t="str">
        <f>_xlfn.XLOOKUP(A4183,[1]!DadosGHD[CD_GEOCMU],[1]!DadosGHD[MUNICIPIO])</f>
        <v>SANTA CRUZ DAS PALMEIRAS</v>
      </c>
      <c r="F4183" s="6">
        <v>48.6402778625488</v>
      </c>
      <c r="G4183" s="6">
        <v>48.689411163330099</v>
      </c>
      <c r="H4183" s="6">
        <v>43.789031982421903</v>
      </c>
      <c r="I4183" s="6">
        <v>43.740837097167997</v>
      </c>
      <c r="J4183" s="6">
        <v>43.745639801025398</v>
      </c>
      <c r="K4183" s="6">
        <v>43.821044921875</v>
      </c>
      <c r="L4183" s="6">
        <v>39.580028533935597</v>
      </c>
    </row>
    <row r="4184" spans="1:12" x14ac:dyDescent="0.25">
      <c r="A4184">
        <v>3511300</v>
      </c>
      <c r="B4184" t="str">
        <f t="shared" si="65"/>
        <v>CEDRAL, SP, Brasil</v>
      </c>
      <c r="C4184" s="4" t="str">
        <f>_xlfn.XLOOKUP(A4184,[1]!DadosGHD[CD_GEOCMU],[1]!DadosGHD[Região])</f>
        <v>SD</v>
      </c>
      <c r="D4184" s="4" t="str">
        <f>_xlfn.XLOOKUP(A4184,[1]!DadosGHD[CD_GEOCMU],[1]!DadosGHD[uf])</f>
        <v>SP</v>
      </c>
      <c r="E4184" s="5" t="str">
        <f>_xlfn.XLOOKUP(A4184,[1]!DadosGHD[CD_GEOCMU],[1]!DadosGHD[MUNICIPIO])</f>
        <v>CEDRAL</v>
      </c>
      <c r="F4184" s="6">
        <v>48.641021728515597</v>
      </c>
      <c r="G4184" s="6">
        <v>48.667942047119098</v>
      </c>
      <c r="H4184" s="6">
        <v>43.825695037841797</v>
      </c>
      <c r="I4184" s="6">
        <v>43.758541107177699</v>
      </c>
      <c r="J4184" s="6">
        <v>38.822593688964801</v>
      </c>
      <c r="K4184" s="6">
        <v>43.828506469726598</v>
      </c>
      <c r="L4184" s="6">
        <v>39.611213684082003</v>
      </c>
    </row>
    <row r="4185" spans="1:12" x14ac:dyDescent="0.25">
      <c r="A4185">
        <v>3551009</v>
      </c>
      <c r="B4185" t="str">
        <f t="shared" si="65"/>
        <v>SAO VICENTE, SP, Brasil</v>
      </c>
      <c r="C4185" s="4" t="str">
        <f>_xlfn.XLOOKUP(A4185,[1]!DadosGHD[CD_GEOCMU],[1]!DadosGHD[Região])</f>
        <v>SD</v>
      </c>
      <c r="D4185" s="4" t="str">
        <f>_xlfn.XLOOKUP(A4185,[1]!DadosGHD[CD_GEOCMU],[1]!DadosGHD[uf])</f>
        <v>SP</v>
      </c>
      <c r="E4185" s="5" t="str">
        <f>_xlfn.XLOOKUP(A4185,[1]!DadosGHD[CD_GEOCMU],[1]!DadosGHD[MUNICIPIO])</f>
        <v>SAO VICENTE</v>
      </c>
      <c r="F4185" s="6">
        <v>48.641025543212898</v>
      </c>
      <c r="G4185" s="6">
        <v>48.7261772155762</v>
      </c>
      <c r="H4185" s="6">
        <v>48.764331817627003</v>
      </c>
      <c r="I4185" s="6">
        <v>48.731620788574197</v>
      </c>
      <c r="J4185" s="6">
        <v>43.82421875</v>
      </c>
      <c r="K4185" s="6">
        <v>43.833744049072301</v>
      </c>
      <c r="L4185" s="6">
        <v>53.0333251953125</v>
      </c>
    </row>
    <row r="4186" spans="1:12" x14ac:dyDescent="0.25">
      <c r="A4186">
        <v>3170404</v>
      </c>
      <c r="B4186" t="str">
        <f t="shared" si="65"/>
        <v>UNAI, MG, Brasil</v>
      </c>
      <c r="C4186" s="4" t="str">
        <f>_xlfn.XLOOKUP(A4186,[1]!DadosGHD[CD_GEOCMU],[1]!DadosGHD[Região])</f>
        <v>SD</v>
      </c>
      <c r="D4186" s="4" t="str">
        <f>_xlfn.XLOOKUP(A4186,[1]!DadosGHD[CD_GEOCMU],[1]!DadosGHD[uf])</f>
        <v>MG</v>
      </c>
      <c r="E4186" s="5" t="str">
        <f>_xlfn.XLOOKUP(A4186,[1]!DadosGHD[CD_GEOCMU],[1]!DadosGHD[MUNICIPIO])</f>
        <v>UNAI</v>
      </c>
      <c r="F4186" s="6">
        <v>48.641208648681598</v>
      </c>
      <c r="G4186" s="6">
        <v>48.695365905761697</v>
      </c>
      <c r="H4186" s="6">
        <v>48.802494049072301</v>
      </c>
      <c r="I4186" s="6">
        <v>48.810222625732401</v>
      </c>
      <c r="J4186" s="6">
        <v>48.802974700927699</v>
      </c>
      <c r="K4186" s="6">
        <v>48.874885559082003</v>
      </c>
      <c r="L4186" s="6">
        <v>48.489147186279297</v>
      </c>
    </row>
    <row r="4187" spans="1:12" x14ac:dyDescent="0.25">
      <c r="A4187">
        <v>3122108</v>
      </c>
      <c r="B4187" t="str">
        <f t="shared" si="65"/>
        <v>DIVINO DAS LARANJEIRAS, MG, Brasil</v>
      </c>
      <c r="C4187" s="4" t="str">
        <f>_xlfn.XLOOKUP(A4187,[1]!DadosGHD[CD_GEOCMU],[1]!DadosGHD[Região])</f>
        <v>SD</v>
      </c>
      <c r="D4187" s="4" t="str">
        <f>_xlfn.XLOOKUP(A4187,[1]!DadosGHD[CD_GEOCMU],[1]!DadosGHD[uf])</f>
        <v>MG</v>
      </c>
      <c r="E4187" s="5" t="str">
        <f>_xlfn.XLOOKUP(A4187,[1]!DadosGHD[CD_GEOCMU],[1]!DadosGHD[MUNICIPIO])</f>
        <v>DIVINO DAS LARANJEIRAS</v>
      </c>
      <c r="F4187" s="6">
        <v>48.641288757324197</v>
      </c>
      <c r="G4187" s="6">
        <v>48.666545867919901</v>
      </c>
      <c r="H4187" s="6">
        <v>43.839752197265597</v>
      </c>
      <c r="I4187" s="6">
        <v>48.676990509033203</v>
      </c>
      <c r="J4187" s="6">
        <v>48.707637786865199</v>
      </c>
      <c r="K4187" s="6">
        <v>43.865104675292997</v>
      </c>
      <c r="L4187" s="6">
        <v>57.557060241699197</v>
      </c>
    </row>
    <row r="4188" spans="1:12" x14ac:dyDescent="0.25">
      <c r="A4188">
        <v>3101102</v>
      </c>
      <c r="B4188" t="str">
        <f t="shared" si="65"/>
        <v>AIMORES, MG, Brasil</v>
      </c>
      <c r="C4188" s="4" t="str">
        <f>_xlfn.XLOOKUP(A4188,[1]!DadosGHD[CD_GEOCMU],[1]!DadosGHD[Região])</f>
        <v>SD</v>
      </c>
      <c r="D4188" s="4" t="str">
        <f>_xlfn.XLOOKUP(A4188,[1]!DadosGHD[CD_GEOCMU],[1]!DadosGHD[uf])</f>
        <v>MG</v>
      </c>
      <c r="E4188" s="5" t="str">
        <f>_xlfn.XLOOKUP(A4188,[1]!DadosGHD[CD_GEOCMU],[1]!DadosGHD[MUNICIPIO])</f>
        <v>AIMORES</v>
      </c>
      <c r="F4188" s="6">
        <v>48.641525268554702</v>
      </c>
      <c r="G4188" s="6">
        <v>48.708133697509801</v>
      </c>
      <c r="H4188" s="6">
        <v>48.772457122802699</v>
      </c>
      <c r="I4188" s="6">
        <v>48.732559204101598</v>
      </c>
      <c r="J4188" s="6">
        <v>48.744213104248097</v>
      </c>
      <c r="K4188" s="6">
        <v>48.821613311767599</v>
      </c>
      <c r="L4188" s="6">
        <v>39.571830749511697</v>
      </c>
    </row>
    <row r="4189" spans="1:12" x14ac:dyDescent="0.25">
      <c r="A4189">
        <v>3509007</v>
      </c>
      <c r="B4189" t="str">
        <f t="shared" si="65"/>
        <v>CAIEIRAS, SP, Brasil</v>
      </c>
      <c r="C4189" s="4" t="str">
        <f>_xlfn.XLOOKUP(A4189,[1]!DadosGHD[CD_GEOCMU],[1]!DadosGHD[Região])</f>
        <v>SD</v>
      </c>
      <c r="D4189" s="4" t="str">
        <f>_xlfn.XLOOKUP(A4189,[1]!DadosGHD[CD_GEOCMU],[1]!DadosGHD[uf])</f>
        <v>SP</v>
      </c>
      <c r="E4189" s="5" t="str">
        <f>_xlfn.XLOOKUP(A4189,[1]!DadosGHD[CD_GEOCMU],[1]!DadosGHD[MUNICIPIO])</f>
        <v>CAIEIRAS</v>
      </c>
      <c r="F4189" s="6">
        <v>48.642021179199197</v>
      </c>
      <c r="G4189" s="6">
        <v>48.700614929199197</v>
      </c>
      <c r="H4189" s="6">
        <v>48.724647521972699</v>
      </c>
      <c r="I4189" s="6">
        <v>43.7614936828613</v>
      </c>
      <c r="J4189" s="6">
        <v>43.802238464355497</v>
      </c>
      <c r="K4189" s="6">
        <v>43.871799468994098</v>
      </c>
      <c r="L4189" s="6">
        <v>48.534683227539098</v>
      </c>
    </row>
    <row r="4190" spans="1:12" x14ac:dyDescent="0.25">
      <c r="A4190">
        <v>3540309</v>
      </c>
      <c r="B4190" t="str">
        <f t="shared" si="65"/>
        <v>PONTES GESTAL, SP, Brasil</v>
      </c>
      <c r="C4190" s="4" t="str">
        <f>_xlfn.XLOOKUP(A4190,[1]!DadosGHD[CD_GEOCMU],[1]!DadosGHD[Região])</f>
        <v>SD</v>
      </c>
      <c r="D4190" s="4" t="str">
        <f>_xlfn.XLOOKUP(A4190,[1]!DadosGHD[CD_GEOCMU],[1]!DadosGHD[uf])</f>
        <v>SP</v>
      </c>
      <c r="E4190" s="5" t="str">
        <f>_xlfn.XLOOKUP(A4190,[1]!DadosGHD[CD_GEOCMU],[1]!DadosGHD[MUNICIPIO])</f>
        <v>PONTES GESTAL</v>
      </c>
      <c r="F4190" s="6">
        <v>48.642520904541001</v>
      </c>
      <c r="G4190" s="6">
        <v>48.6591606140137</v>
      </c>
      <c r="H4190" s="6">
        <v>43.822429656982401</v>
      </c>
      <c r="I4190" s="6">
        <v>43.760173797607401</v>
      </c>
      <c r="J4190" s="6">
        <v>48.7165718078613</v>
      </c>
      <c r="K4190" s="6">
        <v>43.860645294189503</v>
      </c>
      <c r="L4190" s="6">
        <v>39.582313537597699</v>
      </c>
    </row>
    <row r="4191" spans="1:12" x14ac:dyDescent="0.25">
      <c r="A4191">
        <v>3529401</v>
      </c>
      <c r="B4191" t="str">
        <f t="shared" si="65"/>
        <v>MAUA, SP, Brasil</v>
      </c>
      <c r="C4191" s="4" t="str">
        <f>_xlfn.XLOOKUP(A4191,[1]!DadosGHD[CD_GEOCMU],[1]!DadosGHD[Região])</f>
        <v>SD</v>
      </c>
      <c r="D4191" s="4" t="str">
        <f>_xlfn.XLOOKUP(A4191,[1]!DadosGHD[CD_GEOCMU],[1]!DadosGHD[uf])</f>
        <v>SP</v>
      </c>
      <c r="E4191" s="5" t="str">
        <f>_xlfn.XLOOKUP(A4191,[1]!DadosGHD[CD_GEOCMU],[1]!DadosGHD[MUNICIPIO])</f>
        <v>MAUA</v>
      </c>
      <c r="F4191" s="6">
        <v>48.642669677734403</v>
      </c>
      <c r="G4191" s="6">
        <v>48.705280303955099</v>
      </c>
      <c r="H4191" s="6">
        <v>48.7445259094238</v>
      </c>
      <c r="I4191" s="6">
        <v>48.698444366455099</v>
      </c>
      <c r="J4191" s="6">
        <v>43.818984985351598</v>
      </c>
      <c r="K4191" s="6">
        <v>43.834705352783203</v>
      </c>
      <c r="L4191" s="6">
        <v>48.542190551757798</v>
      </c>
    </row>
    <row r="4192" spans="1:12" x14ac:dyDescent="0.25">
      <c r="A4192">
        <v>3306008</v>
      </c>
      <c r="B4192" t="str">
        <f t="shared" si="65"/>
        <v>TRES RIOS, RJ, Brasil</v>
      </c>
      <c r="C4192" s="4" t="str">
        <f>_xlfn.XLOOKUP(A4192,[1]!DadosGHD[CD_GEOCMU],[1]!DadosGHD[Região])</f>
        <v>SD</v>
      </c>
      <c r="D4192" s="4" t="str">
        <f>_xlfn.XLOOKUP(A4192,[1]!DadosGHD[CD_GEOCMU],[1]!DadosGHD[uf])</f>
        <v>RJ</v>
      </c>
      <c r="E4192" s="5" t="str">
        <f>_xlfn.XLOOKUP(A4192,[1]!DadosGHD[CD_GEOCMU],[1]!DadosGHD[MUNICIPIO])</f>
        <v>TRES RIOS</v>
      </c>
      <c r="F4192" s="6">
        <v>48.642795562744098</v>
      </c>
      <c r="G4192" s="6">
        <v>48.729141235351598</v>
      </c>
      <c r="H4192" s="6">
        <v>48.838001251220703</v>
      </c>
      <c r="I4192" s="6">
        <v>53.749038696289098</v>
      </c>
      <c r="J4192" s="6">
        <v>53.786472320556598</v>
      </c>
      <c r="K4192" s="6">
        <v>48.910076141357401</v>
      </c>
      <c r="L4192" s="6">
        <v>53.067420959472699</v>
      </c>
    </row>
    <row r="4193" spans="1:12" x14ac:dyDescent="0.25">
      <c r="A4193">
        <v>3300704</v>
      </c>
      <c r="B4193" t="str">
        <f t="shared" si="65"/>
        <v>CABO FRIO, RJ, Brasil</v>
      </c>
      <c r="C4193" s="4" t="str">
        <f>_xlfn.XLOOKUP(A4193,[1]!DadosGHD[CD_GEOCMU],[1]!DadosGHD[Região])</f>
        <v>SD</v>
      </c>
      <c r="D4193" s="4" t="str">
        <f>_xlfn.XLOOKUP(A4193,[1]!DadosGHD[CD_GEOCMU],[1]!DadosGHD[uf])</f>
        <v>RJ</v>
      </c>
      <c r="E4193" s="5" t="str">
        <f>_xlfn.XLOOKUP(A4193,[1]!DadosGHD[CD_GEOCMU],[1]!DadosGHD[MUNICIPIO])</f>
        <v>CABO FRIO</v>
      </c>
      <c r="F4193" s="6">
        <v>48.643215179443402</v>
      </c>
      <c r="G4193" s="6">
        <v>48.6705131530762</v>
      </c>
      <c r="H4193" s="6">
        <v>48.749794006347699</v>
      </c>
      <c r="I4193" s="6">
        <v>48.788291931152301</v>
      </c>
      <c r="J4193" s="6">
        <v>48.820468902587898</v>
      </c>
      <c r="K4193" s="6">
        <v>48.849414825439503</v>
      </c>
      <c r="L4193" s="6">
        <v>57.520492553710902</v>
      </c>
    </row>
    <row r="4194" spans="1:12" x14ac:dyDescent="0.25">
      <c r="A4194">
        <v>5211206</v>
      </c>
      <c r="B4194" t="str">
        <f t="shared" si="65"/>
        <v>ITAPURANGA, GO, Brasil</v>
      </c>
      <c r="C4194" s="4" t="str">
        <f>_xlfn.XLOOKUP(A4194,[1]!DadosGHD[CD_GEOCMU],[1]!DadosGHD[Região])</f>
        <v>CO</v>
      </c>
      <c r="D4194" s="4" t="str">
        <f>_xlfn.XLOOKUP(A4194,[1]!DadosGHD[CD_GEOCMU],[1]!DadosGHD[uf])</f>
        <v>GO</v>
      </c>
      <c r="E4194" s="5" t="str">
        <f>_xlfn.XLOOKUP(A4194,[1]!DadosGHD[CD_GEOCMU],[1]!DadosGHD[MUNICIPIO])</f>
        <v>ITAPURANGA</v>
      </c>
      <c r="F4194" s="6">
        <v>48.6435737609863</v>
      </c>
      <c r="G4194" s="6">
        <v>48.767200469970703</v>
      </c>
      <c r="H4194" s="6">
        <v>48.857086181640597</v>
      </c>
      <c r="I4194" s="6">
        <v>53.709190368652301</v>
      </c>
      <c r="J4194" s="6">
        <v>53.731838226318402</v>
      </c>
      <c r="K4194" s="6">
        <v>48.869003295898402</v>
      </c>
      <c r="L4194" s="6">
        <v>30.722633361816399</v>
      </c>
    </row>
    <row r="4195" spans="1:12" x14ac:dyDescent="0.25">
      <c r="A4195">
        <v>3169356</v>
      </c>
      <c r="B4195" t="str">
        <f t="shared" si="65"/>
        <v>TRES MARIAS, MG, Brasil</v>
      </c>
      <c r="C4195" s="4" t="str">
        <f>_xlfn.XLOOKUP(A4195,[1]!DadosGHD[CD_GEOCMU],[1]!DadosGHD[Região])</f>
        <v>SD</v>
      </c>
      <c r="D4195" s="4" t="str">
        <f>_xlfn.XLOOKUP(A4195,[1]!DadosGHD[CD_GEOCMU],[1]!DadosGHD[uf])</f>
        <v>MG</v>
      </c>
      <c r="E4195" s="5" t="str">
        <f>_xlfn.XLOOKUP(A4195,[1]!DadosGHD[CD_GEOCMU],[1]!DadosGHD[MUNICIPIO])</f>
        <v>TRES MARIAS</v>
      </c>
      <c r="F4195" s="6">
        <v>48.644111633300803</v>
      </c>
      <c r="G4195" s="6">
        <v>48.691600799560597</v>
      </c>
      <c r="H4195" s="6">
        <v>48.735904693603501</v>
      </c>
      <c r="I4195" s="6">
        <v>48.693130493164098</v>
      </c>
      <c r="J4195" s="6">
        <v>48.7078247070313</v>
      </c>
      <c r="K4195" s="6">
        <v>48.787521362304702</v>
      </c>
      <c r="L4195" s="6">
        <v>53.020587921142599</v>
      </c>
    </row>
    <row r="4196" spans="1:12" x14ac:dyDescent="0.25">
      <c r="A4196">
        <v>4106209</v>
      </c>
      <c r="B4196" t="str">
        <f t="shared" si="65"/>
        <v>CONTENDA, PR, Brasil</v>
      </c>
      <c r="C4196" s="4" t="str">
        <f>_xlfn.XLOOKUP(A4196,[1]!DadosGHD[CD_GEOCMU],[1]!DadosGHD[Região])</f>
        <v>SL</v>
      </c>
      <c r="D4196" s="4" t="str">
        <f>_xlfn.XLOOKUP(A4196,[1]!DadosGHD[CD_GEOCMU],[1]!DadosGHD[uf])</f>
        <v>PR</v>
      </c>
      <c r="E4196" s="5" t="str">
        <f>_xlfn.XLOOKUP(A4196,[1]!DadosGHD[CD_GEOCMU],[1]!DadosGHD[MUNICIPIO])</f>
        <v>CONTENDA</v>
      </c>
      <c r="F4196" s="6">
        <v>48.6446533203125</v>
      </c>
      <c r="G4196" s="6">
        <v>53.745006561279297</v>
      </c>
      <c r="H4196" s="6">
        <v>53.748817443847699</v>
      </c>
      <c r="I4196" s="6">
        <v>53.739711761474602</v>
      </c>
      <c r="J4196" s="6">
        <v>53.799480438232401</v>
      </c>
      <c r="K4196" s="6">
        <v>53.889244079589801</v>
      </c>
      <c r="L4196" s="6">
        <v>52.981113433837898</v>
      </c>
    </row>
    <row r="4197" spans="1:12" x14ac:dyDescent="0.25">
      <c r="A4197">
        <v>4212502</v>
      </c>
      <c r="B4197" t="str">
        <f t="shared" si="65"/>
        <v>PENHA, SC, Brasil</v>
      </c>
      <c r="C4197" s="4" t="str">
        <f>_xlfn.XLOOKUP(A4197,[1]!DadosGHD[CD_GEOCMU],[1]!DadosGHD[Região])</f>
        <v>SL</v>
      </c>
      <c r="D4197" s="4" t="str">
        <f>_xlfn.XLOOKUP(A4197,[1]!DadosGHD[CD_GEOCMU],[1]!DadosGHD[uf])</f>
        <v>SC</v>
      </c>
      <c r="E4197" s="5" t="str">
        <f>_xlfn.XLOOKUP(A4197,[1]!DadosGHD[CD_GEOCMU],[1]!DadosGHD[MUNICIPIO])</f>
        <v>PENHA</v>
      </c>
      <c r="F4197" s="6">
        <v>48.644813537597699</v>
      </c>
      <c r="G4197" s="6">
        <v>53.6838569641113</v>
      </c>
      <c r="H4197" s="6">
        <v>53.750335693359403</v>
      </c>
      <c r="I4197" s="6">
        <v>48.761631011962898</v>
      </c>
      <c r="J4197" s="6">
        <v>48.7490425109863</v>
      </c>
      <c r="K4197" s="6">
        <v>48.862937927246101</v>
      </c>
      <c r="L4197" s="6">
        <v>53.0526123046875</v>
      </c>
    </row>
    <row r="4198" spans="1:12" x14ac:dyDescent="0.25">
      <c r="A4198">
        <v>3108305</v>
      </c>
      <c r="B4198" t="str">
        <f t="shared" si="65"/>
        <v>BORDA DA MATA, MG, Brasil</v>
      </c>
      <c r="C4198" s="4" t="str">
        <f>_xlfn.XLOOKUP(A4198,[1]!DadosGHD[CD_GEOCMU],[1]!DadosGHD[Região])</f>
        <v>SD</v>
      </c>
      <c r="D4198" s="4" t="str">
        <f>_xlfn.XLOOKUP(A4198,[1]!DadosGHD[CD_GEOCMU],[1]!DadosGHD[uf])</f>
        <v>MG</v>
      </c>
      <c r="E4198" s="5" t="str">
        <f>_xlfn.XLOOKUP(A4198,[1]!DadosGHD[CD_GEOCMU],[1]!DadosGHD[MUNICIPIO])</f>
        <v>BORDA DA MATA</v>
      </c>
      <c r="F4198" s="6">
        <v>48.644931793212898</v>
      </c>
      <c r="G4198" s="6">
        <v>48.748939514160199</v>
      </c>
      <c r="H4198" s="6">
        <v>48.811916351318402</v>
      </c>
      <c r="I4198" s="6">
        <v>48.767932891845703</v>
      </c>
      <c r="J4198" s="6">
        <v>48.778549194335902</v>
      </c>
      <c r="K4198" s="6">
        <v>48.904937744140597</v>
      </c>
      <c r="L4198" s="6">
        <v>53.019474029541001</v>
      </c>
    </row>
    <row r="4199" spans="1:12" x14ac:dyDescent="0.25">
      <c r="A4199">
        <v>3128105</v>
      </c>
      <c r="B4199" t="str">
        <f t="shared" si="65"/>
        <v>GUAPE, MG, Brasil</v>
      </c>
      <c r="C4199" s="4" t="str">
        <f>_xlfn.XLOOKUP(A4199,[1]!DadosGHD[CD_GEOCMU],[1]!DadosGHD[Região])</f>
        <v>SD</v>
      </c>
      <c r="D4199" s="4" t="str">
        <f>_xlfn.XLOOKUP(A4199,[1]!DadosGHD[CD_GEOCMU],[1]!DadosGHD[uf])</f>
        <v>MG</v>
      </c>
      <c r="E4199" s="5" t="str">
        <f>_xlfn.XLOOKUP(A4199,[1]!DadosGHD[CD_GEOCMU],[1]!DadosGHD[MUNICIPIO])</f>
        <v>GUAPE</v>
      </c>
      <c r="F4199" s="6">
        <v>48.645095825195298</v>
      </c>
      <c r="G4199" s="6">
        <v>43.664230346679702</v>
      </c>
      <c r="H4199" s="6">
        <v>38.839225769042997</v>
      </c>
      <c r="I4199" s="6">
        <v>38.796871185302699</v>
      </c>
      <c r="J4199" s="6">
        <v>38.7875785827637</v>
      </c>
      <c r="K4199" s="6">
        <v>38.8651123046875</v>
      </c>
      <c r="L4199" s="6">
        <v>39.608074188232401</v>
      </c>
    </row>
    <row r="4200" spans="1:12" x14ac:dyDescent="0.25">
      <c r="A4200">
        <v>3500303</v>
      </c>
      <c r="B4200" t="str">
        <f t="shared" si="65"/>
        <v>AGUAI, SP, Brasil</v>
      </c>
      <c r="C4200" s="4" t="str">
        <f>_xlfn.XLOOKUP(A4200,[1]!DadosGHD[CD_GEOCMU],[1]!DadosGHD[Região])</f>
        <v>SD</v>
      </c>
      <c r="D4200" s="4" t="str">
        <f>_xlfn.XLOOKUP(A4200,[1]!DadosGHD[CD_GEOCMU],[1]!DadosGHD[uf])</f>
        <v>SP</v>
      </c>
      <c r="E4200" s="5" t="str">
        <f>_xlfn.XLOOKUP(A4200,[1]!DadosGHD[CD_GEOCMU],[1]!DadosGHD[MUNICIPIO])</f>
        <v>AGUAI</v>
      </c>
      <c r="F4200" s="6">
        <v>48.645553588867202</v>
      </c>
      <c r="G4200" s="6">
        <v>48.671775817871101</v>
      </c>
      <c r="H4200" s="6">
        <v>43.836555480957003</v>
      </c>
      <c r="I4200" s="6">
        <v>43.797088623046903</v>
      </c>
      <c r="J4200" s="6">
        <v>43.804347991943402</v>
      </c>
      <c r="K4200" s="6">
        <v>43.8567085266113</v>
      </c>
      <c r="L4200" s="6">
        <v>44.044570922851598</v>
      </c>
    </row>
    <row r="4201" spans="1:12" x14ac:dyDescent="0.25">
      <c r="A4201">
        <v>5201306</v>
      </c>
      <c r="B4201" t="str">
        <f t="shared" si="65"/>
        <v>ANICUNS, GO, Brasil</v>
      </c>
      <c r="C4201" s="4" t="str">
        <f>_xlfn.XLOOKUP(A4201,[1]!DadosGHD[CD_GEOCMU],[1]!DadosGHD[Região])</f>
        <v>CO</v>
      </c>
      <c r="D4201" s="4" t="str">
        <f>_xlfn.XLOOKUP(A4201,[1]!DadosGHD[CD_GEOCMU],[1]!DadosGHD[uf])</f>
        <v>GO</v>
      </c>
      <c r="E4201" s="5" t="str">
        <f>_xlfn.XLOOKUP(A4201,[1]!DadosGHD[CD_GEOCMU],[1]!DadosGHD[MUNICIPIO])</f>
        <v>ANICUNS</v>
      </c>
      <c r="F4201" s="6">
        <v>48.645656585693402</v>
      </c>
      <c r="G4201" s="6">
        <v>48.690364837646499</v>
      </c>
      <c r="H4201" s="6">
        <v>48.744842529296903</v>
      </c>
      <c r="I4201" s="6">
        <v>48.756507873535199</v>
      </c>
      <c r="J4201" s="6">
        <v>53.753959655761697</v>
      </c>
      <c r="K4201" s="6">
        <v>48.797622680664098</v>
      </c>
      <c r="L4201" s="6">
        <v>39.595539093017599</v>
      </c>
    </row>
    <row r="4202" spans="1:12" x14ac:dyDescent="0.25">
      <c r="A4202">
        <v>3108404</v>
      </c>
      <c r="B4202" t="str">
        <f t="shared" si="65"/>
        <v>BOTELHOS, MG, Brasil</v>
      </c>
      <c r="C4202" s="4" t="str">
        <f>_xlfn.XLOOKUP(A4202,[1]!DadosGHD[CD_GEOCMU],[1]!DadosGHD[Região])</f>
        <v>SD</v>
      </c>
      <c r="D4202" s="4" t="str">
        <f>_xlfn.XLOOKUP(A4202,[1]!DadosGHD[CD_GEOCMU],[1]!DadosGHD[uf])</f>
        <v>MG</v>
      </c>
      <c r="E4202" s="5" t="str">
        <f>_xlfn.XLOOKUP(A4202,[1]!DadosGHD[CD_GEOCMU],[1]!DadosGHD[MUNICIPIO])</f>
        <v>BOTELHOS</v>
      </c>
      <c r="F4202" s="6">
        <v>48.645763397216797</v>
      </c>
      <c r="G4202" s="6">
        <v>48.767574310302699</v>
      </c>
      <c r="H4202" s="6">
        <v>53.816055297851598</v>
      </c>
      <c r="I4202" s="6">
        <v>53.8535346984863</v>
      </c>
      <c r="J4202" s="6">
        <v>58.840812683105497</v>
      </c>
      <c r="K4202" s="6">
        <v>53.9555473327637</v>
      </c>
      <c r="L4202" s="6">
        <v>53.019294738769503</v>
      </c>
    </row>
    <row r="4203" spans="1:12" x14ac:dyDescent="0.25">
      <c r="A4203">
        <v>4118204</v>
      </c>
      <c r="B4203" t="str">
        <f t="shared" si="65"/>
        <v>PARANAGUA, PR, Brasil</v>
      </c>
      <c r="C4203" s="4" t="str">
        <f>_xlfn.XLOOKUP(A4203,[1]!DadosGHD[CD_GEOCMU],[1]!DadosGHD[Região])</f>
        <v>SL</v>
      </c>
      <c r="D4203" s="4" t="str">
        <f>_xlfn.XLOOKUP(A4203,[1]!DadosGHD[CD_GEOCMU],[1]!DadosGHD[uf])</f>
        <v>PR</v>
      </c>
      <c r="E4203" s="5" t="str">
        <f>_xlfn.XLOOKUP(A4203,[1]!DadosGHD[CD_GEOCMU],[1]!DadosGHD[MUNICIPIO])</f>
        <v>PARANAGUA</v>
      </c>
      <c r="F4203" s="6">
        <v>48.645896911621101</v>
      </c>
      <c r="G4203" s="6">
        <v>48.727096557617202</v>
      </c>
      <c r="H4203" s="6">
        <v>48.797702789306598</v>
      </c>
      <c r="I4203" s="6">
        <v>48.785285949707003</v>
      </c>
      <c r="J4203" s="6">
        <v>53.787216186523402</v>
      </c>
      <c r="K4203" s="6">
        <v>53.832550048828097</v>
      </c>
      <c r="L4203" s="6">
        <v>53.062015533447301</v>
      </c>
    </row>
    <row r="4204" spans="1:12" x14ac:dyDescent="0.25">
      <c r="A4204">
        <v>5213400</v>
      </c>
      <c r="B4204" t="str">
        <f t="shared" si="65"/>
        <v>MOIPORA, GO, Brasil</v>
      </c>
      <c r="C4204" s="4" t="str">
        <f>_xlfn.XLOOKUP(A4204,[1]!DadosGHD[CD_GEOCMU],[1]!DadosGHD[Região])</f>
        <v>CO</v>
      </c>
      <c r="D4204" s="4" t="str">
        <f>_xlfn.XLOOKUP(A4204,[1]!DadosGHD[CD_GEOCMU],[1]!DadosGHD[uf])</f>
        <v>GO</v>
      </c>
      <c r="E4204" s="5" t="str">
        <f>_xlfn.XLOOKUP(A4204,[1]!DadosGHD[CD_GEOCMU],[1]!DadosGHD[MUNICIPIO])</f>
        <v>MOIPORA</v>
      </c>
      <c r="F4204" s="6">
        <v>48.646080017089801</v>
      </c>
      <c r="G4204" s="6">
        <v>43.752655029296903</v>
      </c>
      <c r="H4204" s="6">
        <v>43.806037902832003</v>
      </c>
      <c r="I4204" s="6">
        <v>43.707080841064503</v>
      </c>
      <c r="J4204" s="6">
        <v>43.732612609863303</v>
      </c>
      <c r="K4204" s="6">
        <v>43.771060943603501</v>
      </c>
      <c r="L4204" s="6">
        <v>35.114387512207003</v>
      </c>
    </row>
    <row r="4205" spans="1:12" x14ac:dyDescent="0.25">
      <c r="A4205">
        <v>3519071</v>
      </c>
      <c r="B4205" t="str">
        <f t="shared" si="65"/>
        <v>HORTOLANDIA, SP, Brasil</v>
      </c>
      <c r="C4205" s="4" t="str">
        <f>_xlfn.XLOOKUP(A4205,[1]!DadosGHD[CD_GEOCMU],[1]!DadosGHD[Região])</f>
        <v>SD</v>
      </c>
      <c r="D4205" s="4" t="str">
        <f>_xlfn.XLOOKUP(A4205,[1]!DadosGHD[CD_GEOCMU],[1]!DadosGHD[uf])</f>
        <v>SP</v>
      </c>
      <c r="E4205" s="5" t="str">
        <f>_xlfn.XLOOKUP(A4205,[1]!DadosGHD[CD_GEOCMU],[1]!DadosGHD[MUNICIPIO])</f>
        <v>HORTOLANDIA</v>
      </c>
      <c r="F4205" s="6">
        <v>48.646163940429702</v>
      </c>
      <c r="G4205" s="6">
        <v>48.718502044677699</v>
      </c>
      <c r="H4205" s="6">
        <v>48.800304412841797</v>
      </c>
      <c r="I4205" s="6">
        <v>53.755542755127003</v>
      </c>
      <c r="J4205" s="6">
        <v>53.8145751953125</v>
      </c>
      <c r="K4205" s="6">
        <v>53.818912506103501</v>
      </c>
      <c r="L4205" s="6">
        <v>53.050716400146499</v>
      </c>
    </row>
    <row r="4206" spans="1:12" x14ac:dyDescent="0.25">
      <c r="A4206">
        <v>5001243</v>
      </c>
      <c r="B4206" t="str">
        <f t="shared" si="65"/>
        <v>ARAL MOREIRA, MS, Brasil</v>
      </c>
      <c r="C4206" s="4" t="str">
        <f>_xlfn.XLOOKUP(A4206,[1]!DadosGHD[CD_GEOCMU],[1]!DadosGHD[Região])</f>
        <v>CO</v>
      </c>
      <c r="D4206" s="4" t="str">
        <f>_xlfn.XLOOKUP(A4206,[1]!DadosGHD[CD_GEOCMU],[1]!DadosGHD[uf])</f>
        <v>MS</v>
      </c>
      <c r="E4206" s="5" t="str">
        <f>_xlfn.XLOOKUP(A4206,[1]!DadosGHD[CD_GEOCMU],[1]!DadosGHD[MUNICIPIO])</f>
        <v>ARAL MOREIRA</v>
      </c>
      <c r="F4206" s="6">
        <v>48.646366119384801</v>
      </c>
      <c r="G4206" s="6">
        <v>48.752086639404297</v>
      </c>
      <c r="H4206" s="6">
        <v>48.785049438476598</v>
      </c>
      <c r="I4206" s="6">
        <v>48.750442504882798</v>
      </c>
      <c r="J4206" s="6">
        <v>48.749355316162102</v>
      </c>
      <c r="K4206" s="6">
        <v>48.816585540771499</v>
      </c>
      <c r="L4206" s="6">
        <v>39.582981109619098</v>
      </c>
    </row>
    <row r="4207" spans="1:12" x14ac:dyDescent="0.25">
      <c r="A4207">
        <v>3134905</v>
      </c>
      <c r="B4207" t="str">
        <f t="shared" si="65"/>
        <v>JACUTINGA, MG, Brasil</v>
      </c>
      <c r="C4207" s="4" t="str">
        <f>_xlfn.XLOOKUP(A4207,[1]!DadosGHD[CD_GEOCMU],[1]!DadosGHD[Região])</f>
        <v>SD</v>
      </c>
      <c r="D4207" s="4" t="str">
        <f>_xlfn.XLOOKUP(A4207,[1]!DadosGHD[CD_GEOCMU],[1]!DadosGHD[uf])</f>
        <v>MG</v>
      </c>
      <c r="E4207" s="5" t="str">
        <f>_xlfn.XLOOKUP(A4207,[1]!DadosGHD[CD_GEOCMU],[1]!DadosGHD[MUNICIPIO])</f>
        <v>JACUTINGA</v>
      </c>
      <c r="F4207" s="6">
        <v>48.646427154541001</v>
      </c>
      <c r="G4207" s="6">
        <v>48.730022430419901</v>
      </c>
      <c r="H4207" s="6">
        <v>48.7336616516113</v>
      </c>
      <c r="I4207" s="6">
        <v>48.683078765869098</v>
      </c>
      <c r="J4207" s="6">
        <v>48.758537292480497</v>
      </c>
      <c r="K4207" s="6">
        <v>48.799625396728501</v>
      </c>
      <c r="L4207" s="6">
        <v>44.061237335205099</v>
      </c>
    </row>
    <row r="4208" spans="1:12" x14ac:dyDescent="0.25">
      <c r="A4208">
        <v>4205506</v>
      </c>
      <c r="B4208" t="str">
        <f t="shared" si="65"/>
        <v>FRAIBURGO, SC, Brasil</v>
      </c>
      <c r="C4208" s="4" t="str">
        <f>_xlfn.XLOOKUP(A4208,[1]!DadosGHD[CD_GEOCMU],[1]!DadosGHD[Região])</f>
        <v>SL</v>
      </c>
      <c r="D4208" s="4" t="str">
        <f>_xlfn.XLOOKUP(A4208,[1]!DadosGHD[CD_GEOCMU],[1]!DadosGHD[uf])</f>
        <v>SC</v>
      </c>
      <c r="E4208" s="5" t="str">
        <f>_xlfn.XLOOKUP(A4208,[1]!DadosGHD[CD_GEOCMU],[1]!DadosGHD[MUNICIPIO])</f>
        <v>FRAIBURGO</v>
      </c>
      <c r="F4208" s="6">
        <v>48.646430969238303</v>
      </c>
      <c r="G4208" s="6">
        <v>48.752021789550803</v>
      </c>
      <c r="H4208" s="6">
        <v>48.822380065917997</v>
      </c>
      <c r="I4208" s="6">
        <v>48.781154632568402</v>
      </c>
      <c r="J4208" s="6">
        <v>53.870189666748097</v>
      </c>
      <c r="K4208" s="6">
        <v>53.984607696533203</v>
      </c>
      <c r="L4208" s="6">
        <v>57.530406951904297</v>
      </c>
    </row>
    <row r="4209" spans="1:12" x14ac:dyDescent="0.25">
      <c r="A4209">
        <v>3140100</v>
      </c>
      <c r="B4209" t="str">
        <f t="shared" si="65"/>
        <v>MARILAC, MG, Brasil</v>
      </c>
      <c r="C4209" s="4" t="str">
        <f>_xlfn.XLOOKUP(A4209,[1]!DadosGHD[CD_GEOCMU],[1]!DadosGHD[Região])</f>
        <v>SD</v>
      </c>
      <c r="D4209" s="4" t="str">
        <f>_xlfn.XLOOKUP(A4209,[1]!DadosGHD[CD_GEOCMU],[1]!DadosGHD[uf])</f>
        <v>MG</v>
      </c>
      <c r="E4209" s="5" t="str">
        <f>_xlfn.XLOOKUP(A4209,[1]!DadosGHD[CD_GEOCMU],[1]!DadosGHD[MUNICIPIO])</f>
        <v>MARILAC</v>
      </c>
      <c r="F4209" s="6">
        <v>48.646530151367202</v>
      </c>
      <c r="G4209" s="6">
        <v>53.668937683105497</v>
      </c>
      <c r="H4209" s="6">
        <v>53.8544731140137</v>
      </c>
      <c r="I4209" s="6">
        <v>53.764114379882798</v>
      </c>
      <c r="J4209" s="6">
        <v>43.769115447998097</v>
      </c>
      <c r="K4209" s="6">
        <v>48.788490295410199</v>
      </c>
      <c r="L4209" s="6">
        <v>39.5928344726563</v>
      </c>
    </row>
    <row r="4210" spans="1:12" x14ac:dyDescent="0.25">
      <c r="A4210">
        <v>5218508</v>
      </c>
      <c r="B4210" t="str">
        <f t="shared" si="65"/>
        <v>QUIRINOPOLIS, GO, Brasil</v>
      </c>
      <c r="C4210" s="4" t="str">
        <f>_xlfn.XLOOKUP(A4210,[1]!DadosGHD[CD_GEOCMU],[1]!DadosGHD[Região])</f>
        <v>CO</v>
      </c>
      <c r="D4210" s="4" t="str">
        <f>_xlfn.XLOOKUP(A4210,[1]!DadosGHD[CD_GEOCMU],[1]!DadosGHD[uf])</f>
        <v>GO</v>
      </c>
      <c r="E4210" s="5" t="str">
        <f>_xlfn.XLOOKUP(A4210,[1]!DadosGHD[CD_GEOCMU],[1]!DadosGHD[MUNICIPIO])</f>
        <v>QUIRINOPOLIS</v>
      </c>
      <c r="F4210" s="6">
        <v>48.646656036377003</v>
      </c>
      <c r="G4210" s="6">
        <v>48.726104736328097</v>
      </c>
      <c r="H4210" s="6">
        <v>48.796417236328097</v>
      </c>
      <c r="I4210" s="6">
        <v>48.7551879882813</v>
      </c>
      <c r="J4210" s="6">
        <v>48.718544006347699</v>
      </c>
      <c r="K4210" s="6">
        <v>43.881351470947301</v>
      </c>
      <c r="L4210" s="6">
        <v>35.124809265136697</v>
      </c>
    </row>
    <row r="4211" spans="1:12" x14ac:dyDescent="0.25">
      <c r="A4211">
        <v>3126307</v>
      </c>
      <c r="B4211" t="str">
        <f t="shared" si="65"/>
        <v>FORTALEZA DE MINAS, MG, Brasil</v>
      </c>
      <c r="C4211" s="4" t="str">
        <f>_xlfn.XLOOKUP(A4211,[1]!DadosGHD[CD_GEOCMU],[1]!DadosGHD[Região])</f>
        <v>SD</v>
      </c>
      <c r="D4211" s="4" t="str">
        <f>_xlfn.XLOOKUP(A4211,[1]!DadosGHD[CD_GEOCMU],[1]!DadosGHD[uf])</f>
        <v>MG</v>
      </c>
      <c r="E4211" s="5" t="str">
        <f>_xlfn.XLOOKUP(A4211,[1]!DadosGHD[CD_GEOCMU],[1]!DadosGHD[MUNICIPIO])</f>
        <v>FORTALEZA DE MINAS</v>
      </c>
      <c r="F4211" s="6">
        <v>48.646774291992202</v>
      </c>
      <c r="G4211" s="6">
        <v>48.668350219726598</v>
      </c>
      <c r="H4211" s="6">
        <v>43.835609436035199</v>
      </c>
      <c r="I4211" s="6">
        <v>48.763088226318402</v>
      </c>
      <c r="J4211" s="6">
        <v>43.807609558105497</v>
      </c>
      <c r="K4211" s="6">
        <v>48.856529235839801</v>
      </c>
      <c r="L4211" s="6">
        <v>53.000602722167997</v>
      </c>
    </row>
    <row r="4212" spans="1:12" x14ac:dyDescent="0.25">
      <c r="A4212">
        <v>4304655</v>
      </c>
      <c r="B4212" t="str">
        <f t="shared" si="65"/>
        <v>CAPAO DO CIPO, RS, Brasil</v>
      </c>
      <c r="C4212" s="4" t="str">
        <f>_xlfn.XLOOKUP(A4212,[1]!DadosGHD[CD_GEOCMU],[1]!DadosGHD[Região])</f>
        <v>SL</v>
      </c>
      <c r="D4212" s="4" t="str">
        <f>_xlfn.XLOOKUP(A4212,[1]!DadosGHD[CD_GEOCMU],[1]!DadosGHD[uf])</f>
        <v>RS</v>
      </c>
      <c r="E4212" s="5" t="str">
        <f>_xlfn.XLOOKUP(A4212,[1]!DadosGHD[CD_GEOCMU],[1]!DadosGHD[MUNICIPIO])</f>
        <v>CAPAO DO CIPO</v>
      </c>
      <c r="F4212" s="6">
        <v>48.647041320800803</v>
      </c>
      <c r="G4212" s="6">
        <v>53.754501342773402</v>
      </c>
      <c r="H4212" s="6">
        <v>53.772098541259801</v>
      </c>
      <c r="I4212" s="6">
        <v>53.724075317382798</v>
      </c>
      <c r="J4212" s="6">
        <v>53.8522758483887</v>
      </c>
      <c r="K4212" s="6">
        <v>48.892608642578097</v>
      </c>
      <c r="L4212" s="6">
        <v>53.020435333252003</v>
      </c>
    </row>
    <row r="4213" spans="1:12" x14ac:dyDescent="0.25">
      <c r="A4213">
        <v>5219506</v>
      </c>
      <c r="B4213" t="str">
        <f t="shared" si="65"/>
        <v>SANTA ROSA DE GOIAS, GO, Brasil</v>
      </c>
      <c r="C4213" s="4" t="str">
        <f>_xlfn.XLOOKUP(A4213,[1]!DadosGHD[CD_GEOCMU],[1]!DadosGHD[Região])</f>
        <v>CO</v>
      </c>
      <c r="D4213" s="4" t="str">
        <f>_xlfn.XLOOKUP(A4213,[1]!DadosGHD[CD_GEOCMU],[1]!DadosGHD[uf])</f>
        <v>GO</v>
      </c>
      <c r="E4213" s="5" t="str">
        <f>_xlfn.XLOOKUP(A4213,[1]!DadosGHD[CD_GEOCMU],[1]!DadosGHD[MUNICIPIO])</f>
        <v>SANTA ROSA DE GOIAS</v>
      </c>
      <c r="F4213" s="6">
        <v>48.647167205810597</v>
      </c>
      <c r="G4213" s="6">
        <v>43.741035461425803</v>
      </c>
      <c r="H4213" s="6">
        <v>43.779792785644503</v>
      </c>
      <c r="I4213" s="6">
        <v>43.750232696533203</v>
      </c>
      <c r="J4213" s="6">
        <v>53.7922554016113</v>
      </c>
      <c r="K4213" s="6">
        <v>53.836395263671903</v>
      </c>
      <c r="L4213" s="6">
        <v>39.603866577148402</v>
      </c>
    </row>
    <row r="4214" spans="1:12" x14ac:dyDescent="0.25">
      <c r="A4214">
        <v>3536208</v>
      </c>
      <c r="B4214" t="str">
        <f t="shared" si="65"/>
        <v>PARIQUERA-ACU, SP, Brasil</v>
      </c>
      <c r="C4214" s="4" t="str">
        <f>_xlfn.XLOOKUP(A4214,[1]!DadosGHD[CD_GEOCMU],[1]!DadosGHD[Região])</f>
        <v>SD</v>
      </c>
      <c r="D4214" s="4" t="str">
        <f>_xlfn.XLOOKUP(A4214,[1]!DadosGHD[CD_GEOCMU],[1]!DadosGHD[uf])</f>
        <v>SP</v>
      </c>
      <c r="E4214" s="5" t="str">
        <f>_xlfn.XLOOKUP(A4214,[1]!DadosGHD[CD_GEOCMU],[1]!DadosGHD[MUNICIPIO])</f>
        <v>PARIQUERA-ACU</v>
      </c>
      <c r="F4214" s="6">
        <v>48.647403717041001</v>
      </c>
      <c r="G4214" s="6">
        <v>48.712898254394503</v>
      </c>
      <c r="H4214" s="6">
        <v>48.7294921875</v>
      </c>
      <c r="I4214" s="6">
        <v>48.691623687744098</v>
      </c>
      <c r="J4214" s="6">
        <v>48.742382049560597</v>
      </c>
      <c r="K4214" s="6">
        <v>48.825401306152301</v>
      </c>
      <c r="L4214" s="6">
        <v>57.529628753662102</v>
      </c>
    </row>
    <row r="4215" spans="1:12" x14ac:dyDescent="0.25">
      <c r="A4215">
        <v>4213500</v>
      </c>
      <c r="B4215" t="str">
        <f t="shared" si="65"/>
        <v>PORTO BELO, SC, Brasil</v>
      </c>
      <c r="C4215" s="4" t="str">
        <f>_xlfn.XLOOKUP(A4215,[1]!DadosGHD[CD_GEOCMU],[1]!DadosGHD[Região])</f>
        <v>SL</v>
      </c>
      <c r="D4215" s="4" t="str">
        <f>_xlfn.XLOOKUP(A4215,[1]!DadosGHD[CD_GEOCMU],[1]!DadosGHD[uf])</f>
        <v>SC</v>
      </c>
      <c r="E4215" s="5" t="str">
        <f>_xlfn.XLOOKUP(A4215,[1]!DadosGHD[CD_GEOCMU],[1]!DadosGHD[MUNICIPIO])</f>
        <v>PORTO BELO</v>
      </c>
      <c r="F4215" s="6">
        <v>48.647483825683601</v>
      </c>
      <c r="G4215" s="6">
        <v>48.747039794921903</v>
      </c>
      <c r="H4215" s="6">
        <v>48.855037689208999</v>
      </c>
      <c r="I4215" s="6">
        <v>58.796585083007798</v>
      </c>
      <c r="J4215" s="6">
        <v>58.837028503417997</v>
      </c>
      <c r="K4215" s="6">
        <v>58.925968170166001</v>
      </c>
      <c r="L4215" s="6">
        <v>57.5749702453613</v>
      </c>
    </row>
    <row r="4216" spans="1:12" x14ac:dyDescent="0.25">
      <c r="A4216">
        <v>3137809</v>
      </c>
      <c r="B4216" t="str">
        <f t="shared" si="65"/>
        <v>LAMBARI, MG, Brasil</v>
      </c>
      <c r="C4216" s="4" t="str">
        <f>_xlfn.XLOOKUP(A4216,[1]!DadosGHD[CD_GEOCMU],[1]!DadosGHD[Região])</f>
        <v>SD</v>
      </c>
      <c r="D4216" s="4" t="str">
        <f>_xlfn.XLOOKUP(A4216,[1]!DadosGHD[CD_GEOCMU],[1]!DadosGHD[uf])</f>
        <v>MG</v>
      </c>
      <c r="E4216" s="5" t="str">
        <f>_xlfn.XLOOKUP(A4216,[1]!DadosGHD[CD_GEOCMU],[1]!DadosGHD[MUNICIPIO])</f>
        <v>LAMBARI</v>
      </c>
      <c r="F4216" s="6">
        <v>48.647556304931598</v>
      </c>
      <c r="G4216" s="6">
        <v>48.7467231750488</v>
      </c>
      <c r="H4216" s="6">
        <v>48.798297882080099</v>
      </c>
      <c r="I4216" s="6">
        <v>48.779727935791001</v>
      </c>
      <c r="J4216" s="6">
        <v>48.816196441650398</v>
      </c>
      <c r="K4216" s="6">
        <v>48.859420776367202</v>
      </c>
      <c r="L4216" s="6">
        <v>44.066154479980497</v>
      </c>
    </row>
    <row r="4217" spans="1:12" x14ac:dyDescent="0.25">
      <c r="A4217">
        <v>4212809</v>
      </c>
      <c r="B4217" t="str">
        <f t="shared" si="65"/>
        <v>BALNEARIO PICARRAS, SC, Brasil</v>
      </c>
      <c r="C4217" s="4" t="str">
        <f>_xlfn.XLOOKUP(A4217,[1]!DadosGHD[CD_GEOCMU],[1]!DadosGHD[Região])</f>
        <v>SL</v>
      </c>
      <c r="D4217" s="4" t="str">
        <f>_xlfn.XLOOKUP(A4217,[1]!DadosGHD[CD_GEOCMU],[1]!DadosGHD[uf])</f>
        <v>SC</v>
      </c>
      <c r="E4217" s="5" t="str">
        <f>_xlfn.XLOOKUP(A4217,[1]!DadosGHD[CD_GEOCMU],[1]!DadosGHD[MUNICIPIO])</f>
        <v>BALNEARIO PICARRAS</v>
      </c>
      <c r="F4217" s="6">
        <v>48.647624969482401</v>
      </c>
      <c r="G4217" s="6">
        <v>53.685146331787102</v>
      </c>
      <c r="H4217" s="6">
        <v>53.840034484863303</v>
      </c>
      <c r="I4217" s="6">
        <v>53.856132507324197</v>
      </c>
      <c r="J4217" s="6">
        <v>58.919517517089801</v>
      </c>
      <c r="K4217" s="6">
        <v>58.956611633300803</v>
      </c>
      <c r="L4217" s="6">
        <v>57.581699371337898</v>
      </c>
    </row>
    <row r="4218" spans="1:12" x14ac:dyDescent="0.25">
      <c r="A4218">
        <v>3536307</v>
      </c>
      <c r="B4218" t="str">
        <f t="shared" si="65"/>
        <v>PATROCINIO PAULISTA, SP, Brasil</v>
      </c>
      <c r="C4218" s="4" t="str">
        <f>_xlfn.XLOOKUP(A4218,[1]!DadosGHD[CD_GEOCMU],[1]!DadosGHD[Região])</f>
        <v>SD</v>
      </c>
      <c r="D4218" s="4" t="str">
        <f>_xlfn.XLOOKUP(A4218,[1]!DadosGHD[CD_GEOCMU],[1]!DadosGHD[uf])</f>
        <v>SP</v>
      </c>
      <c r="E4218" s="5" t="str">
        <f>_xlfn.XLOOKUP(A4218,[1]!DadosGHD[CD_GEOCMU],[1]!DadosGHD[MUNICIPIO])</f>
        <v>PATROCINIO PAULISTA</v>
      </c>
      <c r="F4218" s="6">
        <v>48.6481742858887</v>
      </c>
      <c r="G4218" s="6">
        <v>53.709526062011697</v>
      </c>
      <c r="H4218" s="6">
        <v>58.960975646972699</v>
      </c>
      <c r="I4218" s="6">
        <v>53.857341766357401</v>
      </c>
      <c r="J4218" s="6">
        <v>48.792575836181598</v>
      </c>
      <c r="K4218" s="6">
        <v>48.867782592773402</v>
      </c>
      <c r="L4218" s="6">
        <v>53.044273376464801</v>
      </c>
    </row>
    <row r="4219" spans="1:12" x14ac:dyDescent="0.25">
      <c r="A4219">
        <v>5004106</v>
      </c>
      <c r="B4219" t="str">
        <f t="shared" si="65"/>
        <v>GUIA LOPES DA LAGUNA, MS, Brasil</v>
      </c>
      <c r="C4219" s="4" t="str">
        <f>_xlfn.XLOOKUP(A4219,[1]!DadosGHD[CD_GEOCMU],[1]!DadosGHD[Região])</f>
        <v>CO</v>
      </c>
      <c r="D4219" s="4" t="str">
        <f>_xlfn.XLOOKUP(A4219,[1]!DadosGHD[CD_GEOCMU],[1]!DadosGHD[uf])</f>
        <v>MS</v>
      </c>
      <c r="E4219" s="5" t="str">
        <f>_xlfn.XLOOKUP(A4219,[1]!DadosGHD[CD_GEOCMU],[1]!DadosGHD[MUNICIPIO])</f>
        <v>GUIA LOPES DA LAGUNA</v>
      </c>
      <c r="F4219" s="6">
        <v>48.6485404968262</v>
      </c>
      <c r="G4219" s="6">
        <v>48.687385559082003</v>
      </c>
      <c r="H4219" s="6">
        <v>48.7550239562988</v>
      </c>
      <c r="I4219" s="6">
        <v>48.709609985351598</v>
      </c>
      <c r="J4219" s="6">
        <v>48.696907043457003</v>
      </c>
      <c r="K4219" s="6">
        <v>43.829288482666001</v>
      </c>
      <c r="L4219" s="6">
        <v>30.720363616943398</v>
      </c>
    </row>
    <row r="4220" spans="1:12" x14ac:dyDescent="0.25">
      <c r="A4220">
        <v>3108008</v>
      </c>
      <c r="B4220" t="str">
        <f t="shared" si="65"/>
        <v>BOM SUCESSO, MG, Brasil</v>
      </c>
      <c r="C4220" s="4" t="str">
        <f>_xlfn.XLOOKUP(A4220,[1]!DadosGHD[CD_GEOCMU],[1]!DadosGHD[Região])</f>
        <v>SD</v>
      </c>
      <c r="D4220" s="4" t="str">
        <f>_xlfn.XLOOKUP(A4220,[1]!DadosGHD[CD_GEOCMU],[1]!DadosGHD[uf])</f>
        <v>MG</v>
      </c>
      <c r="E4220" s="5" t="str">
        <f>_xlfn.XLOOKUP(A4220,[1]!DadosGHD[CD_GEOCMU],[1]!DadosGHD[MUNICIPIO])</f>
        <v>BOM SUCESSO</v>
      </c>
      <c r="F4220" s="6">
        <v>48.648834228515597</v>
      </c>
      <c r="G4220" s="6">
        <v>48.708263397216797</v>
      </c>
      <c r="H4220" s="6">
        <v>48.757900238037102</v>
      </c>
      <c r="I4220" s="6">
        <v>48.779163360595703</v>
      </c>
      <c r="J4220" s="6">
        <v>53.751846313476598</v>
      </c>
      <c r="K4220" s="6">
        <v>48.911182403564503</v>
      </c>
      <c r="L4220" s="6">
        <v>52.982692718505902</v>
      </c>
    </row>
    <row r="4221" spans="1:12" x14ac:dyDescent="0.25">
      <c r="A4221">
        <v>3549250</v>
      </c>
      <c r="B4221" t="str">
        <f t="shared" si="65"/>
        <v>SAO JOAO DE IRACEMA, SP, Brasil</v>
      </c>
      <c r="C4221" s="4" t="str">
        <f>_xlfn.XLOOKUP(A4221,[1]!DadosGHD[CD_GEOCMU],[1]!DadosGHD[Região])</f>
        <v>SD</v>
      </c>
      <c r="D4221" s="4" t="str">
        <f>_xlfn.XLOOKUP(A4221,[1]!DadosGHD[CD_GEOCMU],[1]!DadosGHD[uf])</f>
        <v>SP</v>
      </c>
      <c r="E4221" s="5" t="str">
        <f>_xlfn.XLOOKUP(A4221,[1]!DadosGHD[CD_GEOCMU],[1]!DadosGHD[MUNICIPIO])</f>
        <v>SAO JOAO DE IRACEMA</v>
      </c>
      <c r="F4221" s="6">
        <v>48.649349212646499</v>
      </c>
      <c r="G4221" s="6">
        <v>48.631946563720703</v>
      </c>
      <c r="H4221" s="6">
        <v>43.805686950683601</v>
      </c>
      <c r="I4221" s="6">
        <v>43.7380561828613</v>
      </c>
      <c r="J4221" s="6">
        <v>43.726009368896499</v>
      </c>
      <c r="K4221" s="6">
        <v>43.7679252624512</v>
      </c>
      <c r="L4221" s="6">
        <v>39.609825134277301</v>
      </c>
    </row>
    <row r="4222" spans="1:12" x14ac:dyDescent="0.25">
      <c r="A4222">
        <v>3133709</v>
      </c>
      <c r="B4222" t="str">
        <f t="shared" si="65"/>
        <v>ITATIAIUCU, MG, Brasil</v>
      </c>
      <c r="C4222" s="4" t="str">
        <f>_xlfn.XLOOKUP(A4222,[1]!DadosGHD[CD_GEOCMU],[1]!DadosGHD[Região])</f>
        <v>SD</v>
      </c>
      <c r="D4222" s="4" t="str">
        <f>_xlfn.XLOOKUP(A4222,[1]!DadosGHD[CD_GEOCMU],[1]!DadosGHD[uf])</f>
        <v>MG</v>
      </c>
      <c r="E4222" s="5" t="str">
        <f>_xlfn.XLOOKUP(A4222,[1]!DadosGHD[CD_GEOCMU],[1]!DadosGHD[MUNICIPIO])</f>
        <v>ITATIAIUCU</v>
      </c>
      <c r="F4222" s="6">
        <v>48.649837493896499</v>
      </c>
      <c r="G4222" s="6">
        <v>48.710651397705099</v>
      </c>
      <c r="H4222" s="6">
        <v>43.819011688232401</v>
      </c>
      <c r="I4222" s="6">
        <v>48.685573577880902</v>
      </c>
      <c r="J4222" s="6">
        <v>48.715686798095703</v>
      </c>
      <c r="K4222" s="6">
        <v>43.878875732421903</v>
      </c>
      <c r="L4222" s="6">
        <v>35.133846282958999</v>
      </c>
    </row>
    <row r="4223" spans="1:12" x14ac:dyDescent="0.25">
      <c r="A4223">
        <v>4202305</v>
      </c>
      <c r="B4223" t="str">
        <f t="shared" si="65"/>
        <v>BIGUACU, SC, Brasil</v>
      </c>
      <c r="C4223" s="4" t="str">
        <f>_xlfn.XLOOKUP(A4223,[1]!DadosGHD[CD_GEOCMU],[1]!DadosGHD[Região])</f>
        <v>SL</v>
      </c>
      <c r="D4223" s="4" t="str">
        <f>_xlfn.XLOOKUP(A4223,[1]!DadosGHD[CD_GEOCMU],[1]!DadosGHD[uf])</f>
        <v>SC</v>
      </c>
      <c r="E4223" s="5" t="str">
        <f>_xlfn.XLOOKUP(A4223,[1]!DadosGHD[CD_GEOCMU],[1]!DadosGHD[MUNICIPIO])</f>
        <v>BIGUACU</v>
      </c>
      <c r="F4223" s="6">
        <v>48.649990081787102</v>
      </c>
      <c r="G4223" s="6">
        <v>48.699665069580099</v>
      </c>
      <c r="H4223" s="6">
        <v>48.748470306396499</v>
      </c>
      <c r="I4223" s="6">
        <v>48.739429473877003</v>
      </c>
      <c r="J4223" s="6">
        <v>53.777755737304702</v>
      </c>
      <c r="K4223" s="6">
        <v>53.838474273681598</v>
      </c>
      <c r="L4223" s="6">
        <v>57.534381866455099</v>
      </c>
    </row>
    <row r="4224" spans="1:12" x14ac:dyDescent="0.25">
      <c r="A4224">
        <v>1702000</v>
      </c>
      <c r="B4224" t="str">
        <f t="shared" si="65"/>
        <v>ARAGUACU, TO, Brasil</v>
      </c>
      <c r="C4224" s="4" t="str">
        <f>_xlfn.XLOOKUP(A4224,[1]!DadosGHD[CD_GEOCMU],[1]!DadosGHD[Região])</f>
        <v>NO</v>
      </c>
      <c r="D4224" s="4" t="str">
        <f>_xlfn.XLOOKUP(A4224,[1]!DadosGHD[CD_GEOCMU],[1]!DadosGHD[uf])</f>
        <v>TO</v>
      </c>
      <c r="E4224" s="5" t="str">
        <f>_xlfn.XLOOKUP(A4224,[1]!DadosGHD[CD_GEOCMU],[1]!DadosGHD[MUNICIPIO])</f>
        <v>ARAGUACU</v>
      </c>
      <c r="F4224" s="6">
        <v>48.6500053405762</v>
      </c>
      <c r="G4224" s="6">
        <v>48.753009796142599</v>
      </c>
      <c r="H4224" s="6">
        <v>48.838127136230497</v>
      </c>
      <c r="I4224" s="6">
        <v>53.739593505859403</v>
      </c>
      <c r="J4224" s="6">
        <v>53.896694183349602</v>
      </c>
      <c r="K4224" s="6">
        <v>64.13623046875</v>
      </c>
      <c r="L4224" s="6">
        <v>57.589881896972699</v>
      </c>
    </row>
    <row r="4225" spans="1:12" x14ac:dyDescent="0.25">
      <c r="A4225">
        <v>3510500</v>
      </c>
      <c r="B4225" t="str">
        <f t="shared" si="65"/>
        <v>CARAGUATATUBA, SP, Brasil</v>
      </c>
      <c r="C4225" s="4" t="str">
        <f>_xlfn.XLOOKUP(A4225,[1]!DadosGHD[CD_GEOCMU],[1]!DadosGHD[Região])</f>
        <v>SD</v>
      </c>
      <c r="D4225" s="4" t="str">
        <f>_xlfn.XLOOKUP(A4225,[1]!DadosGHD[CD_GEOCMU],[1]!DadosGHD[uf])</f>
        <v>SP</v>
      </c>
      <c r="E4225" s="5" t="str">
        <f>_xlfn.XLOOKUP(A4225,[1]!DadosGHD[CD_GEOCMU],[1]!DadosGHD[MUNICIPIO])</f>
        <v>CARAGUATATUBA</v>
      </c>
      <c r="F4225" s="6">
        <v>48.650192260742202</v>
      </c>
      <c r="G4225" s="6">
        <v>48.714759826660199</v>
      </c>
      <c r="H4225" s="6">
        <v>43.840373992919901</v>
      </c>
      <c r="I4225" s="6">
        <v>43.767452239990199</v>
      </c>
      <c r="J4225" s="6">
        <v>48.714584350585902</v>
      </c>
      <c r="K4225" s="6">
        <v>53.857536315917997</v>
      </c>
      <c r="L4225" s="6">
        <v>57.552398681640597</v>
      </c>
    </row>
    <row r="4226" spans="1:12" x14ac:dyDescent="0.25">
      <c r="A4226">
        <v>4105102</v>
      </c>
      <c r="B4226" t="str">
        <f t="shared" si="65"/>
        <v>CENTENARIO DO SUL, PR, Brasil</v>
      </c>
      <c r="C4226" s="4" t="str">
        <f>_xlfn.XLOOKUP(A4226,[1]!DadosGHD[CD_GEOCMU],[1]!DadosGHD[Região])</f>
        <v>SL</v>
      </c>
      <c r="D4226" s="4" t="str">
        <f>_xlfn.XLOOKUP(A4226,[1]!DadosGHD[CD_GEOCMU],[1]!DadosGHD[uf])</f>
        <v>PR</v>
      </c>
      <c r="E4226" s="5" t="str">
        <f>_xlfn.XLOOKUP(A4226,[1]!DadosGHD[CD_GEOCMU],[1]!DadosGHD[MUNICIPIO])</f>
        <v>CENTENARIO DO SUL</v>
      </c>
      <c r="F4226" s="6">
        <v>48.650321960449197</v>
      </c>
      <c r="G4226" s="6">
        <v>53.731533050537102</v>
      </c>
      <c r="H4226" s="6">
        <v>53.8169555664063</v>
      </c>
      <c r="I4226" s="6">
        <v>53.795871734619098</v>
      </c>
      <c r="J4226" s="6">
        <v>53.900074005127003</v>
      </c>
      <c r="K4226" s="6">
        <v>58.924446105957003</v>
      </c>
      <c r="L4226" s="6">
        <v>52.998020172119098</v>
      </c>
    </row>
    <row r="4227" spans="1:12" x14ac:dyDescent="0.25">
      <c r="A4227">
        <v>4311007</v>
      </c>
      <c r="B4227" t="str">
        <f t="shared" si="65"/>
        <v>JAGUARAO, RS, Brasil</v>
      </c>
      <c r="C4227" s="4" t="str">
        <f>_xlfn.XLOOKUP(A4227,[1]!DadosGHD[CD_GEOCMU],[1]!DadosGHD[Região])</f>
        <v>SL</v>
      </c>
      <c r="D4227" s="4" t="str">
        <f>_xlfn.XLOOKUP(A4227,[1]!DadosGHD[CD_GEOCMU],[1]!DadosGHD[uf])</f>
        <v>RS</v>
      </c>
      <c r="E4227" s="5" t="str">
        <f>_xlfn.XLOOKUP(A4227,[1]!DadosGHD[CD_GEOCMU],[1]!DadosGHD[MUNICIPIO])</f>
        <v>JAGUARAO</v>
      </c>
      <c r="F4227" s="6">
        <v>48.650650024414098</v>
      </c>
      <c r="G4227" s="6">
        <v>48.684116363525398</v>
      </c>
      <c r="H4227" s="6">
        <v>43.831672668457003</v>
      </c>
      <c r="I4227" s="6">
        <v>48.703300476074197</v>
      </c>
      <c r="J4227" s="6">
        <v>53.754318237304702</v>
      </c>
      <c r="K4227" s="6">
        <v>53.833137512207003</v>
      </c>
      <c r="L4227" s="6">
        <v>52.999748229980497</v>
      </c>
    </row>
    <row r="4228" spans="1:12" x14ac:dyDescent="0.25">
      <c r="A4228">
        <v>5221601</v>
      </c>
      <c r="B4228" t="str">
        <f t="shared" ref="B4228:B4291" si="66">_xlfn.CONCAT(E4228, ", ", D4228, ", Brasil")</f>
        <v>URUACU, GO, Brasil</v>
      </c>
      <c r="C4228" s="4" t="str">
        <f>_xlfn.XLOOKUP(A4228,[1]!DadosGHD[CD_GEOCMU],[1]!DadosGHD[Região])</f>
        <v>CO</v>
      </c>
      <c r="D4228" s="4" t="str">
        <f>_xlfn.XLOOKUP(A4228,[1]!DadosGHD[CD_GEOCMU],[1]!DadosGHD[uf])</f>
        <v>GO</v>
      </c>
      <c r="E4228" s="5" t="str">
        <f>_xlfn.XLOOKUP(A4228,[1]!DadosGHD[CD_GEOCMU],[1]!DadosGHD[MUNICIPIO])</f>
        <v>URUACU</v>
      </c>
      <c r="F4228" s="6">
        <v>48.650863647460902</v>
      </c>
      <c r="G4228" s="6">
        <v>48.762077331542997</v>
      </c>
      <c r="H4228" s="6">
        <v>48.782100677490199</v>
      </c>
      <c r="I4228" s="6">
        <v>48.800697326660199</v>
      </c>
      <c r="J4228" s="6">
        <v>58.854324340820298</v>
      </c>
      <c r="K4228" s="6">
        <v>53.863407135009801</v>
      </c>
      <c r="L4228" s="6">
        <v>44.072589874267599</v>
      </c>
    </row>
    <row r="4229" spans="1:12" x14ac:dyDescent="0.25">
      <c r="A4229">
        <v>3121605</v>
      </c>
      <c r="B4229" t="str">
        <f t="shared" si="66"/>
        <v>DIAMANTINA, MG, Brasil</v>
      </c>
      <c r="C4229" s="4" t="str">
        <f>_xlfn.XLOOKUP(A4229,[1]!DadosGHD[CD_GEOCMU],[1]!DadosGHD[Região])</f>
        <v>SD</v>
      </c>
      <c r="D4229" s="4" t="str">
        <f>_xlfn.XLOOKUP(A4229,[1]!DadosGHD[CD_GEOCMU],[1]!DadosGHD[uf])</f>
        <v>MG</v>
      </c>
      <c r="E4229" s="5" t="str">
        <f>_xlfn.XLOOKUP(A4229,[1]!DadosGHD[CD_GEOCMU],[1]!DadosGHD[MUNICIPIO])</f>
        <v>DIAMANTINA</v>
      </c>
      <c r="F4229" s="6">
        <v>48.651191711425803</v>
      </c>
      <c r="G4229" s="6">
        <v>48.6739692687988</v>
      </c>
      <c r="H4229" s="6">
        <v>48.715988159179702</v>
      </c>
      <c r="I4229" s="6">
        <v>48.703487396240199</v>
      </c>
      <c r="J4229" s="6">
        <v>48.755630493164098</v>
      </c>
      <c r="K4229" s="6">
        <v>53.817165374755902</v>
      </c>
      <c r="L4229" s="6">
        <v>53.028141021728501</v>
      </c>
    </row>
    <row r="4230" spans="1:12" x14ac:dyDescent="0.25">
      <c r="A4230">
        <v>3103900</v>
      </c>
      <c r="B4230" t="str">
        <f t="shared" si="66"/>
        <v>ARAUJOS, MG, Brasil</v>
      </c>
      <c r="C4230" s="4" t="str">
        <f>_xlfn.XLOOKUP(A4230,[1]!DadosGHD[CD_GEOCMU],[1]!DadosGHD[Região])</f>
        <v>SD</v>
      </c>
      <c r="D4230" s="4" t="str">
        <f>_xlfn.XLOOKUP(A4230,[1]!DadosGHD[CD_GEOCMU],[1]!DadosGHD[uf])</f>
        <v>MG</v>
      </c>
      <c r="E4230" s="5" t="str">
        <f>_xlfn.XLOOKUP(A4230,[1]!DadosGHD[CD_GEOCMU],[1]!DadosGHD[MUNICIPIO])</f>
        <v>ARAUJOS</v>
      </c>
      <c r="F4230" s="6">
        <v>48.651283264160199</v>
      </c>
      <c r="G4230" s="6">
        <v>48.683551788330099</v>
      </c>
      <c r="H4230" s="6">
        <v>48.727752685546903</v>
      </c>
      <c r="I4230" s="6">
        <v>48.722293853759801</v>
      </c>
      <c r="J4230" s="6">
        <v>48.700916290283203</v>
      </c>
      <c r="K4230" s="6">
        <v>48.765384674072301</v>
      </c>
      <c r="L4230" s="6">
        <v>53.01123046875</v>
      </c>
    </row>
    <row r="4231" spans="1:12" x14ac:dyDescent="0.25">
      <c r="A4231">
        <v>3132206</v>
      </c>
      <c r="B4231" t="str">
        <f t="shared" si="66"/>
        <v>ITAGUARA, MG, Brasil</v>
      </c>
      <c r="C4231" s="4" t="str">
        <f>_xlfn.XLOOKUP(A4231,[1]!DadosGHD[CD_GEOCMU],[1]!DadosGHD[Região])</f>
        <v>SD</v>
      </c>
      <c r="D4231" s="4" t="str">
        <f>_xlfn.XLOOKUP(A4231,[1]!DadosGHD[CD_GEOCMU],[1]!DadosGHD[uf])</f>
        <v>MG</v>
      </c>
      <c r="E4231" s="5" t="str">
        <f>_xlfn.XLOOKUP(A4231,[1]!DadosGHD[CD_GEOCMU],[1]!DadosGHD[MUNICIPIO])</f>
        <v>ITAGUARA</v>
      </c>
      <c r="F4231" s="6">
        <v>48.651420593261697</v>
      </c>
      <c r="G4231" s="6">
        <v>48.736522674560597</v>
      </c>
      <c r="H4231" s="6">
        <v>48.812042236328097</v>
      </c>
      <c r="I4231" s="6">
        <v>48.752632141113303</v>
      </c>
      <c r="J4231" s="6">
        <v>48.767002105712898</v>
      </c>
      <c r="K4231" s="6">
        <v>48.794609069824197</v>
      </c>
      <c r="L4231" s="6">
        <v>35.153171539306598</v>
      </c>
    </row>
    <row r="4232" spans="1:12" x14ac:dyDescent="0.25">
      <c r="A4232">
        <v>3503703</v>
      </c>
      <c r="B4232" t="str">
        <f t="shared" si="66"/>
        <v>ARIRANHA, SP, Brasil</v>
      </c>
      <c r="C4232" s="4" t="str">
        <f>_xlfn.XLOOKUP(A4232,[1]!DadosGHD[CD_GEOCMU],[1]!DadosGHD[Região])</f>
        <v>SD</v>
      </c>
      <c r="D4232" s="4" t="str">
        <f>_xlfn.XLOOKUP(A4232,[1]!DadosGHD[CD_GEOCMU],[1]!DadosGHD[uf])</f>
        <v>SP</v>
      </c>
      <c r="E4232" s="5" t="str">
        <f>_xlfn.XLOOKUP(A4232,[1]!DadosGHD[CD_GEOCMU],[1]!DadosGHD[MUNICIPIO])</f>
        <v>ARIRANHA</v>
      </c>
      <c r="F4232" s="6">
        <v>48.652114868164098</v>
      </c>
      <c r="G4232" s="6">
        <v>48.639438629150398</v>
      </c>
      <c r="H4232" s="6">
        <v>43.8047065734863</v>
      </c>
      <c r="I4232" s="6">
        <v>43.736732482910199</v>
      </c>
      <c r="J4232" s="6">
        <v>43.713005065917997</v>
      </c>
      <c r="K4232" s="6">
        <v>38.841606140136697</v>
      </c>
      <c r="L4232" s="6">
        <v>35.141639709472699</v>
      </c>
    </row>
    <row r="4233" spans="1:12" x14ac:dyDescent="0.25">
      <c r="A4233">
        <v>5206404</v>
      </c>
      <c r="B4233" t="str">
        <f t="shared" si="66"/>
        <v>CRIXAS, GO, Brasil</v>
      </c>
      <c r="C4233" s="4" t="str">
        <f>_xlfn.XLOOKUP(A4233,[1]!DadosGHD[CD_GEOCMU],[1]!DadosGHD[Região])</f>
        <v>CO</v>
      </c>
      <c r="D4233" s="4" t="str">
        <f>_xlfn.XLOOKUP(A4233,[1]!DadosGHD[CD_GEOCMU],[1]!DadosGHD[uf])</f>
        <v>GO</v>
      </c>
      <c r="E4233" s="5" t="str">
        <f>_xlfn.XLOOKUP(A4233,[1]!DadosGHD[CD_GEOCMU],[1]!DadosGHD[MUNICIPIO])</f>
        <v>CRIXAS</v>
      </c>
      <c r="F4233" s="6">
        <v>48.652286529541001</v>
      </c>
      <c r="G4233" s="6">
        <v>48.643192291259801</v>
      </c>
      <c r="H4233" s="6">
        <v>43.836093902587898</v>
      </c>
      <c r="I4233" s="6">
        <v>48.6953125</v>
      </c>
      <c r="J4233" s="6">
        <v>48.756526947021499</v>
      </c>
      <c r="K4233" s="6">
        <v>48.775691986083999</v>
      </c>
      <c r="L4233" s="6">
        <v>35.118194580078097</v>
      </c>
    </row>
    <row r="4234" spans="1:12" x14ac:dyDescent="0.25">
      <c r="A4234">
        <v>4119608</v>
      </c>
      <c r="B4234" t="str">
        <f t="shared" si="66"/>
        <v>PITANGA, PR, Brasil</v>
      </c>
      <c r="C4234" s="4" t="str">
        <f>_xlfn.XLOOKUP(A4234,[1]!DadosGHD[CD_GEOCMU],[1]!DadosGHD[Região])</f>
        <v>SL</v>
      </c>
      <c r="D4234" s="4" t="str">
        <f>_xlfn.XLOOKUP(A4234,[1]!DadosGHD[CD_GEOCMU],[1]!DadosGHD[uf])</f>
        <v>PR</v>
      </c>
      <c r="E4234" s="5" t="str">
        <f>_xlfn.XLOOKUP(A4234,[1]!DadosGHD[CD_GEOCMU],[1]!DadosGHD[MUNICIPIO])</f>
        <v>PITANGA</v>
      </c>
      <c r="F4234" s="6">
        <v>48.652454376220703</v>
      </c>
      <c r="G4234" s="6">
        <v>53.660064697265597</v>
      </c>
      <c r="H4234" s="6">
        <v>53.780410766601598</v>
      </c>
      <c r="I4234" s="6">
        <v>53.795028686523402</v>
      </c>
      <c r="J4234" s="6">
        <v>53.824222564697301</v>
      </c>
      <c r="K4234" s="6">
        <v>53.897655487060597</v>
      </c>
      <c r="L4234" s="6">
        <v>35.146186828613303</v>
      </c>
    </row>
    <row r="4235" spans="1:12" x14ac:dyDescent="0.25">
      <c r="A4235">
        <v>4211504</v>
      </c>
      <c r="B4235" t="str">
        <f t="shared" si="66"/>
        <v>NOVA TRENTO, SC, Brasil</v>
      </c>
      <c r="C4235" s="4" t="str">
        <f>_xlfn.XLOOKUP(A4235,[1]!DadosGHD[CD_GEOCMU],[1]!DadosGHD[Região])</f>
        <v>SL</v>
      </c>
      <c r="D4235" s="4" t="str">
        <f>_xlfn.XLOOKUP(A4235,[1]!DadosGHD[CD_GEOCMU],[1]!DadosGHD[uf])</f>
        <v>SC</v>
      </c>
      <c r="E4235" s="5" t="str">
        <f>_xlfn.XLOOKUP(A4235,[1]!DadosGHD[CD_GEOCMU],[1]!DadosGHD[MUNICIPIO])</f>
        <v>NOVA TRENTO</v>
      </c>
      <c r="F4235" s="6">
        <v>48.652515411377003</v>
      </c>
      <c r="G4235" s="6">
        <v>48.753433227539098</v>
      </c>
      <c r="H4235" s="6">
        <v>53.757110595703097</v>
      </c>
      <c r="I4235" s="6">
        <v>48.802902221679702</v>
      </c>
      <c r="J4235" s="6">
        <v>53.756805419921903</v>
      </c>
      <c r="K4235" s="6">
        <v>53.859764099121101</v>
      </c>
      <c r="L4235" s="6">
        <v>57.529216766357401</v>
      </c>
    </row>
    <row r="4236" spans="1:12" x14ac:dyDescent="0.25">
      <c r="A4236">
        <v>3148103</v>
      </c>
      <c r="B4236" t="str">
        <f t="shared" si="66"/>
        <v>PATROCINIO, MG, Brasil</v>
      </c>
      <c r="C4236" s="4" t="str">
        <f>_xlfn.XLOOKUP(A4236,[1]!DadosGHD[CD_GEOCMU],[1]!DadosGHD[Região])</f>
        <v>SD</v>
      </c>
      <c r="D4236" s="4" t="str">
        <f>_xlfn.XLOOKUP(A4236,[1]!DadosGHD[CD_GEOCMU],[1]!DadosGHD[uf])</f>
        <v>MG</v>
      </c>
      <c r="E4236" s="5" t="str">
        <f>_xlfn.XLOOKUP(A4236,[1]!DadosGHD[CD_GEOCMU],[1]!DadosGHD[MUNICIPIO])</f>
        <v>PATROCINIO</v>
      </c>
      <c r="F4236" s="6">
        <v>48.652549743652301</v>
      </c>
      <c r="G4236" s="6">
        <v>48.716934204101598</v>
      </c>
      <c r="H4236" s="6">
        <v>53.812408447265597</v>
      </c>
      <c r="I4236" s="6">
        <v>53.753257751464801</v>
      </c>
      <c r="J4236" s="6">
        <v>53.846019744873097</v>
      </c>
      <c r="K4236" s="6">
        <v>53.910179138183601</v>
      </c>
      <c r="L4236" s="6">
        <v>53.010307312011697</v>
      </c>
    </row>
    <row r="4237" spans="1:12" x14ac:dyDescent="0.25">
      <c r="A4237">
        <v>3556909</v>
      </c>
      <c r="B4237" t="str">
        <f t="shared" si="66"/>
        <v>VISTA ALEGRE DO ALTO, SP, Brasil</v>
      </c>
      <c r="C4237" s="4" t="str">
        <f>_xlfn.XLOOKUP(A4237,[1]!DadosGHD[CD_GEOCMU],[1]!DadosGHD[Região])</f>
        <v>SD</v>
      </c>
      <c r="D4237" s="4" t="str">
        <f>_xlfn.XLOOKUP(A4237,[1]!DadosGHD[CD_GEOCMU],[1]!DadosGHD[uf])</f>
        <v>SP</v>
      </c>
      <c r="E4237" s="5" t="str">
        <f>_xlfn.XLOOKUP(A4237,[1]!DadosGHD[CD_GEOCMU],[1]!DadosGHD[MUNICIPIO])</f>
        <v>VISTA ALEGRE DO ALTO</v>
      </c>
      <c r="F4237" s="6">
        <v>48.652862548828097</v>
      </c>
      <c r="G4237" s="6">
        <v>53.684276580810597</v>
      </c>
      <c r="H4237" s="6">
        <v>48.832805633544901</v>
      </c>
      <c r="I4237" s="6">
        <v>48.756336212158203</v>
      </c>
      <c r="J4237" s="6">
        <v>48.730415344238303</v>
      </c>
      <c r="K4237" s="6">
        <v>43.863739013671903</v>
      </c>
      <c r="L4237" s="6">
        <v>35.142654418945298</v>
      </c>
    </row>
    <row r="4238" spans="1:12" x14ac:dyDescent="0.25">
      <c r="A4238">
        <v>3205002</v>
      </c>
      <c r="B4238" t="str">
        <f t="shared" si="66"/>
        <v>SERRA, ES, Brasil</v>
      </c>
      <c r="C4238" s="4" t="str">
        <f>_xlfn.XLOOKUP(A4238,[1]!DadosGHD[CD_GEOCMU],[1]!DadosGHD[Região])</f>
        <v>SD</v>
      </c>
      <c r="D4238" s="4" t="str">
        <f>_xlfn.XLOOKUP(A4238,[1]!DadosGHD[CD_GEOCMU],[1]!DadosGHD[uf])</f>
        <v>ES</v>
      </c>
      <c r="E4238" s="5" t="str">
        <f>_xlfn.XLOOKUP(A4238,[1]!DadosGHD[CD_GEOCMU],[1]!DadosGHD[MUNICIPIO])</f>
        <v>SERRA</v>
      </c>
      <c r="F4238" s="6">
        <v>48.653213500976598</v>
      </c>
      <c r="G4238" s="6">
        <v>48.7074584960938</v>
      </c>
      <c r="H4238" s="6">
        <v>48.756061553955099</v>
      </c>
      <c r="I4238" s="6">
        <v>48.726467132568402</v>
      </c>
      <c r="J4238" s="6">
        <v>48.735195159912102</v>
      </c>
      <c r="K4238" s="6">
        <v>43.881908416748097</v>
      </c>
      <c r="L4238" s="6">
        <v>48.492012023925803</v>
      </c>
    </row>
    <row r="4239" spans="1:12" x14ac:dyDescent="0.25">
      <c r="A4239">
        <v>3107109</v>
      </c>
      <c r="B4239" t="str">
        <f t="shared" si="66"/>
        <v>BOA ESPERANCA, MG, Brasil</v>
      </c>
      <c r="C4239" s="4" t="str">
        <f>_xlfn.XLOOKUP(A4239,[1]!DadosGHD[CD_GEOCMU],[1]!DadosGHD[Região])</f>
        <v>SD</v>
      </c>
      <c r="D4239" s="4" t="str">
        <f>_xlfn.XLOOKUP(A4239,[1]!DadosGHD[CD_GEOCMU],[1]!DadosGHD[uf])</f>
        <v>MG</v>
      </c>
      <c r="E4239" s="5" t="str">
        <f>_xlfn.XLOOKUP(A4239,[1]!DadosGHD[CD_GEOCMU],[1]!DadosGHD[MUNICIPIO])</f>
        <v>BOA ESPERANCA</v>
      </c>
      <c r="F4239" s="6">
        <v>48.653335571289098</v>
      </c>
      <c r="G4239" s="6">
        <v>48.742221832275398</v>
      </c>
      <c r="H4239" s="6">
        <v>48.8370170593262</v>
      </c>
      <c r="I4239" s="6">
        <v>53.779483795166001</v>
      </c>
      <c r="J4239" s="6">
        <v>48.765857696533203</v>
      </c>
      <c r="K4239" s="6">
        <v>53.856529235839801</v>
      </c>
      <c r="L4239" s="6">
        <v>52.995735168457003</v>
      </c>
    </row>
    <row r="4240" spans="1:12" x14ac:dyDescent="0.25">
      <c r="A4240">
        <v>3515129</v>
      </c>
      <c r="B4240" t="str">
        <f t="shared" si="66"/>
        <v>EMILIANOPOLIS, SP, Brasil</v>
      </c>
      <c r="C4240" s="4" t="str">
        <f>_xlfn.XLOOKUP(A4240,[1]!DadosGHD[CD_GEOCMU],[1]!DadosGHD[Região])</f>
        <v>SD</v>
      </c>
      <c r="D4240" s="4" t="str">
        <f>_xlfn.XLOOKUP(A4240,[1]!DadosGHD[CD_GEOCMU],[1]!DadosGHD[uf])</f>
        <v>SP</v>
      </c>
      <c r="E4240" s="5" t="str">
        <f>_xlfn.XLOOKUP(A4240,[1]!DadosGHD[CD_GEOCMU],[1]!DadosGHD[MUNICIPIO])</f>
        <v>EMILIANOPOLIS</v>
      </c>
      <c r="F4240" s="6">
        <v>48.653343200683601</v>
      </c>
      <c r="G4240" s="6">
        <v>48.644588470458999</v>
      </c>
      <c r="H4240" s="6">
        <v>43.832099914550803</v>
      </c>
      <c r="I4240" s="6">
        <v>48.689071655273402</v>
      </c>
      <c r="J4240" s="6">
        <v>48.7944526672363</v>
      </c>
      <c r="K4240" s="6">
        <v>48.888126373291001</v>
      </c>
      <c r="L4240" s="6">
        <v>48.562705993652301</v>
      </c>
    </row>
    <row r="4241" spans="1:12" x14ac:dyDescent="0.25">
      <c r="A4241">
        <v>3164001</v>
      </c>
      <c r="B4241" t="str">
        <f t="shared" si="66"/>
        <v>SAO PEDRO DOS FERROS, MG, Brasil</v>
      </c>
      <c r="C4241" s="4" t="str">
        <f>_xlfn.XLOOKUP(A4241,[1]!DadosGHD[CD_GEOCMU],[1]!DadosGHD[Região])</f>
        <v>SD</v>
      </c>
      <c r="D4241" s="4" t="str">
        <f>_xlfn.XLOOKUP(A4241,[1]!DadosGHD[CD_GEOCMU],[1]!DadosGHD[uf])</f>
        <v>MG</v>
      </c>
      <c r="E4241" s="5" t="str">
        <f>_xlfn.XLOOKUP(A4241,[1]!DadosGHD[CD_GEOCMU],[1]!DadosGHD[MUNICIPIO])</f>
        <v>SAO PEDRO DOS FERROS</v>
      </c>
      <c r="F4241" s="6">
        <v>48.653491973877003</v>
      </c>
      <c r="G4241" s="6">
        <v>43.727523803710902</v>
      </c>
      <c r="H4241" s="6">
        <v>43.742198944091797</v>
      </c>
      <c r="I4241" s="6">
        <v>43.725017547607401</v>
      </c>
      <c r="J4241" s="6">
        <v>43.7282524108887</v>
      </c>
      <c r="K4241" s="6">
        <v>43.779834747314503</v>
      </c>
      <c r="L4241" s="6">
        <v>35.1463623046875</v>
      </c>
    </row>
    <row r="4242" spans="1:12" x14ac:dyDescent="0.25">
      <c r="A4242">
        <v>3105608</v>
      </c>
      <c r="B4242" t="str">
        <f t="shared" si="66"/>
        <v>BARBACENA, MG, Brasil</v>
      </c>
      <c r="C4242" s="4" t="str">
        <f>_xlfn.XLOOKUP(A4242,[1]!DadosGHD[CD_GEOCMU],[1]!DadosGHD[Região])</f>
        <v>SD</v>
      </c>
      <c r="D4242" s="4" t="str">
        <f>_xlfn.XLOOKUP(A4242,[1]!DadosGHD[CD_GEOCMU],[1]!DadosGHD[uf])</f>
        <v>MG</v>
      </c>
      <c r="E4242" s="5" t="str">
        <f>_xlfn.XLOOKUP(A4242,[1]!DadosGHD[CD_GEOCMU],[1]!DadosGHD[MUNICIPIO])</f>
        <v>BARBACENA</v>
      </c>
      <c r="F4242" s="6">
        <v>48.653720855712898</v>
      </c>
      <c r="G4242" s="6">
        <v>48.719348907470703</v>
      </c>
      <c r="H4242" s="6">
        <v>48.831932067871101</v>
      </c>
      <c r="I4242" s="6">
        <v>53.798519134521499</v>
      </c>
      <c r="J4242" s="6">
        <v>53.824680328369098</v>
      </c>
      <c r="K4242" s="6">
        <v>53.855983734130902</v>
      </c>
      <c r="L4242" s="6">
        <v>57.560501098632798</v>
      </c>
    </row>
    <row r="4243" spans="1:12" x14ac:dyDescent="0.25">
      <c r="A4243">
        <v>3132909</v>
      </c>
      <c r="B4243" t="str">
        <f t="shared" si="66"/>
        <v>ITAMOGI, MG, Brasil</v>
      </c>
      <c r="C4243" s="4" t="str">
        <f>_xlfn.XLOOKUP(A4243,[1]!DadosGHD[CD_GEOCMU],[1]!DadosGHD[Região])</f>
        <v>SD</v>
      </c>
      <c r="D4243" s="4" t="str">
        <f>_xlfn.XLOOKUP(A4243,[1]!DadosGHD[CD_GEOCMU],[1]!DadosGHD[uf])</f>
        <v>MG</v>
      </c>
      <c r="E4243" s="5" t="str">
        <f>_xlfn.XLOOKUP(A4243,[1]!DadosGHD[CD_GEOCMU],[1]!DadosGHD[MUNICIPIO])</f>
        <v>ITAMOGI</v>
      </c>
      <c r="F4243" s="6">
        <v>48.653793334960902</v>
      </c>
      <c r="G4243" s="6">
        <v>48.636726379394503</v>
      </c>
      <c r="H4243" s="6">
        <v>48.807331085205099</v>
      </c>
      <c r="I4243" s="6">
        <v>53.731613159179702</v>
      </c>
      <c r="J4243" s="6">
        <v>53.776741027832003</v>
      </c>
      <c r="K4243" s="6">
        <v>48.768394470214801</v>
      </c>
      <c r="L4243" s="6">
        <v>44.020828247070298</v>
      </c>
    </row>
    <row r="4244" spans="1:12" x14ac:dyDescent="0.25">
      <c r="A4244">
        <v>3130309</v>
      </c>
      <c r="B4244" t="str">
        <f t="shared" si="66"/>
        <v>IGUATAMA, MG, Brasil</v>
      </c>
      <c r="C4244" s="4" t="str">
        <f>_xlfn.XLOOKUP(A4244,[1]!DadosGHD[CD_GEOCMU],[1]!DadosGHD[Região])</f>
        <v>SD</v>
      </c>
      <c r="D4244" s="4" t="str">
        <f>_xlfn.XLOOKUP(A4244,[1]!DadosGHD[CD_GEOCMU],[1]!DadosGHD[uf])</f>
        <v>MG</v>
      </c>
      <c r="E4244" s="5" t="str">
        <f>_xlfn.XLOOKUP(A4244,[1]!DadosGHD[CD_GEOCMU],[1]!DadosGHD[MUNICIPIO])</f>
        <v>IGUATAMA</v>
      </c>
      <c r="F4244" s="6">
        <v>48.654186248779297</v>
      </c>
      <c r="G4244" s="6">
        <v>48.758571624755902</v>
      </c>
      <c r="H4244" s="6">
        <v>48.835685729980497</v>
      </c>
      <c r="I4244" s="6">
        <v>48.804309844970703</v>
      </c>
      <c r="J4244" s="6">
        <v>48.783519744873097</v>
      </c>
      <c r="K4244" s="6">
        <v>48.813232421875</v>
      </c>
      <c r="L4244" s="6">
        <v>53.019073486328097</v>
      </c>
    </row>
    <row r="4245" spans="1:12" x14ac:dyDescent="0.25">
      <c r="A4245">
        <v>4304408</v>
      </c>
      <c r="B4245" t="str">
        <f t="shared" si="66"/>
        <v>CANELA, RS, Brasil</v>
      </c>
      <c r="C4245" s="4" t="str">
        <f>_xlfn.XLOOKUP(A4245,[1]!DadosGHD[CD_GEOCMU],[1]!DadosGHD[Região])</f>
        <v>SL</v>
      </c>
      <c r="D4245" s="4" t="str">
        <f>_xlfn.XLOOKUP(A4245,[1]!DadosGHD[CD_GEOCMU],[1]!DadosGHD[uf])</f>
        <v>RS</v>
      </c>
      <c r="E4245" s="5" t="str">
        <f>_xlfn.XLOOKUP(A4245,[1]!DadosGHD[CD_GEOCMU],[1]!DadosGHD[MUNICIPIO])</f>
        <v>CANELA</v>
      </c>
      <c r="F4245" s="6">
        <v>48.654327392578097</v>
      </c>
      <c r="G4245" s="6">
        <v>48.715724945068402</v>
      </c>
      <c r="H4245" s="6">
        <v>48.761184692382798</v>
      </c>
      <c r="I4245" s="6">
        <v>53.786895751953097</v>
      </c>
      <c r="J4245" s="6">
        <v>53.850494384765597</v>
      </c>
      <c r="K4245" s="6">
        <v>53.907585144042997</v>
      </c>
      <c r="L4245" s="6">
        <v>53.065181732177699</v>
      </c>
    </row>
    <row r="4246" spans="1:12" x14ac:dyDescent="0.25">
      <c r="A4246">
        <v>3306206</v>
      </c>
      <c r="B4246" t="str">
        <f t="shared" si="66"/>
        <v>VASSOURAS, RJ, Brasil</v>
      </c>
      <c r="C4246" s="4" t="str">
        <f>_xlfn.XLOOKUP(A4246,[1]!DadosGHD[CD_GEOCMU],[1]!DadosGHD[Região])</f>
        <v>SD</v>
      </c>
      <c r="D4246" s="4" t="str">
        <f>_xlfn.XLOOKUP(A4246,[1]!DadosGHD[CD_GEOCMU],[1]!DadosGHD[uf])</f>
        <v>RJ</v>
      </c>
      <c r="E4246" s="5" t="str">
        <f>_xlfn.XLOOKUP(A4246,[1]!DadosGHD[CD_GEOCMU],[1]!DadosGHD[MUNICIPIO])</f>
        <v>VASSOURAS</v>
      </c>
      <c r="F4246" s="6">
        <v>48.654342651367202</v>
      </c>
      <c r="G4246" s="6">
        <v>48.707736968994098</v>
      </c>
      <c r="H4246" s="6">
        <v>48.741931915283203</v>
      </c>
      <c r="I4246" s="6">
        <v>43.787410736083999</v>
      </c>
      <c r="J4246" s="6">
        <v>48.721317291259801</v>
      </c>
      <c r="K4246" s="6">
        <v>48.881313323974602</v>
      </c>
      <c r="L4246" s="6">
        <v>53.018768310546903</v>
      </c>
    </row>
    <row r="4247" spans="1:12" x14ac:dyDescent="0.25">
      <c r="A4247">
        <v>3518859</v>
      </c>
      <c r="B4247" t="str">
        <f t="shared" si="66"/>
        <v>GUATAPARA, SP, Brasil</v>
      </c>
      <c r="C4247" s="4" t="str">
        <f>_xlfn.XLOOKUP(A4247,[1]!DadosGHD[CD_GEOCMU],[1]!DadosGHD[Região])</f>
        <v>SD</v>
      </c>
      <c r="D4247" s="4" t="str">
        <f>_xlfn.XLOOKUP(A4247,[1]!DadosGHD[CD_GEOCMU],[1]!DadosGHD[uf])</f>
        <v>SP</v>
      </c>
      <c r="E4247" s="5" t="str">
        <f>_xlfn.XLOOKUP(A4247,[1]!DadosGHD[CD_GEOCMU],[1]!DadosGHD[MUNICIPIO])</f>
        <v>GUATAPARA</v>
      </c>
      <c r="F4247" s="6">
        <v>48.654705047607401</v>
      </c>
      <c r="G4247" s="6">
        <v>48.647819519042997</v>
      </c>
      <c r="H4247" s="6">
        <v>43.799724578857401</v>
      </c>
      <c r="I4247" s="6">
        <v>43.699165344238303</v>
      </c>
      <c r="J4247" s="6">
        <v>38.826683044433601</v>
      </c>
      <c r="K4247" s="6">
        <v>38.847259521484403</v>
      </c>
      <c r="L4247" s="6">
        <v>39.596767425537102</v>
      </c>
    </row>
    <row r="4248" spans="1:12" x14ac:dyDescent="0.25">
      <c r="A4248">
        <v>3512100</v>
      </c>
      <c r="B4248" t="str">
        <f t="shared" si="66"/>
        <v>COLOMBIA, SP, Brasil</v>
      </c>
      <c r="C4248" s="4" t="str">
        <f>_xlfn.XLOOKUP(A4248,[1]!DadosGHD[CD_GEOCMU],[1]!DadosGHD[Região])</f>
        <v>SD</v>
      </c>
      <c r="D4248" s="4" t="str">
        <f>_xlfn.XLOOKUP(A4248,[1]!DadosGHD[CD_GEOCMU],[1]!DadosGHD[uf])</f>
        <v>SP</v>
      </c>
      <c r="E4248" s="5" t="str">
        <f>_xlfn.XLOOKUP(A4248,[1]!DadosGHD[CD_GEOCMU],[1]!DadosGHD[MUNICIPIO])</f>
        <v>COLOMBIA</v>
      </c>
      <c r="F4248" s="6">
        <v>48.654960632324197</v>
      </c>
      <c r="G4248" s="6">
        <v>43.728145599365199</v>
      </c>
      <c r="H4248" s="6">
        <v>43.794281005859403</v>
      </c>
      <c r="I4248" s="6">
        <v>43.749534606933601</v>
      </c>
      <c r="J4248" s="6">
        <v>43.794151306152301</v>
      </c>
      <c r="K4248" s="6">
        <v>43.777866363525398</v>
      </c>
      <c r="L4248" s="6">
        <v>44.038944244384801</v>
      </c>
    </row>
    <row r="4249" spans="1:12" x14ac:dyDescent="0.25">
      <c r="A4249">
        <v>3521101</v>
      </c>
      <c r="B4249" t="str">
        <f t="shared" si="66"/>
        <v>IPEUNA, SP, Brasil</v>
      </c>
      <c r="C4249" s="4" t="str">
        <f>_xlfn.XLOOKUP(A4249,[1]!DadosGHD[CD_GEOCMU],[1]!DadosGHD[Região])</f>
        <v>SD</v>
      </c>
      <c r="D4249" s="4" t="str">
        <f>_xlfn.XLOOKUP(A4249,[1]!DadosGHD[CD_GEOCMU],[1]!DadosGHD[uf])</f>
        <v>SP</v>
      </c>
      <c r="E4249" s="5" t="str">
        <f>_xlfn.XLOOKUP(A4249,[1]!DadosGHD[CD_GEOCMU],[1]!DadosGHD[MUNICIPIO])</f>
        <v>IPEUNA</v>
      </c>
      <c r="F4249" s="6">
        <v>48.654979705810597</v>
      </c>
      <c r="G4249" s="6">
        <v>53.6809692382813</v>
      </c>
      <c r="H4249" s="6">
        <v>53.862308502197301</v>
      </c>
      <c r="I4249" s="6">
        <v>53.727916717529297</v>
      </c>
      <c r="J4249" s="6">
        <v>48.794197082519503</v>
      </c>
      <c r="K4249" s="6">
        <v>43.862823486328097</v>
      </c>
      <c r="L4249" s="6">
        <v>39.597991943359403</v>
      </c>
    </row>
    <row r="4250" spans="1:12" x14ac:dyDescent="0.25">
      <c r="A4250">
        <v>3143401</v>
      </c>
      <c r="B4250" t="str">
        <f t="shared" si="66"/>
        <v>MONTE SIAO, MG, Brasil</v>
      </c>
      <c r="C4250" s="4" t="str">
        <f>_xlfn.XLOOKUP(A4250,[1]!DadosGHD[CD_GEOCMU],[1]!DadosGHD[Região])</f>
        <v>SD</v>
      </c>
      <c r="D4250" s="4" t="str">
        <f>_xlfn.XLOOKUP(A4250,[1]!DadosGHD[CD_GEOCMU],[1]!DadosGHD[uf])</f>
        <v>MG</v>
      </c>
      <c r="E4250" s="5" t="str">
        <f>_xlfn.XLOOKUP(A4250,[1]!DadosGHD[CD_GEOCMU],[1]!DadosGHD[MUNICIPIO])</f>
        <v>MONTE SIAO</v>
      </c>
      <c r="F4250" s="6">
        <v>48.655006408691399</v>
      </c>
      <c r="G4250" s="6">
        <v>48.723960876464801</v>
      </c>
      <c r="H4250" s="6">
        <v>48.754898071289098</v>
      </c>
      <c r="I4250" s="6">
        <v>48.717529296875</v>
      </c>
      <c r="J4250" s="6">
        <v>48.7086791992188</v>
      </c>
      <c r="K4250" s="6">
        <v>48.800384521484403</v>
      </c>
      <c r="L4250" s="6">
        <v>44.0695190429688</v>
      </c>
    </row>
    <row r="4251" spans="1:12" x14ac:dyDescent="0.25">
      <c r="A4251">
        <v>4120408</v>
      </c>
      <c r="B4251" t="str">
        <f t="shared" si="66"/>
        <v>PRESIDENTE CASTELO BRANCO, PR, Brasil</v>
      </c>
      <c r="C4251" s="4" t="str">
        <f>_xlfn.XLOOKUP(A4251,[1]!DadosGHD[CD_GEOCMU],[1]!DadosGHD[Região])</f>
        <v>SL</v>
      </c>
      <c r="D4251" s="4" t="str">
        <f>_xlfn.XLOOKUP(A4251,[1]!DadosGHD[CD_GEOCMU],[1]!DadosGHD[uf])</f>
        <v>PR</v>
      </c>
      <c r="E4251" s="5" t="str">
        <f>_xlfn.XLOOKUP(A4251,[1]!DadosGHD[CD_GEOCMU],[1]!DadosGHD[MUNICIPIO])</f>
        <v>PRESIDENTE CASTELO BRANCO</v>
      </c>
      <c r="F4251" s="6">
        <v>48.655551910400398</v>
      </c>
      <c r="G4251" s="6">
        <v>53.668609619140597</v>
      </c>
      <c r="H4251" s="6">
        <v>48.799472808837898</v>
      </c>
      <c r="I4251" s="6">
        <v>48.739307403564503</v>
      </c>
      <c r="J4251" s="6">
        <v>48.772525787353501</v>
      </c>
      <c r="K4251" s="6">
        <v>43.831253051757798</v>
      </c>
      <c r="L4251" s="6">
        <v>53.062271118164098</v>
      </c>
    </row>
    <row r="4252" spans="1:12" x14ac:dyDescent="0.25">
      <c r="A4252">
        <v>3509403</v>
      </c>
      <c r="B4252" t="str">
        <f t="shared" si="66"/>
        <v>CAJURU, SP, Brasil</v>
      </c>
      <c r="C4252" s="4" t="str">
        <f>_xlfn.XLOOKUP(A4252,[1]!DadosGHD[CD_GEOCMU],[1]!DadosGHD[Região])</f>
        <v>SD</v>
      </c>
      <c r="D4252" s="4" t="str">
        <f>_xlfn.XLOOKUP(A4252,[1]!DadosGHD[CD_GEOCMU],[1]!DadosGHD[uf])</f>
        <v>SP</v>
      </c>
      <c r="E4252" s="5" t="str">
        <f>_xlfn.XLOOKUP(A4252,[1]!DadosGHD[CD_GEOCMU],[1]!DadosGHD[MUNICIPIO])</f>
        <v>CAJURU</v>
      </c>
      <c r="F4252" s="6">
        <v>48.655555725097699</v>
      </c>
      <c r="G4252" s="6">
        <v>48.769485473632798</v>
      </c>
      <c r="H4252" s="6">
        <v>53.7891845703125</v>
      </c>
      <c r="I4252" s="6">
        <v>53.764202117919901</v>
      </c>
      <c r="J4252" s="6">
        <v>53.743343353271499</v>
      </c>
      <c r="K4252" s="6">
        <v>48.874950408935597</v>
      </c>
      <c r="L4252" s="6">
        <v>53.051483154296903</v>
      </c>
    </row>
    <row r="4253" spans="1:12" x14ac:dyDescent="0.25">
      <c r="A4253">
        <v>4123501</v>
      </c>
      <c r="B4253" t="str">
        <f t="shared" si="66"/>
        <v>SANTA HELENA, PR, Brasil</v>
      </c>
      <c r="C4253" s="4" t="str">
        <f>_xlfn.XLOOKUP(A4253,[1]!DadosGHD[CD_GEOCMU],[1]!DadosGHD[Região])</f>
        <v>SL</v>
      </c>
      <c r="D4253" s="4" t="str">
        <f>_xlfn.XLOOKUP(A4253,[1]!DadosGHD[CD_GEOCMU],[1]!DadosGHD[uf])</f>
        <v>PR</v>
      </c>
      <c r="E4253" s="5" t="str">
        <f>_xlfn.XLOOKUP(A4253,[1]!DadosGHD[CD_GEOCMU],[1]!DadosGHD[MUNICIPIO])</f>
        <v>SANTA HELENA</v>
      </c>
      <c r="F4253" s="6">
        <v>48.656398773193402</v>
      </c>
      <c r="G4253" s="6">
        <v>53.790531158447301</v>
      </c>
      <c r="H4253" s="6">
        <v>53.906852722167997</v>
      </c>
      <c r="I4253" s="6">
        <v>58.9073486328125</v>
      </c>
      <c r="J4253" s="6">
        <v>58.965633392333999</v>
      </c>
      <c r="K4253" s="6">
        <v>58.913749694824197</v>
      </c>
      <c r="L4253" s="6">
        <v>48.561561584472699</v>
      </c>
    </row>
    <row r="4254" spans="1:12" x14ac:dyDescent="0.25">
      <c r="A4254">
        <v>3533809</v>
      </c>
      <c r="B4254" t="str">
        <f t="shared" si="66"/>
        <v>OLEO, SP, Brasil</v>
      </c>
      <c r="C4254" s="4" t="str">
        <f>_xlfn.XLOOKUP(A4254,[1]!DadosGHD[CD_GEOCMU],[1]!DadosGHD[Região])</f>
        <v>SD</v>
      </c>
      <c r="D4254" s="4" t="str">
        <f>_xlfn.XLOOKUP(A4254,[1]!DadosGHD[CD_GEOCMU],[1]!DadosGHD[uf])</f>
        <v>SP</v>
      </c>
      <c r="E4254" s="5" t="str">
        <f>_xlfn.XLOOKUP(A4254,[1]!DadosGHD[CD_GEOCMU],[1]!DadosGHD[MUNICIPIO])</f>
        <v>OLEO</v>
      </c>
      <c r="F4254" s="6">
        <v>48.657188415527301</v>
      </c>
      <c r="G4254" s="6">
        <v>48.669727325439503</v>
      </c>
      <c r="H4254" s="6">
        <v>48.758205413818402</v>
      </c>
      <c r="I4254" s="6">
        <v>48.773395538330099</v>
      </c>
      <c r="J4254" s="6">
        <v>53.735538482666001</v>
      </c>
      <c r="K4254" s="6">
        <v>48.905910491943402</v>
      </c>
      <c r="L4254" s="6">
        <v>53.019359588623097</v>
      </c>
    </row>
    <row r="4255" spans="1:12" x14ac:dyDescent="0.25">
      <c r="A4255">
        <v>3119708</v>
      </c>
      <c r="B4255" t="str">
        <f t="shared" si="66"/>
        <v>CORONEL XAVIER CHAVES, MG, Brasil</v>
      </c>
      <c r="C4255" s="4" t="str">
        <f>_xlfn.XLOOKUP(A4255,[1]!DadosGHD[CD_GEOCMU],[1]!DadosGHD[Região])</f>
        <v>SD</v>
      </c>
      <c r="D4255" s="4" t="str">
        <f>_xlfn.XLOOKUP(A4255,[1]!DadosGHD[CD_GEOCMU],[1]!DadosGHD[uf])</f>
        <v>MG</v>
      </c>
      <c r="E4255" s="5" t="str">
        <f>_xlfn.XLOOKUP(A4255,[1]!DadosGHD[CD_GEOCMU],[1]!DadosGHD[MUNICIPIO])</f>
        <v>CORONEL XAVIER CHAVES</v>
      </c>
      <c r="F4255" s="6">
        <v>48.657283782958999</v>
      </c>
      <c r="G4255" s="6">
        <v>53.661212921142599</v>
      </c>
      <c r="H4255" s="6">
        <v>53.861057281494098</v>
      </c>
      <c r="I4255" s="6">
        <v>53.852664947509801</v>
      </c>
      <c r="J4255" s="6">
        <v>48.801647186279297</v>
      </c>
      <c r="K4255" s="6">
        <v>48.891071319580099</v>
      </c>
      <c r="L4255" s="6">
        <v>48.509616851806598</v>
      </c>
    </row>
    <row r="4256" spans="1:12" x14ac:dyDescent="0.25">
      <c r="A4256">
        <v>3556602</v>
      </c>
      <c r="B4256" t="str">
        <f t="shared" si="66"/>
        <v>VERA CRUZ, SP, Brasil</v>
      </c>
      <c r="C4256" s="4" t="str">
        <f>_xlfn.XLOOKUP(A4256,[1]!DadosGHD[CD_GEOCMU],[1]!DadosGHD[Região])</f>
        <v>SD</v>
      </c>
      <c r="D4256" s="4" t="str">
        <f>_xlfn.XLOOKUP(A4256,[1]!DadosGHD[CD_GEOCMU],[1]!DadosGHD[uf])</f>
        <v>SP</v>
      </c>
      <c r="E4256" s="5" t="str">
        <f>_xlfn.XLOOKUP(A4256,[1]!DadosGHD[CD_GEOCMU],[1]!DadosGHD[MUNICIPIO])</f>
        <v>VERA CRUZ</v>
      </c>
      <c r="F4256" s="6">
        <v>48.657325744628899</v>
      </c>
      <c r="G4256" s="6">
        <v>48.765712738037102</v>
      </c>
      <c r="H4256" s="6">
        <v>48.823863983154297</v>
      </c>
      <c r="I4256" s="6">
        <v>48.802902221679702</v>
      </c>
      <c r="J4256" s="6">
        <v>48.830886840820298</v>
      </c>
      <c r="K4256" s="6">
        <v>48.843772888183601</v>
      </c>
      <c r="L4256" s="6">
        <v>44.077774047851598</v>
      </c>
    </row>
    <row r="4257" spans="1:12" x14ac:dyDescent="0.25">
      <c r="A4257">
        <v>4215000</v>
      </c>
      <c r="B4257" t="str">
        <f t="shared" si="66"/>
        <v>RIO NEGRINHO, SC, Brasil</v>
      </c>
      <c r="C4257" s="4" t="str">
        <f>_xlfn.XLOOKUP(A4257,[1]!DadosGHD[CD_GEOCMU],[1]!DadosGHD[Região])</f>
        <v>SL</v>
      </c>
      <c r="D4257" s="4" t="str">
        <f>_xlfn.XLOOKUP(A4257,[1]!DadosGHD[CD_GEOCMU],[1]!DadosGHD[uf])</f>
        <v>SC</v>
      </c>
      <c r="E4257" s="5" t="str">
        <f>_xlfn.XLOOKUP(A4257,[1]!DadosGHD[CD_GEOCMU],[1]!DadosGHD[MUNICIPIO])</f>
        <v>RIO NEGRINHO</v>
      </c>
      <c r="F4257" s="6">
        <v>48.657646179199197</v>
      </c>
      <c r="G4257" s="6">
        <v>48.739902496337898</v>
      </c>
      <c r="H4257" s="6">
        <v>48.809043884277301</v>
      </c>
      <c r="I4257" s="6">
        <v>48.693454742431598</v>
      </c>
      <c r="J4257" s="6">
        <v>48.775482177734403</v>
      </c>
      <c r="K4257" s="6">
        <v>48.843490600585902</v>
      </c>
      <c r="L4257" s="6">
        <v>53.010402679443402</v>
      </c>
    </row>
    <row r="4258" spans="1:12" x14ac:dyDescent="0.25">
      <c r="A4258">
        <v>3536604</v>
      </c>
      <c r="B4258" t="str">
        <f t="shared" si="66"/>
        <v>PAULO DE FARIA, SP, Brasil</v>
      </c>
      <c r="C4258" s="4" t="str">
        <f>_xlfn.XLOOKUP(A4258,[1]!DadosGHD[CD_GEOCMU],[1]!DadosGHD[Região])</f>
        <v>SD</v>
      </c>
      <c r="D4258" s="4" t="str">
        <f>_xlfn.XLOOKUP(A4258,[1]!DadosGHD[CD_GEOCMU],[1]!DadosGHD[uf])</f>
        <v>SP</v>
      </c>
      <c r="E4258" s="5" t="str">
        <f>_xlfn.XLOOKUP(A4258,[1]!DadosGHD[CD_GEOCMU],[1]!DadosGHD[MUNICIPIO])</f>
        <v>PAULO DE FARIA</v>
      </c>
      <c r="F4258" s="6">
        <v>48.657737731933601</v>
      </c>
      <c r="G4258" s="6">
        <v>48.757133483886697</v>
      </c>
      <c r="H4258" s="6">
        <v>53.780532836914098</v>
      </c>
      <c r="I4258" s="6">
        <v>53.726249694824197</v>
      </c>
      <c r="J4258" s="6">
        <v>48.806018829345703</v>
      </c>
      <c r="K4258" s="6">
        <v>48.8542671203613</v>
      </c>
      <c r="L4258" s="6">
        <v>39.5826416015625</v>
      </c>
    </row>
    <row r="4259" spans="1:12" x14ac:dyDescent="0.25">
      <c r="A4259">
        <v>1716505</v>
      </c>
      <c r="B4259" t="str">
        <f t="shared" si="66"/>
        <v>PEDRO AFONSO, TO, Brasil</v>
      </c>
      <c r="C4259" s="4" t="str">
        <f>_xlfn.XLOOKUP(A4259,[1]!DadosGHD[CD_GEOCMU],[1]!DadosGHD[Região])</f>
        <v>NO</v>
      </c>
      <c r="D4259" s="4" t="str">
        <f>_xlfn.XLOOKUP(A4259,[1]!DadosGHD[CD_GEOCMU],[1]!DadosGHD[uf])</f>
        <v>TO</v>
      </c>
      <c r="E4259" s="5" t="str">
        <f>_xlfn.XLOOKUP(A4259,[1]!DadosGHD[CD_GEOCMU],[1]!DadosGHD[MUNICIPIO])</f>
        <v>PEDRO AFONSO</v>
      </c>
      <c r="F4259" s="6">
        <v>48.657783508300803</v>
      </c>
      <c r="G4259" s="6">
        <v>53.653995513916001</v>
      </c>
      <c r="H4259" s="6">
        <v>48.8609428405762</v>
      </c>
      <c r="I4259" s="6">
        <v>48.804378509521499</v>
      </c>
      <c r="J4259" s="6">
        <v>48.800746917724602</v>
      </c>
      <c r="K4259" s="6">
        <v>48.869232177734403</v>
      </c>
      <c r="L4259" s="6">
        <v>39.591453552246101</v>
      </c>
    </row>
    <row r="4260" spans="1:12" x14ac:dyDescent="0.25">
      <c r="A4260">
        <v>4214607</v>
      </c>
      <c r="B4260" t="str">
        <f t="shared" si="66"/>
        <v>RIO DO OESTE, SC, Brasil</v>
      </c>
      <c r="C4260" s="4" t="str">
        <f>_xlfn.XLOOKUP(A4260,[1]!DadosGHD[CD_GEOCMU],[1]!DadosGHD[Região])</f>
        <v>SL</v>
      </c>
      <c r="D4260" s="4" t="str">
        <f>_xlfn.XLOOKUP(A4260,[1]!DadosGHD[CD_GEOCMU],[1]!DadosGHD[uf])</f>
        <v>SC</v>
      </c>
      <c r="E4260" s="5" t="str">
        <f>_xlfn.XLOOKUP(A4260,[1]!DadosGHD[CD_GEOCMU],[1]!DadosGHD[MUNICIPIO])</f>
        <v>RIO DO OESTE</v>
      </c>
      <c r="F4260" s="6">
        <v>48.657962799072301</v>
      </c>
      <c r="G4260" s="6">
        <v>53.697574615478501</v>
      </c>
      <c r="H4260" s="6">
        <v>53.843479156494098</v>
      </c>
      <c r="I4260" s="6">
        <v>53.860912322998097</v>
      </c>
      <c r="J4260" s="6">
        <v>53.807723999023402</v>
      </c>
      <c r="K4260" s="6">
        <v>58.910083770752003</v>
      </c>
      <c r="L4260" s="6">
        <v>48.510807037353501</v>
      </c>
    </row>
    <row r="4261" spans="1:12" x14ac:dyDescent="0.25">
      <c r="A4261">
        <v>3532157</v>
      </c>
      <c r="B4261" t="str">
        <f t="shared" si="66"/>
        <v>NANTES, SP, Brasil</v>
      </c>
      <c r="C4261" s="4" t="str">
        <f>_xlfn.XLOOKUP(A4261,[1]!DadosGHD[CD_GEOCMU],[1]!DadosGHD[Região])</f>
        <v>SD</v>
      </c>
      <c r="D4261" s="4" t="str">
        <f>_xlfn.XLOOKUP(A4261,[1]!DadosGHD[CD_GEOCMU],[1]!DadosGHD[uf])</f>
        <v>SP</v>
      </c>
      <c r="E4261" s="5" t="str">
        <f>_xlfn.XLOOKUP(A4261,[1]!DadosGHD[CD_GEOCMU],[1]!DadosGHD[MUNICIPIO])</f>
        <v>NANTES</v>
      </c>
      <c r="F4261" s="6">
        <v>48.657989501953097</v>
      </c>
      <c r="G4261" s="6">
        <v>43.753238677978501</v>
      </c>
      <c r="H4261" s="6">
        <v>43.810104370117202</v>
      </c>
      <c r="I4261" s="6">
        <v>43.7379150390625</v>
      </c>
      <c r="J4261" s="6">
        <v>43.723361968994098</v>
      </c>
      <c r="K4261" s="6">
        <v>43.758880615234403</v>
      </c>
      <c r="L4261" s="6">
        <v>39.557277679443402</v>
      </c>
    </row>
    <row r="4262" spans="1:12" x14ac:dyDescent="0.25">
      <c r="A4262">
        <v>1718402</v>
      </c>
      <c r="B4262" t="str">
        <f t="shared" si="66"/>
        <v>PRESIDENTE KENNEDY, TO, Brasil</v>
      </c>
      <c r="C4262" s="4" t="str">
        <f>_xlfn.XLOOKUP(A4262,[1]!DadosGHD[CD_GEOCMU],[1]!DadosGHD[Região])</f>
        <v>NO</v>
      </c>
      <c r="D4262" s="4" t="str">
        <f>_xlfn.XLOOKUP(A4262,[1]!DadosGHD[CD_GEOCMU],[1]!DadosGHD[uf])</f>
        <v>TO</v>
      </c>
      <c r="E4262" s="5" t="str">
        <f>_xlfn.XLOOKUP(A4262,[1]!DadosGHD[CD_GEOCMU],[1]!DadosGHD[MUNICIPIO])</f>
        <v>PRESIDENTE KENNEDY</v>
      </c>
      <c r="F4262" s="6">
        <v>48.6583862304688</v>
      </c>
      <c r="G4262" s="6">
        <v>43.736705780029297</v>
      </c>
      <c r="H4262" s="6">
        <v>33.850181579589801</v>
      </c>
      <c r="I4262" s="6">
        <v>38.766910552978501</v>
      </c>
      <c r="J4262" s="6">
        <v>43.765968322753899</v>
      </c>
      <c r="K4262" s="6">
        <v>28.9686679840088</v>
      </c>
      <c r="L4262" s="6">
        <v>30.685991287231399</v>
      </c>
    </row>
    <row r="4263" spans="1:12" x14ac:dyDescent="0.25">
      <c r="A4263">
        <v>3162948</v>
      </c>
      <c r="B4263" t="str">
        <f t="shared" si="66"/>
        <v>SAO JOSE DA BARRA, MG, Brasil</v>
      </c>
      <c r="C4263" s="4" t="str">
        <f>_xlfn.XLOOKUP(A4263,[1]!DadosGHD[CD_GEOCMU],[1]!DadosGHD[Região])</f>
        <v>SD</v>
      </c>
      <c r="D4263" s="4" t="str">
        <f>_xlfn.XLOOKUP(A4263,[1]!DadosGHD[CD_GEOCMU],[1]!DadosGHD[uf])</f>
        <v>MG</v>
      </c>
      <c r="E4263" s="5" t="str">
        <f>_xlfn.XLOOKUP(A4263,[1]!DadosGHD[CD_GEOCMU],[1]!DadosGHD[MUNICIPIO])</f>
        <v>SAO JOSE DA BARRA</v>
      </c>
      <c r="F4263" s="6">
        <v>48.658805847167997</v>
      </c>
      <c r="G4263" s="6">
        <v>48.749385833740199</v>
      </c>
      <c r="H4263" s="6">
        <v>48.734626770019503</v>
      </c>
      <c r="I4263" s="6">
        <v>48.7678413391113</v>
      </c>
      <c r="J4263" s="6">
        <v>48.704998016357401</v>
      </c>
      <c r="K4263" s="6">
        <v>48.870235443115199</v>
      </c>
      <c r="L4263" s="6">
        <v>44.051094055175803</v>
      </c>
    </row>
    <row r="4264" spans="1:12" x14ac:dyDescent="0.25">
      <c r="A4264">
        <v>3152006</v>
      </c>
      <c r="B4264" t="str">
        <f t="shared" si="66"/>
        <v>POMPEU, MG, Brasil</v>
      </c>
      <c r="C4264" s="4" t="str">
        <f>_xlfn.XLOOKUP(A4264,[1]!DadosGHD[CD_GEOCMU],[1]!DadosGHD[Região])</f>
        <v>SD</v>
      </c>
      <c r="D4264" s="4" t="str">
        <f>_xlfn.XLOOKUP(A4264,[1]!DadosGHD[CD_GEOCMU],[1]!DadosGHD[uf])</f>
        <v>MG</v>
      </c>
      <c r="E4264" s="5" t="str">
        <f>_xlfn.XLOOKUP(A4264,[1]!DadosGHD[CD_GEOCMU],[1]!DadosGHD[MUNICIPIO])</f>
        <v>POMPEU</v>
      </c>
      <c r="F4264" s="6">
        <v>48.658908843994098</v>
      </c>
      <c r="G4264" s="6">
        <v>48.701362609863303</v>
      </c>
      <c r="H4264" s="6">
        <v>48.803844451904297</v>
      </c>
      <c r="I4264" s="6">
        <v>48.814853668212898</v>
      </c>
      <c r="J4264" s="6">
        <v>48.828659057617202</v>
      </c>
      <c r="K4264" s="6">
        <v>48.797042846679702</v>
      </c>
      <c r="L4264" s="6">
        <v>48.507232666015597</v>
      </c>
    </row>
    <row r="4265" spans="1:12" x14ac:dyDescent="0.25">
      <c r="A4265">
        <v>3104205</v>
      </c>
      <c r="B4265" t="str">
        <f t="shared" si="66"/>
        <v>ARCOS, MG, Brasil</v>
      </c>
      <c r="C4265" s="4" t="str">
        <f>_xlfn.XLOOKUP(A4265,[1]!DadosGHD[CD_GEOCMU],[1]!DadosGHD[Região])</f>
        <v>SD</v>
      </c>
      <c r="D4265" s="4" t="str">
        <f>_xlfn.XLOOKUP(A4265,[1]!DadosGHD[CD_GEOCMU],[1]!DadosGHD[uf])</f>
        <v>MG</v>
      </c>
      <c r="E4265" s="5" t="str">
        <f>_xlfn.XLOOKUP(A4265,[1]!DadosGHD[CD_GEOCMU],[1]!DadosGHD[MUNICIPIO])</f>
        <v>ARCOS</v>
      </c>
      <c r="F4265" s="6">
        <v>48.659297943115199</v>
      </c>
      <c r="G4265" s="6">
        <v>48.741073608398402</v>
      </c>
      <c r="H4265" s="6">
        <v>48.820400238037102</v>
      </c>
      <c r="I4265" s="6">
        <v>48.797412872314503</v>
      </c>
      <c r="J4265" s="6">
        <v>48.787075042724602</v>
      </c>
      <c r="K4265" s="6">
        <v>48.827690124511697</v>
      </c>
      <c r="L4265" s="6">
        <v>44.077056884765597</v>
      </c>
    </row>
    <row r="4266" spans="1:12" x14ac:dyDescent="0.25">
      <c r="A4266">
        <v>3122405</v>
      </c>
      <c r="B4266" t="str">
        <f t="shared" si="66"/>
        <v>DIVISA NOVA, MG, Brasil</v>
      </c>
      <c r="C4266" s="4" t="str">
        <f>_xlfn.XLOOKUP(A4266,[1]!DadosGHD[CD_GEOCMU],[1]!DadosGHD[Região])</f>
        <v>SD</v>
      </c>
      <c r="D4266" s="4" t="str">
        <f>_xlfn.XLOOKUP(A4266,[1]!DadosGHD[CD_GEOCMU],[1]!DadosGHD[uf])</f>
        <v>MG</v>
      </c>
      <c r="E4266" s="5" t="str">
        <f>_xlfn.XLOOKUP(A4266,[1]!DadosGHD[CD_GEOCMU],[1]!DadosGHD[MUNICIPIO])</f>
        <v>DIVISA NOVA</v>
      </c>
      <c r="F4266" s="6">
        <v>48.659683227539098</v>
      </c>
      <c r="G4266" s="6">
        <v>48.761734008789098</v>
      </c>
      <c r="H4266" s="6">
        <v>53.752769470214801</v>
      </c>
      <c r="I4266" s="6">
        <v>53.797012329101598</v>
      </c>
      <c r="J4266" s="6">
        <v>53.815540313720703</v>
      </c>
      <c r="K4266" s="6">
        <v>53.8578910827637</v>
      </c>
      <c r="L4266" s="6">
        <v>53.033882141113303</v>
      </c>
    </row>
    <row r="4267" spans="1:12" x14ac:dyDescent="0.25">
      <c r="A4267">
        <v>5008404</v>
      </c>
      <c r="B4267" t="str">
        <f t="shared" si="66"/>
        <v>VICENTINA, MS, Brasil</v>
      </c>
      <c r="C4267" s="4" t="str">
        <f>_xlfn.XLOOKUP(A4267,[1]!DadosGHD[CD_GEOCMU],[1]!DadosGHD[Região])</f>
        <v>CO</v>
      </c>
      <c r="D4267" s="4" t="str">
        <f>_xlfn.XLOOKUP(A4267,[1]!DadosGHD[CD_GEOCMU],[1]!DadosGHD[uf])</f>
        <v>MS</v>
      </c>
      <c r="E4267" s="5" t="str">
        <f>_xlfn.XLOOKUP(A4267,[1]!DadosGHD[CD_GEOCMU],[1]!DadosGHD[MUNICIPIO])</f>
        <v>VICENTINA</v>
      </c>
      <c r="F4267" s="6">
        <v>48.659740447998097</v>
      </c>
      <c r="G4267" s="6">
        <v>48.707183837890597</v>
      </c>
      <c r="H4267" s="6">
        <v>48.750911712646499</v>
      </c>
      <c r="I4267" s="6">
        <v>48.688072204589801</v>
      </c>
      <c r="J4267" s="6">
        <v>43.8057670593262</v>
      </c>
      <c r="K4267" s="6">
        <v>48.896282196044901</v>
      </c>
      <c r="L4267" s="6">
        <v>44.063159942627003</v>
      </c>
    </row>
    <row r="4268" spans="1:12" x14ac:dyDescent="0.25">
      <c r="A4268">
        <v>3139508</v>
      </c>
      <c r="B4268" t="str">
        <f t="shared" si="66"/>
        <v>MANHUMIRIM, MG, Brasil</v>
      </c>
      <c r="C4268" s="4" t="str">
        <f>_xlfn.XLOOKUP(A4268,[1]!DadosGHD[CD_GEOCMU],[1]!DadosGHD[Região])</f>
        <v>SD</v>
      </c>
      <c r="D4268" s="4" t="str">
        <f>_xlfn.XLOOKUP(A4268,[1]!DadosGHD[CD_GEOCMU],[1]!DadosGHD[uf])</f>
        <v>MG</v>
      </c>
      <c r="E4268" s="5" t="str">
        <f>_xlfn.XLOOKUP(A4268,[1]!DadosGHD[CD_GEOCMU],[1]!DadosGHD[MUNICIPIO])</f>
        <v>MANHUMIRIM</v>
      </c>
      <c r="F4268" s="6">
        <v>48.6598930358887</v>
      </c>
      <c r="G4268" s="6">
        <v>48.687999725341797</v>
      </c>
      <c r="H4268" s="6">
        <v>48.727348327636697</v>
      </c>
      <c r="I4268" s="6">
        <v>48.702011108398402</v>
      </c>
      <c r="J4268" s="6">
        <v>53.744915008544901</v>
      </c>
      <c r="K4268" s="6">
        <v>48.903976440429702</v>
      </c>
      <c r="L4268" s="6">
        <v>48.524681091308601</v>
      </c>
    </row>
    <row r="4269" spans="1:12" x14ac:dyDescent="0.25">
      <c r="A4269">
        <v>4306056</v>
      </c>
      <c r="B4269" t="str">
        <f t="shared" si="66"/>
        <v>CRISTAL, RS, Brasil</v>
      </c>
      <c r="C4269" s="4" t="str">
        <f>_xlfn.XLOOKUP(A4269,[1]!DadosGHD[CD_GEOCMU],[1]!DadosGHD[Região])</f>
        <v>SL</v>
      </c>
      <c r="D4269" s="4" t="str">
        <f>_xlfn.XLOOKUP(A4269,[1]!DadosGHD[CD_GEOCMU],[1]!DadosGHD[uf])</f>
        <v>RS</v>
      </c>
      <c r="E4269" s="5" t="str">
        <f>_xlfn.XLOOKUP(A4269,[1]!DadosGHD[CD_GEOCMU],[1]!DadosGHD[MUNICIPIO])</f>
        <v>CRISTAL</v>
      </c>
      <c r="F4269" s="6">
        <v>48.660007476806598</v>
      </c>
      <c r="G4269" s="6">
        <v>48.755626678466797</v>
      </c>
      <c r="H4269" s="6">
        <v>48.833660125732401</v>
      </c>
      <c r="I4269" s="6">
        <v>48.768089294433601</v>
      </c>
      <c r="J4269" s="6">
        <v>48.7675170898438</v>
      </c>
      <c r="K4269" s="6">
        <v>53.831409454345703</v>
      </c>
      <c r="L4269" s="6">
        <v>48.558277130127003</v>
      </c>
    </row>
    <row r="4270" spans="1:12" x14ac:dyDescent="0.25">
      <c r="A4270">
        <v>4209854</v>
      </c>
      <c r="B4270" t="str">
        <f t="shared" si="66"/>
        <v>LINDOIA DO SUL, SC, Brasil</v>
      </c>
      <c r="C4270" s="4" t="str">
        <f>_xlfn.XLOOKUP(A4270,[1]!DadosGHD[CD_GEOCMU],[1]!DadosGHD[Região])</f>
        <v>SL</v>
      </c>
      <c r="D4270" s="4" t="str">
        <f>_xlfn.XLOOKUP(A4270,[1]!DadosGHD[CD_GEOCMU],[1]!DadosGHD[uf])</f>
        <v>SC</v>
      </c>
      <c r="E4270" s="5" t="str">
        <f>_xlfn.XLOOKUP(A4270,[1]!DadosGHD[CD_GEOCMU],[1]!DadosGHD[MUNICIPIO])</f>
        <v>LINDOIA DO SUL</v>
      </c>
      <c r="F4270" s="6">
        <v>48.6600952148438</v>
      </c>
      <c r="G4270" s="6">
        <v>48.711822509765597</v>
      </c>
      <c r="H4270" s="6">
        <v>48.762241363525398</v>
      </c>
      <c r="I4270" s="6">
        <v>43.711097717285199</v>
      </c>
      <c r="J4270" s="6">
        <v>48.7796821594238</v>
      </c>
      <c r="K4270" s="6">
        <v>59.001644134521499</v>
      </c>
      <c r="L4270" s="6">
        <v>57.551292419433601</v>
      </c>
    </row>
    <row r="4271" spans="1:12" x14ac:dyDescent="0.25">
      <c r="A4271">
        <v>3552551</v>
      </c>
      <c r="B4271" t="str">
        <f t="shared" si="66"/>
        <v>SUZANAPOLIS, SP, Brasil</v>
      </c>
      <c r="C4271" s="4" t="str">
        <f>_xlfn.XLOOKUP(A4271,[1]!DadosGHD[CD_GEOCMU],[1]!DadosGHD[Região])</f>
        <v>SD</v>
      </c>
      <c r="D4271" s="4" t="str">
        <f>_xlfn.XLOOKUP(A4271,[1]!DadosGHD[CD_GEOCMU],[1]!DadosGHD[uf])</f>
        <v>SP</v>
      </c>
      <c r="E4271" s="5" t="str">
        <f>_xlfn.XLOOKUP(A4271,[1]!DadosGHD[CD_GEOCMU],[1]!DadosGHD[MUNICIPIO])</f>
        <v>SUZANAPOLIS</v>
      </c>
      <c r="F4271" s="6">
        <v>48.660457611083999</v>
      </c>
      <c r="G4271" s="6">
        <v>48.659214019775398</v>
      </c>
      <c r="H4271" s="6">
        <v>53.7581596374512</v>
      </c>
      <c r="I4271" s="6">
        <v>48.7166938781738</v>
      </c>
      <c r="J4271" s="6">
        <v>48.7110404968262</v>
      </c>
      <c r="K4271" s="6">
        <v>48.821830749511697</v>
      </c>
      <c r="L4271" s="6">
        <v>35.138736724853501</v>
      </c>
    </row>
    <row r="4272" spans="1:12" x14ac:dyDescent="0.25">
      <c r="A4272">
        <v>3541901</v>
      </c>
      <c r="B4272" t="str">
        <f t="shared" si="66"/>
        <v>QUELUZ, SP, Brasil</v>
      </c>
      <c r="C4272" s="4" t="str">
        <f>_xlfn.XLOOKUP(A4272,[1]!DadosGHD[CD_GEOCMU],[1]!DadosGHD[Região])</f>
        <v>SD</v>
      </c>
      <c r="D4272" s="4" t="str">
        <f>_xlfn.XLOOKUP(A4272,[1]!DadosGHD[CD_GEOCMU],[1]!DadosGHD[uf])</f>
        <v>SP</v>
      </c>
      <c r="E4272" s="5" t="str">
        <f>_xlfn.XLOOKUP(A4272,[1]!DadosGHD[CD_GEOCMU],[1]!DadosGHD[MUNICIPIO])</f>
        <v>QUELUZ</v>
      </c>
      <c r="F4272" s="6">
        <v>48.660633087158203</v>
      </c>
      <c r="G4272" s="6">
        <v>43.750530242919901</v>
      </c>
      <c r="H4272" s="6">
        <v>43.744968414306598</v>
      </c>
      <c r="I4272" s="6">
        <v>38.798954010009801</v>
      </c>
      <c r="J4272" s="6">
        <v>38.823005676269503</v>
      </c>
      <c r="K4272" s="6">
        <v>38.815860748291001</v>
      </c>
      <c r="L4272" s="6">
        <v>39.577430725097699</v>
      </c>
    </row>
    <row r="4273" spans="1:12" x14ac:dyDescent="0.25">
      <c r="A4273">
        <v>1100064</v>
      </c>
      <c r="B4273" t="str">
        <f t="shared" si="66"/>
        <v>COLORADO DO OESTE, RO, Brasil</v>
      </c>
      <c r="C4273" s="4" t="str">
        <f>_xlfn.XLOOKUP(A4273,[1]!DadosGHD[CD_GEOCMU],[1]!DadosGHD[Região])</f>
        <v>NO</v>
      </c>
      <c r="D4273" s="4" t="str">
        <f>_xlfn.XLOOKUP(A4273,[1]!DadosGHD[CD_GEOCMU],[1]!DadosGHD[uf])</f>
        <v>RO</v>
      </c>
      <c r="E4273" s="5" t="str">
        <f>_xlfn.XLOOKUP(A4273,[1]!DadosGHD[CD_GEOCMU],[1]!DadosGHD[MUNICIPIO])</f>
        <v>COLORADO DO OESTE</v>
      </c>
      <c r="F4273" s="6">
        <v>48.660682678222699</v>
      </c>
      <c r="G4273" s="6">
        <v>53.678596496582003</v>
      </c>
      <c r="H4273" s="6">
        <v>53.850212097167997</v>
      </c>
      <c r="I4273" s="6">
        <v>58.793869018554702</v>
      </c>
      <c r="J4273" s="6">
        <v>53.818897247314503</v>
      </c>
      <c r="K4273" s="6">
        <v>53.924491882324197</v>
      </c>
      <c r="L4273" s="6">
        <v>44.024826049804702</v>
      </c>
    </row>
    <row r="4274" spans="1:12" x14ac:dyDescent="0.25">
      <c r="A4274">
        <v>4120804</v>
      </c>
      <c r="B4274" t="str">
        <f t="shared" si="66"/>
        <v>QUATRO BARRAS, PR, Brasil</v>
      </c>
      <c r="C4274" s="4" t="str">
        <f>_xlfn.XLOOKUP(A4274,[1]!DadosGHD[CD_GEOCMU],[1]!DadosGHD[Região])</f>
        <v>SL</v>
      </c>
      <c r="D4274" s="4" t="str">
        <f>_xlfn.XLOOKUP(A4274,[1]!DadosGHD[CD_GEOCMU],[1]!DadosGHD[uf])</f>
        <v>PR</v>
      </c>
      <c r="E4274" s="5" t="str">
        <f>_xlfn.XLOOKUP(A4274,[1]!DadosGHD[CD_GEOCMU],[1]!DadosGHD[MUNICIPIO])</f>
        <v>QUATRO BARRAS</v>
      </c>
      <c r="F4274" s="6">
        <v>48.660701751708999</v>
      </c>
      <c r="G4274" s="6">
        <v>48.714870452880902</v>
      </c>
      <c r="H4274" s="6">
        <v>48.760398864746101</v>
      </c>
      <c r="I4274" s="6">
        <v>48.680576324462898</v>
      </c>
      <c r="J4274" s="6">
        <v>43.7793159484863</v>
      </c>
      <c r="K4274" s="6">
        <v>43.774448394775398</v>
      </c>
      <c r="L4274" s="6">
        <v>39.558200836181598</v>
      </c>
    </row>
    <row r="4275" spans="1:12" x14ac:dyDescent="0.25">
      <c r="A4275">
        <v>3552502</v>
      </c>
      <c r="B4275" t="str">
        <f t="shared" si="66"/>
        <v>SUZANO, SP, Brasil</v>
      </c>
      <c r="C4275" s="4" t="str">
        <f>_xlfn.XLOOKUP(A4275,[1]!DadosGHD[CD_GEOCMU],[1]!DadosGHD[Região])</f>
        <v>SD</v>
      </c>
      <c r="D4275" s="4" t="str">
        <f>_xlfn.XLOOKUP(A4275,[1]!DadosGHD[CD_GEOCMU],[1]!DadosGHD[uf])</f>
        <v>SP</v>
      </c>
      <c r="E4275" s="5" t="str">
        <f>_xlfn.XLOOKUP(A4275,[1]!DadosGHD[CD_GEOCMU],[1]!DadosGHD[MUNICIPIO])</f>
        <v>SUZANO</v>
      </c>
      <c r="F4275" s="6">
        <v>48.660877227783203</v>
      </c>
      <c r="G4275" s="6">
        <v>48.726016998291001</v>
      </c>
      <c r="H4275" s="6">
        <v>48.735557556152301</v>
      </c>
      <c r="I4275" s="6">
        <v>48.697338104248097</v>
      </c>
      <c r="J4275" s="6">
        <v>43.821002960205099</v>
      </c>
      <c r="K4275" s="6">
        <v>43.858570098877003</v>
      </c>
      <c r="L4275" s="6">
        <v>44.025146484375</v>
      </c>
    </row>
    <row r="4276" spans="1:12" x14ac:dyDescent="0.25">
      <c r="A4276">
        <v>4312302</v>
      </c>
      <c r="B4276" t="str">
        <f t="shared" si="66"/>
        <v>MIRAGUAI, RS, Brasil</v>
      </c>
      <c r="C4276" s="4" t="str">
        <f>_xlfn.XLOOKUP(A4276,[1]!DadosGHD[CD_GEOCMU],[1]!DadosGHD[Região])</f>
        <v>SL</v>
      </c>
      <c r="D4276" s="4" t="str">
        <f>_xlfn.XLOOKUP(A4276,[1]!DadosGHD[CD_GEOCMU],[1]!DadosGHD[uf])</f>
        <v>RS</v>
      </c>
      <c r="E4276" s="5" t="str">
        <f>_xlfn.XLOOKUP(A4276,[1]!DadosGHD[CD_GEOCMU],[1]!DadosGHD[MUNICIPIO])</f>
        <v>MIRAGUAI</v>
      </c>
      <c r="F4276" s="6">
        <v>48.661033630371101</v>
      </c>
      <c r="G4276" s="6">
        <v>53.736297607421903</v>
      </c>
      <c r="H4276" s="6">
        <v>53.855533599853501</v>
      </c>
      <c r="I4276" s="6">
        <v>58.819328308105497</v>
      </c>
      <c r="J4276" s="6">
        <v>58.9349365234375</v>
      </c>
      <c r="K4276" s="6">
        <v>53.961231231689503</v>
      </c>
      <c r="L4276" s="6">
        <v>53.063362121582003</v>
      </c>
    </row>
    <row r="4277" spans="1:12" x14ac:dyDescent="0.25">
      <c r="A4277">
        <v>3165560</v>
      </c>
      <c r="B4277" t="str">
        <f t="shared" si="66"/>
        <v>SEM-PEIXE, MG, Brasil</v>
      </c>
      <c r="C4277" s="4" t="str">
        <f>_xlfn.XLOOKUP(A4277,[1]!DadosGHD[CD_GEOCMU],[1]!DadosGHD[Região])</f>
        <v>SD</v>
      </c>
      <c r="D4277" s="4" t="str">
        <f>_xlfn.XLOOKUP(A4277,[1]!DadosGHD[CD_GEOCMU],[1]!DadosGHD[uf])</f>
        <v>MG</v>
      </c>
      <c r="E4277" s="5" t="str">
        <f>_xlfn.XLOOKUP(A4277,[1]!DadosGHD[CD_GEOCMU],[1]!DadosGHD[MUNICIPIO])</f>
        <v>SEM-PEIXE</v>
      </c>
      <c r="F4277" s="6">
        <v>48.661643981933601</v>
      </c>
      <c r="G4277" s="6">
        <v>48.670963287353501</v>
      </c>
      <c r="H4277" s="6">
        <v>48.737655639648402</v>
      </c>
      <c r="I4277" s="6">
        <v>48.6914672851563</v>
      </c>
      <c r="J4277" s="6">
        <v>48.698875427246101</v>
      </c>
      <c r="K4277" s="6">
        <v>43.821353912353501</v>
      </c>
      <c r="L4277" s="6">
        <v>39.561191558837898</v>
      </c>
    </row>
    <row r="4278" spans="1:12" x14ac:dyDescent="0.25">
      <c r="A4278">
        <v>4217709</v>
      </c>
      <c r="B4278" t="str">
        <f t="shared" si="66"/>
        <v>SOMBRIO, SC, Brasil</v>
      </c>
      <c r="C4278" s="4" t="str">
        <f>_xlfn.XLOOKUP(A4278,[1]!DadosGHD[CD_GEOCMU],[1]!DadosGHD[Região])</f>
        <v>SL</v>
      </c>
      <c r="D4278" s="4" t="str">
        <f>_xlfn.XLOOKUP(A4278,[1]!DadosGHD[CD_GEOCMU],[1]!DadosGHD[uf])</f>
        <v>SC</v>
      </c>
      <c r="E4278" s="5" t="str">
        <f>_xlfn.XLOOKUP(A4278,[1]!DadosGHD[CD_GEOCMU],[1]!DadosGHD[MUNICIPIO])</f>
        <v>SOMBRIO</v>
      </c>
      <c r="F4278" s="6">
        <v>48.662014007568402</v>
      </c>
      <c r="G4278" s="6">
        <v>48.730148315429702</v>
      </c>
      <c r="H4278" s="6">
        <v>48.829833984375</v>
      </c>
      <c r="I4278" s="6">
        <v>48.784751892089801</v>
      </c>
      <c r="J4278" s="6">
        <v>48.760269165039098</v>
      </c>
      <c r="K4278" s="6">
        <v>48.827915191650398</v>
      </c>
      <c r="L4278" s="6">
        <v>35.1239204406738</v>
      </c>
    </row>
    <row r="4279" spans="1:12" x14ac:dyDescent="0.25">
      <c r="A4279">
        <v>3552601</v>
      </c>
      <c r="B4279" t="str">
        <f t="shared" si="66"/>
        <v>TABAPUA, SP, Brasil</v>
      </c>
      <c r="C4279" s="4" t="str">
        <f>_xlfn.XLOOKUP(A4279,[1]!DadosGHD[CD_GEOCMU],[1]!DadosGHD[Região])</f>
        <v>SD</v>
      </c>
      <c r="D4279" s="4" t="str">
        <f>_xlfn.XLOOKUP(A4279,[1]!DadosGHD[CD_GEOCMU],[1]!DadosGHD[uf])</f>
        <v>SP</v>
      </c>
      <c r="E4279" s="5" t="str">
        <f>_xlfn.XLOOKUP(A4279,[1]!DadosGHD[CD_GEOCMU],[1]!DadosGHD[MUNICIPIO])</f>
        <v>TABAPUA</v>
      </c>
      <c r="F4279" s="6">
        <v>48.662223815917997</v>
      </c>
      <c r="G4279" s="6">
        <v>48.685596466064503</v>
      </c>
      <c r="H4279" s="6">
        <v>43.828338623046903</v>
      </c>
      <c r="I4279" s="6">
        <v>43.717811584472699</v>
      </c>
      <c r="J4279" s="6">
        <v>43.702743530273402</v>
      </c>
      <c r="K4279" s="6">
        <v>38.8675346374512</v>
      </c>
      <c r="L4279" s="6">
        <v>35.133186340332003</v>
      </c>
    </row>
    <row r="4280" spans="1:12" x14ac:dyDescent="0.25">
      <c r="A4280">
        <v>4311502</v>
      </c>
      <c r="B4280" t="str">
        <f t="shared" si="66"/>
        <v>LAVRAS DO SUL, RS, Brasil</v>
      </c>
      <c r="C4280" s="4" t="str">
        <f>_xlfn.XLOOKUP(A4280,[1]!DadosGHD[CD_GEOCMU],[1]!DadosGHD[Região])</f>
        <v>SL</v>
      </c>
      <c r="D4280" s="4" t="str">
        <f>_xlfn.XLOOKUP(A4280,[1]!DadosGHD[CD_GEOCMU],[1]!DadosGHD[uf])</f>
        <v>RS</v>
      </c>
      <c r="E4280" s="5" t="str">
        <f>_xlfn.XLOOKUP(A4280,[1]!DadosGHD[CD_GEOCMU],[1]!DadosGHD[MUNICIPIO])</f>
        <v>LAVRAS DO SUL</v>
      </c>
      <c r="F4280" s="6">
        <v>48.662460327148402</v>
      </c>
      <c r="G4280" s="6">
        <v>53.729156494140597</v>
      </c>
      <c r="H4280" s="6">
        <v>53.791122436523402</v>
      </c>
      <c r="I4280" s="6">
        <v>53.739467620849602</v>
      </c>
      <c r="J4280" s="6">
        <v>58.910560607910199</v>
      </c>
      <c r="K4280" s="6">
        <v>58.993400573730497</v>
      </c>
      <c r="L4280" s="6">
        <v>53.013957977294901</v>
      </c>
    </row>
    <row r="4281" spans="1:12" x14ac:dyDescent="0.25">
      <c r="A4281">
        <v>3203809</v>
      </c>
      <c r="B4281" t="str">
        <f t="shared" si="66"/>
        <v>MUQUI, ES, Brasil</v>
      </c>
      <c r="C4281" s="4" t="str">
        <f>_xlfn.XLOOKUP(A4281,[1]!DadosGHD[CD_GEOCMU],[1]!DadosGHD[Região])</f>
        <v>SD</v>
      </c>
      <c r="D4281" s="4" t="str">
        <f>_xlfn.XLOOKUP(A4281,[1]!DadosGHD[CD_GEOCMU],[1]!DadosGHD[uf])</f>
        <v>ES</v>
      </c>
      <c r="E4281" s="5" t="str">
        <f>_xlfn.XLOOKUP(A4281,[1]!DadosGHD[CD_GEOCMU],[1]!DadosGHD[MUNICIPIO])</f>
        <v>MUQUI</v>
      </c>
      <c r="F4281" s="6">
        <v>48.662887573242202</v>
      </c>
      <c r="G4281" s="6">
        <v>48.716812133789098</v>
      </c>
      <c r="H4281" s="6">
        <v>48.838802337646499</v>
      </c>
      <c r="I4281" s="6">
        <v>48.79296875</v>
      </c>
      <c r="J4281" s="6">
        <v>48.796436309814503</v>
      </c>
      <c r="K4281" s="6">
        <v>48.841560363769503</v>
      </c>
      <c r="L4281" s="6">
        <v>48.551956176757798</v>
      </c>
    </row>
    <row r="4282" spans="1:12" x14ac:dyDescent="0.25">
      <c r="A4282">
        <v>3153004</v>
      </c>
      <c r="B4282" t="str">
        <f t="shared" si="66"/>
        <v>PRATINHA, MG, Brasil</v>
      </c>
      <c r="C4282" s="4" t="str">
        <f>_xlfn.XLOOKUP(A4282,[1]!DadosGHD[CD_GEOCMU],[1]!DadosGHD[Região])</f>
        <v>SD</v>
      </c>
      <c r="D4282" s="4" t="str">
        <f>_xlfn.XLOOKUP(A4282,[1]!DadosGHD[CD_GEOCMU],[1]!DadosGHD[uf])</f>
        <v>MG</v>
      </c>
      <c r="E4282" s="5" t="str">
        <f>_xlfn.XLOOKUP(A4282,[1]!DadosGHD[CD_GEOCMU],[1]!DadosGHD[MUNICIPIO])</f>
        <v>PRATINHA</v>
      </c>
      <c r="F4282" s="6">
        <v>48.663002014160199</v>
      </c>
      <c r="G4282" s="6">
        <v>58.767833709716797</v>
      </c>
      <c r="H4282" s="6">
        <v>53.814441680908203</v>
      </c>
      <c r="I4282" s="6">
        <v>53.738960266113303</v>
      </c>
      <c r="J4282" s="6">
        <v>53.782257080078097</v>
      </c>
      <c r="K4282" s="6">
        <v>48.879016876220703</v>
      </c>
      <c r="L4282" s="6">
        <v>48.499031066894503</v>
      </c>
    </row>
    <row r="4283" spans="1:12" x14ac:dyDescent="0.25">
      <c r="A4283">
        <v>3303203</v>
      </c>
      <c r="B4283" t="str">
        <f t="shared" si="66"/>
        <v>NILOPOLIS, RJ, Brasil</v>
      </c>
      <c r="C4283" s="4" t="str">
        <f>_xlfn.XLOOKUP(A4283,[1]!DadosGHD[CD_GEOCMU],[1]!DadosGHD[Região])</f>
        <v>SD</v>
      </c>
      <c r="D4283" s="4" t="str">
        <f>_xlfn.XLOOKUP(A4283,[1]!DadosGHD[CD_GEOCMU],[1]!DadosGHD[uf])</f>
        <v>RJ</v>
      </c>
      <c r="E4283" s="5" t="str">
        <f>_xlfn.XLOOKUP(A4283,[1]!DadosGHD[CD_GEOCMU],[1]!DadosGHD[MUNICIPIO])</f>
        <v>NILOPOLIS</v>
      </c>
      <c r="F4283" s="6">
        <v>48.663013458252003</v>
      </c>
      <c r="G4283" s="6">
        <v>48.734371185302699</v>
      </c>
      <c r="H4283" s="6">
        <v>48.755168914794901</v>
      </c>
      <c r="I4283" s="6">
        <v>48.742214202880902</v>
      </c>
      <c r="J4283" s="6">
        <v>48.754154205322301</v>
      </c>
      <c r="K4283" s="6">
        <v>48.781795501708999</v>
      </c>
      <c r="L4283" s="6">
        <v>53.002925872802699</v>
      </c>
    </row>
    <row r="4284" spans="1:12" x14ac:dyDescent="0.25">
      <c r="A4284">
        <v>3524501</v>
      </c>
      <c r="B4284" t="str">
        <f t="shared" si="66"/>
        <v>JACI, SP, Brasil</v>
      </c>
      <c r="C4284" s="4" t="str">
        <f>_xlfn.XLOOKUP(A4284,[1]!DadosGHD[CD_GEOCMU],[1]!DadosGHD[Região])</f>
        <v>SD</v>
      </c>
      <c r="D4284" s="4" t="str">
        <f>_xlfn.XLOOKUP(A4284,[1]!DadosGHD[CD_GEOCMU],[1]!DadosGHD[uf])</f>
        <v>SP</v>
      </c>
      <c r="E4284" s="5" t="str">
        <f>_xlfn.XLOOKUP(A4284,[1]!DadosGHD[CD_GEOCMU],[1]!DadosGHD[MUNICIPIO])</f>
        <v>JACI</v>
      </c>
      <c r="F4284" s="6">
        <v>48.6632690429688</v>
      </c>
      <c r="G4284" s="6">
        <v>53.661014556884801</v>
      </c>
      <c r="H4284" s="6">
        <v>48.789958953857401</v>
      </c>
      <c r="I4284" s="6">
        <v>48.727672576904297</v>
      </c>
      <c r="J4284" s="6">
        <v>48.703990936279297</v>
      </c>
      <c r="K4284" s="6">
        <v>43.7860717773438</v>
      </c>
      <c r="L4284" s="6">
        <v>39.593574523925803</v>
      </c>
    </row>
    <row r="4285" spans="1:12" x14ac:dyDescent="0.25">
      <c r="A4285">
        <v>3114204</v>
      </c>
      <c r="B4285" t="str">
        <f t="shared" si="66"/>
        <v>CARMO DO CAJURU, MG, Brasil</v>
      </c>
      <c r="C4285" s="4" t="str">
        <f>_xlfn.XLOOKUP(A4285,[1]!DadosGHD[CD_GEOCMU],[1]!DadosGHD[Região])</f>
        <v>SD</v>
      </c>
      <c r="D4285" s="4" t="str">
        <f>_xlfn.XLOOKUP(A4285,[1]!DadosGHD[CD_GEOCMU],[1]!DadosGHD[uf])</f>
        <v>MG</v>
      </c>
      <c r="E4285" s="5" t="str">
        <f>_xlfn.XLOOKUP(A4285,[1]!DadosGHD[CD_GEOCMU],[1]!DadosGHD[MUNICIPIO])</f>
        <v>CARMO DO CAJURU</v>
      </c>
      <c r="F4285" s="6">
        <v>48.663482666015597</v>
      </c>
      <c r="G4285" s="6">
        <v>48.749908447265597</v>
      </c>
      <c r="H4285" s="6">
        <v>48.8149604797363</v>
      </c>
      <c r="I4285" s="6">
        <v>48.783638000488303</v>
      </c>
      <c r="J4285" s="6">
        <v>48.725547790527301</v>
      </c>
      <c r="K4285" s="6">
        <v>48.828628540039098</v>
      </c>
      <c r="L4285" s="6">
        <v>44.071201324462898</v>
      </c>
    </row>
    <row r="4286" spans="1:12" x14ac:dyDescent="0.25">
      <c r="A4286">
        <v>3162906</v>
      </c>
      <c r="B4286" t="str">
        <f t="shared" si="66"/>
        <v>SAO JOAO NEPOMUCENO, MG, Brasil</v>
      </c>
      <c r="C4286" s="4" t="str">
        <f>_xlfn.XLOOKUP(A4286,[1]!DadosGHD[CD_GEOCMU],[1]!DadosGHD[Região])</f>
        <v>SD</v>
      </c>
      <c r="D4286" s="4" t="str">
        <f>_xlfn.XLOOKUP(A4286,[1]!DadosGHD[CD_GEOCMU],[1]!DadosGHD[uf])</f>
        <v>MG</v>
      </c>
      <c r="E4286" s="5" t="str">
        <f>_xlfn.XLOOKUP(A4286,[1]!DadosGHD[CD_GEOCMU],[1]!DadosGHD[MUNICIPIO])</f>
        <v>SAO JOAO NEPOMUCENO</v>
      </c>
      <c r="F4286" s="6">
        <v>48.6635131835938</v>
      </c>
      <c r="G4286" s="6">
        <v>48.737224578857401</v>
      </c>
      <c r="H4286" s="6">
        <v>48.731746673583999</v>
      </c>
      <c r="I4286" s="6">
        <v>43.7878608703613</v>
      </c>
      <c r="J4286" s="6">
        <v>48.741336822509801</v>
      </c>
      <c r="K4286" s="6">
        <v>48.835826873779297</v>
      </c>
      <c r="L4286" s="6">
        <v>44.067775726318402</v>
      </c>
    </row>
    <row r="4287" spans="1:12" x14ac:dyDescent="0.25">
      <c r="A4287">
        <v>3139003</v>
      </c>
      <c r="B4287" t="str">
        <f t="shared" si="66"/>
        <v>MACHADO, MG, Brasil</v>
      </c>
      <c r="C4287" s="4" t="str">
        <f>_xlfn.XLOOKUP(A4287,[1]!DadosGHD[CD_GEOCMU],[1]!DadosGHD[Região])</f>
        <v>SD</v>
      </c>
      <c r="D4287" s="4" t="str">
        <f>_xlfn.XLOOKUP(A4287,[1]!DadosGHD[CD_GEOCMU],[1]!DadosGHD[uf])</f>
        <v>MG</v>
      </c>
      <c r="E4287" s="5" t="str">
        <f>_xlfn.XLOOKUP(A4287,[1]!DadosGHD[CD_GEOCMU],[1]!DadosGHD[MUNICIPIO])</f>
        <v>MACHADO</v>
      </c>
      <c r="F4287" s="6">
        <v>48.663707733154297</v>
      </c>
      <c r="G4287" s="6">
        <v>48.741420745849602</v>
      </c>
      <c r="H4287" s="6">
        <v>48.813865661621101</v>
      </c>
      <c r="I4287" s="6">
        <v>48.795299530029297</v>
      </c>
      <c r="J4287" s="6">
        <v>53.858528137207003</v>
      </c>
      <c r="K4287" s="6">
        <v>53.817844390869098</v>
      </c>
      <c r="L4287" s="6">
        <v>48.548168182373097</v>
      </c>
    </row>
    <row r="4288" spans="1:12" x14ac:dyDescent="0.25">
      <c r="A4288">
        <v>3521804</v>
      </c>
      <c r="B4288" t="str">
        <f t="shared" si="66"/>
        <v>ITAI, SP, Brasil</v>
      </c>
      <c r="C4288" s="4" t="str">
        <f>_xlfn.XLOOKUP(A4288,[1]!DadosGHD[CD_GEOCMU],[1]!DadosGHD[Região])</f>
        <v>SD</v>
      </c>
      <c r="D4288" s="4" t="str">
        <f>_xlfn.XLOOKUP(A4288,[1]!DadosGHD[CD_GEOCMU],[1]!DadosGHD[uf])</f>
        <v>SP</v>
      </c>
      <c r="E4288" s="5" t="str">
        <f>_xlfn.XLOOKUP(A4288,[1]!DadosGHD[CD_GEOCMU],[1]!DadosGHD[MUNICIPIO])</f>
        <v>ITAI</v>
      </c>
      <c r="F4288" s="6">
        <v>48.663738250732401</v>
      </c>
      <c r="G4288" s="6">
        <v>48.730438232421903</v>
      </c>
      <c r="H4288" s="6">
        <v>48.746379852294901</v>
      </c>
      <c r="I4288" s="6">
        <v>43.786178588867202</v>
      </c>
      <c r="J4288" s="6">
        <v>43.778709411621101</v>
      </c>
      <c r="K4288" s="6">
        <v>43.857364654541001</v>
      </c>
      <c r="L4288" s="6">
        <v>48.541969299316399</v>
      </c>
    </row>
    <row r="4289" spans="1:12" x14ac:dyDescent="0.25">
      <c r="A4289">
        <v>3535903</v>
      </c>
      <c r="B4289" t="str">
        <f t="shared" si="66"/>
        <v>PARANAPUA, SP, Brasil</v>
      </c>
      <c r="C4289" s="4" t="str">
        <f>_xlfn.XLOOKUP(A4289,[1]!DadosGHD[CD_GEOCMU],[1]!DadosGHD[Região])</f>
        <v>SD</v>
      </c>
      <c r="D4289" s="4" t="str">
        <f>_xlfn.XLOOKUP(A4289,[1]!DadosGHD[CD_GEOCMU],[1]!DadosGHD[uf])</f>
        <v>SP</v>
      </c>
      <c r="E4289" s="5" t="str">
        <f>_xlfn.XLOOKUP(A4289,[1]!DadosGHD[CD_GEOCMU],[1]!DadosGHD[MUNICIPIO])</f>
        <v>PARANAPUA</v>
      </c>
      <c r="F4289" s="6">
        <v>48.663749694824197</v>
      </c>
      <c r="G4289" s="6">
        <v>48.703681945800803</v>
      </c>
      <c r="H4289" s="6">
        <v>48.779735565185597</v>
      </c>
      <c r="I4289" s="6">
        <v>48.709724426269503</v>
      </c>
      <c r="J4289" s="6">
        <v>43.822727203369098</v>
      </c>
      <c r="K4289" s="6">
        <v>43.831546783447301</v>
      </c>
      <c r="L4289" s="6">
        <v>35.115840911865199</v>
      </c>
    </row>
    <row r="4290" spans="1:12" x14ac:dyDescent="0.25">
      <c r="A4290">
        <v>4209607</v>
      </c>
      <c r="B4290" t="str">
        <f t="shared" si="66"/>
        <v>LAURO MULLER, SC, Brasil</v>
      </c>
      <c r="C4290" s="4" t="str">
        <f>_xlfn.XLOOKUP(A4290,[1]!DadosGHD[CD_GEOCMU],[1]!DadosGHD[Região])</f>
        <v>SL</v>
      </c>
      <c r="D4290" s="4" t="str">
        <f>_xlfn.XLOOKUP(A4290,[1]!DadosGHD[CD_GEOCMU],[1]!DadosGHD[uf])</f>
        <v>SC</v>
      </c>
      <c r="E4290" s="5" t="str">
        <f>_xlfn.XLOOKUP(A4290,[1]!DadosGHD[CD_GEOCMU],[1]!DadosGHD[MUNICIPIO])</f>
        <v>LAURO MULLER</v>
      </c>
      <c r="F4290" s="6">
        <v>48.663944244384801</v>
      </c>
      <c r="G4290" s="6">
        <v>48.755565643310597</v>
      </c>
      <c r="H4290" s="6">
        <v>48.786502838134801</v>
      </c>
      <c r="I4290" s="6">
        <v>48.765701293945298</v>
      </c>
      <c r="J4290" s="6">
        <v>48.7261962890625</v>
      </c>
      <c r="K4290" s="6">
        <v>48.859622955322301</v>
      </c>
      <c r="L4290" s="6">
        <v>48.552276611328097</v>
      </c>
    </row>
    <row r="4291" spans="1:12" x14ac:dyDescent="0.25">
      <c r="A4291">
        <v>3149705</v>
      </c>
      <c r="B4291" t="str">
        <f t="shared" si="66"/>
        <v>PERDIGAO, MG, Brasil</v>
      </c>
      <c r="C4291" s="4" t="str">
        <f>_xlfn.XLOOKUP(A4291,[1]!DadosGHD[CD_GEOCMU],[1]!DadosGHD[Região])</f>
        <v>SD</v>
      </c>
      <c r="D4291" s="4" t="str">
        <f>_xlfn.XLOOKUP(A4291,[1]!DadosGHD[CD_GEOCMU],[1]!DadosGHD[uf])</f>
        <v>MG</v>
      </c>
      <c r="E4291" s="5" t="str">
        <f>_xlfn.XLOOKUP(A4291,[1]!DadosGHD[CD_GEOCMU],[1]!DadosGHD[MUNICIPIO])</f>
        <v>PERDIGAO</v>
      </c>
      <c r="F4291" s="6">
        <v>48.664276123046903</v>
      </c>
      <c r="G4291" s="6">
        <v>48.709281921386697</v>
      </c>
      <c r="H4291" s="6">
        <v>48.766082763671903</v>
      </c>
      <c r="I4291" s="6">
        <v>48.752033233642599</v>
      </c>
      <c r="J4291" s="6">
        <v>48.733482360839801</v>
      </c>
      <c r="K4291" s="6">
        <v>48.791042327880902</v>
      </c>
      <c r="L4291" s="6">
        <v>52.994773864746101</v>
      </c>
    </row>
    <row r="4292" spans="1:12" x14ac:dyDescent="0.25">
      <c r="A4292">
        <v>3137502</v>
      </c>
      <c r="B4292" t="str">
        <f t="shared" ref="B4292:B4355" si="67">_xlfn.CONCAT(E4292, ", ", D4292, ", Brasil")</f>
        <v>LAGOA FORMOSA, MG, Brasil</v>
      </c>
      <c r="C4292" s="4" t="str">
        <f>_xlfn.XLOOKUP(A4292,[1]!DadosGHD[CD_GEOCMU],[1]!DadosGHD[Região])</f>
        <v>SD</v>
      </c>
      <c r="D4292" s="4" t="str">
        <f>_xlfn.XLOOKUP(A4292,[1]!DadosGHD[CD_GEOCMU],[1]!DadosGHD[uf])</f>
        <v>MG</v>
      </c>
      <c r="E4292" s="5" t="str">
        <f>_xlfn.XLOOKUP(A4292,[1]!DadosGHD[CD_GEOCMU],[1]!DadosGHD[MUNICIPIO])</f>
        <v>LAGOA FORMOSA</v>
      </c>
      <c r="F4292" s="6">
        <v>48.664485931396499</v>
      </c>
      <c r="G4292" s="6">
        <v>48.7371635437012</v>
      </c>
      <c r="H4292" s="6">
        <v>53.851169586181598</v>
      </c>
      <c r="I4292" s="6">
        <v>58.825107574462898</v>
      </c>
      <c r="J4292" s="6">
        <v>58.944972991943402</v>
      </c>
      <c r="K4292" s="6">
        <v>59.094467163085902</v>
      </c>
      <c r="L4292" s="6">
        <v>57.495151519775398</v>
      </c>
    </row>
    <row r="4293" spans="1:12" x14ac:dyDescent="0.25">
      <c r="A4293">
        <v>4101705</v>
      </c>
      <c r="B4293" t="str">
        <f t="shared" si="67"/>
        <v>ARARUNA, PR, Brasil</v>
      </c>
      <c r="C4293" s="4" t="str">
        <f>_xlfn.XLOOKUP(A4293,[1]!DadosGHD[CD_GEOCMU],[1]!DadosGHD[Região])</f>
        <v>SL</v>
      </c>
      <c r="D4293" s="4" t="str">
        <f>_xlfn.XLOOKUP(A4293,[1]!DadosGHD[CD_GEOCMU],[1]!DadosGHD[uf])</f>
        <v>PR</v>
      </c>
      <c r="E4293" s="5" t="str">
        <f>_xlfn.XLOOKUP(A4293,[1]!DadosGHD[CD_GEOCMU],[1]!DadosGHD[MUNICIPIO])</f>
        <v>ARARUNA</v>
      </c>
      <c r="F4293" s="6">
        <v>48.664497375488303</v>
      </c>
      <c r="G4293" s="6">
        <v>48.753684997558601</v>
      </c>
      <c r="H4293" s="6">
        <v>48.837020874023402</v>
      </c>
      <c r="I4293" s="6">
        <v>53.774101257324197</v>
      </c>
      <c r="J4293" s="6">
        <v>53.762733459472699</v>
      </c>
      <c r="K4293" s="6">
        <v>53.823001861572301</v>
      </c>
      <c r="L4293" s="6">
        <v>48.511283874511697</v>
      </c>
    </row>
    <row r="4294" spans="1:12" x14ac:dyDescent="0.25">
      <c r="A4294">
        <v>3523602</v>
      </c>
      <c r="B4294" t="str">
        <f t="shared" si="67"/>
        <v>ITIRAPINA, SP, Brasil</v>
      </c>
      <c r="C4294" s="4" t="str">
        <f>_xlfn.XLOOKUP(A4294,[1]!DadosGHD[CD_GEOCMU],[1]!DadosGHD[Região])</f>
        <v>SD</v>
      </c>
      <c r="D4294" s="4" t="str">
        <f>_xlfn.XLOOKUP(A4294,[1]!DadosGHD[CD_GEOCMU],[1]!DadosGHD[uf])</f>
        <v>SP</v>
      </c>
      <c r="E4294" s="5" t="str">
        <f>_xlfn.XLOOKUP(A4294,[1]!DadosGHD[CD_GEOCMU],[1]!DadosGHD[MUNICIPIO])</f>
        <v>ITIRAPINA</v>
      </c>
      <c r="F4294" s="6">
        <v>48.664684295654297</v>
      </c>
      <c r="G4294" s="6">
        <v>48.738201141357401</v>
      </c>
      <c r="H4294" s="6">
        <v>53.836006164550803</v>
      </c>
      <c r="I4294" s="6">
        <v>48.743988037109403</v>
      </c>
      <c r="J4294" s="6">
        <v>48.736976623535199</v>
      </c>
      <c r="K4294" s="6">
        <v>43.877964019775398</v>
      </c>
      <c r="L4294" s="6">
        <v>44.026485443115199</v>
      </c>
    </row>
    <row r="4295" spans="1:12" x14ac:dyDescent="0.25">
      <c r="A4295">
        <v>4318101</v>
      </c>
      <c r="B4295" t="str">
        <f t="shared" si="67"/>
        <v>SAO FRANCISCO DE ASSIS, RS, Brasil</v>
      </c>
      <c r="C4295" s="4" t="str">
        <f>_xlfn.XLOOKUP(A4295,[1]!DadosGHD[CD_GEOCMU],[1]!DadosGHD[Região])</f>
        <v>SL</v>
      </c>
      <c r="D4295" s="4" t="str">
        <f>_xlfn.XLOOKUP(A4295,[1]!DadosGHD[CD_GEOCMU],[1]!DadosGHD[uf])</f>
        <v>RS</v>
      </c>
      <c r="E4295" s="5" t="str">
        <f>_xlfn.XLOOKUP(A4295,[1]!DadosGHD[CD_GEOCMU],[1]!DadosGHD[MUNICIPIO])</f>
        <v>SAO FRANCISCO DE ASSIS</v>
      </c>
      <c r="F4295" s="6">
        <v>48.664768218994098</v>
      </c>
      <c r="G4295" s="6">
        <v>48.7411499023438</v>
      </c>
      <c r="H4295" s="6">
        <v>53.772144317627003</v>
      </c>
      <c r="I4295" s="6">
        <v>53.760265350341797</v>
      </c>
      <c r="J4295" s="6">
        <v>53.7546997070313</v>
      </c>
      <c r="K4295" s="6">
        <v>53.837821960449197</v>
      </c>
      <c r="L4295" s="6">
        <v>39.6109809875488</v>
      </c>
    </row>
    <row r="4296" spans="1:12" x14ac:dyDescent="0.25">
      <c r="A4296">
        <v>4302907</v>
      </c>
      <c r="B4296" t="str">
        <f t="shared" si="67"/>
        <v>CACEQUI, RS, Brasil</v>
      </c>
      <c r="C4296" s="4" t="str">
        <f>_xlfn.XLOOKUP(A4296,[1]!DadosGHD[CD_GEOCMU],[1]!DadosGHD[Região])</f>
        <v>SL</v>
      </c>
      <c r="D4296" s="4" t="str">
        <f>_xlfn.XLOOKUP(A4296,[1]!DadosGHD[CD_GEOCMU],[1]!DadosGHD[uf])</f>
        <v>RS</v>
      </c>
      <c r="E4296" s="5" t="str">
        <f>_xlfn.XLOOKUP(A4296,[1]!DadosGHD[CD_GEOCMU],[1]!DadosGHD[MUNICIPIO])</f>
        <v>CACEQUI</v>
      </c>
      <c r="F4296" s="6">
        <v>48.6647758483887</v>
      </c>
      <c r="G4296" s="6">
        <v>53.681770324707003</v>
      </c>
      <c r="H4296" s="6">
        <v>48.856163024902301</v>
      </c>
      <c r="I4296" s="6">
        <v>48.822181701660199</v>
      </c>
      <c r="J4296" s="6">
        <v>48.779899597167997</v>
      </c>
      <c r="K4296" s="6">
        <v>53.8465385437012</v>
      </c>
      <c r="L4296" s="6">
        <v>53.019256591796903</v>
      </c>
    </row>
    <row r="4297" spans="1:12" x14ac:dyDescent="0.25">
      <c r="A4297">
        <v>3204559</v>
      </c>
      <c r="B4297" t="str">
        <f t="shared" si="67"/>
        <v>SANTA MARIA DE JETIBA, ES, Brasil</v>
      </c>
      <c r="C4297" s="4" t="str">
        <f>_xlfn.XLOOKUP(A4297,[1]!DadosGHD[CD_GEOCMU],[1]!DadosGHD[Região])</f>
        <v>SD</v>
      </c>
      <c r="D4297" s="4" t="str">
        <f>_xlfn.XLOOKUP(A4297,[1]!DadosGHD[CD_GEOCMU],[1]!DadosGHD[uf])</f>
        <v>ES</v>
      </c>
      <c r="E4297" s="5" t="str">
        <f>_xlfn.XLOOKUP(A4297,[1]!DadosGHD[CD_GEOCMU],[1]!DadosGHD[MUNICIPIO])</f>
        <v>SANTA MARIA DE JETIBA</v>
      </c>
      <c r="F4297" s="6">
        <v>48.665744781494098</v>
      </c>
      <c r="G4297" s="6">
        <v>53.6941947937012</v>
      </c>
      <c r="H4297" s="6">
        <v>48.852767944335902</v>
      </c>
      <c r="I4297" s="6">
        <v>48.764209747314503</v>
      </c>
      <c r="J4297" s="6">
        <v>53.731067657470703</v>
      </c>
      <c r="K4297" s="6">
        <v>53.833995819091797</v>
      </c>
      <c r="L4297" s="6">
        <v>48.4913940429688</v>
      </c>
    </row>
    <row r="4298" spans="1:12" x14ac:dyDescent="0.25">
      <c r="A4298">
        <v>3552106</v>
      </c>
      <c r="B4298" t="str">
        <f t="shared" si="67"/>
        <v>SOCORRO, SP, Brasil</v>
      </c>
      <c r="C4298" s="4" t="str">
        <f>_xlfn.XLOOKUP(A4298,[1]!DadosGHD[CD_GEOCMU],[1]!DadosGHD[Região])</f>
        <v>SD</v>
      </c>
      <c r="D4298" s="4" t="str">
        <f>_xlfn.XLOOKUP(A4298,[1]!DadosGHD[CD_GEOCMU],[1]!DadosGHD[uf])</f>
        <v>SP</v>
      </c>
      <c r="E4298" s="5" t="str">
        <f>_xlfn.XLOOKUP(A4298,[1]!DadosGHD[CD_GEOCMU],[1]!DadosGHD[MUNICIPIO])</f>
        <v>SOCORRO</v>
      </c>
      <c r="F4298" s="6">
        <v>48.666019439697301</v>
      </c>
      <c r="G4298" s="6">
        <v>48.714912414550803</v>
      </c>
      <c r="H4298" s="6">
        <v>48.714729309082003</v>
      </c>
      <c r="I4298" s="6">
        <v>43.764739990234403</v>
      </c>
      <c r="J4298" s="6">
        <v>43.769420623779297</v>
      </c>
      <c r="K4298" s="6">
        <v>43.819450378417997</v>
      </c>
      <c r="L4298" s="6">
        <v>44.052799224853501</v>
      </c>
    </row>
    <row r="4299" spans="1:12" x14ac:dyDescent="0.25">
      <c r="A4299">
        <v>3545001</v>
      </c>
      <c r="B4299" t="str">
        <f t="shared" si="67"/>
        <v>SALESOPOLIS, SP, Brasil</v>
      </c>
      <c r="C4299" s="4" t="str">
        <f>_xlfn.XLOOKUP(A4299,[1]!DadosGHD[CD_GEOCMU],[1]!DadosGHD[Região])</f>
        <v>SD</v>
      </c>
      <c r="D4299" s="4" t="str">
        <f>_xlfn.XLOOKUP(A4299,[1]!DadosGHD[CD_GEOCMU],[1]!DadosGHD[uf])</f>
        <v>SP</v>
      </c>
      <c r="E4299" s="5" t="str">
        <f>_xlfn.XLOOKUP(A4299,[1]!DadosGHD[CD_GEOCMU],[1]!DadosGHD[MUNICIPIO])</f>
        <v>SALESOPOLIS</v>
      </c>
      <c r="F4299" s="6">
        <v>48.666084289550803</v>
      </c>
      <c r="G4299" s="6">
        <v>48.670547485351598</v>
      </c>
      <c r="H4299" s="6">
        <v>43.8260307312012</v>
      </c>
      <c r="I4299" s="6">
        <v>43.760643005371101</v>
      </c>
      <c r="J4299" s="6">
        <v>43.730655670166001</v>
      </c>
      <c r="K4299" s="6">
        <v>43.790092468261697</v>
      </c>
      <c r="L4299" s="6">
        <v>44.064655303955099</v>
      </c>
    </row>
    <row r="4300" spans="1:12" x14ac:dyDescent="0.25">
      <c r="A4300">
        <v>5002605</v>
      </c>
      <c r="B4300" t="str">
        <f t="shared" si="67"/>
        <v>CAMAPUA, MS, Brasil</v>
      </c>
      <c r="C4300" s="4" t="str">
        <f>_xlfn.XLOOKUP(A4300,[1]!DadosGHD[CD_GEOCMU],[1]!DadosGHD[Região])</f>
        <v>CO</v>
      </c>
      <c r="D4300" s="4" t="str">
        <f>_xlfn.XLOOKUP(A4300,[1]!DadosGHD[CD_GEOCMU],[1]!DadosGHD[uf])</f>
        <v>MS</v>
      </c>
      <c r="E4300" s="5" t="str">
        <f>_xlfn.XLOOKUP(A4300,[1]!DadosGHD[CD_GEOCMU],[1]!DadosGHD[MUNICIPIO])</f>
        <v>CAMAPUA</v>
      </c>
      <c r="F4300" s="6">
        <v>48.666343688964801</v>
      </c>
      <c r="G4300" s="6">
        <v>48.754421234130902</v>
      </c>
      <c r="H4300" s="6">
        <v>48.856460571289098</v>
      </c>
      <c r="I4300" s="6">
        <v>53.752052307128899</v>
      </c>
      <c r="J4300" s="6">
        <v>48.810634613037102</v>
      </c>
      <c r="K4300" s="6">
        <v>48.777679443359403</v>
      </c>
      <c r="L4300" s="6">
        <v>39.608940124511697</v>
      </c>
    </row>
    <row r="4301" spans="1:12" x14ac:dyDescent="0.25">
      <c r="A4301">
        <v>1100056</v>
      </c>
      <c r="B4301" t="str">
        <f t="shared" si="67"/>
        <v>CEREJEIRAS, RO, Brasil</v>
      </c>
      <c r="C4301" s="4" t="str">
        <f>_xlfn.XLOOKUP(A4301,[1]!DadosGHD[CD_GEOCMU],[1]!DadosGHD[Região])</f>
        <v>NO</v>
      </c>
      <c r="D4301" s="4" t="str">
        <f>_xlfn.XLOOKUP(A4301,[1]!DadosGHD[CD_GEOCMU],[1]!DadosGHD[uf])</f>
        <v>RO</v>
      </c>
      <c r="E4301" s="5" t="str">
        <f>_xlfn.XLOOKUP(A4301,[1]!DadosGHD[CD_GEOCMU],[1]!DadosGHD[MUNICIPIO])</f>
        <v>CEREJEIRAS</v>
      </c>
      <c r="F4301" s="6">
        <v>48.666378021240199</v>
      </c>
      <c r="G4301" s="6">
        <v>53.711269378662102</v>
      </c>
      <c r="H4301" s="6">
        <v>53.7927856445313</v>
      </c>
      <c r="I4301" s="6">
        <v>53.751285552978501</v>
      </c>
      <c r="J4301" s="6">
        <v>53.821445465087898</v>
      </c>
      <c r="K4301" s="6">
        <v>53.955978393554702</v>
      </c>
      <c r="L4301" s="6">
        <v>44.025882720947301</v>
      </c>
    </row>
    <row r="4302" spans="1:12" x14ac:dyDescent="0.25">
      <c r="A4302">
        <v>3201209</v>
      </c>
      <c r="B4302" t="str">
        <f t="shared" si="67"/>
        <v>CACHOEIRO DE ITAPEMIRIM, ES, Brasil</v>
      </c>
      <c r="C4302" s="4" t="str">
        <f>_xlfn.XLOOKUP(A4302,[1]!DadosGHD[CD_GEOCMU],[1]!DadosGHD[Região])</f>
        <v>SD</v>
      </c>
      <c r="D4302" s="4" t="str">
        <f>_xlfn.XLOOKUP(A4302,[1]!DadosGHD[CD_GEOCMU],[1]!DadosGHD[uf])</f>
        <v>ES</v>
      </c>
      <c r="E4302" s="5" t="str">
        <f>_xlfn.XLOOKUP(A4302,[1]!DadosGHD[CD_GEOCMU],[1]!DadosGHD[MUNICIPIO])</f>
        <v>CACHOEIRO DE ITAPEMIRIM</v>
      </c>
      <c r="F4302" s="6">
        <v>48.666782379150398</v>
      </c>
      <c r="G4302" s="6">
        <v>48.734775543212898</v>
      </c>
      <c r="H4302" s="6">
        <v>48.816783905029297</v>
      </c>
      <c r="I4302" s="6">
        <v>48.749034881591797</v>
      </c>
      <c r="J4302" s="6">
        <v>48.768276214599602</v>
      </c>
      <c r="K4302" s="6">
        <v>48.806327819824197</v>
      </c>
      <c r="L4302" s="6">
        <v>52.9779052734375</v>
      </c>
    </row>
    <row r="4303" spans="1:12" x14ac:dyDescent="0.25">
      <c r="A4303">
        <v>3542602</v>
      </c>
      <c r="B4303" t="str">
        <f t="shared" si="67"/>
        <v>REGISTRO, SP, Brasil</v>
      </c>
      <c r="C4303" s="4" t="str">
        <f>_xlfn.XLOOKUP(A4303,[1]!DadosGHD[CD_GEOCMU],[1]!DadosGHD[Região])</f>
        <v>SD</v>
      </c>
      <c r="D4303" s="4" t="str">
        <f>_xlfn.XLOOKUP(A4303,[1]!DadosGHD[CD_GEOCMU],[1]!DadosGHD[uf])</f>
        <v>SP</v>
      </c>
      <c r="E4303" s="5" t="str">
        <f>_xlfn.XLOOKUP(A4303,[1]!DadosGHD[CD_GEOCMU],[1]!DadosGHD[MUNICIPIO])</f>
        <v>REGISTRO</v>
      </c>
      <c r="F4303" s="6">
        <v>48.667076110839801</v>
      </c>
      <c r="G4303" s="6">
        <v>48.725696563720703</v>
      </c>
      <c r="H4303" s="6">
        <v>48.813644409179702</v>
      </c>
      <c r="I4303" s="6">
        <v>53.756618499755902</v>
      </c>
      <c r="J4303" s="6">
        <v>53.846225738525398</v>
      </c>
      <c r="K4303" s="6">
        <v>48.845767974853501</v>
      </c>
      <c r="L4303" s="6">
        <v>48.494705200195298</v>
      </c>
    </row>
    <row r="4304" spans="1:12" x14ac:dyDescent="0.25">
      <c r="A4304">
        <v>3129707</v>
      </c>
      <c r="B4304" t="str">
        <f t="shared" si="67"/>
        <v>IBIRACI, MG, Brasil</v>
      </c>
      <c r="C4304" s="4" t="str">
        <f>_xlfn.XLOOKUP(A4304,[1]!DadosGHD[CD_GEOCMU],[1]!DadosGHD[Região])</f>
        <v>SD</v>
      </c>
      <c r="D4304" s="4" t="str">
        <f>_xlfn.XLOOKUP(A4304,[1]!DadosGHD[CD_GEOCMU],[1]!DadosGHD[uf])</f>
        <v>MG</v>
      </c>
      <c r="E4304" s="5" t="str">
        <f>_xlfn.XLOOKUP(A4304,[1]!DadosGHD[CD_GEOCMU],[1]!DadosGHD[MUNICIPIO])</f>
        <v>IBIRACI</v>
      </c>
      <c r="F4304" s="6">
        <v>48.667240142822301</v>
      </c>
      <c r="G4304" s="6">
        <v>48.756507873535199</v>
      </c>
      <c r="H4304" s="6">
        <v>48.847282409667997</v>
      </c>
      <c r="I4304" s="6">
        <v>48.819610595703097</v>
      </c>
      <c r="J4304" s="6">
        <v>48.822597503662102</v>
      </c>
      <c r="K4304" s="6">
        <v>48.766838073730497</v>
      </c>
      <c r="L4304" s="6">
        <v>39.597103118896499</v>
      </c>
    </row>
    <row r="4305" spans="1:12" x14ac:dyDescent="0.25">
      <c r="A4305">
        <v>4112405</v>
      </c>
      <c r="B4305" t="str">
        <f t="shared" si="67"/>
        <v>JAPURA, PR, Brasil</v>
      </c>
      <c r="C4305" s="4" t="str">
        <f>_xlfn.XLOOKUP(A4305,[1]!DadosGHD[CD_GEOCMU],[1]!DadosGHD[Região])</f>
        <v>SL</v>
      </c>
      <c r="D4305" s="4" t="str">
        <f>_xlfn.XLOOKUP(A4305,[1]!DadosGHD[CD_GEOCMU],[1]!DadosGHD[uf])</f>
        <v>PR</v>
      </c>
      <c r="E4305" s="5" t="str">
        <f>_xlfn.XLOOKUP(A4305,[1]!DadosGHD[CD_GEOCMU],[1]!DadosGHD[MUNICIPIO])</f>
        <v>JAPURA</v>
      </c>
      <c r="F4305" s="6">
        <v>48.667671203613303</v>
      </c>
      <c r="G4305" s="6">
        <v>53.674880981445298</v>
      </c>
      <c r="H4305" s="6">
        <v>48.842769622802699</v>
      </c>
      <c r="I4305" s="6">
        <v>53.7911987304688</v>
      </c>
      <c r="J4305" s="6">
        <v>58.872383117675803</v>
      </c>
      <c r="K4305" s="6">
        <v>53.918426513671903</v>
      </c>
      <c r="L4305" s="6">
        <v>48.501754760742202</v>
      </c>
    </row>
    <row r="4306" spans="1:12" x14ac:dyDescent="0.25">
      <c r="A4306">
        <v>4125704</v>
      </c>
      <c r="B4306" t="str">
        <f t="shared" si="67"/>
        <v>SAO MIGUEL DO IGUACU, PR, Brasil</v>
      </c>
      <c r="C4306" s="4" t="str">
        <f>_xlfn.XLOOKUP(A4306,[1]!DadosGHD[CD_GEOCMU],[1]!DadosGHD[Região])</f>
        <v>SL</v>
      </c>
      <c r="D4306" s="4" t="str">
        <f>_xlfn.XLOOKUP(A4306,[1]!DadosGHD[CD_GEOCMU],[1]!DadosGHD[uf])</f>
        <v>PR</v>
      </c>
      <c r="E4306" s="5" t="str">
        <f>_xlfn.XLOOKUP(A4306,[1]!DadosGHD[CD_GEOCMU],[1]!DadosGHD[MUNICIPIO])</f>
        <v>SAO MIGUEL DO IGUACU</v>
      </c>
      <c r="F4306" s="6">
        <v>48.667854309082003</v>
      </c>
      <c r="G4306" s="6">
        <v>53.675899505615199</v>
      </c>
      <c r="H4306" s="6">
        <v>48.813652038574197</v>
      </c>
      <c r="I4306" s="6">
        <v>48.801349639892599</v>
      </c>
      <c r="J4306" s="6">
        <v>48.764163970947301</v>
      </c>
      <c r="K4306" s="6">
        <v>53.811363220214801</v>
      </c>
      <c r="L4306" s="6">
        <v>44.070224761962898</v>
      </c>
    </row>
    <row r="4307" spans="1:12" x14ac:dyDescent="0.25">
      <c r="A4307">
        <v>3112802</v>
      </c>
      <c r="B4307" t="str">
        <f t="shared" si="67"/>
        <v>CAPITOLIO, MG, Brasil</v>
      </c>
      <c r="C4307" s="4" t="str">
        <f>_xlfn.XLOOKUP(A4307,[1]!DadosGHD[CD_GEOCMU],[1]!DadosGHD[Região])</f>
        <v>SD</v>
      </c>
      <c r="D4307" s="4" t="str">
        <f>_xlfn.XLOOKUP(A4307,[1]!DadosGHD[CD_GEOCMU],[1]!DadosGHD[uf])</f>
        <v>MG</v>
      </c>
      <c r="E4307" s="5" t="str">
        <f>_xlfn.XLOOKUP(A4307,[1]!DadosGHD[CD_GEOCMU],[1]!DadosGHD[MUNICIPIO])</f>
        <v>CAPITOLIO</v>
      </c>
      <c r="F4307" s="6">
        <v>48.667888641357401</v>
      </c>
      <c r="G4307" s="6">
        <v>48.717533111572301</v>
      </c>
      <c r="H4307" s="6">
        <v>48.808326721191399</v>
      </c>
      <c r="I4307" s="6">
        <v>53.724620819091797</v>
      </c>
      <c r="J4307" s="6">
        <v>53.814323425292997</v>
      </c>
      <c r="K4307" s="6">
        <v>48.897579193115199</v>
      </c>
      <c r="L4307" s="6">
        <v>53.040889739990199</v>
      </c>
    </row>
    <row r="4308" spans="1:12" x14ac:dyDescent="0.25">
      <c r="A4308">
        <v>3525102</v>
      </c>
      <c r="B4308" t="str">
        <f t="shared" si="67"/>
        <v>JARDINOPOLIS, SP, Brasil</v>
      </c>
      <c r="C4308" s="4" t="str">
        <f>_xlfn.XLOOKUP(A4308,[1]!DadosGHD[CD_GEOCMU],[1]!DadosGHD[Região])</f>
        <v>SD</v>
      </c>
      <c r="D4308" s="4" t="str">
        <f>_xlfn.XLOOKUP(A4308,[1]!DadosGHD[CD_GEOCMU],[1]!DadosGHD[uf])</f>
        <v>SP</v>
      </c>
      <c r="E4308" s="5" t="str">
        <f>_xlfn.XLOOKUP(A4308,[1]!DadosGHD[CD_GEOCMU],[1]!DadosGHD[MUNICIPIO])</f>
        <v>JARDINOPOLIS</v>
      </c>
      <c r="F4308" s="6">
        <v>48.6680717468262</v>
      </c>
      <c r="G4308" s="6">
        <v>48.723590850830099</v>
      </c>
      <c r="H4308" s="6">
        <v>48.7356986999512</v>
      </c>
      <c r="I4308" s="6">
        <v>43.804264068603501</v>
      </c>
      <c r="J4308" s="6">
        <v>48.713027954101598</v>
      </c>
      <c r="K4308" s="6">
        <v>48.823253631591797</v>
      </c>
      <c r="L4308" s="6">
        <v>57.544284820556598</v>
      </c>
    </row>
    <row r="4309" spans="1:12" x14ac:dyDescent="0.25">
      <c r="A4309">
        <v>3167400</v>
      </c>
      <c r="B4309" t="str">
        <f t="shared" si="67"/>
        <v>SILVIANOPOLIS, MG, Brasil</v>
      </c>
      <c r="C4309" s="4" t="str">
        <f>_xlfn.XLOOKUP(A4309,[1]!DadosGHD[CD_GEOCMU],[1]!DadosGHD[Região])</f>
        <v>SD</v>
      </c>
      <c r="D4309" s="4" t="str">
        <f>_xlfn.XLOOKUP(A4309,[1]!DadosGHD[CD_GEOCMU],[1]!DadosGHD[uf])</f>
        <v>MG</v>
      </c>
      <c r="E4309" s="5" t="str">
        <f>_xlfn.XLOOKUP(A4309,[1]!DadosGHD[CD_GEOCMU],[1]!DadosGHD[MUNICIPIO])</f>
        <v>SILVIANOPOLIS</v>
      </c>
      <c r="F4309" s="6">
        <v>48.668430328369098</v>
      </c>
      <c r="G4309" s="6">
        <v>43.755939483642599</v>
      </c>
      <c r="H4309" s="6">
        <v>43.805568695068402</v>
      </c>
      <c r="I4309" s="6">
        <v>43.805084228515597</v>
      </c>
      <c r="J4309" s="6">
        <v>43.773563385009801</v>
      </c>
      <c r="K4309" s="6">
        <v>43.8336372375488</v>
      </c>
      <c r="L4309" s="6">
        <v>39.593135833740199</v>
      </c>
    </row>
    <row r="4310" spans="1:12" x14ac:dyDescent="0.25">
      <c r="A4310">
        <v>4110904</v>
      </c>
      <c r="B4310" t="str">
        <f t="shared" si="67"/>
        <v>ITAGUAJE, PR, Brasil</v>
      </c>
      <c r="C4310" s="4" t="str">
        <f>_xlfn.XLOOKUP(A4310,[1]!DadosGHD[CD_GEOCMU],[1]!DadosGHD[Região])</f>
        <v>SL</v>
      </c>
      <c r="D4310" s="4" t="str">
        <f>_xlfn.XLOOKUP(A4310,[1]!DadosGHD[CD_GEOCMU],[1]!DadosGHD[uf])</f>
        <v>PR</v>
      </c>
      <c r="E4310" s="5" t="str">
        <f>_xlfn.XLOOKUP(A4310,[1]!DadosGHD[CD_GEOCMU],[1]!DadosGHD[MUNICIPIO])</f>
        <v>ITAGUAJE</v>
      </c>
      <c r="F4310" s="6">
        <v>48.668827056884801</v>
      </c>
      <c r="G4310" s="6">
        <v>48.745460510253899</v>
      </c>
      <c r="H4310" s="6">
        <v>48.798954010009801</v>
      </c>
      <c r="I4310" s="6">
        <v>48.775001525878899</v>
      </c>
      <c r="J4310" s="6">
        <v>48.805938720703097</v>
      </c>
      <c r="K4310" s="6">
        <v>48.858421325683601</v>
      </c>
      <c r="L4310" s="6">
        <v>48.4880561828613</v>
      </c>
    </row>
    <row r="4311" spans="1:12" x14ac:dyDescent="0.25">
      <c r="A4311">
        <v>4117255</v>
      </c>
      <c r="B4311" t="str">
        <f t="shared" si="67"/>
        <v>NOVA PRATA DO IGUACU, PR, Brasil</v>
      </c>
      <c r="C4311" s="4" t="str">
        <f>_xlfn.XLOOKUP(A4311,[1]!DadosGHD[CD_GEOCMU],[1]!DadosGHD[Região])</f>
        <v>SL</v>
      </c>
      <c r="D4311" s="4" t="str">
        <f>_xlfn.XLOOKUP(A4311,[1]!DadosGHD[CD_GEOCMU],[1]!DadosGHD[uf])</f>
        <v>PR</v>
      </c>
      <c r="E4311" s="5" t="str">
        <f>_xlfn.XLOOKUP(A4311,[1]!DadosGHD[CD_GEOCMU],[1]!DadosGHD[MUNICIPIO])</f>
        <v>NOVA PRATA DO IGUACU</v>
      </c>
      <c r="F4311" s="6">
        <v>48.669109344482401</v>
      </c>
      <c r="G4311" s="6">
        <v>53.761714935302699</v>
      </c>
      <c r="H4311" s="6">
        <v>53.913356781005902</v>
      </c>
      <c r="I4311" s="6">
        <v>53.879554748535199</v>
      </c>
      <c r="J4311" s="6">
        <v>58.8393363952637</v>
      </c>
      <c r="K4311" s="6">
        <v>58.927757263183601</v>
      </c>
      <c r="L4311" s="6">
        <v>53.0337944030762</v>
      </c>
    </row>
    <row r="4312" spans="1:12" x14ac:dyDescent="0.25">
      <c r="A4312">
        <v>3525508</v>
      </c>
      <c r="B4312" t="str">
        <f t="shared" si="67"/>
        <v>JOANOPOLIS, SP, Brasil</v>
      </c>
      <c r="C4312" s="4" t="str">
        <f>_xlfn.XLOOKUP(A4312,[1]!DadosGHD[CD_GEOCMU],[1]!DadosGHD[Região])</f>
        <v>SD</v>
      </c>
      <c r="D4312" s="4" t="str">
        <f>_xlfn.XLOOKUP(A4312,[1]!DadosGHD[CD_GEOCMU],[1]!DadosGHD[uf])</f>
        <v>SP</v>
      </c>
      <c r="E4312" s="5" t="str">
        <f>_xlfn.XLOOKUP(A4312,[1]!DadosGHD[CD_GEOCMU],[1]!DadosGHD[MUNICIPIO])</f>
        <v>JOANOPOLIS</v>
      </c>
      <c r="F4312" s="6">
        <v>48.669406890869098</v>
      </c>
      <c r="G4312" s="6">
        <v>48.7234077453613</v>
      </c>
      <c r="H4312" s="6">
        <v>48.808025360107401</v>
      </c>
      <c r="I4312" s="6">
        <v>48.800491333007798</v>
      </c>
      <c r="J4312" s="6">
        <v>53.740734100341797</v>
      </c>
      <c r="K4312" s="6">
        <v>48.833545684814503</v>
      </c>
      <c r="L4312" s="6">
        <v>52.996597290039098</v>
      </c>
    </row>
    <row r="4313" spans="1:12" x14ac:dyDescent="0.25">
      <c r="A4313">
        <v>3121902</v>
      </c>
      <c r="B4313" t="str">
        <f t="shared" si="67"/>
        <v>DIVINESIA, MG, Brasil</v>
      </c>
      <c r="C4313" s="4" t="str">
        <f>_xlfn.XLOOKUP(A4313,[1]!DadosGHD[CD_GEOCMU],[1]!DadosGHD[Região])</f>
        <v>SD</v>
      </c>
      <c r="D4313" s="4" t="str">
        <f>_xlfn.XLOOKUP(A4313,[1]!DadosGHD[CD_GEOCMU],[1]!DadosGHD[uf])</f>
        <v>MG</v>
      </c>
      <c r="E4313" s="5" t="str">
        <f>_xlfn.XLOOKUP(A4313,[1]!DadosGHD[CD_GEOCMU],[1]!DadosGHD[MUNICIPIO])</f>
        <v>DIVINESIA</v>
      </c>
      <c r="F4313" s="6">
        <v>48.669704437255902</v>
      </c>
      <c r="G4313" s="6">
        <v>43.730556488037102</v>
      </c>
      <c r="H4313" s="6">
        <v>43.761543273925803</v>
      </c>
      <c r="I4313" s="6">
        <v>43.752037048339801</v>
      </c>
      <c r="J4313" s="6">
        <v>43.759384155273402</v>
      </c>
      <c r="K4313" s="6">
        <v>38.890735626220703</v>
      </c>
      <c r="L4313" s="6">
        <v>35.116275787353501</v>
      </c>
    </row>
    <row r="4314" spans="1:12" x14ac:dyDescent="0.25">
      <c r="A4314">
        <v>3162005</v>
      </c>
      <c r="B4314" t="str">
        <f t="shared" si="67"/>
        <v>SAO GONCALO DO SAPUCAI, MG, Brasil</v>
      </c>
      <c r="C4314" s="4" t="str">
        <f>_xlfn.XLOOKUP(A4314,[1]!DadosGHD[CD_GEOCMU],[1]!DadosGHD[Região])</f>
        <v>SD</v>
      </c>
      <c r="D4314" s="4" t="str">
        <f>_xlfn.XLOOKUP(A4314,[1]!DadosGHD[CD_GEOCMU],[1]!DadosGHD[uf])</f>
        <v>MG</v>
      </c>
      <c r="E4314" s="5" t="str">
        <f>_xlfn.XLOOKUP(A4314,[1]!DadosGHD[CD_GEOCMU],[1]!DadosGHD[MUNICIPIO])</f>
        <v>SAO GONCALO DO SAPUCAI</v>
      </c>
      <c r="F4314" s="6">
        <v>48.6703071594238</v>
      </c>
      <c r="G4314" s="6">
        <v>53.6795043945313</v>
      </c>
      <c r="H4314" s="6">
        <v>48.853916168212898</v>
      </c>
      <c r="I4314" s="6">
        <v>48.7835693359375</v>
      </c>
      <c r="J4314" s="6">
        <v>48.709709167480497</v>
      </c>
      <c r="K4314" s="6">
        <v>53.827999114990199</v>
      </c>
      <c r="L4314" s="6">
        <v>53.030723571777301</v>
      </c>
    </row>
    <row r="4315" spans="1:12" x14ac:dyDescent="0.25">
      <c r="A4315">
        <v>3150208</v>
      </c>
      <c r="B4315" t="str">
        <f t="shared" si="67"/>
        <v>PIEDADE DE PONTE NOVA, MG, Brasil</v>
      </c>
      <c r="C4315" s="4" t="str">
        <f>_xlfn.XLOOKUP(A4315,[1]!DadosGHD[CD_GEOCMU],[1]!DadosGHD[Região])</f>
        <v>SD</v>
      </c>
      <c r="D4315" s="4" t="str">
        <f>_xlfn.XLOOKUP(A4315,[1]!DadosGHD[CD_GEOCMU],[1]!DadosGHD[uf])</f>
        <v>MG</v>
      </c>
      <c r="E4315" s="5" t="str">
        <f>_xlfn.XLOOKUP(A4315,[1]!DadosGHD[CD_GEOCMU],[1]!DadosGHD[MUNICIPIO])</f>
        <v>PIEDADE DE PONTE NOVA</v>
      </c>
      <c r="F4315" s="6">
        <v>48.670528411865199</v>
      </c>
      <c r="G4315" s="6">
        <v>48.6423950195313</v>
      </c>
      <c r="H4315" s="6">
        <v>43.721157073974602</v>
      </c>
      <c r="I4315" s="6">
        <v>38.787654876708999</v>
      </c>
      <c r="J4315" s="6">
        <v>38.767387390136697</v>
      </c>
      <c r="K4315" s="6">
        <v>38.875930786132798</v>
      </c>
      <c r="L4315" s="6">
        <v>52.992664337158203</v>
      </c>
    </row>
    <row r="4316" spans="1:12" x14ac:dyDescent="0.25">
      <c r="A4316">
        <v>3201506</v>
      </c>
      <c r="B4316" t="str">
        <f t="shared" si="67"/>
        <v>COLATINA, ES, Brasil</v>
      </c>
      <c r="C4316" s="4" t="str">
        <f>_xlfn.XLOOKUP(A4316,[1]!DadosGHD[CD_GEOCMU],[1]!DadosGHD[Região])</f>
        <v>SD</v>
      </c>
      <c r="D4316" s="4" t="str">
        <f>_xlfn.XLOOKUP(A4316,[1]!DadosGHD[CD_GEOCMU],[1]!DadosGHD[uf])</f>
        <v>ES</v>
      </c>
      <c r="E4316" s="5" t="str">
        <f>_xlfn.XLOOKUP(A4316,[1]!DadosGHD[CD_GEOCMU],[1]!DadosGHD[MUNICIPIO])</f>
        <v>COLATINA</v>
      </c>
      <c r="F4316" s="6">
        <v>48.671005249023402</v>
      </c>
      <c r="G4316" s="6">
        <v>53.667873382568402</v>
      </c>
      <c r="H4316" s="6">
        <v>48.834861755371101</v>
      </c>
      <c r="I4316" s="6">
        <v>48.822303771972699</v>
      </c>
      <c r="J4316" s="6">
        <v>48.810207366943402</v>
      </c>
      <c r="K4316" s="6">
        <v>48.806159973144503</v>
      </c>
      <c r="L4316" s="6">
        <v>48.490570068359403</v>
      </c>
    </row>
    <row r="4317" spans="1:12" x14ac:dyDescent="0.25">
      <c r="A4317">
        <v>3128303</v>
      </c>
      <c r="B4317" t="str">
        <f t="shared" si="67"/>
        <v>GUARANESIA, MG, Brasil</v>
      </c>
      <c r="C4317" s="4" t="str">
        <f>_xlfn.XLOOKUP(A4317,[1]!DadosGHD[CD_GEOCMU],[1]!DadosGHD[Região])</f>
        <v>SD</v>
      </c>
      <c r="D4317" s="4" t="str">
        <f>_xlfn.XLOOKUP(A4317,[1]!DadosGHD[CD_GEOCMU],[1]!DadosGHD[uf])</f>
        <v>MG</v>
      </c>
      <c r="E4317" s="5" t="str">
        <f>_xlfn.XLOOKUP(A4317,[1]!DadosGHD[CD_GEOCMU],[1]!DadosGHD[MUNICIPIO])</f>
        <v>GUARANESIA</v>
      </c>
      <c r="F4317" s="6">
        <v>48.671653747558601</v>
      </c>
      <c r="G4317" s="6">
        <v>48.768558502197301</v>
      </c>
      <c r="H4317" s="6">
        <v>48.824028015136697</v>
      </c>
      <c r="I4317" s="6">
        <v>53.734943389892599</v>
      </c>
      <c r="J4317" s="6">
        <v>53.823886871337898</v>
      </c>
      <c r="K4317" s="6">
        <v>58.9234008789063</v>
      </c>
      <c r="L4317" s="6">
        <v>53.035106658935597</v>
      </c>
    </row>
    <row r="4318" spans="1:12" x14ac:dyDescent="0.25">
      <c r="A4318">
        <v>4207106</v>
      </c>
      <c r="B4318" t="str">
        <f t="shared" si="67"/>
        <v>ILHOTA, SC, Brasil</v>
      </c>
      <c r="C4318" s="4" t="str">
        <f>_xlfn.XLOOKUP(A4318,[1]!DadosGHD[CD_GEOCMU],[1]!DadosGHD[Região])</f>
        <v>SL</v>
      </c>
      <c r="D4318" s="4" t="str">
        <f>_xlfn.XLOOKUP(A4318,[1]!DadosGHD[CD_GEOCMU],[1]!DadosGHD[uf])</f>
        <v>SC</v>
      </c>
      <c r="E4318" s="5" t="str">
        <f>_xlfn.XLOOKUP(A4318,[1]!DadosGHD[CD_GEOCMU],[1]!DadosGHD[MUNICIPIO])</f>
        <v>ILHOTA</v>
      </c>
      <c r="F4318" s="6">
        <v>48.6717338562012</v>
      </c>
      <c r="G4318" s="6">
        <v>48.683605194091797</v>
      </c>
      <c r="H4318" s="6">
        <v>53.768959045410199</v>
      </c>
      <c r="I4318" s="6">
        <v>48.816802978515597</v>
      </c>
      <c r="J4318" s="6">
        <v>53.749912261962898</v>
      </c>
      <c r="K4318" s="6">
        <v>53.911766052246101</v>
      </c>
      <c r="L4318" s="6">
        <v>48.529129028320298</v>
      </c>
    </row>
    <row r="4319" spans="1:12" x14ac:dyDescent="0.25">
      <c r="A4319">
        <v>4316303</v>
      </c>
      <c r="B4319" t="str">
        <f t="shared" si="67"/>
        <v>ROQUE GONZALES, RS, Brasil</v>
      </c>
      <c r="C4319" s="4" t="str">
        <f>_xlfn.XLOOKUP(A4319,[1]!DadosGHD[CD_GEOCMU],[1]!DadosGHD[Região])</f>
        <v>SL</v>
      </c>
      <c r="D4319" s="4" t="str">
        <f>_xlfn.XLOOKUP(A4319,[1]!DadosGHD[CD_GEOCMU],[1]!DadosGHD[uf])</f>
        <v>RS</v>
      </c>
      <c r="E4319" s="5" t="str">
        <f>_xlfn.XLOOKUP(A4319,[1]!DadosGHD[CD_GEOCMU],[1]!DadosGHD[MUNICIPIO])</f>
        <v>ROQUE GONZALES</v>
      </c>
      <c r="F4319" s="6">
        <v>48.671913146972699</v>
      </c>
      <c r="G4319" s="6">
        <v>53.752506256103501</v>
      </c>
      <c r="H4319" s="6">
        <v>58.8958740234375</v>
      </c>
      <c r="I4319" s="6">
        <v>58.898811340332003</v>
      </c>
      <c r="J4319" s="6">
        <v>58.908939361572301</v>
      </c>
      <c r="K4319" s="6">
        <v>59.026679992675803</v>
      </c>
      <c r="L4319" s="6">
        <v>44.078384399414098</v>
      </c>
    </row>
    <row r="4320" spans="1:12" x14ac:dyDescent="0.25">
      <c r="A4320">
        <v>4309506</v>
      </c>
      <c r="B4320" t="str">
        <f t="shared" si="67"/>
        <v>GUARANI DAS MISSOES, RS, Brasil</v>
      </c>
      <c r="C4320" s="4" t="str">
        <f>_xlfn.XLOOKUP(A4320,[1]!DadosGHD[CD_GEOCMU],[1]!DadosGHD[Região])</f>
        <v>SL</v>
      </c>
      <c r="D4320" s="4" t="str">
        <f>_xlfn.XLOOKUP(A4320,[1]!DadosGHD[CD_GEOCMU],[1]!DadosGHD[uf])</f>
        <v>RS</v>
      </c>
      <c r="E4320" s="5" t="str">
        <f>_xlfn.XLOOKUP(A4320,[1]!DadosGHD[CD_GEOCMU],[1]!DadosGHD[MUNICIPIO])</f>
        <v>GUARANI DAS MISSOES</v>
      </c>
      <c r="F4320" s="6">
        <v>48.672054290771499</v>
      </c>
      <c r="G4320" s="6">
        <v>53.802028656005902</v>
      </c>
      <c r="H4320" s="6">
        <v>53.8961372375488</v>
      </c>
      <c r="I4320" s="6">
        <v>58.820911407470703</v>
      </c>
      <c r="J4320" s="6">
        <v>53.8372802734375</v>
      </c>
      <c r="K4320" s="6">
        <v>53.904067993164098</v>
      </c>
      <c r="L4320" s="6">
        <v>44.028392791748097</v>
      </c>
    </row>
    <row r="4321" spans="1:12" x14ac:dyDescent="0.25">
      <c r="A4321">
        <v>3539806</v>
      </c>
      <c r="B4321" t="str">
        <f t="shared" si="67"/>
        <v>POA, SP, Brasil</v>
      </c>
      <c r="C4321" s="4" t="str">
        <f>_xlfn.XLOOKUP(A4321,[1]!DadosGHD[CD_GEOCMU],[1]!DadosGHD[Região])</f>
        <v>SD</v>
      </c>
      <c r="D4321" s="4" t="str">
        <f>_xlfn.XLOOKUP(A4321,[1]!DadosGHD[CD_GEOCMU],[1]!DadosGHD[uf])</f>
        <v>SP</v>
      </c>
      <c r="E4321" s="5" t="str">
        <f>_xlfn.XLOOKUP(A4321,[1]!DadosGHD[CD_GEOCMU],[1]!DadosGHD[MUNICIPIO])</f>
        <v>POA</v>
      </c>
      <c r="F4321" s="6">
        <v>48.6720581054688</v>
      </c>
      <c r="G4321" s="6">
        <v>48.666721343994098</v>
      </c>
      <c r="H4321" s="6">
        <v>43.823867797851598</v>
      </c>
      <c r="I4321" s="6">
        <v>48.787017822265597</v>
      </c>
      <c r="J4321" s="6">
        <v>48.769325256347699</v>
      </c>
      <c r="K4321" s="6">
        <v>48.814979553222699</v>
      </c>
      <c r="L4321" s="6">
        <v>53.020015716552699</v>
      </c>
    </row>
    <row r="4322" spans="1:12" x14ac:dyDescent="0.25">
      <c r="A4322">
        <v>5002407</v>
      </c>
      <c r="B4322" t="str">
        <f t="shared" si="67"/>
        <v>CAARAPO, MS, Brasil</v>
      </c>
      <c r="C4322" s="4" t="str">
        <f>_xlfn.XLOOKUP(A4322,[1]!DadosGHD[CD_GEOCMU],[1]!DadosGHD[Região])</f>
        <v>CO</v>
      </c>
      <c r="D4322" s="4" t="str">
        <f>_xlfn.XLOOKUP(A4322,[1]!DadosGHD[CD_GEOCMU],[1]!DadosGHD[uf])</f>
        <v>MS</v>
      </c>
      <c r="E4322" s="5" t="str">
        <f>_xlfn.XLOOKUP(A4322,[1]!DadosGHD[CD_GEOCMU],[1]!DadosGHD[MUNICIPIO])</f>
        <v>CAARAPO</v>
      </c>
      <c r="F4322" s="6">
        <v>48.672077178955099</v>
      </c>
      <c r="G4322" s="6">
        <v>53.656032562255902</v>
      </c>
      <c r="H4322" s="6">
        <v>48.839954376220703</v>
      </c>
      <c r="I4322" s="6">
        <v>53.7193794250488</v>
      </c>
      <c r="J4322" s="6">
        <v>53.789375305175803</v>
      </c>
      <c r="K4322" s="6">
        <v>48.908901214599602</v>
      </c>
      <c r="L4322" s="6">
        <v>44.0539360046387</v>
      </c>
    </row>
    <row r="4323" spans="1:12" x14ac:dyDescent="0.25">
      <c r="A4323">
        <v>3101904</v>
      </c>
      <c r="B4323" t="str">
        <f t="shared" si="67"/>
        <v>ALPINOPOLIS, MG, Brasil</v>
      </c>
      <c r="C4323" s="4" t="str">
        <f>_xlfn.XLOOKUP(A4323,[1]!DadosGHD[CD_GEOCMU],[1]!DadosGHD[Região])</f>
        <v>SD</v>
      </c>
      <c r="D4323" s="4" t="str">
        <f>_xlfn.XLOOKUP(A4323,[1]!DadosGHD[CD_GEOCMU],[1]!DadosGHD[uf])</f>
        <v>MG</v>
      </c>
      <c r="E4323" s="5" t="str">
        <f>_xlfn.XLOOKUP(A4323,[1]!DadosGHD[CD_GEOCMU],[1]!DadosGHD[MUNICIPIO])</f>
        <v>ALPINOPOLIS</v>
      </c>
      <c r="F4323" s="6">
        <v>48.672145843505902</v>
      </c>
      <c r="G4323" s="6">
        <v>48.703437805175803</v>
      </c>
      <c r="H4323" s="6">
        <v>48.761878967285199</v>
      </c>
      <c r="I4323" s="6">
        <v>48.807979583740199</v>
      </c>
      <c r="J4323" s="6">
        <v>48.749805450439503</v>
      </c>
      <c r="K4323" s="6">
        <v>48.889484405517599</v>
      </c>
      <c r="L4323" s="6">
        <v>44.075634002685597</v>
      </c>
    </row>
    <row r="4324" spans="1:12" x14ac:dyDescent="0.25">
      <c r="A4324">
        <v>5219902</v>
      </c>
      <c r="B4324" t="str">
        <f t="shared" si="67"/>
        <v>SAO FRANCISCO DE GOIAS, GO, Brasil</v>
      </c>
      <c r="C4324" s="4" t="str">
        <f>_xlfn.XLOOKUP(A4324,[1]!DadosGHD[CD_GEOCMU],[1]!DadosGHD[Região])</f>
        <v>CO</v>
      </c>
      <c r="D4324" s="4" t="str">
        <f>_xlfn.XLOOKUP(A4324,[1]!DadosGHD[CD_GEOCMU],[1]!DadosGHD[uf])</f>
        <v>GO</v>
      </c>
      <c r="E4324" s="5" t="str">
        <f>_xlfn.XLOOKUP(A4324,[1]!DadosGHD[CD_GEOCMU],[1]!DadosGHD[MUNICIPIO])</f>
        <v>SAO FRANCISCO DE GOIAS</v>
      </c>
      <c r="F4324" s="6">
        <v>48.672210693359403</v>
      </c>
      <c r="G4324" s="6">
        <v>48.668346405029297</v>
      </c>
      <c r="H4324" s="6">
        <v>48.7140502929688</v>
      </c>
      <c r="I4324" s="6">
        <v>48.707080841064503</v>
      </c>
      <c r="J4324" s="6">
        <v>38.842891693115199</v>
      </c>
      <c r="K4324" s="6">
        <v>43.816581726074197</v>
      </c>
      <c r="L4324" s="6">
        <v>39.573177337646499</v>
      </c>
    </row>
    <row r="4325" spans="1:12" x14ac:dyDescent="0.25">
      <c r="A4325">
        <v>4319752</v>
      </c>
      <c r="B4325" t="str">
        <f t="shared" si="67"/>
        <v>SAO VENDELINO, RS, Brasil</v>
      </c>
      <c r="C4325" s="4" t="str">
        <f>_xlfn.XLOOKUP(A4325,[1]!DadosGHD[CD_GEOCMU],[1]!DadosGHD[Região])</f>
        <v>SL</v>
      </c>
      <c r="D4325" s="4" t="str">
        <f>_xlfn.XLOOKUP(A4325,[1]!DadosGHD[CD_GEOCMU],[1]!DadosGHD[uf])</f>
        <v>RS</v>
      </c>
      <c r="E4325" s="5" t="str">
        <f>_xlfn.XLOOKUP(A4325,[1]!DadosGHD[CD_GEOCMU],[1]!DadosGHD[MUNICIPIO])</f>
        <v>SAO VENDELINO</v>
      </c>
      <c r="F4325" s="6">
        <v>48.672534942627003</v>
      </c>
      <c r="G4325" s="6">
        <v>63.951862335205099</v>
      </c>
      <c r="H4325" s="6">
        <v>64.017875671386705</v>
      </c>
      <c r="I4325" s="6">
        <v>53.867271423339801</v>
      </c>
      <c r="J4325" s="6">
        <v>58.860923767089801</v>
      </c>
      <c r="K4325" s="6">
        <v>58.966827392578097</v>
      </c>
      <c r="L4325" s="6">
        <v>57.510166168212898</v>
      </c>
    </row>
    <row r="4326" spans="1:12" x14ac:dyDescent="0.25">
      <c r="A4326">
        <v>3161056</v>
      </c>
      <c r="B4326" t="str">
        <f t="shared" si="67"/>
        <v>SAO FELIX DE MINAS, MG, Brasil</v>
      </c>
      <c r="C4326" s="4" t="str">
        <f>_xlfn.XLOOKUP(A4326,[1]!DadosGHD[CD_GEOCMU],[1]!DadosGHD[Região])</f>
        <v>SD</v>
      </c>
      <c r="D4326" s="4" t="str">
        <f>_xlfn.XLOOKUP(A4326,[1]!DadosGHD[CD_GEOCMU],[1]!DadosGHD[uf])</f>
        <v>MG</v>
      </c>
      <c r="E4326" s="5" t="str">
        <f>_xlfn.XLOOKUP(A4326,[1]!DadosGHD[CD_GEOCMU],[1]!DadosGHD[MUNICIPIO])</f>
        <v>SAO FELIX DE MINAS</v>
      </c>
      <c r="F4326" s="6">
        <v>48.672733306884801</v>
      </c>
      <c r="G4326" s="6">
        <v>53.663944244384801</v>
      </c>
      <c r="H4326" s="6">
        <v>48.8372993469238</v>
      </c>
      <c r="I4326" s="6">
        <v>48.796714782714801</v>
      </c>
      <c r="J4326" s="6">
        <v>48.816783905029297</v>
      </c>
      <c r="K4326" s="6">
        <v>48.863491058349602</v>
      </c>
      <c r="L4326" s="6">
        <v>35.156227111816399</v>
      </c>
    </row>
    <row r="4327" spans="1:12" x14ac:dyDescent="0.25">
      <c r="A4327">
        <v>3301504</v>
      </c>
      <c r="B4327" t="str">
        <f t="shared" si="67"/>
        <v>CORDEIRO, RJ, Brasil</v>
      </c>
      <c r="C4327" s="4" t="str">
        <f>_xlfn.XLOOKUP(A4327,[1]!DadosGHD[CD_GEOCMU],[1]!DadosGHD[Região])</f>
        <v>SD</v>
      </c>
      <c r="D4327" s="4" t="str">
        <f>_xlfn.XLOOKUP(A4327,[1]!DadosGHD[CD_GEOCMU],[1]!DadosGHD[uf])</f>
        <v>RJ</v>
      </c>
      <c r="E4327" s="5" t="str">
        <f>_xlfn.XLOOKUP(A4327,[1]!DadosGHD[CD_GEOCMU],[1]!DadosGHD[MUNICIPIO])</f>
        <v>CORDEIRO</v>
      </c>
      <c r="F4327" s="6">
        <v>48.672794342041001</v>
      </c>
      <c r="G4327" s="6">
        <v>53.668186187744098</v>
      </c>
      <c r="H4327" s="6">
        <v>53.849342346191399</v>
      </c>
      <c r="I4327" s="6">
        <v>53.806118011474602</v>
      </c>
      <c r="J4327" s="6">
        <v>53.842487335205099</v>
      </c>
      <c r="K4327" s="6">
        <v>43.789379119873097</v>
      </c>
      <c r="L4327" s="6">
        <v>39.607776641845703</v>
      </c>
    </row>
    <row r="4328" spans="1:12" x14ac:dyDescent="0.25">
      <c r="A4328">
        <v>3503406</v>
      </c>
      <c r="B4328" t="str">
        <f t="shared" si="67"/>
        <v>AREALVA, SP, Brasil</v>
      </c>
      <c r="C4328" s="4" t="str">
        <f>_xlfn.XLOOKUP(A4328,[1]!DadosGHD[CD_GEOCMU],[1]!DadosGHD[Região])</f>
        <v>SD</v>
      </c>
      <c r="D4328" s="4" t="str">
        <f>_xlfn.XLOOKUP(A4328,[1]!DadosGHD[CD_GEOCMU],[1]!DadosGHD[uf])</f>
        <v>SP</v>
      </c>
      <c r="E4328" s="5" t="str">
        <f>_xlfn.XLOOKUP(A4328,[1]!DadosGHD[CD_GEOCMU],[1]!DadosGHD[MUNICIPIO])</f>
        <v>AREALVA</v>
      </c>
      <c r="F4328" s="6">
        <v>48.673274993896499</v>
      </c>
      <c r="G4328" s="6">
        <v>48.746570587158203</v>
      </c>
      <c r="H4328" s="6">
        <v>48.807716369628899</v>
      </c>
      <c r="I4328" s="6">
        <v>53.763038635253899</v>
      </c>
      <c r="J4328" s="6">
        <v>53.803318023681598</v>
      </c>
      <c r="K4328" s="6">
        <v>53.843898773193402</v>
      </c>
      <c r="L4328" s="6">
        <v>57.572906494140597</v>
      </c>
    </row>
    <row r="4329" spans="1:12" x14ac:dyDescent="0.25">
      <c r="A4329">
        <v>4126355</v>
      </c>
      <c r="B4329" t="str">
        <f t="shared" si="67"/>
        <v>SERRANOPOLIS DO IGUACU, PR, Brasil</v>
      </c>
      <c r="C4329" s="4" t="str">
        <f>_xlfn.XLOOKUP(A4329,[1]!DadosGHD[CD_GEOCMU],[1]!DadosGHD[Região])</f>
        <v>SL</v>
      </c>
      <c r="D4329" s="4" t="str">
        <f>_xlfn.XLOOKUP(A4329,[1]!DadosGHD[CD_GEOCMU],[1]!DadosGHD[uf])</f>
        <v>PR</v>
      </c>
      <c r="E4329" s="5" t="str">
        <f>_xlfn.XLOOKUP(A4329,[1]!DadosGHD[CD_GEOCMU],[1]!DadosGHD[MUNICIPIO])</f>
        <v>SERRANOPOLIS DO IGUACU</v>
      </c>
      <c r="F4329" s="6">
        <v>48.673332214355497</v>
      </c>
      <c r="G4329" s="6">
        <v>53.666667938232401</v>
      </c>
      <c r="H4329" s="6">
        <v>53.790283203125</v>
      </c>
      <c r="I4329" s="6">
        <v>53.864852905273402</v>
      </c>
      <c r="J4329" s="6">
        <v>53.791038513183601</v>
      </c>
      <c r="K4329" s="6">
        <v>53.968387603759801</v>
      </c>
      <c r="L4329" s="6">
        <v>52.998245239257798</v>
      </c>
    </row>
    <row r="4330" spans="1:12" x14ac:dyDescent="0.25">
      <c r="A4330">
        <v>3522307</v>
      </c>
      <c r="B4330" t="str">
        <f t="shared" si="67"/>
        <v>ITAPETININGA, SP, Brasil</v>
      </c>
      <c r="C4330" s="4" t="str">
        <f>_xlfn.XLOOKUP(A4330,[1]!DadosGHD[CD_GEOCMU],[1]!DadosGHD[Região])</f>
        <v>SD</v>
      </c>
      <c r="D4330" s="4" t="str">
        <f>_xlfn.XLOOKUP(A4330,[1]!DadosGHD[CD_GEOCMU],[1]!DadosGHD[uf])</f>
        <v>SP</v>
      </c>
      <c r="E4330" s="5" t="str">
        <f>_xlfn.XLOOKUP(A4330,[1]!DadosGHD[CD_GEOCMU],[1]!DadosGHD[MUNICIPIO])</f>
        <v>ITAPETININGA</v>
      </c>
      <c r="F4330" s="6">
        <v>48.673351287841797</v>
      </c>
      <c r="G4330" s="6">
        <v>53.662528991699197</v>
      </c>
      <c r="H4330" s="6">
        <v>48.8482055664063</v>
      </c>
      <c r="I4330" s="6">
        <v>53.720424652099602</v>
      </c>
      <c r="J4330" s="6">
        <v>53.741188049316399</v>
      </c>
      <c r="K4330" s="6">
        <v>48.8831977844238</v>
      </c>
      <c r="L4330" s="6">
        <v>52.980350494384801</v>
      </c>
    </row>
    <row r="4331" spans="1:12" x14ac:dyDescent="0.25">
      <c r="A4331">
        <v>3502200</v>
      </c>
      <c r="B4331" t="str">
        <f t="shared" si="67"/>
        <v>ANGATUBA, SP, Brasil</v>
      </c>
      <c r="C4331" s="4" t="str">
        <f>_xlfn.XLOOKUP(A4331,[1]!DadosGHD[CD_GEOCMU],[1]!DadosGHD[Região])</f>
        <v>SD</v>
      </c>
      <c r="D4331" s="4" t="str">
        <f>_xlfn.XLOOKUP(A4331,[1]!DadosGHD[CD_GEOCMU],[1]!DadosGHD[uf])</f>
        <v>SP</v>
      </c>
      <c r="E4331" s="5" t="str">
        <f>_xlfn.XLOOKUP(A4331,[1]!DadosGHD[CD_GEOCMU],[1]!DadosGHD[MUNICIPIO])</f>
        <v>ANGATUBA</v>
      </c>
      <c r="F4331" s="6">
        <v>48.673389434814503</v>
      </c>
      <c r="G4331" s="6">
        <v>48.718082427978501</v>
      </c>
      <c r="H4331" s="6">
        <v>48.801181793212898</v>
      </c>
      <c r="I4331" s="6">
        <v>43.736454010009801</v>
      </c>
      <c r="J4331" s="6">
        <v>48.725212097167997</v>
      </c>
      <c r="K4331" s="6">
        <v>48.858020782470703</v>
      </c>
      <c r="L4331" s="6">
        <v>52.996944427490199</v>
      </c>
    </row>
    <row r="4332" spans="1:12" x14ac:dyDescent="0.25">
      <c r="A4332">
        <v>3120409</v>
      </c>
      <c r="B4332" t="str">
        <f t="shared" si="67"/>
        <v>CRISTIANO OTONI, MG, Brasil</v>
      </c>
      <c r="C4332" s="4" t="str">
        <f>_xlfn.XLOOKUP(A4332,[1]!DadosGHD[CD_GEOCMU],[1]!DadosGHD[Região])</f>
        <v>SD</v>
      </c>
      <c r="D4332" s="4" t="str">
        <f>_xlfn.XLOOKUP(A4332,[1]!DadosGHD[CD_GEOCMU],[1]!DadosGHD[uf])</f>
        <v>MG</v>
      </c>
      <c r="E4332" s="5" t="str">
        <f>_xlfn.XLOOKUP(A4332,[1]!DadosGHD[CD_GEOCMU],[1]!DadosGHD[MUNICIPIO])</f>
        <v>CRISTIANO OTONI</v>
      </c>
      <c r="F4332" s="6">
        <v>48.673412322998097</v>
      </c>
      <c r="G4332" s="6">
        <v>53.688838958740199</v>
      </c>
      <c r="H4332" s="6">
        <v>43.837471008300803</v>
      </c>
      <c r="I4332" s="6">
        <v>48.778202056884801</v>
      </c>
      <c r="J4332" s="6">
        <v>53.736328125</v>
      </c>
      <c r="K4332" s="6">
        <v>48.889392852783203</v>
      </c>
      <c r="L4332" s="6">
        <v>48.499607086181598</v>
      </c>
    </row>
    <row r="4333" spans="1:12" x14ac:dyDescent="0.25">
      <c r="A4333">
        <v>3504503</v>
      </c>
      <c r="B4333" t="str">
        <f t="shared" si="67"/>
        <v>AVARE, SP, Brasil</v>
      </c>
      <c r="C4333" s="4" t="str">
        <f>_xlfn.XLOOKUP(A4333,[1]!DadosGHD[CD_GEOCMU],[1]!DadosGHD[Região])</f>
        <v>SD</v>
      </c>
      <c r="D4333" s="4" t="str">
        <f>_xlfn.XLOOKUP(A4333,[1]!DadosGHD[CD_GEOCMU],[1]!DadosGHD[uf])</f>
        <v>SP</v>
      </c>
      <c r="E4333" s="5" t="str">
        <f>_xlfn.XLOOKUP(A4333,[1]!DadosGHD[CD_GEOCMU],[1]!DadosGHD[MUNICIPIO])</f>
        <v>AVARE</v>
      </c>
      <c r="F4333" s="6">
        <v>48.673427581787102</v>
      </c>
      <c r="G4333" s="6">
        <v>53.671825408935597</v>
      </c>
      <c r="H4333" s="6">
        <v>48.832115173339801</v>
      </c>
      <c r="I4333" s="6">
        <v>48.773807525634801</v>
      </c>
      <c r="J4333" s="6">
        <v>53.784793853759801</v>
      </c>
      <c r="K4333" s="6">
        <v>53.915027618408203</v>
      </c>
      <c r="L4333" s="6">
        <v>57.542213439941399</v>
      </c>
    </row>
    <row r="4334" spans="1:12" x14ac:dyDescent="0.25">
      <c r="A4334">
        <v>2305100</v>
      </c>
      <c r="B4334" t="str">
        <f t="shared" si="67"/>
        <v>GUARAMIRANGA, CE, Brasil</v>
      </c>
      <c r="C4334" s="4" t="str">
        <f>_xlfn.XLOOKUP(A4334,[1]!DadosGHD[CD_GEOCMU],[1]!DadosGHD[Região])</f>
        <v>NE</v>
      </c>
      <c r="D4334" s="4" t="str">
        <f>_xlfn.XLOOKUP(A4334,[1]!DadosGHD[CD_GEOCMU],[1]!DadosGHD[uf])</f>
        <v>CE</v>
      </c>
      <c r="E4334" s="5" t="str">
        <f>_xlfn.XLOOKUP(A4334,[1]!DadosGHD[CD_GEOCMU],[1]!DadosGHD[MUNICIPIO])</f>
        <v>GUARAMIRANGA</v>
      </c>
      <c r="F4334" s="6">
        <v>48.6736030578613</v>
      </c>
      <c r="G4334" s="6">
        <v>43.757877349853501</v>
      </c>
      <c r="H4334" s="6">
        <v>43.805240631103501</v>
      </c>
      <c r="I4334" s="6">
        <v>38.791748046875</v>
      </c>
      <c r="J4334" s="6">
        <v>38.822242736816399</v>
      </c>
      <c r="K4334" s="6">
        <v>38.8502807617188</v>
      </c>
      <c r="L4334" s="6">
        <v>30.700717926025401</v>
      </c>
    </row>
    <row r="4335" spans="1:12" x14ac:dyDescent="0.25">
      <c r="A4335">
        <v>3520426</v>
      </c>
      <c r="B4335" t="str">
        <f t="shared" si="67"/>
        <v>ILHA COMPRIDA, SP, Brasil</v>
      </c>
      <c r="C4335" s="4" t="str">
        <f>_xlfn.XLOOKUP(A4335,[1]!DadosGHD[CD_GEOCMU],[1]!DadosGHD[Região])</f>
        <v>SD</v>
      </c>
      <c r="D4335" s="4" t="str">
        <f>_xlfn.XLOOKUP(A4335,[1]!DadosGHD[CD_GEOCMU],[1]!DadosGHD[uf])</f>
        <v>SP</v>
      </c>
      <c r="E4335" s="5" t="str">
        <f>_xlfn.XLOOKUP(A4335,[1]!DadosGHD[CD_GEOCMU],[1]!DadosGHD[MUNICIPIO])</f>
        <v>ILHA COMPRIDA</v>
      </c>
      <c r="F4335" s="6">
        <v>48.674003601074197</v>
      </c>
      <c r="G4335" s="6">
        <v>48.637149810791001</v>
      </c>
      <c r="H4335" s="6">
        <v>43.767536163330099</v>
      </c>
      <c r="I4335" s="6">
        <v>43.715991973877003</v>
      </c>
      <c r="J4335" s="6">
        <v>43.754268646240199</v>
      </c>
      <c r="K4335" s="6">
        <v>48.803638458252003</v>
      </c>
      <c r="L4335" s="6">
        <v>57.5178031921387</v>
      </c>
    </row>
    <row r="4336" spans="1:12" x14ac:dyDescent="0.25">
      <c r="A4336">
        <v>4302501</v>
      </c>
      <c r="B4336" t="str">
        <f t="shared" si="67"/>
        <v>BOSSOROCA, RS, Brasil</v>
      </c>
      <c r="C4336" s="4" t="str">
        <f>_xlfn.XLOOKUP(A4336,[1]!DadosGHD[CD_GEOCMU],[1]!DadosGHD[Região])</f>
        <v>SL</v>
      </c>
      <c r="D4336" s="4" t="str">
        <f>_xlfn.XLOOKUP(A4336,[1]!DadosGHD[CD_GEOCMU],[1]!DadosGHD[uf])</f>
        <v>RS</v>
      </c>
      <c r="E4336" s="5" t="str">
        <f>_xlfn.XLOOKUP(A4336,[1]!DadosGHD[CD_GEOCMU],[1]!DadosGHD[MUNICIPIO])</f>
        <v>BOSSOROCA</v>
      </c>
      <c r="F4336" s="6">
        <v>48.674308776855497</v>
      </c>
      <c r="G4336" s="6">
        <v>53.770866394042997</v>
      </c>
      <c r="H4336" s="6">
        <v>58.915763854980497</v>
      </c>
      <c r="I4336" s="6">
        <v>58.899909973144503</v>
      </c>
      <c r="J4336" s="6">
        <v>58.959609985351598</v>
      </c>
      <c r="K4336" s="6">
        <v>59.115787506103501</v>
      </c>
      <c r="L4336" s="6">
        <v>39.598415374755902</v>
      </c>
    </row>
    <row r="4337" spans="1:12" x14ac:dyDescent="0.25">
      <c r="A4337">
        <v>4118808</v>
      </c>
      <c r="B4337" t="str">
        <f t="shared" si="67"/>
        <v>PEABIRU, PR, Brasil</v>
      </c>
      <c r="C4337" s="4" t="str">
        <f>_xlfn.XLOOKUP(A4337,[1]!DadosGHD[CD_GEOCMU],[1]!DadosGHD[Região])</f>
        <v>SL</v>
      </c>
      <c r="D4337" s="4" t="str">
        <f>_xlfn.XLOOKUP(A4337,[1]!DadosGHD[CD_GEOCMU],[1]!DadosGHD[uf])</f>
        <v>PR</v>
      </c>
      <c r="E4337" s="5" t="str">
        <f>_xlfn.XLOOKUP(A4337,[1]!DadosGHD[CD_GEOCMU],[1]!DadosGHD[MUNICIPIO])</f>
        <v>PEABIRU</v>
      </c>
      <c r="F4337" s="6">
        <v>48.674385070800803</v>
      </c>
      <c r="G4337" s="6">
        <v>53.743259429931598</v>
      </c>
      <c r="H4337" s="6">
        <v>53.857250213623097</v>
      </c>
      <c r="I4337" s="6">
        <v>53.849704742431598</v>
      </c>
      <c r="J4337" s="6">
        <v>53.783390045166001</v>
      </c>
      <c r="K4337" s="6">
        <v>48.840797424316399</v>
      </c>
      <c r="L4337" s="6">
        <v>44.048843383789098</v>
      </c>
    </row>
    <row r="4338" spans="1:12" x14ac:dyDescent="0.25">
      <c r="A4338">
        <v>3100906</v>
      </c>
      <c r="B4338" t="str">
        <f t="shared" si="67"/>
        <v>AGUAS FORMOSAS, MG, Brasil</v>
      </c>
      <c r="C4338" s="4" t="str">
        <f>_xlfn.XLOOKUP(A4338,[1]!DadosGHD[CD_GEOCMU],[1]!DadosGHD[Região])</f>
        <v>SD</v>
      </c>
      <c r="D4338" s="4" t="str">
        <f>_xlfn.XLOOKUP(A4338,[1]!DadosGHD[CD_GEOCMU],[1]!DadosGHD[uf])</f>
        <v>MG</v>
      </c>
      <c r="E4338" s="5" t="str">
        <f>_xlfn.XLOOKUP(A4338,[1]!DadosGHD[CD_GEOCMU],[1]!DadosGHD[MUNICIPIO])</f>
        <v>AGUAS FORMOSAS</v>
      </c>
      <c r="F4338" s="6">
        <v>48.674514770507798</v>
      </c>
      <c r="G4338" s="6">
        <v>48.726341247558601</v>
      </c>
      <c r="H4338" s="6">
        <v>48.778362274169901</v>
      </c>
      <c r="I4338" s="6">
        <v>48.736686706542997</v>
      </c>
      <c r="J4338" s="6">
        <v>48.738197326660199</v>
      </c>
      <c r="K4338" s="6">
        <v>48.764743804931598</v>
      </c>
      <c r="L4338" s="6">
        <v>35.128242492675803</v>
      </c>
    </row>
    <row r="4339" spans="1:12" x14ac:dyDescent="0.25">
      <c r="A4339">
        <v>4213401</v>
      </c>
      <c r="B4339" t="str">
        <f t="shared" si="67"/>
        <v>PONTE SERRADA, SC, Brasil</v>
      </c>
      <c r="C4339" s="4" t="str">
        <f>_xlfn.XLOOKUP(A4339,[1]!DadosGHD[CD_GEOCMU],[1]!DadosGHD[Região])</f>
        <v>SL</v>
      </c>
      <c r="D4339" s="4" t="str">
        <f>_xlfn.XLOOKUP(A4339,[1]!DadosGHD[CD_GEOCMU],[1]!DadosGHD[uf])</f>
        <v>SC</v>
      </c>
      <c r="E4339" s="5" t="str">
        <f>_xlfn.XLOOKUP(A4339,[1]!DadosGHD[CD_GEOCMU],[1]!DadosGHD[MUNICIPIO])</f>
        <v>PONTE SERRADA</v>
      </c>
      <c r="F4339" s="6">
        <v>48.675033569335902</v>
      </c>
      <c r="G4339" s="6">
        <v>53.680023193359403</v>
      </c>
      <c r="H4339" s="6">
        <v>48.835647583007798</v>
      </c>
      <c r="I4339" s="6">
        <v>48.7556343078613</v>
      </c>
      <c r="J4339" s="6">
        <v>53.762500762939503</v>
      </c>
      <c r="K4339" s="6">
        <v>53.896129608154297</v>
      </c>
      <c r="L4339" s="6">
        <v>57.5160102844238</v>
      </c>
    </row>
    <row r="4340" spans="1:12" x14ac:dyDescent="0.25">
      <c r="A4340">
        <v>3537107</v>
      </c>
      <c r="B4340" t="str">
        <f t="shared" si="67"/>
        <v>PEDREIRA, SP, Brasil</v>
      </c>
      <c r="C4340" s="4" t="str">
        <f>_xlfn.XLOOKUP(A4340,[1]!DadosGHD[CD_GEOCMU],[1]!DadosGHD[Região])</f>
        <v>SD</v>
      </c>
      <c r="D4340" s="4" t="str">
        <f>_xlfn.XLOOKUP(A4340,[1]!DadosGHD[CD_GEOCMU],[1]!DadosGHD[uf])</f>
        <v>SP</v>
      </c>
      <c r="E4340" s="5" t="str">
        <f>_xlfn.XLOOKUP(A4340,[1]!DadosGHD[CD_GEOCMU],[1]!DadosGHD[MUNICIPIO])</f>
        <v>PEDREIRA</v>
      </c>
      <c r="F4340" s="6">
        <v>48.675041198730497</v>
      </c>
      <c r="G4340" s="6">
        <v>48.673267364502003</v>
      </c>
      <c r="H4340" s="6">
        <v>43.782646179199197</v>
      </c>
      <c r="I4340" s="6">
        <v>43.761886596679702</v>
      </c>
      <c r="J4340" s="6">
        <v>43.791347503662102</v>
      </c>
      <c r="K4340" s="6">
        <v>43.884590148925803</v>
      </c>
      <c r="L4340" s="6">
        <v>48.520450592041001</v>
      </c>
    </row>
    <row r="4341" spans="1:12" x14ac:dyDescent="0.25">
      <c r="A4341">
        <v>5219308</v>
      </c>
      <c r="B4341" t="str">
        <f t="shared" si="67"/>
        <v>SANTA HELENA DE GOIAS, GO, Brasil</v>
      </c>
      <c r="C4341" s="4" t="str">
        <f>_xlfn.XLOOKUP(A4341,[1]!DadosGHD[CD_GEOCMU],[1]!DadosGHD[Região])</f>
        <v>CO</v>
      </c>
      <c r="D4341" s="4" t="str">
        <f>_xlfn.XLOOKUP(A4341,[1]!DadosGHD[CD_GEOCMU],[1]!DadosGHD[uf])</f>
        <v>GO</v>
      </c>
      <c r="E4341" s="5" t="str">
        <f>_xlfn.XLOOKUP(A4341,[1]!DadosGHD[CD_GEOCMU],[1]!DadosGHD[MUNICIPIO])</f>
        <v>SANTA HELENA DE GOIAS</v>
      </c>
      <c r="F4341" s="6">
        <v>48.675426483154297</v>
      </c>
      <c r="G4341" s="6">
        <v>53.719455718994098</v>
      </c>
      <c r="H4341" s="6">
        <v>53.776615142822301</v>
      </c>
      <c r="I4341" s="6">
        <v>53.748653411865199</v>
      </c>
      <c r="J4341" s="6">
        <v>48.837436676025398</v>
      </c>
      <c r="K4341" s="6">
        <v>48.817821502685597</v>
      </c>
      <c r="L4341" s="6">
        <v>39.580257415771499</v>
      </c>
    </row>
    <row r="4342" spans="1:12" x14ac:dyDescent="0.25">
      <c r="A4342">
        <v>3523404</v>
      </c>
      <c r="B4342" t="str">
        <f t="shared" si="67"/>
        <v>ITATIBA, SP, Brasil</v>
      </c>
      <c r="C4342" s="4" t="str">
        <f>_xlfn.XLOOKUP(A4342,[1]!DadosGHD[CD_GEOCMU],[1]!DadosGHD[Região])</f>
        <v>SD</v>
      </c>
      <c r="D4342" s="4" t="str">
        <f>_xlfn.XLOOKUP(A4342,[1]!DadosGHD[CD_GEOCMU],[1]!DadosGHD[uf])</f>
        <v>SP</v>
      </c>
      <c r="E4342" s="5" t="str">
        <f>_xlfn.XLOOKUP(A4342,[1]!DadosGHD[CD_GEOCMU],[1]!DadosGHD[MUNICIPIO])</f>
        <v>ITATIBA</v>
      </c>
      <c r="F4342" s="6">
        <v>48.676116943359403</v>
      </c>
      <c r="G4342" s="6">
        <v>53.6548881530762</v>
      </c>
      <c r="H4342" s="6">
        <v>48.828849792480497</v>
      </c>
      <c r="I4342" s="6">
        <v>53.7099418640137</v>
      </c>
      <c r="J4342" s="6">
        <v>48.841091156005902</v>
      </c>
      <c r="K4342" s="6">
        <v>48.892791748046903</v>
      </c>
      <c r="L4342" s="6">
        <v>53.043365478515597</v>
      </c>
    </row>
    <row r="4343" spans="1:12" x14ac:dyDescent="0.25">
      <c r="A4343">
        <v>4320578</v>
      </c>
      <c r="B4343" t="str">
        <f t="shared" si="67"/>
        <v>SETE DE SETEMBRO, RS, Brasil</v>
      </c>
      <c r="C4343" s="4" t="str">
        <f>_xlfn.XLOOKUP(A4343,[1]!DadosGHD[CD_GEOCMU],[1]!DadosGHD[Região])</f>
        <v>SL</v>
      </c>
      <c r="D4343" s="4" t="str">
        <f>_xlfn.XLOOKUP(A4343,[1]!DadosGHD[CD_GEOCMU],[1]!DadosGHD[uf])</f>
        <v>RS</v>
      </c>
      <c r="E4343" s="5" t="str">
        <f>_xlfn.XLOOKUP(A4343,[1]!DadosGHD[CD_GEOCMU],[1]!DadosGHD[MUNICIPIO])</f>
        <v>SETE DE SETEMBRO</v>
      </c>
      <c r="F4343" s="6">
        <v>48.676403045654297</v>
      </c>
      <c r="G4343" s="6">
        <v>53.677101135253899</v>
      </c>
      <c r="H4343" s="6">
        <v>38.781394958496101</v>
      </c>
      <c r="I4343" s="6">
        <v>38.810863494873097</v>
      </c>
      <c r="J4343" s="6">
        <v>38.806674957275398</v>
      </c>
      <c r="K4343" s="6">
        <v>38.879989624023402</v>
      </c>
      <c r="L4343" s="6">
        <v>35.154228210449197</v>
      </c>
    </row>
    <row r="4344" spans="1:12" x14ac:dyDescent="0.25">
      <c r="A4344">
        <v>3131208</v>
      </c>
      <c r="B4344" t="str">
        <f t="shared" si="67"/>
        <v>IPANEMA, MG, Brasil</v>
      </c>
      <c r="C4344" s="4" t="str">
        <f>_xlfn.XLOOKUP(A4344,[1]!DadosGHD[CD_GEOCMU],[1]!DadosGHD[Região])</f>
        <v>SD</v>
      </c>
      <c r="D4344" s="4" t="str">
        <f>_xlfn.XLOOKUP(A4344,[1]!DadosGHD[CD_GEOCMU],[1]!DadosGHD[uf])</f>
        <v>MG</v>
      </c>
      <c r="E4344" s="5" t="str">
        <f>_xlfn.XLOOKUP(A4344,[1]!DadosGHD[CD_GEOCMU],[1]!DadosGHD[MUNICIPIO])</f>
        <v>IPANEMA</v>
      </c>
      <c r="F4344" s="6">
        <v>48.676544189453097</v>
      </c>
      <c r="G4344" s="6">
        <v>48.672168731689503</v>
      </c>
      <c r="H4344" s="6">
        <v>43.822761535644503</v>
      </c>
      <c r="I4344" s="6">
        <v>43.806144714355497</v>
      </c>
      <c r="J4344" s="6">
        <v>43.817939758300803</v>
      </c>
      <c r="K4344" s="6">
        <v>43.842658996582003</v>
      </c>
      <c r="L4344" s="6">
        <v>39.567428588867202</v>
      </c>
    </row>
    <row r="4345" spans="1:12" x14ac:dyDescent="0.25">
      <c r="A4345">
        <v>3532801</v>
      </c>
      <c r="B4345" t="str">
        <f t="shared" si="67"/>
        <v>NOVA ALIANCA, SP, Brasil</v>
      </c>
      <c r="C4345" s="4" t="str">
        <f>_xlfn.XLOOKUP(A4345,[1]!DadosGHD[CD_GEOCMU],[1]!DadosGHD[Região])</f>
        <v>SD</v>
      </c>
      <c r="D4345" s="4" t="str">
        <f>_xlfn.XLOOKUP(A4345,[1]!DadosGHD[CD_GEOCMU],[1]!DadosGHD[uf])</f>
        <v>SP</v>
      </c>
      <c r="E4345" s="5" t="str">
        <f>_xlfn.XLOOKUP(A4345,[1]!DadosGHD[CD_GEOCMU],[1]!DadosGHD[MUNICIPIO])</f>
        <v>NOVA ALIANCA</v>
      </c>
      <c r="F4345" s="6">
        <v>48.676700592041001</v>
      </c>
      <c r="G4345" s="6">
        <v>53.666130065917997</v>
      </c>
      <c r="H4345" s="6">
        <v>48.800724029541001</v>
      </c>
      <c r="I4345" s="6">
        <v>58.8563232421875</v>
      </c>
      <c r="J4345" s="6">
        <v>58.862979888916001</v>
      </c>
      <c r="K4345" s="6">
        <v>43.877853393554702</v>
      </c>
      <c r="L4345" s="6">
        <v>57.569770812988303</v>
      </c>
    </row>
    <row r="4346" spans="1:12" x14ac:dyDescent="0.25">
      <c r="A4346">
        <v>3503158</v>
      </c>
      <c r="B4346" t="str">
        <f t="shared" si="67"/>
        <v>ARAPEI, SP, Brasil</v>
      </c>
      <c r="C4346" s="4" t="str">
        <f>_xlfn.XLOOKUP(A4346,[1]!DadosGHD[CD_GEOCMU],[1]!DadosGHD[Região])</f>
        <v>SD</v>
      </c>
      <c r="D4346" s="4" t="str">
        <f>_xlfn.XLOOKUP(A4346,[1]!DadosGHD[CD_GEOCMU],[1]!DadosGHD[uf])</f>
        <v>SP</v>
      </c>
      <c r="E4346" s="5" t="str">
        <f>_xlfn.XLOOKUP(A4346,[1]!DadosGHD[CD_GEOCMU],[1]!DadosGHD[MUNICIPIO])</f>
        <v>ARAPEI</v>
      </c>
      <c r="F4346" s="6">
        <v>48.676845550537102</v>
      </c>
      <c r="G4346" s="6">
        <v>48.6821899414063</v>
      </c>
      <c r="H4346" s="6">
        <v>48.730175018310597</v>
      </c>
      <c r="I4346" s="6">
        <v>43.804611206054702</v>
      </c>
      <c r="J4346" s="6">
        <v>43.801097869873097</v>
      </c>
      <c r="K4346" s="6">
        <v>43.837600708007798</v>
      </c>
      <c r="L4346" s="6">
        <v>35.155399322509801</v>
      </c>
    </row>
    <row r="4347" spans="1:12" x14ac:dyDescent="0.25">
      <c r="A4347">
        <v>4203808</v>
      </c>
      <c r="B4347" t="str">
        <f t="shared" si="67"/>
        <v>CANOINHAS, SC, Brasil</v>
      </c>
      <c r="C4347" s="4" t="str">
        <f>_xlfn.XLOOKUP(A4347,[1]!DadosGHD[CD_GEOCMU],[1]!DadosGHD[Região])</f>
        <v>SL</v>
      </c>
      <c r="D4347" s="4" t="str">
        <f>_xlfn.XLOOKUP(A4347,[1]!DadosGHD[CD_GEOCMU],[1]!DadosGHD[uf])</f>
        <v>SC</v>
      </c>
      <c r="E4347" s="5" t="str">
        <f>_xlfn.XLOOKUP(A4347,[1]!DadosGHD[CD_GEOCMU],[1]!DadosGHD[MUNICIPIO])</f>
        <v>CANOINHAS</v>
      </c>
      <c r="F4347" s="6">
        <v>48.6776123046875</v>
      </c>
      <c r="G4347" s="6">
        <v>48.743412017822301</v>
      </c>
      <c r="H4347" s="6">
        <v>53.818229675292997</v>
      </c>
      <c r="I4347" s="6">
        <v>53.784820556640597</v>
      </c>
      <c r="J4347" s="6">
        <v>53.877529144287102</v>
      </c>
      <c r="K4347" s="6">
        <v>53.915233612060597</v>
      </c>
      <c r="L4347" s="6">
        <v>53.004035949707003</v>
      </c>
    </row>
    <row r="4348" spans="1:12" x14ac:dyDescent="0.25">
      <c r="A4348">
        <v>5209101</v>
      </c>
      <c r="B4348" t="str">
        <f t="shared" si="67"/>
        <v>GOIATUBA, GO, Brasil</v>
      </c>
      <c r="C4348" s="4" t="str">
        <f>_xlfn.XLOOKUP(A4348,[1]!DadosGHD[CD_GEOCMU],[1]!DadosGHD[Região])</f>
        <v>CO</v>
      </c>
      <c r="D4348" s="4" t="str">
        <f>_xlfn.XLOOKUP(A4348,[1]!DadosGHD[CD_GEOCMU],[1]!DadosGHD[uf])</f>
        <v>GO</v>
      </c>
      <c r="E4348" s="5" t="str">
        <f>_xlfn.XLOOKUP(A4348,[1]!DadosGHD[CD_GEOCMU],[1]!DadosGHD[MUNICIPIO])</f>
        <v>GOIATUBA</v>
      </c>
      <c r="F4348" s="6">
        <v>48.677684783935597</v>
      </c>
      <c r="G4348" s="6">
        <v>53.695442199707003</v>
      </c>
      <c r="H4348" s="6">
        <v>53.791618347167997</v>
      </c>
      <c r="I4348" s="6">
        <v>48.771121978759801</v>
      </c>
      <c r="J4348" s="6">
        <v>48.768131256103501</v>
      </c>
      <c r="K4348" s="6">
        <v>48.812744140625</v>
      </c>
      <c r="L4348" s="6">
        <v>39.5890083312988</v>
      </c>
    </row>
    <row r="4349" spans="1:12" x14ac:dyDescent="0.25">
      <c r="A4349">
        <v>4212007</v>
      </c>
      <c r="B4349" t="str">
        <f t="shared" si="67"/>
        <v>PALMA SOLA, SC, Brasil</v>
      </c>
      <c r="C4349" s="4" t="str">
        <f>_xlfn.XLOOKUP(A4349,[1]!DadosGHD[CD_GEOCMU],[1]!DadosGHD[Região])</f>
        <v>SL</v>
      </c>
      <c r="D4349" s="4" t="str">
        <f>_xlfn.XLOOKUP(A4349,[1]!DadosGHD[CD_GEOCMU],[1]!DadosGHD[uf])</f>
        <v>SC</v>
      </c>
      <c r="E4349" s="5" t="str">
        <f>_xlfn.XLOOKUP(A4349,[1]!DadosGHD[CD_GEOCMU],[1]!DadosGHD[MUNICIPIO])</f>
        <v>PALMA SOLA</v>
      </c>
      <c r="F4349" s="6">
        <v>48.677818298339801</v>
      </c>
      <c r="G4349" s="6">
        <v>53.773242950439503</v>
      </c>
      <c r="H4349" s="6">
        <v>53.783168792724602</v>
      </c>
      <c r="I4349" s="6">
        <v>53.788185119628899</v>
      </c>
      <c r="J4349" s="6">
        <v>58.978172302246101</v>
      </c>
      <c r="K4349" s="6">
        <v>58.987281799316399</v>
      </c>
      <c r="L4349" s="6">
        <v>53.008964538574197</v>
      </c>
    </row>
    <row r="4350" spans="1:12" x14ac:dyDescent="0.25">
      <c r="A4350">
        <v>3548005</v>
      </c>
      <c r="B4350" t="str">
        <f t="shared" si="67"/>
        <v>SANTO ANTONIO DE POSSE, SP, Brasil</v>
      </c>
      <c r="C4350" s="4" t="str">
        <f>_xlfn.XLOOKUP(A4350,[1]!DadosGHD[CD_GEOCMU],[1]!DadosGHD[Região])</f>
        <v>SD</v>
      </c>
      <c r="D4350" s="4" t="str">
        <f>_xlfn.XLOOKUP(A4350,[1]!DadosGHD[CD_GEOCMU],[1]!DadosGHD[uf])</f>
        <v>SP</v>
      </c>
      <c r="E4350" s="5" t="str">
        <f>_xlfn.XLOOKUP(A4350,[1]!DadosGHD[CD_GEOCMU],[1]!DadosGHD[MUNICIPIO])</f>
        <v>SANTO ANTONIO DE POSSE</v>
      </c>
      <c r="F4350" s="6">
        <v>48.677947998046903</v>
      </c>
      <c r="G4350" s="6">
        <v>53.665149688720703</v>
      </c>
      <c r="H4350" s="6">
        <v>53.798439025878899</v>
      </c>
      <c r="I4350" s="6">
        <v>53.768577575683601</v>
      </c>
      <c r="J4350" s="6">
        <v>53.756050109863303</v>
      </c>
      <c r="K4350" s="6">
        <v>48.913383483886697</v>
      </c>
      <c r="L4350" s="6">
        <v>48.509075164794901</v>
      </c>
    </row>
    <row r="4351" spans="1:12" x14ac:dyDescent="0.25">
      <c r="A4351">
        <v>3163409</v>
      </c>
      <c r="B4351" t="str">
        <f t="shared" si="67"/>
        <v>SAO JOSE DO GOIABAL, MG, Brasil</v>
      </c>
      <c r="C4351" s="4" t="str">
        <f>_xlfn.XLOOKUP(A4351,[1]!DadosGHD[CD_GEOCMU],[1]!DadosGHD[Região])</f>
        <v>SD</v>
      </c>
      <c r="D4351" s="4" t="str">
        <f>_xlfn.XLOOKUP(A4351,[1]!DadosGHD[CD_GEOCMU],[1]!DadosGHD[uf])</f>
        <v>MG</v>
      </c>
      <c r="E4351" s="5" t="str">
        <f>_xlfn.XLOOKUP(A4351,[1]!DadosGHD[CD_GEOCMU],[1]!DadosGHD[MUNICIPIO])</f>
        <v>SAO JOSE DO GOIABAL</v>
      </c>
      <c r="F4351" s="6">
        <v>48.678001403808601</v>
      </c>
      <c r="G4351" s="6">
        <v>43.756828308105497</v>
      </c>
      <c r="H4351" s="6">
        <v>43.729930877685597</v>
      </c>
      <c r="I4351" s="6">
        <v>43.701187133789098</v>
      </c>
      <c r="J4351" s="6">
        <v>43.730499267578097</v>
      </c>
      <c r="K4351" s="6">
        <v>43.764945983886697</v>
      </c>
      <c r="L4351" s="6">
        <v>39.5680961608887</v>
      </c>
    </row>
    <row r="4352" spans="1:12" x14ac:dyDescent="0.25">
      <c r="A4352">
        <v>5214804</v>
      </c>
      <c r="B4352" t="str">
        <f t="shared" si="67"/>
        <v>NOVA AURORA, GO, Brasil</v>
      </c>
      <c r="C4352" s="4" t="str">
        <f>_xlfn.XLOOKUP(A4352,[1]!DadosGHD[CD_GEOCMU],[1]!DadosGHD[Região])</f>
        <v>CO</v>
      </c>
      <c r="D4352" s="4" t="str">
        <f>_xlfn.XLOOKUP(A4352,[1]!DadosGHD[CD_GEOCMU],[1]!DadosGHD[uf])</f>
        <v>GO</v>
      </c>
      <c r="E4352" s="5" t="str">
        <f>_xlfn.XLOOKUP(A4352,[1]!DadosGHD[CD_GEOCMU],[1]!DadosGHD[MUNICIPIO])</f>
        <v>NOVA AURORA</v>
      </c>
      <c r="F4352" s="6">
        <v>48.6780815124512</v>
      </c>
      <c r="G4352" s="6">
        <v>53.658439636230497</v>
      </c>
      <c r="H4352" s="6">
        <v>53.759605407714801</v>
      </c>
      <c r="I4352" s="6">
        <v>48.7672309875488</v>
      </c>
      <c r="J4352" s="6">
        <v>48.742565155029297</v>
      </c>
      <c r="K4352" s="6">
        <v>33.912734985351598</v>
      </c>
      <c r="L4352" s="6">
        <v>52.991683959960902</v>
      </c>
    </row>
    <row r="4353" spans="1:12" x14ac:dyDescent="0.25">
      <c r="A4353">
        <v>4311304</v>
      </c>
      <c r="B4353" t="str">
        <f t="shared" si="67"/>
        <v>LAGOA VERMELHA, RS, Brasil</v>
      </c>
      <c r="C4353" s="4" t="str">
        <f>_xlfn.XLOOKUP(A4353,[1]!DadosGHD[CD_GEOCMU],[1]!DadosGHD[Região])</f>
        <v>SL</v>
      </c>
      <c r="D4353" s="4" t="str">
        <f>_xlfn.XLOOKUP(A4353,[1]!DadosGHD[CD_GEOCMU],[1]!DadosGHD[uf])</f>
        <v>RS</v>
      </c>
      <c r="E4353" s="5" t="str">
        <f>_xlfn.XLOOKUP(A4353,[1]!DadosGHD[CD_GEOCMU],[1]!DadosGHD[MUNICIPIO])</f>
        <v>LAGOA VERMELHA</v>
      </c>
      <c r="F4353" s="6">
        <v>48.678184509277301</v>
      </c>
      <c r="G4353" s="6">
        <v>48.754039764404297</v>
      </c>
      <c r="H4353" s="6">
        <v>53.769245147705099</v>
      </c>
      <c r="I4353" s="6">
        <v>53.815750122070298</v>
      </c>
      <c r="J4353" s="6">
        <v>53.833091735839801</v>
      </c>
      <c r="K4353" s="6">
        <v>53.941139221191399</v>
      </c>
      <c r="L4353" s="6">
        <v>48.499111175537102</v>
      </c>
    </row>
    <row r="4354" spans="1:12" x14ac:dyDescent="0.25">
      <c r="A4354">
        <v>3133808</v>
      </c>
      <c r="B4354" t="str">
        <f t="shared" si="67"/>
        <v>ITAUNA, MG, Brasil</v>
      </c>
      <c r="C4354" s="4" t="str">
        <f>_xlfn.XLOOKUP(A4354,[1]!DadosGHD[CD_GEOCMU],[1]!DadosGHD[Região])</f>
        <v>SD</v>
      </c>
      <c r="D4354" s="4" t="str">
        <f>_xlfn.XLOOKUP(A4354,[1]!DadosGHD[CD_GEOCMU],[1]!DadosGHD[uf])</f>
        <v>MG</v>
      </c>
      <c r="E4354" s="5" t="str">
        <f>_xlfn.XLOOKUP(A4354,[1]!DadosGHD[CD_GEOCMU],[1]!DadosGHD[MUNICIPIO])</f>
        <v>ITAUNA</v>
      </c>
      <c r="F4354" s="6">
        <v>48.678474426269503</v>
      </c>
      <c r="G4354" s="6">
        <v>48.7743110656738</v>
      </c>
      <c r="H4354" s="6">
        <v>48.823417663574197</v>
      </c>
      <c r="I4354" s="6">
        <v>53.784946441650398</v>
      </c>
      <c r="J4354" s="6">
        <v>53.794090270996101</v>
      </c>
      <c r="K4354" s="6">
        <v>48.904571533203097</v>
      </c>
      <c r="L4354" s="6">
        <v>53.045028686523402</v>
      </c>
    </row>
    <row r="4355" spans="1:12" x14ac:dyDescent="0.25">
      <c r="A4355">
        <v>3550605</v>
      </c>
      <c r="B4355" t="str">
        <f t="shared" si="67"/>
        <v>SAO ROQUE, SP, Brasil</v>
      </c>
      <c r="C4355" s="4" t="str">
        <f>_xlfn.XLOOKUP(A4355,[1]!DadosGHD[CD_GEOCMU],[1]!DadosGHD[Região])</f>
        <v>SD</v>
      </c>
      <c r="D4355" s="4" t="str">
        <f>_xlfn.XLOOKUP(A4355,[1]!DadosGHD[CD_GEOCMU],[1]!DadosGHD[uf])</f>
        <v>SP</v>
      </c>
      <c r="E4355" s="5" t="str">
        <f>_xlfn.XLOOKUP(A4355,[1]!DadosGHD[CD_GEOCMU],[1]!DadosGHD[MUNICIPIO])</f>
        <v>SAO ROQUE</v>
      </c>
      <c r="F4355" s="6">
        <v>48.679027557373097</v>
      </c>
      <c r="G4355" s="6">
        <v>48.726070404052699</v>
      </c>
      <c r="H4355" s="6">
        <v>48.752388000488303</v>
      </c>
      <c r="I4355" s="6">
        <v>48.732322692871101</v>
      </c>
      <c r="J4355" s="6">
        <v>48.747947692871101</v>
      </c>
      <c r="K4355" s="6">
        <v>48.787746429443402</v>
      </c>
      <c r="L4355" s="6">
        <v>48.538726806640597</v>
      </c>
    </row>
    <row r="4356" spans="1:12" x14ac:dyDescent="0.25">
      <c r="A4356">
        <v>5103601</v>
      </c>
      <c r="B4356" t="str">
        <f t="shared" ref="B4356:B4419" si="68">_xlfn.CONCAT(E4356, ", ", D4356, ", Brasil")</f>
        <v>DOM AQUINO, MT, Brasil</v>
      </c>
      <c r="C4356" s="4" t="str">
        <f>_xlfn.XLOOKUP(A4356,[1]!DadosGHD[CD_GEOCMU],[1]!DadosGHD[Região])</f>
        <v>CO</v>
      </c>
      <c r="D4356" s="4" t="str">
        <f>_xlfn.XLOOKUP(A4356,[1]!DadosGHD[CD_GEOCMU],[1]!DadosGHD[uf])</f>
        <v>MT</v>
      </c>
      <c r="E4356" s="5" t="str">
        <f>_xlfn.XLOOKUP(A4356,[1]!DadosGHD[CD_GEOCMU],[1]!DadosGHD[MUNICIPIO])</f>
        <v>DOM AQUINO</v>
      </c>
      <c r="F4356" s="6">
        <v>48.679195404052699</v>
      </c>
      <c r="G4356" s="6">
        <v>53.696598052978501</v>
      </c>
      <c r="H4356" s="6">
        <v>48.855564117431598</v>
      </c>
      <c r="I4356" s="6">
        <v>53.747024536132798</v>
      </c>
      <c r="J4356" s="6">
        <v>53.765937805175803</v>
      </c>
      <c r="K4356" s="6">
        <v>48.8801078796387</v>
      </c>
      <c r="L4356" s="6">
        <v>44.050865173339801</v>
      </c>
    </row>
    <row r="4357" spans="1:12" x14ac:dyDescent="0.25">
      <c r="A4357">
        <v>3543303</v>
      </c>
      <c r="B4357" t="str">
        <f t="shared" si="68"/>
        <v>RIBEIRAO PIRES, SP, Brasil</v>
      </c>
      <c r="C4357" s="4" t="str">
        <f>_xlfn.XLOOKUP(A4357,[1]!DadosGHD[CD_GEOCMU],[1]!DadosGHD[Região])</f>
        <v>SD</v>
      </c>
      <c r="D4357" s="4" t="str">
        <f>_xlfn.XLOOKUP(A4357,[1]!DadosGHD[CD_GEOCMU],[1]!DadosGHD[uf])</f>
        <v>SP</v>
      </c>
      <c r="E4357" s="5" t="str">
        <f>_xlfn.XLOOKUP(A4357,[1]!DadosGHD[CD_GEOCMU],[1]!DadosGHD[MUNICIPIO])</f>
        <v>RIBEIRAO PIRES</v>
      </c>
      <c r="F4357" s="6">
        <v>48.679729461669901</v>
      </c>
      <c r="G4357" s="6">
        <v>48.741737365722699</v>
      </c>
      <c r="H4357" s="6">
        <v>48.786895751953097</v>
      </c>
      <c r="I4357" s="6">
        <v>48.778858184814503</v>
      </c>
      <c r="J4357" s="6">
        <v>48.7689399719238</v>
      </c>
      <c r="K4357" s="6">
        <v>48.821243286132798</v>
      </c>
      <c r="L4357" s="6">
        <v>52.985874176025398</v>
      </c>
    </row>
    <row r="4358" spans="1:12" x14ac:dyDescent="0.25">
      <c r="A4358">
        <v>4210100</v>
      </c>
      <c r="B4358" t="str">
        <f t="shared" si="68"/>
        <v>MAFRA, SC, Brasil</v>
      </c>
      <c r="C4358" s="4" t="str">
        <f>_xlfn.XLOOKUP(A4358,[1]!DadosGHD[CD_GEOCMU],[1]!DadosGHD[Região])</f>
        <v>SL</v>
      </c>
      <c r="D4358" s="4" t="str">
        <f>_xlfn.XLOOKUP(A4358,[1]!DadosGHD[CD_GEOCMU],[1]!DadosGHD[uf])</f>
        <v>SC</v>
      </c>
      <c r="E4358" s="5" t="str">
        <f>_xlfn.XLOOKUP(A4358,[1]!DadosGHD[CD_GEOCMU],[1]!DadosGHD[MUNICIPIO])</f>
        <v>MAFRA</v>
      </c>
      <c r="F4358" s="6">
        <v>48.6800727844238</v>
      </c>
      <c r="G4358" s="6">
        <v>48.735805511474602</v>
      </c>
      <c r="H4358" s="6">
        <v>48.7339477539063</v>
      </c>
      <c r="I4358" s="6">
        <v>48.716949462890597</v>
      </c>
      <c r="J4358" s="6">
        <v>48.731163024902301</v>
      </c>
      <c r="K4358" s="6">
        <v>48.873176574707003</v>
      </c>
      <c r="L4358" s="6">
        <v>53.027633666992202</v>
      </c>
    </row>
    <row r="4359" spans="1:12" x14ac:dyDescent="0.25">
      <c r="A4359">
        <v>1709302</v>
      </c>
      <c r="B4359" t="str">
        <f t="shared" si="68"/>
        <v>GUARAI, TO, Brasil</v>
      </c>
      <c r="C4359" s="4" t="str">
        <f>_xlfn.XLOOKUP(A4359,[1]!DadosGHD[CD_GEOCMU],[1]!DadosGHD[Região])</f>
        <v>NO</v>
      </c>
      <c r="D4359" s="4" t="str">
        <f>_xlfn.XLOOKUP(A4359,[1]!DadosGHD[CD_GEOCMU],[1]!DadosGHD[uf])</f>
        <v>TO</v>
      </c>
      <c r="E4359" s="5" t="str">
        <f>_xlfn.XLOOKUP(A4359,[1]!DadosGHD[CD_GEOCMU],[1]!DadosGHD[MUNICIPIO])</f>
        <v>GUARAI</v>
      </c>
      <c r="F4359" s="6">
        <v>48.6801147460938</v>
      </c>
      <c r="G4359" s="6">
        <v>48.689254760742202</v>
      </c>
      <c r="H4359" s="6">
        <v>48.758819580078097</v>
      </c>
      <c r="I4359" s="6">
        <v>48.763828277587898</v>
      </c>
      <c r="J4359" s="6">
        <v>53.741996765136697</v>
      </c>
      <c r="K4359" s="6">
        <v>53.826969146728501</v>
      </c>
      <c r="L4359" s="6">
        <v>39.611618041992202</v>
      </c>
    </row>
    <row r="4360" spans="1:12" x14ac:dyDescent="0.25">
      <c r="A4360">
        <v>3518701</v>
      </c>
      <c r="B4360" t="str">
        <f t="shared" si="68"/>
        <v>GUARUJA, SP, Brasil</v>
      </c>
      <c r="C4360" s="4" t="str">
        <f>_xlfn.XLOOKUP(A4360,[1]!DadosGHD[CD_GEOCMU],[1]!DadosGHD[Região])</f>
        <v>SD</v>
      </c>
      <c r="D4360" s="4" t="str">
        <f>_xlfn.XLOOKUP(A4360,[1]!DadosGHD[CD_GEOCMU],[1]!DadosGHD[uf])</f>
        <v>SP</v>
      </c>
      <c r="E4360" s="5" t="str">
        <f>_xlfn.XLOOKUP(A4360,[1]!DadosGHD[CD_GEOCMU],[1]!DadosGHD[MUNICIPIO])</f>
        <v>GUARUJA</v>
      </c>
      <c r="F4360" s="6">
        <v>48.680225372314503</v>
      </c>
      <c r="G4360" s="6">
        <v>48.760749816894503</v>
      </c>
      <c r="H4360" s="6">
        <v>48.784465789794901</v>
      </c>
      <c r="I4360" s="6">
        <v>48.708503723144503</v>
      </c>
      <c r="J4360" s="6">
        <v>48.736221313476598</v>
      </c>
      <c r="K4360" s="6">
        <v>48.897983551025398</v>
      </c>
      <c r="L4360" s="6">
        <v>57.535026550292997</v>
      </c>
    </row>
    <row r="4361" spans="1:12" x14ac:dyDescent="0.25">
      <c r="A4361">
        <v>3147105</v>
      </c>
      <c r="B4361" t="str">
        <f t="shared" si="68"/>
        <v>PARA DE MINAS, MG, Brasil</v>
      </c>
      <c r="C4361" s="4" t="str">
        <f>_xlfn.XLOOKUP(A4361,[1]!DadosGHD[CD_GEOCMU],[1]!DadosGHD[Região])</f>
        <v>SD</v>
      </c>
      <c r="D4361" s="4" t="str">
        <f>_xlfn.XLOOKUP(A4361,[1]!DadosGHD[CD_GEOCMU],[1]!DadosGHD[uf])</f>
        <v>MG</v>
      </c>
      <c r="E4361" s="5" t="str">
        <f>_xlfn.XLOOKUP(A4361,[1]!DadosGHD[CD_GEOCMU],[1]!DadosGHD[MUNICIPIO])</f>
        <v>PARA DE MINAS</v>
      </c>
      <c r="F4361" s="6">
        <v>48.680294036865199</v>
      </c>
      <c r="G4361" s="6">
        <v>53.674087524414098</v>
      </c>
      <c r="H4361" s="6">
        <v>53.796554565429702</v>
      </c>
      <c r="I4361" s="6">
        <v>53.803802490234403</v>
      </c>
      <c r="J4361" s="6">
        <v>53.8941040039063</v>
      </c>
      <c r="K4361" s="6">
        <v>53.888885498046903</v>
      </c>
      <c r="L4361" s="6">
        <v>57.501834869384801</v>
      </c>
    </row>
    <row r="4362" spans="1:12" x14ac:dyDescent="0.25">
      <c r="A4362">
        <v>4126801</v>
      </c>
      <c r="B4362" t="str">
        <f t="shared" si="68"/>
        <v>TAPEJARA, PR, Brasil</v>
      </c>
      <c r="C4362" s="4" t="str">
        <f>_xlfn.XLOOKUP(A4362,[1]!DadosGHD[CD_GEOCMU],[1]!DadosGHD[Região])</f>
        <v>SL</v>
      </c>
      <c r="D4362" s="4" t="str">
        <f>_xlfn.XLOOKUP(A4362,[1]!DadosGHD[CD_GEOCMU],[1]!DadosGHD[uf])</f>
        <v>PR</v>
      </c>
      <c r="E4362" s="5" t="str">
        <f>_xlfn.XLOOKUP(A4362,[1]!DadosGHD[CD_GEOCMU],[1]!DadosGHD[MUNICIPIO])</f>
        <v>TAPEJARA</v>
      </c>
      <c r="F4362" s="6">
        <v>48.6806030273438</v>
      </c>
      <c r="G4362" s="6">
        <v>53.672744750976598</v>
      </c>
      <c r="H4362" s="6">
        <v>53.835113525390597</v>
      </c>
      <c r="I4362" s="6">
        <v>53.818264007568402</v>
      </c>
      <c r="J4362" s="6">
        <v>53.834579467773402</v>
      </c>
      <c r="K4362" s="6">
        <v>53.866798400878899</v>
      </c>
      <c r="L4362" s="6">
        <v>48.500171661377003</v>
      </c>
    </row>
    <row r="4363" spans="1:12" x14ac:dyDescent="0.25">
      <c r="A4363">
        <v>3170479</v>
      </c>
      <c r="B4363" t="str">
        <f t="shared" si="68"/>
        <v>URUANA DE MINAS, MG, Brasil</v>
      </c>
      <c r="C4363" s="4" t="str">
        <f>_xlfn.XLOOKUP(A4363,[1]!DadosGHD[CD_GEOCMU],[1]!DadosGHD[Região])</f>
        <v>SD</v>
      </c>
      <c r="D4363" s="4" t="str">
        <f>_xlfn.XLOOKUP(A4363,[1]!DadosGHD[CD_GEOCMU],[1]!DadosGHD[uf])</f>
        <v>MG</v>
      </c>
      <c r="E4363" s="5" t="str">
        <f>_xlfn.XLOOKUP(A4363,[1]!DadosGHD[CD_GEOCMU],[1]!DadosGHD[MUNICIPIO])</f>
        <v>URUANA DE MINAS</v>
      </c>
      <c r="F4363" s="6">
        <v>48.680828094482401</v>
      </c>
      <c r="G4363" s="6">
        <v>43.720977783203097</v>
      </c>
      <c r="H4363" s="6">
        <v>43.7759819030762</v>
      </c>
      <c r="I4363" s="6">
        <v>38.802688598632798</v>
      </c>
      <c r="J4363" s="6">
        <v>48.759010314941399</v>
      </c>
      <c r="K4363" s="6">
        <v>48.800197601318402</v>
      </c>
      <c r="L4363" s="6">
        <v>39.565383911132798</v>
      </c>
    </row>
    <row r="4364" spans="1:12" x14ac:dyDescent="0.25">
      <c r="A4364">
        <v>3100104</v>
      </c>
      <c r="B4364" t="str">
        <f t="shared" si="68"/>
        <v>ABADIA DOS DOURADOS, MG, Brasil</v>
      </c>
      <c r="C4364" s="4" t="str">
        <f>_xlfn.XLOOKUP(A4364,[1]!DadosGHD[CD_GEOCMU],[1]!DadosGHD[Região])</f>
        <v>SD</v>
      </c>
      <c r="D4364" s="4" t="str">
        <f>_xlfn.XLOOKUP(A4364,[1]!DadosGHD[CD_GEOCMU],[1]!DadosGHD[uf])</f>
        <v>MG</v>
      </c>
      <c r="E4364" s="5" t="str">
        <f>_xlfn.XLOOKUP(A4364,[1]!DadosGHD[CD_GEOCMU],[1]!DadosGHD[MUNICIPIO])</f>
        <v>ABADIA DOS DOURADOS</v>
      </c>
      <c r="F4364" s="6">
        <v>48.681056976318402</v>
      </c>
      <c r="G4364" s="6">
        <v>43.755084991455099</v>
      </c>
      <c r="H4364" s="6">
        <v>48.741920471191399</v>
      </c>
      <c r="I4364" s="6">
        <v>43.801395416259801</v>
      </c>
      <c r="J4364" s="6">
        <v>48.712753295898402</v>
      </c>
      <c r="K4364" s="6">
        <v>43.875598907470703</v>
      </c>
      <c r="L4364" s="6">
        <v>48.535484313964801</v>
      </c>
    </row>
    <row r="4365" spans="1:12" x14ac:dyDescent="0.25">
      <c r="A4365">
        <v>3518305</v>
      </c>
      <c r="B4365" t="str">
        <f t="shared" si="68"/>
        <v>GUARAREMA, SP, Brasil</v>
      </c>
      <c r="C4365" s="4" t="str">
        <f>_xlfn.XLOOKUP(A4365,[1]!DadosGHD[CD_GEOCMU],[1]!DadosGHD[Região])</f>
        <v>SD</v>
      </c>
      <c r="D4365" s="4" t="str">
        <f>_xlfn.XLOOKUP(A4365,[1]!DadosGHD[CD_GEOCMU],[1]!DadosGHD[uf])</f>
        <v>SP</v>
      </c>
      <c r="E4365" s="5" t="str">
        <f>_xlfn.XLOOKUP(A4365,[1]!DadosGHD[CD_GEOCMU],[1]!DadosGHD[MUNICIPIO])</f>
        <v>GUARAREMA</v>
      </c>
      <c r="F4365" s="6">
        <v>48.6811714172363</v>
      </c>
      <c r="G4365" s="6">
        <v>48.663059234619098</v>
      </c>
      <c r="H4365" s="6">
        <v>43.780830383300803</v>
      </c>
      <c r="I4365" s="6">
        <v>43.773689270019503</v>
      </c>
      <c r="J4365" s="6">
        <v>48.728706359863303</v>
      </c>
      <c r="K4365" s="6">
        <v>48.893478393554702</v>
      </c>
      <c r="L4365" s="6">
        <v>57.551109313964801</v>
      </c>
    </row>
    <row r="4366" spans="1:12" x14ac:dyDescent="0.25">
      <c r="A4366">
        <v>1713205</v>
      </c>
      <c r="B4366" t="str">
        <f t="shared" si="68"/>
        <v>MIRACEMA DO TOCANTINS, TO, Brasil</v>
      </c>
      <c r="C4366" s="4" t="str">
        <f>_xlfn.XLOOKUP(A4366,[1]!DadosGHD[CD_GEOCMU],[1]!DadosGHD[Região])</f>
        <v>NO</v>
      </c>
      <c r="D4366" s="4" t="str">
        <f>_xlfn.XLOOKUP(A4366,[1]!DadosGHD[CD_GEOCMU],[1]!DadosGHD[uf])</f>
        <v>TO</v>
      </c>
      <c r="E4366" s="5" t="str">
        <f>_xlfn.XLOOKUP(A4366,[1]!DadosGHD[CD_GEOCMU],[1]!DadosGHD[MUNICIPIO])</f>
        <v>MIRACEMA DO TOCANTINS</v>
      </c>
      <c r="F4366" s="6">
        <v>48.681407928466797</v>
      </c>
      <c r="G4366" s="6">
        <v>48.721996307373097</v>
      </c>
      <c r="H4366" s="6">
        <v>48.774112701416001</v>
      </c>
      <c r="I4366" s="6">
        <v>48.752361297607401</v>
      </c>
      <c r="J4366" s="6">
        <v>48.766078948974602</v>
      </c>
      <c r="K4366" s="6">
        <v>48.850898742675803</v>
      </c>
      <c r="L4366" s="6">
        <v>39.559787750244098</v>
      </c>
    </row>
    <row r="4367" spans="1:12" x14ac:dyDescent="0.25">
      <c r="A4367">
        <v>4211306</v>
      </c>
      <c r="B4367" t="str">
        <f t="shared" si="68"/>
        <v>NAVEGANTES, SC, Brasil</v>
      </c>
      <c r="C4367" s="4" t="str">
        <f>_xlfn.XLOOKUP(A4367,[1]!DadosGHD[CD_GEOCMU],[1]!DadosGHD[Região])</f>
        <v>SL</v>
      </c>
      <c r="D4367" s="4" t="str">
        <f>_xlfn.XLOOKUP(A4367,[1]!DadosGHD[CD_GEOCMU],[1]!DadosGHD[uf])</f>
        <v>SC</v>
      </c>
      <c r="E4367" s="5" t="str">
        <f>_xlfn.XLOOKUP(A4367,[1]!DadosGHD[CD_GEOCMU],[1]!DadosGHD[MUNICIPIO])</f>
        <v>NAVEGANTES</v>
      </c>
      <c r="F4367" s="6">
        <v>48.681877136230497</v>
      </c>
      <c r="G4367" s="6">
        <v>48.768581390380902</v>
      </c>
      <c r="H4367" s="6">
        <v>48.844844818115199</v>
      </c>
      <c r="I4367" s="6">
        <v>48.774784088134801</v>
      </c>
      <c r="J4367" s="6">
        <v>48.781917572021499</v>
      </c>
      <c r="K4367" s="6">
        <v>48.841545104980497</v>
      </c>
      <c r="L4367" s="6">
        <v>57.551845550537102</v>
      </c>
    </row>
    <row r="4368" spans="1:12" x14ac:dyDescent="0.25">
      <c r="A4368">
        <v>4211009</v>
      </c>
      <c r="B4368" t="str">
        <f t="shared" si="68"/>
        <v>MONDAI, SC, Brasil</v>
      </c>
      <c r="C4368" s="4" t="str">
        <f>_xlfn.XLOOKUP(A4368,[1]!DadosGHD[CD_GEOCMU],[1]!DadosGHD[Região])</f>
        <v>SL</v>
      </c>
      <c r="D4368" s="4" t="str">
        <f>_xlfn.XLOOKUP(A4368,[1]!DadosGHD[CD_GEOCMU],[1]!DadosGHD[uf])</f>
        <v>SC</v>
      </c>
      <c r="E4368" s="5" t="str">
        <f>_xlfn.XLOOKUP(A4368,[1]!DadosGHD[CD_GEOCMU],[1]!DadosGHD[MUNICIPIO])</f>
        <v>MONDAI</v>
      </c>
      <c r="F4368" s="6">
        <v>48.682651519775398</v>
      </c>
      <c r="G4368" s="6">
        <v>58.842819213867202</v>
      </c>
      <c r="H4368" s="6">
        <v>58.964302062988303</v>
      </c>
      <c r="I4368" s="6">
        <v>53.8603324890137</v>
      </c>
      <c r="J4368" s="6">
        <v>58.842472076416001</v>
      </c>
      <c r="K4368" s="6">
        <v>58.906425476074197</v>
      </c>
      <c r="L4368" s="6">
        <v>57.589881896972699</v>
      </c>
    </row>
    <row r="4369" spans="1:12" x14ac:dyDescent="0.25">
      <c r="A4369">
        <v>3544301</v>
      </c>
      <c r="B4369" t="str">
        <f t="shared" si="68"/>
        <v>ROSEIRA, SP, Brasil</v>
      </c>
      <c r="C4369" s="4" t="str">
        <f>_xlfn.XLOOKUP(A4369,[1]!DadosGHD[CD_GEOCMU],[1]!DadosGHD[Região])</f>
        <v>SD</v>
      </c>
      <c r="D4369" s="4" t="str">
        <f>_xlfn.XLOOKUP(A4369,[1]!DadosGHD[CD_GEOCMU],[1]!DadosGHD[uf])</f>
        <v>SP</v>
      </c>
      <c r="E4369" s="5" t="str">
        <f>_xlfn.XLOOKUP(A4369,[1]!DadosGHD[CD_GEOCMU],[1]!DadosGHD[MUNICIPIO])</f>
        <v>ROSEIRA</v>
      </c>
      <c r="F4369" s="6">
        <v>48.682895660400398</v>
      </c>
      <c r="G4369" s="6">
        <v>48.727394104003899</v>
      </c>
      <c r="H4369" s="6">
        <v>48.725147247314503</v>
      </c>
      <c r="I4369" s="6">
        <v>43.751277923583999</v>
      </c>
      <c r="J4369" s="6">
        <v>43.713188171386697</v>
      </c>
      <c r="K4369" s="6">
        <v>53.902370452880902</v>
      </c>
      <c r="L4369" s="6">
        <v>57.579189300537102</v>
      </c>
    </row>
    <row r="4370" spans="1:12" x14ac:dyDescent="0.25">
      <c r="A4370">
        <v>4107900</v>
      </c>
      <c r="B4370" t="str">
        <f t="shared" si="68"/>
        <v>FLORESTA, PR, Brasil</v>
      </c>
      <c r="C4370" s="4" t="str">
        <f>_xlfn.XLOOKUP(A4370,[1]!DadosGHD[CD_GEOCMU],[1]!DadosGHD[Região])</f>
        <v>SL</v>
      </c>
      <c r="D4370" s="4" t="str">
        <f>_xlfn.XLOOKUP(A4370,[1]!DadosGHD[CD_GEOCMU],[1]!DadosGHD[uf])</f>
        <v>PR</v>
      </c>
      <c r="E4370" s="5" t="str">
        <f>_xlfn.XLOOKUP(A4370,[1]!DadosGHD[CD_GEOCMU],[1]!DadosGHD[MUNICIPIO])</f>
        <v>FLORESTA</v>
      </c>
      <c r="F4370" s="6">
        <v>48.682975769042997</v>
      </c>
      <c r="G4370" s="6">
        <v>48.765052795410199</v>
      </c>
      <c r="H4370" s="6">
        <v>48.84033203125</v>
      </c>
      <c r="I4370" s="6">
        <v>53.732833862304702</v>
      </c>
      <c r="J4370" s="6">
        <v>48.788318634033203</v>
      </c>
      <c r="K4370" s="6">
        <v>43.823814392089801</v>
      </c>
      <c r="L4370" s="6">
        <v>39.582138061523402</v>
      </c>
    </row>
    <row r="4371" spans="1:12" x14ac:dyDescent="0.25">
      <c r="A4371">
        <v>4217550</v>
      </c>
      <c r="B4371" t="str">
        <f t="shared" si="68"/>
        <v>SERRA ALTA, SC, Brasil</v>
      </c>
      <c r="C4371" s="4" t="str">
        <f>_xlfn.XLOOKUP(A4371,[1]!DadosGHD[CD_GEOCMU],[1]!DadosGHD[Região])</f>
        <v>SL</v>
      </c>
      <c r="D4371" s="4" t="str">
        <f>_xlfn.XLOOKUP(A4371,[1]!DadosGHD[CD_GEOCMU],[1]!DadosGHD[uf])</f>
        <v>SC</v>
      </c>
      <c r="E4371" s="5" t="str">
        <f>_xlfn.XLOOKUP(A4371,[1]!DadosGHD[CD_GEOCMU],[1]!DadosGHD[MUNICIPIO])</f>
        <v>SERRA ALTA</v>
      </c>
      <c r="F4371" s="6">
        <v>48.6830444335938</v>
      </c>
      <c r="G4371" s="6">
        <v>53.797264099121101</v>
      </c>
      <c r="H4371" s="6">
        <v>58.842300415039098</v>
      </c>
      <c r="I4371" s="6">
        <v>63.948997497558601</v>
      </c>
      <c r="J4371" s="6">
        <v>58.970222473144503</v>
      </c>
      <c r="K4371" s="6">
        <v>58.997791290283203</v>
      </c>
      <c r="L4371" s="6">
        <v>57.520877838134801</v>
      </c>
    </row>
    <row r="4372" spans="1:12" x14ac:dyDescent="0.25">
      <c r="A4372">
        <v>3506805</v>
      </c>
      <c r="B4372" t="str">
        <f t="shared" si="68"/>
        <v>BOCAINA, SP, Brasil</v>
      </c>
      <c r="C4372" s="4" t="str">
        <f>_xlfn.XLOOKUP(A4372,[1]!DadosGHD[CD_GEOCMU],[1]!DadosGHD[Região])</f>
        <v>SD</v>
      </c>
      <c r="D4372" s="4" t="str">
        <f>_xlfn.XLOOKUP(A4372,[1]!DadosGHD[CD_GEOCMU],[1]!DadosGHD[uf])</f>
        <v>SP</v>
      </c>
      <c r="E4372" s="5" t="str">
        <f>_xlfn.XLOOKUP(A4372,[1]!DadosGHD[CD_GEOCMU],[1]!DadosGHD[MUNICIPIO])</f>
        <v>BOCAINA</v>
      </c>
      <c r="F4372" s="6">
        <v>48.683063507080099</v>
      </c>
      <c r="G4372" s="6">
        <v>48.726615905761697</v>
      </c>
      <c r="H4372" s="6">
        <v>48.769046783447301</v>
      </c>
      <c r="I4372" s="6">
        <v>48.713748931884801</v>
      </c>
      <c r="J4372" s="6">
        <v>53.727565765380902</v>
      </c>
      <c r="K4372" s="6">
        <v>48.890060424804702</v>
      </c>
      <c r="L4372" s="6">
        <v>57.501216888427699</v>
      </c>
    </row>
    <row r="4373" spans="1:12" x14ac:dyDescent="0.25">
      <c r="A4373">
        <v>4208807</v>
      </c>
      <c r="B4373" t="str">
        <f t="shared" si="68"/>
        <v>JAGUARUNA, SC, Brasil</v>
      </c>
      <c r="C4373" s="4" t="str">
        <f>_xlfn.XLOOKUP(A4373,[1]!DadosGHD[CD_GEOCMU],[1]!DadosGHD[Região])</f>
        <v>SL</v>
      </c>
      <c r="D4373" s="4" t="str">
        <f>_xlfn.XLOOKUP(A4373,[1]!DadosGHD[CD_GEOCMU],[1]!DadosGHD[uf])</f>
        <v>SC</v>
      </c>
      <c r="E4373" s="5" t="str">
        <f>_xlfn.XLOOKUP(A4373,[1]!DadosGHD[CD_GEOCMU],[1]!DadosGHD[MUNICIPIO])</f>
        <v>JAGUARUNA</v>
      </c>
      <c r="F4373" s="6">
        <v>48.683349609375</v>
      </c>
      <c r="G4373" s="6">
        <v>53.688804626464801</v>
      </c>
      <c r="H4373" s="6">
        <v>53.7779731750488</v>
      </c>
      <c r="I4373" s="6">
        <v>53.748012542724602</v>
      </c>
      <c r="J4373" s="6">
        <v>48.820564270019503</v>
      </c>
      <c r="K4373" s="6">
        <v>53.8362846374512</v>
      </c>
      <c r="L4373" s="6">
        <v>53.024154663085902</v>
      </c>
    </row>
    <row r="4374" spans="1:12" x14ac:dyDescent="0.25">
      <c r="A4374">
        <v>3508702</v>
      </c>
      <c r="B4374" t="str">
        <f t="shared" si="68"/>
        <v>CACONDE, SP, Brasil</v>
      </c>
      <c r="C4374" s="4" t="str">
        <f>_xlfn.XLOOKUP(A4374,[1]!DadosGHD[CD_GEOCMU],[1]!DadosGHD[Região])</f>
        <v>SD</v>
      </c>
      <c r="D4374" s="4" t="str">
        <f>_xlfn.XLOOKUP(A4374,[1]!DadosGHD[CD_GEOCMU],[1]!DadosGHD[uf])</f>
        <v>SP</v>
      </c>
      <c r="E4374" s="5" t="str">
        <f>_xlfn.XLOOKUP(A4374,[1]!DadosGHD[CD_GEOCMU],[1]!DadosGHD[MUNICIPIO])</f>
        <v>CACONDE</v>
      </c>
      <c r="F4374" s="6">
        <v>48.683513641357401</v>
      </c>
      <c r="G4374" s="6">
        <v>53.663261413574197</v>
      </c>
      <c r="H4374" s="6">
        <v>53.8111381530762</v>
      </c>
      <c r="I4374" s="6">
        <v>53.757514953613303</v>
      </c>
      <c r="J4374" s="6">
        <v>53.777523040771499</v>
      </c>
      <c r="K4374" s="6">
        <v>53.836559295654297</v>
      </c>
      <c r="L4374" s="6">
        <v>53.0225830078125</v>
      </c>
    </row>
    <row r="4375" spans="1:12" x14ac:dyDescent="0.25">
      <c r="A4375">
        <v>3511706</v>
      </c>
      <c r="B4375" t="str">
        <f t="shared" si="68"/>
        <v>CHARQUEADA, SP, Brasil</v>
      </c>
      <c r="C4375" s="4" t="str">
        <f>_xlfn.XLOOKUP(A4375,[1]!DadosGHD[CD_GEOCMU],[1]!DadosGHD[Região])</f>
        <v>SD</v>
      </c>
      <c r="D4375" s="4" t="str">
        <f>_xlfn.XLOOKUP(A4375,[1]!DadosGHD[CD_GEOCMU],[1]!DadosGHD[uf])</f>
        <v>SP</v>
      </c>
      <c r="E4375" s="5" t="str">
        <f>_xlfn.XLOOKUP(A4375,[1]!DadosGHD[CD_GEOCMU],[1]!DadosGHD[MUNICIPIO])</f>
        <v>CHARQUEADA</v>
      </c>
      <c r="F4375" s="6">
        <v>48.683834075927699</v>
      </c>
      <c r="G4375" s="6">
        <v>48.754722595214801</v>
      </c>
      <c r="H4375" s="6">
        <v>48.752784729003899</v>
      </c>
      <c r="I4375" s="6">
        <v>48.736698150634801</v>
      </c>
      <c r="J4375" s="6">
        <v>48.783763885498097</v>
      </c>
      <c r="K4375" s="6">
        <v>48.783172607421903</v>
      </c>
      <c r="L4375" s="6">
        <v>44.072334289550803</v>
      </c>
    </row>
    <row r="4376" spans="1:12" x14ac:dyDescent="0.25">
      <c r="A4376">
        <v>5218904</v>
      </c>
      <c r="B4376" t="str">
        <f t="shared" si="68"/>
        <v>RUBIATABA, GO, Brasil</v>
      </c>
      <c r="C4376" s="4" t="str">
        <f>_xlfn.XLOOKUP(A4376,[1]!DadosGHD[CD_GEOCMU],[1]!DadosGHD[Região])</f>
        <v>CO</v>
      </c>
      <c r="D4376" s="4" t="str">
        <f>_xlfn.XLOOKUP(A4376,[1]!DadosGHD[CD_GEOCMU],[1]!DadosGHD[uf])</f>
        <v>GO</v>
      </c>
      <c r="E4376" s="5" t="str">
        <f>_xlfn.XLOOKUP(A4376,[1]!DadosGHD[CD_GEOCMU],[1]!DadosGHD[MUNICIPIO])</f>
        <v>RUBIATABA</v>
      </c>
      <c r="F4376" s="6">
        <v>48.683914184570298</v>
      </c>
      <c r="G4376" s="6">
        <v>48.754005432128899</v>
      </c>
      <c r="H4376" s="6">
        <v>48.833789825439503</v>
      </c>
      <c r="I4376" s="6">
        <v>48.795921325683601</v>
      </c>
      <c r="J4376" s="6">
        <v>53.7440376281738</v>
      </c>
      <c r="K4376" s="6">
        <v>53.839031219482401</v>
      </c>
      <c r="L4376" s="6">
        <v>35.159080505371101</v>
      </c>
    </row>
    <row r="4377" spans="1:12" x14ac:dyDescent="0.25">
      <c r="A4377">
        <v>3167509</v>
      </c>
      <c r="B4377" t="str">
        <f t="shared" si="68"/>
        <v>SIMAO PEREIRA, MG, Brasil</v>
      </c>
      <c r="C4377" s="4" t="str">
        <f>_xlfn.XLOOKUP(A4377,[1]!DadosGHD[CD_GEOCMU],[1]!DadosGHD[Região])</f>
        <v>SD</v>
      </c>
      <c r="D4377" s="4" t="str">
        <f>_xlfn.XLOOKUP(A4377,[1]!DadosGHD[CD_GEOCMU],[1]!DadosGHD[uf])</f>
        <v>MG</v>
      </c>
      <c r="E4377" s="5" t="str">
        <f>_xlfn.XLOOKUP(A4377,[1]!DadosGHD[CD_GEOCMU],[1]!DadosGHD[MUNICIPIO])</f>
        <v>SIMAO PEREIRA</v>
      </c>
      <c r="F4377" s="6">
        <v>48.684169769287102</v>
      </c>
      <c r="G4377" s="6">
        <v>48.683074951171903</v>
      </c>
      <c r="H4377" s="6">
        <v>48.756656646728501</v>
      </c>
      <c r="I4377" s="6">
        <v>48.780483245849602</v>
      </c>
      <c r="J4377" s="6">
        <v>48.758102416992202</v>
      </c>
      <c r="K4377" s="6">
        <v>43.8480834960938</v>
      </c>
      <c r="L4377" s="6">
        <v>35.119266510009801</v>
      </c>
    </row>
    <row r="4378" spans="1:12" x14ac:dyDescent="0.25">
      <c r="A4378">
        <v>3510906</v>
      </c>
      <c r="B4378" t="str">
        <f t="shared" si="68"/>
        <v>CASSIA DOS COQUEIROS, SP, Brasil</v>
      </c>
      <c r="C4378" s="4" t="str">
        <f>_xlfn.XLOOKUP(A4378,[1]!DadosGHD[CD_GEOCMU],[1]!DadosGHD[Região])</f>
        <v>SD</v>
      </c>
      <c r="D4378" s="4" t="str">
        <f>_xlfn.XLOOKUP(A4378,[1]!DadosGHD[CD_GEOCMU],[1]!DadosGHD[uf])</f>
        <v>SP</v>
      </c>
      <c r="E4378" s="5" t="str">
        <f>_xlfn.XLOOKUP(A4378,[1]!DadosGHD[CD_GEOCMU],[1]!DadosGHD[MUNICIPIO])</f>
        <v>CASSIA DOS COQUEIROS</v>
      </c>
      <c r="F4378" s="6">
        <v>48.684169769287102</v>
      </c>
      <c r="G4378" s="6">
        <v>53.676780700683601</v>
      </c>
      <c r="H4378" s="6">
        <v>53.874332427978501</v>
      </c>
      <c r="I4378" s="6">
        <v>53.8460083007813</v>
      </c>
      <c r="J4378" s="6">
        <v>53.808059692382798</v>
      </c>
      <c r="K4378" s="6">
        <v>43.846874237060597</v>
      </c>
      <c r="L4378" s="6">
        <v>48.549842834472699</v>
      </c>
    </row>
    <row r="4379" spans="1:12" x14ac:dyDescent="0.25">
      <c r="A4379">
        <v>3502705</v>
      </c>
      <c r="B4379" t="str">
        <f t="shared" si="68"/>
        <v>APIAI, SP, Brasil</v>
      </c>
      <c r="C4379" s="4" t="str">
        <f>_xlfn.XLOOKUP(A4379,[1]!DadosGHD[CD_GEOCMU],[1]!DadosGHD[Região])</f>
        <v>SD</v>
      </c>
      <c r="D4379" s="4" t="str">
        <f>_xlfn.XLOOKUP(A4379,[1]!DadosGHD[CD_GEOCMU],[1]!DadosGHD[uf])</f>
        <v>SP</v>
      </c>
      <c r="E4379" s="5" t="str">
        <f>_xlfn.XLOOKUP(A4379,[1]!DadosGHD[CD_GEOCMU],[1]!DadosGHD[MUNICIPIO])</f>
        <v>APIAI</v>
      </c>
      <c r="F4379" s="6">
        <v>48.6845893859863</v>
      </c>
      <c r="G4379" s="6">
        <v>48.738185882568402</v>
      </c>
      <c r="H4379" s="6">
        <v>48.755199432373097</v>
      </c>
      <c r="I4379" s="6">
        <v>48.687282562255902</v>
      </c>
      <c r="J4379" s="6">
        <v>43.755504608154297</v>
      </c>
      <c r="K4379" s="6">
        <v>43.775203704833999</v>
      </c>
      <c r="L4379" s="6">
        <v>30.717185974121101</v>
      </c>
    </row>
    <row r="4380" spans="1:12" x14ac:dyDescent="0.25">
      <c r="A4380">
        <v>3169604</v>
      </c>
      <c r="B4380" t="str">
        <f t="shared" si="68"/>
        <v>TUPACIGUARA, MG, Brasil</v>
      </c>
      <c r="C4380" s="4" t="str">
        <f>_xlfn.XLOOKUP(A4380,[1]!DadosGHD[CD_GEOCMU],[1]!DadosGHD[Região])</f>
        <v>SD</v>
      </c>
      <c r="D4380" s="4" t="str">
        <f>_xlfn.XLOOKUP(A4380,[1]!DadosGHD[CD_GEOCMU],[1]!DadosGHD[uf])</f>
        <v>MG</v>
      </c>
      <c r="E4380" s="5" t="str">
        <f>_xlfn.XLOOKUP(A4380,[1]!DadosGHD[CD_GEOCMU],[1]!DadosGHD[MUNICIPIO])</f>
        <v>TUPACIGUARA</v>
      </c>
      <c r="F4380" s="6">
        <v>48.685493469238303</v>
      </c>
      <c r="G4380" s="6">
        <v>53.705196380615199</v>
      </c>
      <c r="H4380" s="6">
        <v>53.8040962219238</v>
      </c>
      <c r="I4380" s="6">
        <v>53.806221008300803</v>
      </c>
      <c r="J4380" s="6">
        <v>53.843788146972699</v>
      </c>
      <c r="K4380" s="6">
        <v>53.842071533203097</v>
      </c>
      <c r="L4380" s="6">
        <v>53.046821594238303</v>
      </c>
    </row>
    <row r="4381" spans="1:12" x14ac:dyDescent="0.25">
      <c r="A4381">
        <v>3533106</v>
      </c>
      <c r="B4381" t="str">
        <f t="shared" si="68"/>
        <v>NOVA GUATAPORANGA, SP, Brasil</v>
      </c>
      <c r="C4381" s="4" t="str">
        <f>_xlfn.XLOOKUP(A4381,[1]!DadosGHD[CD_GEOCMU],[1]!DadosGHD[Região])</f>
        <v>SD</v>
      </c>
      <c r="D4381" s="4" t="str">
        <f>_xlfn.XLOOKUP(A4381,[1]!DadosGHD[CD_GEOCMU],[1]!DadosGHD[uf])</f>
        <v>SP</v>
      </c>
      <c r="E4381" s="5" t="str">
        <f>_xlfn.XLOOKUP(A4381,[1]!DadosGHD[CD_GEOCMU],[1]!DadosGHD[MUNICIPIO])</f>
        <v>NOVA GUATAPORANGA</v>
      </c>
      <c r="F4381" s="6">
        <v>48.685661315917997</v>
      </c>
      <c r="G4381" s="6">
        <v>48.657936096191399</v>
      </c>
      <c r="H4381" s="6">
        <v>43.837535858154297</v>
      </c>
      <c r="I4381" s="6">
        <v>48.6793403625488</v>
      </c>
      <c r="J4381" s="6">
        <v>48.701065063476598</v>
      </c>
      <c r="K4381" s="6">
        <v>48.791759490966797</v>
      </c>
      <c r="L4381" s="6">
        <v>44.070400238037102</v>
      </c>
    </row>
    <row r="4382" spans="1:12" x14ac:dyDescent="0.25">
      <c r="A4382">
        <v>4206207</v>
      </c>
      <c r="B4382" t="str">
        <f t="shared" si="68"/>
        <v>GRAVATAL, SC, Brasil</v>
      </c>
      <c r="C4382" s="4" t="str">
        <f>_xlfn.XLOOKUP(A4382,[1]!DadosGHD[CD_GEOCMU],[1]!DadosGHD[Região])</f>
        <v>SL</v>
      </c>
      <c r="D4382" s="4" t="str">
        <f>_xlfn.XLOOKUP(A4382,[1]!DadosGHD[CD_GEOCMU],[1]!DadosGHD[uf])</f>
        <v>SC</v>
      </c>
      <c r="E4382" s="5" t="str">
        <f>_xlfn.XLOOKUP(A4382,[1]!DadosGHD[CD_GEOCMU],[1]!DadosGHD[MUNICIPIO])</f>
        <v>GRAVATAL</v>
      </c>
      <c r="F4382" s="6">
        <v>48.6856880187988</v>
      </c>
      <c r="G4382" s="6">
        <v>53.678089141845703</v>
      </c>
      <c r="H4382" s="6">
        <v>53.759132385253899</v>
      </c>
      <c r="I4382" s="6">
        <v>53.769538879394503</v>
      </c>
      <c r="J4382" s="6">
        <v>53.831916809082003</v>
      </c>
      <c r="K4382" s="6">
        <v>58.9052734375</v>
      </c>
      <c r="L4382" s="6">
        <v>48.507957458496101</v>
      </c>
    </row>
    <row r="4383" spans="1:12" x14ac:dyDescent="0.25">
      <c r="A4383">
        <v>3127388</v>
      </c>
      <c r="B4383" t="str">
        <f t="shared" si="68"/>
        <v>GOIANA, MG, Brasil</v>
      </c>
      <c r="C4383" s="4" t="str">
        <f>_xlfn.XLOOKUP(A4383,[1]!DadosGHD[CD_GEOCMU],[1]!DadosGHD[Região])</f>
        <v>SD</v>
      </c>
      <c r="D4383" s="4" t="str">
        <f>_xlfn.XLOOKUP(A4383,[1]!DadosGHD[CD_GEOCMU],[1]!DadosGHD[uf])</f>
        <v>MG</v>
      </c>
      <c r="E4383" s="5" t="str">
        <f>_xlfn.XLOOKUP(A4383,[1]!DadosGHD[CD_GEOCMU],[1]!DadosGHD[MUNICIPIO])</f>
        <v>GOIANA</v>
      </c>
      <c r="F4383" s="6">
        <v>48.6858100891113</v>
      </c>
      <c r="G4383" s="6">
        <v>53.691795349121101</v>
      </c>
      <c r="H4383" s="6">
        <v>48.743099212646499</v>
      </c>
      <c r="I4383" s="6">
        <v>48.7666015625</v>
      </c>
      <c r="J4383" s="6">
        <v>48.796482086181598</v>
      </c>
      <c r="K4383" s="6">
        <v>48.831600189208999</v>
      </c>
      <c r="L4383" s="6">
        <v>48.492702484130902</v>
      </c>
    </row>
    <row r="4384" spans="1:12" x14ac:dyDescent="0.25">
      <c r="A4384">
        <v>3552809</v>
      </c>
      <c r="B4384" t="str">
        <f t="shared" si="68"/>
        <v>TABOAO DA SERRA, SP, Brasil</v>
      </c>
      <c r="C4384" s="4" t="str">
        <f>_xlfn.XLOOKUP(A4384,[1]!DadosGHD[CD_GEOCMU],[1]!DadosGHD[Região])</f>
        <v>SD</v>
      </c>
      <c r="D4384" s="4" t="str">
        <f>_xlfn.XLOOKUP(A4384,[1]!DadosGHD[CD_GEOCMU],[1]!DadosGHD[uf])</f>
        <v>SP</v>
      </c>
      <c r="E4384" s="5" t="str">
        <f>_xlfn.XLOOKUP(A4384,[1]!DadosGHD[CD_GEOCMU],[1]!DadosGHD[MUNICIPIO])</f>
        <v>TABOAO DA SERRA</v>
      </c>
      <c r="F4384" s="6">
        <v>48.6862983703613</v>
      </c>
      <c r="G4384" s="6">
        <v>48.744846343994098</v>
      </c>
      <c r="H4384" s="6">
        <v>48.759777069091797</v>
      </c>
      <c r="I4384" s="6">
        <v>48.711711883544901</v>
      </c>
      <c r="J4384" s="6">
        <v>48.699081420898402</v>
      </c>
      <c r="K4384" s="6">
        <v>43.858772277832003</v>
      </c>
      <c r="L4384" s="6">
        <v>48.535438537597699</v>
      </c>
    </row>
    <row r="4385" spans="1:12" x14ac:dyDescent="0.25">
      <c r="A4385">
        <v>4117503</v>
      </c>
      <c r="B4385" t="str">
        <f t="shared" si="68"/>
        <v>PAICANDU, PR, Brasil</v>
      </c>
      <c r="C4385" s="4" t="str">
        <f>_xlfn.XLOOKUP(A4385,[1]!DadosGHD[CD_GEOCMU],[1]!DadosGHD[Região])</f>
        <v>SL</v>
      </c>
      <c r="D4385" s="4" t="str">
        <f>_xlfn.XLOOKUP(A4385,[1]!DadosGHD[CD_GEOCMU],[1]!DadosGHD[uf])</f>
        <v>PR</v>
      </c>
      <c r="E4385" s="5" t="str">
        <f>_xlfn.XLOOKUP(A4385,[1]!DadosGHD[CD_GEOCMU],[1]!DadosGHD[MUNICIPIO])</f>
        <v>PAICANDU</v>
      </c>
      <c r="F4385" s="6">
        <v>48.686565399169901</v>
      </c>
      <c r="G4385" s="6">
        <v>53.703891754150398</v>
      </c>
      <c r="H4385" s="6">
        <v>48.849334716796903</v>
      </c>
      <c r="I4385" s="6">
        <v>53.722843170166001</v>
      </c>
      <c r="J4385" s="6">
        <v>53.745685577392599</v>
      </c>
      <c r="K4385" s="6">
        <v>53.839801788330099</v>
      </c>
      <c r="L4385" s="6">
        <v>53.010795593261697</v>
      </c>
    </row>
    <row r="4386" spans="1:12" x14ac:dyDescent="0.25">
      <c r="A4386">
        <v>5106240</v>
      </c>
      <c r="B4386" t="str">
        <f t="shared" si="68"/>
        <v>NOVA UBIRATA, MT, Brasil</v>
      </c>
      <c r="C4386" s="4" t="str">
        <f>_xlfn.XLOOKUP(A4386,[1]!DadosGHD[CD_GEOCMU],[1]!DadosGHD[Região])</f>
        <v>CO</v>
      </c>
      <c r="D4386" s="4" t="str">
        <f>_xlfn.XLOOKUP(A4386,[1]!DadosGHD[CD_GEOCMU],[1]!DadosGHD[uf])</f>
        <v>MT</v>
      </c>
      <c r="E4386" s="5" t="str">
        <f>_xlfn.XLOOKUP(A4386,[1]!DadosGHD[CD_GEOCMU],[1]!DadosGHD[MUNICIPIO])</f>
        <v>NOVA UBIRATA</v>
      </c>
      <c r="F4386" s="6">
        <v>48.686676025390597</v>
      </c>
      <c r="G4386" s="6">
        <v>48.759506225585902</v>
      </c>
      <c r="H4386" s="6">
        <v>48.748600006103501</v>
      </c>
      <c r="I4386" s="6">
        <v>48.7166557312012</v>
      </c>
      <c r="J4386" s="6">
        <v>48.7451782226563</v>
      </c>
      <c r="K4386" s="6">
        <v>53.825397491455099</v>
      </c>
      <c r="L4386" s="6">
        <v>44.053192138671903</v>
      </c>
    </row>
    <row r="4387" spans="1:12" x14ac:dyDescent="0.25">
      <c r="A4387">
        <v>3533304</v>
      </c>
      <c r="B4387" t="str">
        <f t="shared" si="68"/>
        <v>NOVA LUZITANIA, SP, Brasil</v>
      </c>
      <c r="C4387" s="4" t="str">
        <f>_xlfn.XLOOKUP(A4387,[1]!DadosGHD[CD_GEOCMU],[1]!DadosGHD[Região])</f>
        <v>SD</v>
      </c>
      <c r="D4387" s="4" t="str">
        <f>_xlfn.XLOOKUP(A4387,[1]!DadosGHD[CD_GEOCMU],[1]!DadosGHD[uf])</f>
        <v>SP</v>
      </c>
      <c r="E4387" s="5" t="str">
        <f>_xlfn.XLOOKUP(A4387,[1]!DadosGHD[CD_GEOCMU],[1]!DadosGHD[MUNICIPIO])</f>
        <v>NOVA LUZITANIA</v>
      </c>
      <c r="F4387" s="6">
        <v>48.686729431152301</v>
      </c>
      <c r="G4387" s="6">
        <v>48.7486763000488</v>
      </c>
      <c r="H4387" s="6">
        <v>48.810382843017599</v>
      </c>
      <c r="I4387" s="6">
        <v>48.749427795410199</v>
      </c>
      <c r="J4387" s="6">
        <v>48.726634979248097</v>
      </c>
      <c r="K4387" s="6">
        <v>48.779350280761697</v>
      </c>
      <c r="L4387" s="6">
        <v>39.559421539306598</v>
      </c>
    </row>
    <row r="4388" spans="1:12" x14ac:dyDescent="0.25">
      <c r="A4388">
        <v>4219002</v>
      </c>
      <c r="B4388" t="str">
        <f t="shared" si="68"/>
        <v>URUSSANGA, SC, Brasil</v>
      </c>
      <c r="C4388" s="4" t="str">
        <f>_xlfn.XLOOKUP(A4388,[1]!DadosGHD[CD_GEOCMU],[1]!DadosGHD[Região])</f>
        <v>SL</v>
      </c>
      <c r="D4388" s="4" t="str">
        <f>_xlfn.XLOOKUP(A4388,[1]!DadosGHD[CD_GEOCMU],[1]!DadosGHD[uf])</f>
        <v>SC</v>
      </c>
      <c r="E4388" s="5" t="str">
        <f>_xlfn.XLOOKUP(A4388,[1]!DadosGHD[CD_GEOCMU],[1]!DadosGHD[MUNICIPIO])</f>
        <v>URUSSANGA</v>
      </c>
      <c r="F4388" s="6">
        <v>48.686931610107401</v>
      </c>
      <c r="G4388" s="6">
        <v>53.654808044433601</v>
      </c>
      <c r="H4388" s="6">
        <v>48.827884674072301</v>
      </c>
      <c r="I4388" s="6">
        <v>53.885185241699197</v>
      </c>
      <c r="J4388" s="6">
        <v>53.887931823730497</v>
      </c>
      <c r="K4388" s="6">
        <v>53.833293914794901</v>
      </c>
      <c r="L4388" s="6">
        <v>57.499748229980497</v>
      </c>
    </row>
    <row r="4389" spans="1:12" x14ac:dyDescent="0.25">
      <c r="A4389">
        <v>4303905</v>
      </c>
      <c r="B4389" t="str">
        <f t="shared" si="68"/>
        <v>CAMPO BOM, RS, Brasil</v>
      </c>
      <c r="C4389" s="4" t="str">
        <f>_xlfn.XLOOKUP(A4389,[1]!DadosGHD[CD_GEOCMU],[1]!DadosGHD[Região])</f>
        <v>SL</v>
      </c>
      <c r="D4389" s="4" t="str">
        <f>_xlfn.XLOOKUP(A4389,[1]!DadosGHD[CD_GEOCMU],[1]!DadosGHD[uf])</f>
        <v>RS</v>
      </c>
      <c r="E4389" s="5" t="str">
        <f>_xlfn.XLOOKUP(A4389,[1]!DadosGHD[CD_GEOCMU],[1]!DadosGHD[MUNICIPIO])</f>
        <v>CAMPO BOM</v>
      </c>
      <c r="F4389" s="6">
        <v>48.687488555908203</v>
      </c>
      <c r="G4389" s="6">
        <v>53.722599029541001</v>
      </c>
      <c r="H4389" s="6">
        <v>48.860824584960902</v>
      </c>
      <c r="I4389" s="6">
        <v>53.734905242919901</v>
      </c>
      <c r="J4389" s="6">
        <v>53.811130523681598</v>
      </c>
      <c r="K4389" s="6">
        <v>53.907981872558601</v>
      </c>
      <c r="L4389" s="6">
        <v>57.576873779296903</v>
      </c>
    </row>
    <row r="4390" spans="1:12" x14ac:dyDescent="0.25">
      <c r="A4390">
        <v>4122602</v>
      </c>
      <c r="B4390" t="str">
        <f t="shared" si="68"/>
        <v>RONDON, PR, Brasil</v>
      </c>
      <c r="C4390" s="4" t="str">
        <f>_xlfn.XLOOKUP(A4390,[1]!DadosGHD[CD_GEOCMU],[1]!DadosGHD[Região])</f>
        <v>SL</v>
      </c>
      <c r="D4390" s="4" t="str">
        <f>_xlfn.XLOOKUP(A4390,[1]!DadosGHD[CD_GEOCMU],[1]!DadosGHD[uf])</f>
        <v>PR</v>
      </c>
      <c r="E4390" s="5" t="str">
        <f>_xlfn.XLOOKUP(A4390,[1]!DadosGHD[CD_GEOCMU],[1]!DadosGHD[MUNICIPIO])</f>
        <v>RONDON</v>
      </c>
      <c r="F4390" s="6">
        <v>48.687538146972699</v>
      </c>
      <c r="G4390" s="6">
        <v>53.6550102233887</v>
      </c>
      <c r="H4390" s="6">
        <v>53.779571533203097</v>
      </c>
      <c r="I4390" s="6">
        <v>53.774093627929702</v>
      </c>
      <c r="J4390" s="6">
        <v>53.832244873046903</v>
      </c>
      <c r="K4390" s="6">
        <v>53.848159790039098</v>
      </c>
      <c r="L4390" s="6">
        <v>44.068351745605497</v>
      </c>
    </row>
    <row r="4391" spans="1:12" x14ac:dyDescent="0.25">
      <c r="A4391">
        <v>4108205</v>
      </c>
      <c r="B4391" t="str">
        <f t="shared" si="68"/>
        <v>FORMOSA DO OESTE, PR, Brasil</v>
      </c>
      <c r="C4391" s="4" t="str">
        <f>_xlfn.XLOOKUP(A4391,[1]!DadosGHD[CD_GEOCMU],[1]!DadosGHD[Região])</f>
        <v>SL</v>
      </c>
      <c r="D4391" s="4" t="str">
        <f>_xlfn.XLOOKUP(A4391,[1]!DadosGHD[CD_GEOCMU],[1]!DadosGHD[uf])</f>
        <v>PR</v>
      </c>
      <c r="E4391" s="5" t="str">
        <f>_xlfn.XLOOKUP(A4391,[1]!DadosGHD[CD_GEOCMU],[1]!DadosGHD[MUNICIPIO])</f>
        <v>FORMOSA DO OESTE</v>
      </c>
      <c r="F4391" s="6">
        <v>48.687908172607401</v>
      </c>
      <c r="G4391" s="6">
        <v>58.817348480224602</v>
      </c>
      <c r="H4391" s="6">
        <v>58.989650726318402</v>
      </c>
      <c r="I4391" s="6">
        <v>58.843177795410199</v>
      </c>
      <c r="J4391" s="6">
        <v>58.858062744140597</v>
      </c>
      <c r="K4391" s="6">
        <v>58.942398071289098</v>
      </c>
      <c r="L4391" s="6">
        <v>48.533855438232401</v>
      </c>
    </row>
    <row r="4392" spans="1:12" x14ac:dyDescent="0.25">
      <c r="A4392">
        <v>3519808</v>
      </c>
      <c r="B4392" t="str">
        <f t="shared" si="68"/>
        <v>ICEM, SP, Brasil</v>
      </c>
      <c r="C4392" s="4" t="str">
        <f>_xlfn.XLOOKUP(A4392,[1]!DadosGHD[CD_GEOCMU],[1]!DadosGHD[Região])</f>
        <v>SD</v>
      </c>
      <c r="D4392" s="4" t="str">
        <f>_xlfn.XLOOKUP(A4392,[1]!DadosGHD[CD_GEOCMU],[1]!DadosGHD[uf])</f>
        <v>SP</v>
      </c>
      <c r="E4392" s="5" t="str">
        <f>_xlfn.XLOOKUP(A4392,[1]!DadosGHD[CD_GEOCMU],[1]!DadosGHD[MUNICIPIO])</f>
        <v>ICEM</v>
      </c>
      <c r="F4392" s="6">
        <v>48.688037872314503</v>
      </c>
      <c r="G4392" s="6">
        <v>48.709667205810597</v>
      </c>
      <c r="H4392" s="6">
        <v>48.752681732177699</v>
      </c>
      <c r="I4392" s="6">
        <v>48.693759918212898</v>
      </c>
      <c r="J4392" s="6">
        <v>43.824119567871101</v>
      </c>
      <c r="K4392" s="6">
        <v>43.835479736328097</v>
      </c>
      <c r="L4392" s="6">
        <v>39.564048767089801</v>
      </c>
    </row>
    <row r="4393" spans="1:12" x14ac:dyDescent="0.25">
      <c r="A4393">
        <v>1200401</v>
      </c>
      <c r="B4393" t="str">
        <f t="shared" si="68"/>
        <v>RIO BRANCO, AC, Brasil</v>
      </c>
      <c r="C4393" s="4" t="str">
        <f>_xlfn.XLOOKUP(A4393,[1]!DadosGHD[CD_GEOCMU],[1]!DadosGHD[Região])</f>
        <v>NO</v>
      </c>
      <c r="D4393" s="4" t="str">
        <f>_xlfn.XLOOKUP(A4393,[1]!DadosGHD[CD_GEOCMU],[1]!DadosGHD[uf])</f>
        <v>AC</v>
      </c>
      <c r="E4393" s="5" t="str">
        <f>_xlfn.XLOOKUP(A4393,[1]!DadosGHD[CD_GEOCMU],[1]!DadosGHD[MUNICIPIO])</f>
        <v>RIO BRANCO</v>
      </c>
      <c r="F4393" s="6">
        <v>48.688205718994098</v>
      </c>
      <c r="G4393" s="6">
        <v>48.710681915283203</v>
      </c>
      <c r="H4393" s="6">
        <v>43.833766937255902</v>
      </c>
      <c r="I4393" s="6">
        <v>43.7831420898438</v>
      </c>
      <c r="J4393" s="6">
        <v>48.6973686218262</v>
      </c>
      <c r="K4393" s="6">
        <v>48.767246246337898</v>
      </c>
      <c r="L4393" s="6">
        <v>48.528678894042997</v>
      </c>
    </row>
    <row r="4394" spans="1:12" x14ac:dyDescent="0.25">
      <c r="A4394">
        <v>3159209</v>
      </c>
      <c r="B4394" t="str">
        <f t="shared" si="68"/>
        <v>SANTA RITA DE CALDAS, MG, Brasil</v>
      </c>
      <c r="C4394" s="4" t="str">
        <f>_xlfn.XLOOKUP(A4394,[1]!DadosGHD[CD_GEOCMU],[1]!DadosGHD[Região])</f>
        <v>SD</v>
      </c>
      <c r="D4394" s="4" t="str">
        <f>_xlfn.XLOOKUP(A4394,[1]!DadosGHD[CD_GEOCMU],[1]!DadosGHD[uf])</f>
        <v>MG</v>
      </c>
      <c r="E4394" s="5" t="str">
        <f>_xlfn.XLOOKUP(A4394,[1]!DadosGHD[CD_GEOCMU],[1]!DadosGHD[MUNICIPIO])</f>
        <v>SANTA RITA DE CALDAS</v>
      </c>
      <c r="F4394" s="6">
        <v>48.688480377197301</v>
      </c>
      <c r="G4394" s="6">
        <v>48.746734619140597</v>
      </c>
      <c r="H4394" s="6">
        <v>48.811134338378899</v>
      </c>
      <c r="I4394" s="6">
        <v>48.777698516845703</v>
      </c>
      <c r="J4394" s="6">
        <v>48.815929412841797</v>
      </c>
      <c r="K4394" s="6">
        <v>48.915470123291001</v>
      </c>
      <c r="L4394" s="6">
        <v>53.055145263671903</v>
      </c>
    </row>
    <row r="4395" spans="1:12" x14ac:dyDescent="0.25">
      <c r="A4395">
        <v>5221551</v>
      </c>
      <c r="B4395" t="str">
        <f t="shared" si="68"/>
        <v>TURVELANDIA, GO, Brasil</v>
      </c>
      <c r="C4395" s="4" t="str">
        <f>_xlfn.XLOOKUP(A4395,[1]!DadosGHD[CD_GEOCMU],[1]!DadosGHD[Região])</f>
        <v>CO</v>
      </c>
      <c r="D4395" s="4" t="str">
        <f>_xlfn.XLOOKUP(A4395,[1]!DadosGHD[CD_GEOCMU],[1]!DadosGHD[uf])</f>
        <v>GO</v>
      </c>
      <c r="E4395" s="5" t="str">
        <f>_xlfn.XLOOKUP(A4395,[1]!DadosGHD[CD_GEOCMU],[1]!DadosGHD[MUNICIPIO])</f>
        <v>TURVELANDIA</v>
      </c>
      <c r="F4395" s="6">
        <v>48.688930511474602</v>
      </c>
      <c r="G4395" s="6">
        <v>43.754722595214801</v>
      </c>
      <c r="H4395" s="6">
        <v>43.838146209716797</v>
      </c>
      <c r="I4395" s="6">
        <v>43.745723724365199</v>
      </c>
      <c r="J4395" s="6">
        <v>43.775272369384801</v>
      </c>
      <c r="K4395" s="6">
        <v>33.908351898193402</v>
      </c>
      <c r="L4395" s="6">
        <v>35.144134521484403</v>
      </c>
    </row>
    <row r="4396" spans="1:12" x14ac:dyDescent="0.25">
      <c r="A4396">
        <v>5007802</v>
      </c>
      <c r="B4396" t="str">
        <f t="shared" si="68"/>
        <v>SELVIRIA, MS, Brasil</v>
      </c>
      <c r="C4396" s="4" t="str">
        <f>_xlfn.XLOOKUP(A4396,[1]!DadosGHD[CD_GEOCMU],[1]!DadosGHD[Região])</f>
        <v>CO</v>
      </c>
      <c r="D4396" s="4" t="str">
        <f>_xlfn.XLOOKUP(A4396,[1]!DadosGHD[CD_GEOCMU],[1]!DadosGHD[uf])</f>
        <v>MS</v>
      </c>
      <c r="E4396" s="5" t="str">
        <f>_xlfn.XLOOKUP(A4396,[1]!DadosGHD[CD_GEOCMU],[1]!DadosGHD[MUNICIPIO])</f>
        <v>SELVIRIA</v>
      </c>
      <c r="F4396" s="6">
        <v>48.689193725585902</v>
      </c>
      <c r="G4396" s="6">
        <v>48.7040824890137</v>
      </c>
      <c r="H4396" s="6">
        <v>48.714031219482401</v>
      </c>
      <c r="I4396" s="6">
        <v>43.781631469726598</v>
      </c>
      <c r="J4396" s="6">
        <v>43.771999359130902</v>
      </c>
      <c r="K4396" s="6">
        <v>43.773342132568402</v>
      </c>
      <c r="L4396" s="6">
        <v>35.127082824707003</v>
      </c>
    </row>
    <row r="4397" spans="1:12" x14ac:dyDescent="0.25">
      <c r="A4397">
        <v>5007703</v>
      </c>
      <c r="B4397" t="str">
        <f t="shared" si="68"/>
        <v>SETE QUEDAS, MS, Brasil</v>
      </c>
      <c r="C4397" s="4" t="str">
        <f>_xlfn.XLOOKUP(A4397,[1]!DadosGHD[CD_GEOCMU],[1]!DadosGHD[Região])</f>
        <v>CO</v>
      </c>
      <c r="D4397" s="4" t="str">
        <f>_xlfn.XLOOKUP(A4397,[1]!DadosGHD[CD_GEOCMU],[1]!DadosGHD[uf])</f>
        <v>MS</v>
      </c>
      <c r="E4397" s="5" t="str">
        <f>_xlfn.XLOOKUP(A4397,[1]!DadosGHD[CD_GEOCMU],[1]!DadosGHD[MUNICIPIO])</f>
        <v>SETE QUEDAS</v>
      </c>
      <c r="F4397" s="6">
        <v>48.689777374267599</v>
      </c>
      <c r="G4397" s="6">
        <v>48.715946197509801</v>
      </c>
      <c r="H4397" s="6">
        <v>48.760433197021499</v>
      </c>
      <c r="I4397" s="6">
        <v>48.766273498535199</v>
      </c>
      <c r="J4397" s="6">
        <v>48.770576477050803</v>
      </c>
      <c r="K4397" s="6">
        <v>53.811141967773402</v>
      </c>
      <c r="L4397" s="6">
        <v>39.600337982177699</v>
      </c>
    </row>
    <row r="4398" spans="1:12" x14ac:dyDescent="0.25">
      <c r="A4398">
        <v>4219507</v>
      </c>
      <c r="B4398" t="str">
        <f t="shared" si="68"/>
        <v>XANXERE, SC, Brasil</v>
      </c>
      <c r="C4398" s="4" t="str">
        <f>_xlfn.XLOOKUP(A4398,[1]!DadosGHD[CD_GEOCMU],[1]!DadosGHD[Região])</f>
        <v>SL</v>
      </c>
      <c r="D4398" s="4" t="str">
        <f>_xlfn.XLOOKUP(A4398,[1]!DadosGHD[CD_GEOCMU],[1]!DadosGHD[uf])</f>
        <v>SC</v>
      </c>
      <c r="E4398" s="5" t="str">
        <f>_xlfn.XLOOKUP(A4398,[1]!DadosGHD[CD_GEOCMU],[1]!DadosGHD[MUNICIPIO])</f>
        <v>XANXERE</v>
      </c>
      <c r="F4398" s="6">
        <v>53.559528350830099</v>
      </c>
      <c r="G4398" s="6">
        <v>48.7684936523438</v>
      </c>
      <c r="H4398" s="6">
        <v>48.785861968994098</v>
      </c>
      <c r="I4398" s="6">
        <v>48.760223388671903</v>
      </c>
      <c r="J4398" s="6">
        <v>58.844192504882798</v>
      </c>
      <c r="K4398" s="6">
        <v>58.921409606933601</v>
      </c>
      <c r="L4398" s="6">
        <v>57.511215209960902</v>
      </c>
    </row>
    <row r="4399" spans="1:12" x14ac:dyDescent="0.25">
      <c r="A4399">
        <v>4110805</v>
      </c>
      <c r="B4399" t="str">
        <f t="shared" si="68"/>
        <v>IRETAMA, PR, Brasil</v>
      </c>
      <c r="C4399" s="4" t="str">
        <f>_xlfn.XLOOKUP(A4399,[1]!DadosGHD[CD_GEOCMU],[1]!DadosGHD[Região])</f>
        <v>SL</v>
      </c>
      <c r="D4399" s="4" t="str">
        <f>_xlfn.XLOOKUP(A4399,[1]!DadosGHD[CD_GEOCMU],[1]!DadosGHD[uf])</f>
        <v>PR</v>
      </c>
      <c r="E4399" s="5" t="str">
        <f>_xlfn.XLOOKUP(A4399,[1]!DadosGHD[CD_GEOCMU],[1]!DadosGHD[MUNICIPIO])</f>
        <v>IRETAMA</v>
      </c>
      <c r="F4399" s="6">
        <v>53.560005187988303</v>
      </c>
      <c r="G4399" s="6">
        <v>53.665370941162102</v>
      </c>
      <c r="H4399" s="6">
        <v>48.822525024414098</v>
      </c>
      <c r="I4399" s="6">
        <v>53.751121520996101</v>
      </c>
      <c r="J4399" s="6">
        <v>48.766399383544901</v>
      </c>
      <c r="K4399" s="6">
        <v>48.812828063964801</v>
      </c>
      <c r="L4399" s="6">
        <v>35.126026153564503</v>
      </c>
    </row>
    <row r="4400" spans="1:12" x14ac:dyDescent="0.25">
      <c r="A4400">
        <v>4207908</v>
      </c>
      <c r="B4400" t="str">
        <f t="shared" si="68"/>
        <v>IRINEOPOLIS, SC, Brasil</v>
      </c>
      <c r="C4400" s="4" t="str">
        <f>_xlfn.XLOOKUP(A4400,[1]!DadosGHD[CD_GEOCMU],[1]!DadosGHD[Região])</f>
        <v>SL</v>
      </c>
      <c r="D4400" s="4" t="str">
        <f>_xlfn.XLOOKUP(A4400,[1]!DadosGHD[CD_GEOCMU],[1]!DadosGHD[uf])</f>
        <v>SC</v>
      </c>
      <c r="E4400" s="5" t="str">
        <f>_xlfn.XLOOKUP(A4400,[1]!DadosGHD[CD_GEOCMU],[1]!DadosGHD[MUNICIPIO])</f>
        <v>IRINEOPOLIS</v>
      </c>
      <c r="F4400" s="6">
        <v>53.560455322265597</v>
      </c>
      <c r="G4400" s="6">
        <v>48.765586853027301</v>
      </c>
      <c r="H4400" s="6">
        <v>53.794620513916001</v>
      </c>
      <c r="I4400" s="6">
        <v>48.793659210205099</v>
      </c>
      <c r="J4400" s="6">
        <v>48.806488037109403</v>
      </c>
      <c r="K4400" s="6">
        <v>53.883190155029297</v>
      </c>
      <c r="L4400" s="6">
        <v>48.5378227233887</v>
      </c>
    </row>
    <row r="4401" spans="1:12" x14ac:dyDescent="0.25">
      <c r="A4401">
        <v>3300233</v>
      </c>
      <c r="B4401" t="str">
        <f t="shared" si="68"/>
        <v>ARMACAO DOS BUZIOS, RJ, Brasil</v>
      </c>
      <c r="C4401" s="4" t="str">
        <f>_xlfn.XLOOKUP(A4401,[1]!DadosGHD[CD_GEOCMU],[1]!DadosGHD[Região])</f>
        <v>SD</v>
      </c>
      <c r="D4401" s="4" t="str">
        <f>_xlfn.XLOOKUP(A4401,[1]!DadosGHD[CD_GEOCMU],[1]!DadosGHD[uf])</f>
        <v>RJ</v>
      </c>
      <c r="E4401" s="5" t="str">
        <f>_xlfn.XLOOKUP(A4401,[1]!DadosGHD[CD_GEOCMU],[1]!DadosGHD[MUNICIPIO])</f>
        <v>ARMACAO DOS BUZIOS</v>
      </c>
      <c r="F4401" s="6">
        <v>53.5609130859375</v>
      </c>
      <c r="G4401" s="6">
        <v>48.735137939453097</v>
      </c>
      <c r="H4401" s="6">
        <v>48.859428405761697</v>
      </c>
      <c r="I4401" s="6">
        <v>53.758090972900398</v>
      </c>
      <c r="J4401" s="6">
        <v>53.797672271728501</v>
      </c>
      <c r="K4401" s="6">
        <v>53.879360198974602</v>
      </c>
      <c r="L4401" s="6">
        <v>57.558643341064503</v>
      </c>
    </row>
    <row r="4402" spans="1:12" x14ac:dyDescent="0.25">
      <c r="A4402">
        <v>4117701</v>
      </c>
      <c r="B4402" t="str">
        <f t="shared" si="68"/>
        <v>PALMEIRA, PR, Brasil</v>
      </c>
      <c r="C4402" s="4" t="str">
        <f>_xlfn.XLOOKUP(A4402,[1]!DadosGHD[CD_GEOCMU],[1]!DadosGHD[Região])</f>
        <v>SL</v>
      </c>
      <c r="D4402" s="4" t="str">
        <f>_xlfn.XLOOKUP(A4402,[1]!DadosGHD[CD_GEOCMU],[1]!DadosGHD[uf])</f>
        <v>PR</v>
      </c>
      <c r="E4402" s="5" t="str">
        <f>_xlfn.XLOOKUP(A4402,[1]!DadosGHD[CD_GEOCMU],[1]!DadosGHD[MUNICIPIO])</f>
        <v>PALMEIRA</v>
      </c>
      <c r="F4402" s="6">
        <v>53.561294555664098</v>
      </c>
      <c r="G4402" s="6">
        <v>53.721649169921903</v>
      </c>
      <c r="H4402" s="6">
        <v>53.880527496337898</v>
      </c>
      <c r="I4402" s="6">
        <v>58.816787719726598</v>
      </c>
      <c r="J4402" s="6">
        <v>58.881954193115199</v>
      </c>
      <c r="K4402" s="6">
        <v>53.817459106445298</v>
      </c>
      <c r="L4402" s="6">
        <v>44.064064025878899</v>
      </c>
    </row>
    <row r="4403" spans="1:12" x14ac:dyDescent="0.25">
      <c r="A4403">
        <v>4312104</v>
      </c>
      <c r="B4403" t="str">
        <f t="shared" si="68"/>
        <v>MATA, RS, Brasil</v>
      </c>
      <c r="C4403" s="4" t="str">
        <f>_xlfn.XLOOKUP(A4403,[1]!DadosGHD[CD_GEOCMU],[1]!DadosGHD[Região])</f>
        <v>SL</v>
      </c>
      <c r="D4403" s="4" t="str">
        <f>_xlfn.XLOOKUP(A4403,[1]!DadosGHD[CD_GEOCMU],[1]!DadosGHD[uf])</f>
        <v>RS</v>
      </c>
      <c r="E4403" s="5" t="str">
        <f>_xlfn.XLOOKUP(A4403,[1]!DadosGHD[CD_GEOCMU],[1]!DadosGHD[MUNICIPIO])</f>
        <v>MATA</v>
      </c>
      <c r="F4403" s="6">
        <v>53.561477661132798</v>
      </c>
      <c r="G4403" s="6">
        <v>53.751655578613303</v>
      </c>
      <c r="H4403" s="6">
        <v>53.827476501464801</v>
      </c>
      <c r="I4403" s="6">
        <v>53.843074798583999</v>
      </c>
      <c r="J4403" s="6">
        <v>48.830745697021499</v>
      </c>
      <c r="K4403" s="6">
        <v>53.8235473632813</v>
      </c>
      <c r="L4403" s="6">
        <v>48.496784210205099</v>
      </c>
    </row>
    <row r="4404" spans="1:12" x14ac:dyDescent="0.25">
      <c r="A4404">
        <v>4218400</v>
      </c>
      <c r="B4404" t="str">
        <f t="shared" si="68"/>
        <v>TREZE DE MAIO, SC, Brasil</v>
      </c>
      <c r="C4404" s="4" t="str">
        <f>_xlfn.XLOOKUP(A4404,[1]!DadosGHD[CD_GEOCMU],[1]!DadosGHD[Região])</f>
        <v>SL</v>
      </c>
      <c r="D4404" s="4" t="str">
        <f>_xlfn.XLOOKUP(A4404,[1]!DadosGHD[CD_GEOCMU],[1]!DadosGHD[uf])</f>
        <v>SC</v>
      </c>
      <c r="E4404" s="5" t="str">
        <f>_xlfn.XLOOKUP(A4404,[1]!DadosGHD[CD_GEOCMU],[1]!DadosGHD[MUNICIPIO])</f>
        <v>TREZE DE MAIO</v>
      </c>
      <c r="F4404" s="6">
        <v>53.561779022216797</v>
      </c>
      <c r="G4404" s="6">
        <v>53.761177062988303</v>
      </c>
      <c r="H4404" s="6">
        <v>48.837921142578097</v>
      </c>
      <c r="I4404" s="6">
        <v>48.7295951843262</v>
      </c>
      <c r="J4404" s="6">
        <v>43.818946838378899</v>
      </c>
      <c r="K4404" s="6">
        <v>38.871364593505902</v>
      </c>
      <c r="L4404" s="6">
        <v>57.508602142333999</v>
      </c>
    </row>
    <row r="4405" spans="1:12" x14ac:dyDescent="0.25">
      <c r="A4405">
        <v>4202503</v>
      </c>
      <c r="B4405" t="str">
        <f t="shared" si="68"/>
        <v>BOM JARDIM DA SERRA, SC, Brasil</v>
      </c>
      <c r="C4405" s="4" t="str">
        <f>_xlfn.XLOOKUP(A4405,[1]!DadosGHD[CD_GEOCMU],[1]!DadosGHD[Região])</f>
        <v>SL</v>
      </c>
      <c r="D4405" s="4" t="str">
        <f>_xlfn.XLOOKUP(A4405,[1]!DadosGHD[CD_GEOCMU],[1]!DadosGHD[uf])</f>
        <v>SC</v>
      </c>
      <c r="E4405" s="5" t="str">
        <f>_xlfn.XLOOKUP(A4405,[1]!DadosGHD[CD_GEOCMU],[1]!DadosGHD[MUNICIPIO])</f>
        <v>BOM JARDIM DA SERRA</v>
      </c>
      <c r="F4405" s="6">
        <v>53.561958312988303</v>
      </c>
      <c r="G4405" s="6">
        <v>53.798770904541001</v>
      </c>
      <c r="H4405" s="6">
        <v>48.8366889953613</v>
      </c>
      <c r="I4405" s="6">
        <v>48.823490142822301</v>
      </c>
      <c r="J4405" s="6">
        <v>48.7787055969238</v>
      </c>
      <c r="K4405" s="6">
        <v>53.828231811523402</v>
      </c>
      <c r="L4405" s="6">
        <v>48.537330627441399</v>
      </c>
    </row>
    <row r="4406" spans="1:12" x14ac:dyDescent="0.25">
      <c r="A4406">
        <v>4204301</v>
      </c>
      <c r="B4406" t="str">
        <f t="shared" si="68"/>
        <v>CONCORDIA, SC, Brasil</v>
      </c>
      <c r="C4406" s="4" t="str">
        <f>_xlfn.XLOOKUP(A4406,[1]!DadosGHD[CD_GEOCMU],[1]!DadosGHD[Região])</f>
        <v>SL</v>
      </c>
      <c r="D4406" s="4" t="str">
        <f>_xlfn.XLOOKUP(A4406,[1]!DadosGHD[CD_GEOCMU],[1]!DadosGHD[uf])</f>
        <v>SC</v>
      </c>
      <c r="E4406" s="5" t="str">
        <f>_xlfn.XLOOKUP(A4406,[1]!DadosGHD[CD_GEOCMU],[1]!DadosGHD[MUNICIPIO])</f>
        <v>CONCORDIA</v>
      </c>
      <c r="F4406" s="6">
        <v>53.562545776367202</v>
      </c>
      <c r="G4406" s="6">
        <v>53.691349029541001</v>
      </c>
      <c r="H4406" s="6">
        <v>53.8233451843262</v>
      </c>
      <c r="I4406" s="6">
        <v>58.850559234619098</v>
      </c>
      <c r="J4406" s="6">
        <v>63.969150543212898</v>
      </c>
      <c r="K4406" s="6">
        <v>59.086238861083999</v>
      </c>
      <c r="L4406" s="6">
        <v>57.5674858093262</v>
      </c>
    </row>
    <row r="4407" spans="1:12" x14ac:dyDescent="0.25">
      <c r="A4407">
        <v>4208450</v>
      </c>
      <c r="B4407" t="str">
        <f t="shared" si="68"/>
        <v>ITAPOA, SC, Brasil</v>
      </c>
      <c r="C4407" s="4" t="str">
        <f>_xlfn.XLOOKUP(A4407,[1]!DadosGHD[CD_GEOCMU],[1]!DadosGHD[Região])</f>
        <v>SL</v>
      </c>
      <c r="D4407" s="4" t="str">
        <f>_xlfn.XLOOKUP(A4407,[1]!DadosGHD[CD_GEOCMU],[1]!DadosGHD[uf])</f>
        <v>SC</v>
      </c>
      <c r="E4407" s="5" t="str">
        <f>_xlfn.XLOOKUP(A4407,[1]!DadosGHD[CD_GEOCMU],[1]!DadosGHD[MUNICIPIO])</f>
        <v>ITAPOA</v>
      </c>
      <c r="F4407" s="6">
        <v>53.5628471374512</v>
      </c>
      <c r="G4407" s="6">
        <v>48.756786346435597</v>
      </c>
      <c r="H4407" s="6">
        <v>53.903038024902301</v>
      </c>
      <c r="I4407" s="6">
        <v>53.781486511230497</v>
      </c>
      <c r="J4407" s="6">
        <v>53.821262359619098</v>
      </c>
      <c r="K4407" s="6">
        <v>53.968860626220703</v>
      </c>
      <c r="L4407" s="6">
        <v>57.553459167480497</v>
      </c>
    </row>
    <row r="4408" spans="1:12" x14ac:dyDescent="0.25">
      <c r="A4408">
        <v>3123601</v>
      </c>
      <c r="B4408" t="str">
        <f t="shared" si="68"/>
        <v>ELOI MENDES, MG, Brasil</v>
      </c>
      <c r="C4408" s="4" t="str">
        <f>_xlfn.XLOOKUP(A4408,[1]!DadosGHD[CD_GEOCMU],[1]!DadosGHD[Região])</f>
        <v>SD</v>
      </c>
      <c r="D4408" s="4" t="str">
        <f>_xlfn.XLOOKUP(A4408,[1]!DadosGHD[CD_GEOCMU],[1]!DadosGHD[uf])</f>
        <v>MG</v>
      </c>
      <c r="E4408" s="5" t="str">
        <f>_xlfn.XLOOKUP(A4408,[1]!DadosGHD[CD_GEOCMU],[1]!DadosGHD[MUNICIPIO])</f>
        <v>ELOI MENDES</v>
      </c>
      <c r="F4408" s="6">
        <v>53.5628852844238</v>
      </c>
      <c r="G4408" s="6">
        <v>53.696331024169901</v>
      </c>
      <c r="H4408" s="6">
        <v>53.763191223144503</v>
      </c>
      <c r="I4408" s="6">
        <v>53.734550476074197</v>
      </c>
      <c r="J4408" s="6">
        <v>53.767173767089801</v>
      </c>
      <c r="K4408" s="6">
        <v>48.8544311523438</v>
      </c>
      <c r="L4408" s="6">
        <v>52.993770599365199</v>
      </c>
    </row>
    <row r="4409" spans="1:12" x14ac:dyDescent="0.25">
      <c r="A4409">
        <v>3503109</v>
      </c>
      <c r="B4409" t="str">
        <f t="shared" si="68"/>
        <v>ARANDU, SP, Brasil</v>
      </c>
      <c r="C4409" s="4" t="str">
        <f>_xlfn.XLOOKUP(A4409,[1]!DadosGHD[CD_GEOCMU],[1]!DadosGHD[Região])</f>
        <v>SD</v>
      </c>
      <c r="D4409" s="4" t="str">
        <f>_xlfn.XLOOKUP(A4409,[1]!DadosGHD[CD_GEOCMU],[1]!DadosGHD[uf])</f>
        <v>SP</v>
      </c>
      <c r="E4409" s="5" t="str">
        <f>_xlfn.XLOOKUP(A4409,[1]!DadosGHD[CD_GEOCMU],[1]!DadosGHD[MUNICIPIO])</f>
        <v>ARANDU</v>
      </c>
      <c r="F4409" s="6">
        <v>53.563434600830099</v>
      </c>
      <c r="G4409" s="6">
        <v>48.702217102050803</v>
      </c>
      <c r="H4409" s="6">
        <v>48.746589660644503</v>
      </c>
      <c r="I4409" s="6">
        <v>48.718463897705099</v>
      </c>
      <c r="J4409" s="6">
        <v>48.749458312988303</v>
      </c>
      <c r="K4409" s="6">
        <v>48.904922485351598</v>
      </c>
      <c r="L4409" s="6">
        <v>48.540306091308601</v>
      </c>
    </row>
    <row r="4410" spans="1:12" x14ac:dyDescent="0.25">
      <c r="A4410">
        <v>3532207</v>
      </c>
      <c r="B4410" t="str">
        <f t="shared" si="68"/>
        <v>NARANDIBA, SP, Brasil</v>
      </c>
      <c r="C4410" s="4" t="str">
        <f>_xlfn.XLOOKUP(A4410,[1]!DadosGHD[CD_GEOCMU],[1]!DadosGHD[Região])</f>
        <v>SD</v>
      </c>
      <c r="D4410" s="4" t="str">
        <f>_xlfn.XLOOKUP(A4410,[1]!DadosGHD[CD_GEOCMU],[1]!DadosGHD[uf])</f>
        <v>SP</v>
      </c>
      <c r="E4410" s="5" t="str">
        <f>_xlfn.XLOOKUP(A4410,[1]!DadosGHD[CD_GEOCMU],[1]!DadosGHD[MUNICIPIO])</f>
        <v>NARANDIBA</v>
      </c>
      <c r="F4410" s="6">
        <v>53.563549041748097</v>
      </c>
      <c r="G4410" s="6">
        <v>53.6595458984375</v>
      </c>
      <c r="H4410" s="6">
        <v>48.861495971679702</v>
      </c>
      <c r="I4410" s="6">
        <v>53.719104766845703</v>
      </c>
      <c r="J4410" s="6">
        <v>48.829479217529297</v>
      </c>
      <c r="K4410" s="6">
        <v>43.813987731933601</v>
      </c>
      <c r="L4410" s="6">
        <v>35.122013092041001</v>
      </c>
    </row>
    <row r="4411" spans="1:12" x14ac:dyDescent="0.25">
      <c r="A4411">
        <v>5204805</v>
      </c>
      <c r="B4411" t="str">
        <f t="shared" si="68"/>
        <v>CAMPO ALEGRE DE GOIAS, GO, Brasil</v>
      </c>
      <c r="C4411" s="4" t="str">
        <f>_xlfn.XLOOKUP(A4411,[1]!DadosGHD[CD_GEOCMU],[1]!DadosGHD[Região])</f>
        <v>CO</v>
      </c>
      <c r="D4411" s="4" t="str">
        <f>_xlfn.XLOOKUP(A4411,[1]!DadosGHD[CD_GEOCMU],[1]!DadosGHD[uf])</f>
        <v>GO</v>
      </c>
      <c r="E4411" s="5" t="str">
        <f>_xlfn.XLOOKUP(A4411,[1]!DadosGHD[CD_GEOCMU],[1]!DadosGHD[MUNICIPIO])</f>
        <v>CAMPO ALEGRE DE GOIAS</v>
      </c>
      <c r="F4411" s="6">
        <v>53.563827514648402</v>
      </c>
      <c r="G4411" s="6">
        <v>53.818763732910199</v>
      </c>
      <c r="H4411" s="6">
        <v>53.8151664733887</v>
      </c>
      <c r="I4411" s="6">
        <v>53.772449493408203</v>
      </c>
      <c r="J4411" s="6">
        <v>48.831569671630902</v>
      </c>
      <c r="K4411" s="6">
        <v>48.875804901123097</v>
      </c>
      <c r="L4411" s="6">
        <v>48.492595672607401</v>
      </c>
    </row>
    <row r="4412" spans="1:12" x14ac:dyDescent="0.25">
      <c r="A4412">
        <v>3140001</v>
      </c>
      <c r="B4412" t="str">
        <f t="shared" si="68"/>
        <v>MARIANA, MG, Brasil</v>
      </c>
      <c r="C4412" s="4" t="str">
        <f>_xlfn.XLOOKUP(A4412,[1]!DadosGHD[CD_GEOCMU],[1]!DadosGHD[Região])</f>
        <v>SD</v>
      </c>
      <c r="D4412" s="4" t="str">
        <f>_xlfn.XLOOKUP(A4412,[1]!DadosGHD[CD_GEOCMU],[1]!DadosGHD[uf])</f>
        <v>MG</v>
      </c>
      <c r="E4412" s="5" t="str">
        <f>_xlfn.XLOOKUP(A4412,[1]!DadosGHD[CD_GEOCMU],[1]!DadosGHD[MUNICIPIO])</f>
        <v>MARIANA</v>
      </c>
      <c r="F4412" s="6">
        <v>53.564151763916001</v>
      </c>
      <c r="G4412" s="6">
        <v>48.644035339355497</v>
      </c>
      <c r="H4412" s="6">
        <v>48.756237030029297</v>
      </c>
      <c r="I4412" s="6">
        <v>48.738323211669901</v>
      </c>
      <c r="J4412" s="6">
        <v>48.786911010742202</v>
      </c>
      <c r="K4412" s="6">
        <v>43.8342094421387</v>
      </c>
      <c r="L4412" s="6">
        <v>53.003700256347699</v>
      </c>
    </row>
    <row r="4413" spans="1:12" x14ac:dyDescent="0.25">
      <c r="A4413">
        <v>4209409</v>
      </c>
      <c r="B4413" t="str">
        <f t="shared" si="68"/>
        <v>LAGUNA, SC, Brasil</v>
      </c>
      <c r="C4413" s="4" t="str">
        <f>_xlfn.XLOOKUP(A4413,[1]!DadosGHD[CD_GEOCMU],[1]!DadosGHD[Região])</f>
        <v>SL</v>
      </c>
      <c r="D4413" s="4" t="str">
        <f>_xlfn.XLOOKUP(A4413,[1]!DadosGHD[CD_GEOCMU],[1]!DadosGHD[uf])</f>
        <v>SC</v>
      </c>
      <c r="E4413" s="5" t="str">
        <f>_xlfn.XLOOKUP(A4413,[1]!DadosGHD[CD_GEOCMU],[1]!DadosGHD[MUNICIPIO])</f>
        <v>LAGUNA</v>
      </c>
      <c r="F4413" s="6">
        <v>53.564598083496101</v>
      </c>
      <c r="G4413" s="6">
        <v>48.722400665283203</v>
      </c>
      <c r="H4413" s="6">
        <v>48.776882171630902</v>
      </c>
      <c r="I4413" s="6">
        <v>48.707881927490199</v>
      </c>
      <c r="J4413" s="6">
        <v>43.787452697753899</v>
      </c>
      <c r="K4413" s="6">
        <v>43.825695037841797</v>
      </c>
      <c r="L4413" s="6">
        <v>44.043304443359403</v>
      </c>
    </row>
    <row r="4414" spans="1:12" x14ac:dyDescent="0.25">
      <c r="A4414">
        <v>5218607</v>
      </c>
      <c r="B4414" t="str">
        <f t="shared" si="68"/>
        <v>RIALMA, GO, Brasil</v>
      </c>
      <c r="C4414" s="4" t="str">
        <f>_xlfn.XLOOKUP(A4414,[1]!DadosGHD[CD_GEOCMU],[1]!DadosGHD[Região])</f>
        <v>CO</v>
      </c>
      <c r="D4414" s="4" t="str">
        <f>_xlfn.XLOOKUP(A4414,[1]!DadosGHD[CD_GEOCMU],[1]!DadosGHD[uf])</f>
        <v>GO</v>
      </c>
      <c r="E4414" s="5" t="str">
        <f>_xlfn.XLOOKUP(A4414,[1]!DadosGHD[CD_GEOCMU],[1]!DadosGHD[MUNICIPIO])</f>
        <v>RIALMA</v>
      </c>
      <c r="F4414" s="6">
        <v>53.564689636230497</v>
      </c>
      <c r="G4414" s="6">
        <v>48.736412048339801</v>
      </c>
      <c r="H4414" s="6">
        <v>48.774547576904297</v>
      </c>
      <c r="I4414" s="6">
        <v>48.702835083007798</v>
      </c>
      <c r="J4414" s="6">
        <v>48.779380798339801</v>
      </c>
      <c r="K4414" s="6">
        <v>48.785205841064503</v>
      </c>
      <c r="L4414" s="6">
        <v>39.604423522949197</v>
      </c>
    </row>
    <row r="4415" spans="1:12" x14ac:dyDescent="0.25">
      <c r="A4415">
        <v>3537602</v>
      </c>
      <c r="B4415" t="str">
        <f t="shared" si="68"/>
        <v>PERUIBE, SP, Brasil</v>
      </c>
      <c r="C4415" s="4" t="str">
        <f>_xlfn.XLOOKUP(A4415,[1]!DadosGHD[CD_GEOCMU],[1]!DadosGHD[Região])</f>
        <v>SD</v>
      </c>
      <c r="D4415" s="4" t="str">
        <f>_xlfn.XLOOKUP(A4415,[1]!DadosGHD[CD_GEOCMU],[1]!DadosGHD[uf])</f>
        <v>SP</v>
      </c>
      <c r="E4415" s="5" t="str">
        <f>_xlfn.XLOOKUP(A4415,[1]!DadosGHD[CD_GEOCMU],[1]!DadosGHD[MUNICIPIO])</f>
        <v>PERUIBE</v>
      </c>
      <c r="F4415" s="6">
        <v>53.564903259277301</v>
      </c>
      <c r="G4415" s="6">
        <v>48.736198425292997</v>
      </c>
      <c r="H4415" s="6">
        <v>48.775444030761697</v>
      </c>
      <c r="I4415" s="6">
        <v>48.812690734863303</v>
      </c>
      <c r="J4415" s="6">
        <v>53.734073638916001</v>
      </c>
      <c r="K4415" s="6">
        <v>48.8489379882813</v>
      </c>
      <c r="L4415" s="6">
        <v>53.028617858886697</v>
      </c>
    </row>
    <row r="4416" spans="1:12" x14ac:dyDescent="0.25">
      <c r="A4416">
        <v>4122305</v>
      </c>
      <c r="B4416" t="str">
        <f t="shared" si="68"/>
        <v>RIO NEGRO, PR, Brasil</v>
      </c>
      <c r="C4416" s="4" t="str">
        <f>_xlfn.XLOOKUP(A4416,[1]!DadosGHD[CD_GEOCMU],[1]!DadosGHD[Região])</f>
        <v>SL</v>
      </c>
      <c r="D4416" s="4" t="str">
        <f>_xlfn.XLOOKUP(A4416,[1]!DadosGHD[CD_GEOCMU],[1]!DadosGHD[uf])</f>
        <v>PR</v>
      </c>
      <c r="E4416" s="5" t="str">
        <f>_xlfn.XLOOKUP(A4416,[1]!DadosGHD[CD_GEOCMU],[1]!DadosGHD[MUNICIPIO])</f>
        <v>RIO NEGRO</v>
      </c>
      <c r="F4416" s="6">
        <v>53.564933776855497</v>
      </c>
      <c r="G4416" s="6">
        <v>48.750896453857401</v>
      </c>
      <c r="H4416" s="6">
        <v>48.782943725585902</v>
      </c>
      <c r="I4416" s="6">
        <v>48.730724334716797</v>
      </c>
      <c r="J4416" s="6">
        <v>48.729995727539098</v>
      </c>
      <c r="K4416" s="6">
        <v>48.819061279296903</v>
      </c>
      <c r="L4416" s="6">
        <v>48.491065979003899</v>
      </c>
    </row>
    <row r="4417" spans="1:12" x14ac:dyDescent="0.25">
      <c r="A4417">
        <v>4116208</v>
      </c>
      <c r="B4417" t="str">
        <f t="shared" si="68"/>
        <v>MORRETES, PR, Brasil</v>
      </c>
      <c r="C4417" s="4" t="str">
        <f>_xlfn.XLOOKUP(A4417,[1]!DadosGHD[CD_GEOCMU],[1]!DadosGHD[Região])</f>
        <v>SL</v>
      </c>
      <c r="D4417" s="4" t="str">
        <f>_xlfn.XLOOKUP(A4417,[1]!DadosGHD[CD_GEOCMU],[1]!DadosGHD[uf])</f>
        <v>PR</v>
      </c>
      <c r="E4417" s="5" t="str">
        <f>_xlfn.XLOOKUP(A4417,[1]!DadosGHD[CD_GEOCMU],[1]!DadosGHD[MUNICIPIO])</f>
        <v>MORRETES</v>
      </c>
      <c r="F4417" s="6">
        <v>53.565040588378899</v>
      </c>
      <c r="G4417" s="6">
        <v>48.767814636230497</v>
      </c>
      <c r="H4417" s="6">
        <v>53.767524719238303</v>
      </c>
      <c r="I4417" s="6">
        <v>53.755611419677699</v>
      </c>
      <c r="J4417" s="6">
        <v>53.741199493408203</v>
      </c>
      <c r="K4417" s="6">
        <v>48.884742736816399</v>
      </c>
      <c r="L4417" s="6">
        <v>44.051074981689503</v>
      </c>
    </row>
    <row r="4418" spans="1:12" x14ac:dyDescent="0.25">
      <c r="A4418">
        <v>5004700</v>
      </c>
      <c r="B4418" t="str">
        <f t="shared" si="68"/>
        <v>IVINHEMA, MS, Brasil</v>
      </c>
      <c r="C4418" s="4" t="str">
        <f>_xlfn.XLOOKUP(A4418,[1]!DadosGHD[CD_GEOCMU],[1]!DadosGHD[Região])</f>
        <v>CO</v>
      </c>
      <c r="D4418" s="4" t="str">
        <f>_xlfn.XLOOKUP(A4418,[1]!DadosGHD[CD_GEOCMU],[1]!DadosGHD[uf])</f>
        <v>MS</v>
      </c>
      <c r="E4418" s="5" t="str">
        <f>_xlfn.XLOOKUP(A4418,[1]!DadosGHD[CD_GEOCMU],[1]!DadosGHD[MUNICIPIO])</f>
        <v>IVINHEMA</v>
      </c>
      <c r="F4418" s="6">
        <v>53.565681457519503</v>
      </c>
      <c r="G4418" s="6">
        <v>53.658313751220703</v>
      </c>
      <c r="H4418" s="6">
        <v>48.821952819824197</v>
      </c>
      <c r="I4418" s="6">
        <v>48.785930633544901</v>
      </c>
      <c r="J4418" s="6">
        <v>48.821441650390597</v>
      </c>
      <c r="K4418" s="6">
        <v>48.8888549804688</v>
      </c>
      <c r="L4418" s="6">
        <v>35.115776062011697</v>
      </c>
    </row>
    <row r="4419" spans="1:12" x14ac:dyDescent="0.25">
      <c r="A4419">
        <v>3534708</v>
      </c>
      <c r="B4419" t="str">
        <f t="shared" si="68"/>
        <v>OURINHOS, SP, Brasil</v>
      </c>
      <c r="C4419" s="4" t="str">
        <f>_xlfn.XLOOKUP(A4419,[1]!DadosGHD[CD_GEOCMU],[1]!DadosGHD[Região])</f>
        <v>SD</v>
      </c>
      <c r="D4419" s="4" t="str">
        <f>_xlfn.XLOOKUP(A4419,[1]!DadosGHD[CD_GEOCMU],[1]!DadosGHD[uf])</f>
        <v>SP</v>
      </c>
      <c r="E4419" s="5" t="str">
        <f>_xlfn.XLOOKUP(A4419,[1]!DadosGHD[CD_GEOCMU],[1]!DadosGHD[MUNICIPIO])</f>
        <v>OURINHOS</v>
      </c>
      <c r="F4419" s="6">
        <v>53.565956115722699</v>
      </c>
      <c r="G4419" s="6">
        <v>48.735572814941399</v>
      </c>
      <c r="H4419" s="6">
        <v>48.826831817627003</v>
      </c>
      <c r="I4419" s="6">
        <v>48.813121795654297</v>
      </c>
      <c r="J4419" s="6">
        <v>53.872623443603501</v>
      </c>
      <c r="K4419" s="6">
        <v>53.918125152587898</v>
      </c>
      <c r="L4419" s="6">
        <v>57.566219329833999</v>
      </c>
    </row>
    <row r="4420" spans="1:12" x14ac:dyDescent="0.25">
      <c r="A4420">
        <v>2919207</v>
      </c>
      <c r="B4420" t="str">
        <f t="shared" ref="B4420:B4483" si="69">_xlfn.CONCAT(E4420, ", ", D4420, ", Brasil")</f>
        <v>LAURO DE FREITAS, BA, Brasil</v>
      </c>
      <c r="C4420" s="4" t="str">
        <f>_xlfn.XLOOKUP(A4420,[1]!DadosGHD[CD_GEOCMU],[1]!DadosGHD[Região])</f>
        <v>NE</v>
      </c>
      <c r="D4420" s="4" t="str">
        <f>_xlfn.XLOOKUP(A4420,[1]!DadosGHD[CD_GEOCMU],[1]!DadosGHD[uf])</f>
        <v>BA</v>
      </c>
      <c r="E4420" s="5" t="str">
        <f>_xlfn.XLOOKUP(A4420,[1]!DadosGHD[CD_GEOCMU],[1]!DadosGHD[MUNICIPIO])</f>
        <v>LAURO DE FREITAS</v>
      </c>
      <c r="F4420" s="6">
        <v>53.566219329833999</v>
      </c>
      <c r="G4420" s="6">
        <v>48.737140655517599</v>
      </c>
      <c r="H4420" s="6">
        <v>48.781093597412102</v>
      </c>
      <c r="I4420" s="6">
        <v>48.744369506835902</v>
      </c>
      <c r="J4420" s="6">
        <v>48.737762451171903</v>
      </c>
      <c r="K4420" s="6">
        <v>48.770862579345703</v>
      </c>
      <c r="L4420" s="6">
        <v>44.024124145507798</v>
      </c>
    </row>
    <row r="4421" spans="1:12" x14ac:dyDescent="0.25">
      <c r="A4421">
        <v>4103222</v>
      </c>
      <c r="B4421" t="str">
        <f t="shared" si="69"/>
        <v>BOM SUCESSO DO SUL, PR, Brasil</v>
      </c>
      <c r="C4421" s="4" t="str">
        <f>_xlfn.XLOOKUP(A4421,[1]!DadosGHD[CD_GEOCMU],[1]!DadosGHD[Região])</f>
        <v>SL</v>
      </c>
      <c r="D4421" s="4" t="str">
        <f>_xlfn.XLOOKUP(A4421,[1]!DadosGHD[CD_GEOCMU],[1]!DadosGHD[uf])</f>
        <v>PR</v>
      </c>
      <c r="E4421" s="5" t="str">
        <f>_xlfn.XLOOKUP(A4421,[1]!DadosGHD[CD_GEOCMU],[1]!DadosGHD[MUNICIPIO])</f>
        <v>BOM SUCESSO DO SUL</v>
      </c>
      <c r="F4421" s="6">
        <v>53.566532135009801</v>
      </c>
      <c r="G4421" s="6">
        <v>63.887126922607401</v>
      </c>
      <c r="H4421" s="6">
        <v>53.776889801025398</v>
      </c>
      <c r="I4421" s="6">
        <v>53.727703094482401</v>
      </c>
      <c r="J4421" s="6">
        <v>53.747520446777301</v>
      </c>
      <c r="K4421" s="6">
        <v>48.900108337402301</v>
      </c>
      <c r="L4421" s="6">
        <v>35.141670227050803</v>
      </c>
    </row>
    <row r="4422" spans="1:12" x14ac:dyDescent="0.25">
      <c r="A4422">
        <v>4102802</v>
      </c>
      <c r="B4422" t="str">
        <f t="shared" si="69"/>
        <v>BELA VISTA DO PARAISO, PR, Brasil</v>
      </c>
      <c r="C4422" s="4" t="str">
        <f>_xlfn.XLOOKUP(A4422,[1]!DadosGHD[CD_GEOCMU],[1]!DadosGHD[Região])</f>
        <v>SL</v>
      </c>
      <c r="D4422" s="4" t="str">
        <f>_xlfn.XLOOKUP(A4422,[1]!DadosGHD[CD_GEOCMU],[1]!DadosGHD[uf])</f>
        <v>PR</v>
      </c>
      <c r="E4422" s="5" t="str">
        <f>_xlfn.XLOOKUP(A4422,[1]!DadosGHD[CD_GEOCMU],[1]!DadosGHD[MUNICIPIO])</f>
        <v>BELA VISTA DO PARAISO</v>
      </c>
      <c r="F4422" s="6">
        <v>53.566673278808601</v>
      </c>
      <c r="G4422" s="6">
        <v>53.706821441650398</v>
      </c>
      <c r="H4422" s="6">
        <v>48.826595306396499</v>
      </c>
      <c r="I4422" s="6">
        <v>53.810707092285199</v>
      </c>
      <c r="J4422" s="6">
        <v>53.839996337890597</v>
      </c>
      <c r="K4422" s="6">
        <v>53.825809478759801</v>
      </c>
      <c r="L4422" s="6">
        <v>44.052047729492202</v>
      </c>
    </row>
    <row r="4423" spans="1:12" x14ac:dyDescent="0.25">
      <c r="A4423">
        <v>3134202</v>
      </c>
      <c r="B4423" t="str">
        <f t="shared" si="69"/>
        <v>ITUIUTABA, MG, Brasil</v>
      </c>
      <c r="C4423" s="4" t="str">
        <f>_xlfn.XLOOKUP(A4423,[1]!DadosGHD[CD_GEOCMU],[1]!DadosGHD[Região])</f>
        <v>SD</v>
      </c>
      <c r="D4423" s="4" t="str">
        <f>_xlfn.XLOOKUP(A4423,[1]!DadosGHD[CD_GEOCMU],[1]!DadosGHD[uf])</f>
        <v>MG</v>
      </c>
      <c r="E4423" s="5" t="str">
        <f>_xlfn.XLOOKUP(A4423,[1]!DadosGHD[CD_GEOCMU],[1]!DadosGHD[MUNICIPIO])</f>
        <v>ITUIUTABA</v>
      </c>
      <c r="F4423" s="6">
        <v>53.567428588867202</v>
      </c>
      <c r="G4423" s="6">
        <v>53.732669830322301</v>
      </c>
      <c r="H4423" s="6">
        <v>53.83544921875</v>
      </c>
      <c r="I4423" s="6">
        <v>53.825508117675803</v>
      </c>
      <c r="J4423" s="6">
        <v>53.883865356445298</v>
      </c>
      <c r="K4423" s="6">
        <v>53.909797668457003</v>
      </c>
      <c r="L4423" s="6">
        <v>57.516452789306598</v>
      </c>
    </row>
    <row r="4424" spans="1:12" x14ac:dyDescent="0.25">
      <c r="A4424">
        <v>3147303</v>
      </c>
      <c r="B4424" t="str">
        <f t="shared" si="69"/>
        <v>PARAISOPOLIS, MG, Brasil</v>
      </c>
      <c r="C4424" s="4" t="str">
        <f>_xlfn.XLOOKUP(A4424,[1]!DadosGHD[CD_GEOCMU],[1]!DadosGHD[Região])</f>
        <v>SD</v>
      </c>
      <c r="D4424" s="4" t="str">
        <f>_xlfn.XLOOKUP(A4424,[1]!DadosGHD[CD_GEOCMU],[1]!DadosGHD[uf])</f>
        <v>MG</v>
      </c>
      <c r="E4424" s="5" t="str">
        <f>_xlfn.XLOOKUP(A4424,[1]!DadosGHD[CD_GEOCMU],[1]!DadosGHD[MUNICIPIO])</f>
        <v>PARAISOPOLIS</v>
      </c>
      <c r="F4424" s="6">
        <v>53.568046569824197</v>
      </c>
      <c r="G4424" s="6">
        <v>53.670810699462898</v>
      </c>
      <c r="H4424" s="6">
        <v>48.822013854980497</v>
      </c>
      <c r="I4424" s="6">
        <v>48.785312652587898</v>
      </c>
      <c r="J4424" s="6">
        <v>53.817169189453097</v>
      </c>
      <c r="K4424" s="6">
        <v>58.961017608642599</v>
      </c>
      <c r="L4424" s="6">
        <v>57.589881896972699</v>
      </c>
    </row>
    <row r="4425" spans="1:12" x14ac:dyDescent="0.25">
      <c r="A4425">
        <v>3142809</v>
      </c>
      <c r="B4425" t="str">
        <f t="shared" si="69"/>
        <v>MONTE ALEGRE DE MINAS, MG, Brasil</v>
      </c>
      <c r="C4425" s="4" t="str">
        <f>_xlfn.XLOOKUP(A4425,[1]!DadosGHD[CD_GEOCMU],[1]!DadosGHD[Região])</f>
        <v>SD</v>
      </c>
      <c r="D4425" s="4" t="str">
        <f>_xlfn.XLOOKUP(A4425,[1]!DadosGHD[CD_GEOCMU],[1]!DadosGHD[uf])</f>
        <v>MG</v>
      </c>
      <c r="E4425" s="5" t="str">
        <f>_xlfn.XLOOKUP(A4425,[1]!DadosGHD[CD_GEOCMU],[1]!DadosGHD[MUNICIPIO])</f>
        <v>MONTE ALEGRE DE MINAS</v>
      </c>
      <c r="F4425" s="6">
        <v>53.5684204101563</v>
      </c>
      <c r="G4425" s="6">
        <v>53.713958740234403</v>
      </c>
      <c r="H4425" s="6">
        <v>53.769100189208999</v>
      </c>
      <c r="I4425" s="6">
        <v>53.736705780029297</v>
      </c>
      <c r="J4425" s="6">
        <v>53.749706268310597</v>
      </c>
      <c r="K4425" s="6">
        <v>48.8567924499512</v>
      </c>
      <c r="L4425" s="6">
        <v>44.074863433837898</v>
      </c>
    </row>
    <row r="4426" spans="1:12" x14ac:dyDescent="0.25">
      <c r="A4426">
        <v>3546702</v>
      </c>
      <c r="B4426" t="str">
        <f t="shared" si="69"/>
        <v>SANTA GERTRUDES, SP, Brasil</v>
      </c>
      <c r="C4426" s="4" t="str">
        <f>_xlfn.XLOOKUP(A4426,[1]!DadosGHD[CD_GEOCMU],[1]!DadosGHD[Região])</f>
        <v>SD</v>
      </c>
      <c r="D4426" s="4" t="str">
        <f>_xlfn.XLOOKUP(A4426,[1]!DadosGHD[CD_GEOCMU],[1]!DadosGHD[uf])</f>
        <v>SP</v>
      </c>
      <c r="E4426" s="5" t="str">
        <f>_xlfn.XLOOKUP(A4426,[1]!DadosGHD[CD_GEOCMU],[1]!DadosGHD[MUNICIPIO])</f>
        <v>SANTA GERTRUDES</v>
      </c>
      <c r="F4426" s="6">
        <v>53.5687866210938</v>
      </c>
      <c r="G4426" s="6">
        <v>48.715091705322301</v>
      </c>
      <c r="H4426" s="6">
        <v>48.721267700195298</v>
      </c>
      <c r="I4426" s="6">
        <v>48.691402435302699</v>
      </c>
      <c r="J4426" s="6">
        <v>48.722721099853501</v>
      </c>
      <c r="K4426" s="6">
        <v>43.879177093505902</v>
      </c>
      <c r="L4426" s="6">
        <v>48.512649536132798</v>
      </c>
    </row>
    <row r="4427" spans="1:12" x14ac:dyDescent="0.25">
      <c r="A4427">
        <v>4114906</v>
      </c>
      <c r="B4427" t="str">
        <f t="shared" si="69"/>
        <v>MARILANDIA DO SUL, PR, Brasil</v>
      </c>
      <c r="C4427" s="4" t="str">
        <f>_xlfn.XLOOKUP(A4427,[1]!DadosGHD[CD_GEOCMU],[1]!DadosGHD[Região])</f>
        <v>SL</v>
      </c>
      <c r="D4427" s="4" t="str">
        <f>_xlfn.XLOOKUP(A4427,[1]!DadosGHD[CD_GEOCMU],[1]!DadosGHD[uf])</f>
        <v>PR</v>
      </c>
      <c r="E4427" s="5" t="str">
        <f>_xlfn.XLOOKUP(A4427,[1]!DadosGHD[CD_GEOCMU],[1]!DadosGHD[MUNICIPIO])</f>
        <v>MARILANDIA DO SUL</v>
      </c>
      <c r="F4427" s="6">
        <v>53.569305419921903</v>
      </c>
      <c r="G4427" s="6">
        <v>53.819828033447301</v>
      </c>
      <c r="H4427" s="6">
        <v>53.831829071044901</v>
      </c>
      <c r="I4427" s="6">
        <v>53.779117584228501</v>
      </c>
      <c r="J4427" s="6">
        <v>53.795627593994098</v>
      </c>
      <c r="K4427" s="6">
        <v>53.850627899169901</v>
      </c>
      <c r="L4427" s="6">
        <v>35.160182952880902</v>
      </c>
    </row>
    <row r="4428" spans="1:12" x14ac:dyDescent="0.25">
      <c r="A4428">
        <v>5210109</v>
      </c>
      <c r="B4428" t="str">
        <f t="shared" si="69"/>
        <v>IPAMERI, GO, Brasil</v>
      </c>
      <c r="C4428" s="4" t="str">
        <f>_xlfn.XLOOKUP(A4428,[1]!DadosGHD[CD_GEOCMU],[1]!DadosGHD[Região])</f>
        <v>CO</v>
      </c>
      <c r="D4428" s="4" t="str">
        <f>_xlfn.XLOOKUP(A4428,[1]!DadosGHD[CD_GEOCMU],[1]!DadosGHD[uf])</f>
        <v>GO</v>
      </c>
      <c r="E4428" s="5" t="str">
        <f>_xlfn.XLOOKUP(A4428,[1]!DadosGHD[CD_GEOCMU],[1]!DadosGHD[MUNICIPIO])</f>
        <v>IPAMERI</v>
      </c>
      <c r="F4428" s="6">
        <v>53.569427490234403</v>
      </c>
      <c r="G4428" s="6">
        <v>53.736858367919901</v>
      </c>
      <c r="H4428" s="6">
        <v>53.809394836425803</v>
      </c>
      <c r="I4428" s="6">
        <v>53.784236907958999</v>
      </c>
      <c r="J4428" s="6">
        <v>53.817699432373097</v>
      </c>
      <c r="K4428" s="6">
        <v>53.866489410400398</v>
      </c>
      <c r="L4428" s="6">
        <v>53.033504486083999</v>
      </c>
    </row>
    <row r="4429" spans="1:12" x14ac:dyDescent="0.25">
      <c r="A4429">
        <v>3120805</v>
      </c>
      <c r="B4429" t="str">
        <f t="shared" si="69"/>
        <v>CRUZILIA, MG, Brasil</v>
      </c>
      <c r="C4429" s="4" t="str">
        <f>_xlfn.XLOOKUP(A4429,[1]!DadosGHD[CD_GEOCMU],[1]!DadosGHD[Região])</f>
        <v>SD</v>
      </c>
      <c r="D4429" s="4" t="str">
        <f>_xlfn.XLOOKUP(A4429,[1]!DadosGHD[CD_GEOCMU],[1]!DadosGHD[uf])</f>
        <v>MG</v>
      </c>
      <c r="E4429" s="5" t="str">
        <f>_xlfn.XLOOKUP(A4429,[1]!DadosGHD[CD_GEOCMU],[1]!DadosGHD[MUNICIPIO])</f>
        <v>CRUZILIA</v>
      </c>
      <c r="F4429" s="6">
        <v>53.570358276367202</v>
      </c>
      <c r="G4429" s="6">
        <v>48.764640808105497</v>
      </c>
      <c r="H4429" s="6">
        <v>53.779483795166001</v>
      </c>
      <c r="I4429" s="6">
        <v>53.715972900390597</v>
      </c>
      <c r="J4429" s="6">
        <v>48.7915649414063</v>
      </c>
      <c r="K4429" s="6">
        <v>48.770877838134801</v>
      </c>
      <c r="L4429" s="6">
        <v>39.573848724365199</v>
      </c>
    </row>
    <row r="4430" spans="1:12" x14ac:dyDescent="0.25">
      <c r="A4430">
        <v>4209177</v>
      </c>
      <c r="B4430" t="str">
        <f t="shared" si="69"/>
        <v>JUPIA, SC, Brasil</v>
      </c>
      <c r="C4430" s="4" t="str">
        <f>_xlfn.XLOOKUP(A4430,[1]!DadosGHD[CD_GEOCMU],[1]!DadosGHD[Região])</f>
        <v>SL</v>
      </c>
      <c r="D4430" s="4" t="str">
        <f>_xlfn.XLOOKUP(A4430,[1]!DadosGHD[CD_GEOCMU],[1]!DadosGHD[uf])</f>
        <v>SC</v>
      </c>
      <c r="E4430" s="5" t="str">
        <f>_xlfn.XLOOKUP(A4430,[1]!DadosGHD[CD_GEOCMU],[1]!DadosGHD[MUNICIPIO])</f>
        <v>JUPIA</v>
      </c>
      <c r="F4430" s="6">
        <v>53.570446014404297</v>
      </c>
      <c r="G4430" s="6">
        <v>58.834583282470703</v>
      </c>
      <c r="H4430" s="6">
        <v>58.887950897216797</v>
      </c>
      <c r="I4430" s="6">
        <v>53.744224548339801</v>
      </c>
      <c r="J4430" s="6">
        <v>58.868965148925803</v>
      </c>
      <c r="K4430" s="6">
        <v>58.929618835449197</v>
      </c>
      <c r="L4430" s="6">
        <v>53.006187438964801</v>
      </c>
    </row>
    <row r="4431" spans="1:12" x14ac:dyDescent="0.25">
      <c r="A4431">
        <v>5100300</v>
      </c>
      <c r="B4431" t="str">
        <f t="shared" si="69"/>
        <v>ALTO ARAGUAIA, MT, Brasil</v>
      </c>
      <c r="C4431" s="4" t="str">
        <f>_xlfn.XLOOKUP(A4431,[1]!DadosGHD[CD_GEOCMU],[1]!DadosGHD[Região])</f>
        <v>CO</v>
      </c>
      <c r="D4431" s="4" t="str">
        <f>_xlfn.XLOOKUP(A4431,[1]!DadosGHD[CD_GEOCMU],[1]!DadosGHD[uf])</f>
        <v>MT</v>
      </c>
      <c r="E4431" s="5" t="str">
        <f>_xlfn.XLOOKUP(A4431,[1]!DadosGHD[CD_GEOCMU],[1]!DadosGHD[MUNICIPIO])</f>
        <v>ALTO ARAGUAIA</v>
      </c>
      <c r="F4431" s="6">
        <v>53.570602416992202</v>
      </c>
      <c r="G4431" s="6">
        <v>48.712844848632798</v>
      </c>
      <c r="H4431" s="6">
        <v>48.748565673828097</v>
      </c>
      <c r="I4431" s="6">
        <v>48.706275939941399</v>
      </c>
      <c r="J4431" s="6">
        <v>43.818920135498097</v>
      </c>
      <c r="K4431" s="6">
        <v>43.825153350830099</v>
      </c>
      <c r="L4431" s="6">
        <v>35.139167785644503</v>
      </c>
    </row>
    <row r="4432" spans="1:12" x14ac:dyDescent="0.25">
      <c r="A4432">
        <v>4323804</v>
      </c>
      <c r="B4432" t="str">
        <f t="shared" si="69"/>
        <v>XANGRI-LA, RS, Brasil</v>
      </c>
      <c r="C4432" s="4" t="str">
        <f>_xlfn.XLOOKUP(A4432,[1]!DadosGHD[CD_GEOCMU],[1]!DadosGHD[Região])</f>
        <v>SL</v>
      </c>
      <c r="D4432" s="4" t="str">
        <f>_xlfn.XLOOKUP(A4432,[1]!DadosGHD[CD_GEOCMU],[1]!DadosGHD[uf])</f>
        <v>RS</v>
      </c>
      <c r="E4432" s="5" t="str">
        <f>_xlfn.XLOOKUP(A4432,[1]!DadosGHD[CD_GEOCMU],[1]!DadosGHD[MUNICIPIO])</f>
        <v>XANGRI-LA</v>
      </c>
      <c r="F4432" s="6">
        <v>53.571155548095703</v>
      </c>
      <c r="G4432" s="6">
        <v>43.717350006103501</v>
      </c>
      <c r="H4432" s="6">
        <v>43.715167999267599</v>
      </c>
      <c r="I4432" s="6">
        <v>43.752513885498097</v>
      </c>
      <c r="J4432" s="6">
        <v>48.728725433349602</v>
      </c>
      <c r="K4432" s="6">
        <v>53.833438873291001</v>
      </c>
      <c r="L4432" s="6">
        <v>57.589881896972699</v>
      </c>
    </row>
    <row r="4433" spans="1:12" x14ac:dyDescent="0.25">
      <c r="A4433">
        <v>4127304</v>
      </c>
      <c r="B4433" t="str">
        <f t="shared" si="69"/>
        <v>TERRA RICA, PR, Brasil</v>
      </c>
      <c r="C4433" s="4" t="str">
        <f>_xlfn.XLOOKUP(A4433,[1]!DadosGHD[CD_GEOCMU],[1]!DadosGHD[Região])</f>
        <v>SL</v>
      </c>
      <c r="D4433" s="4" t="str">
        <f>_xlfn.XLOOKUP(A4433,[1]!DadosGHD[CD_GEOCMU],[1]!DadosGHD[uf])</f>
        <v>PR</v>
      </c>
      <c r="E4433" s="5" t="str">
        <f>_xlfn.XLOOKUP(A4433,[1]!DadosGHD[CD_GEOCMU],[1]!DadosGHD[MUNICIPIO])</f>
        <v>TERRA RICA</v>
      </c>
      <c r="F4433" s="6">
        <v>53.5714721679688</v>
      </c>
      <c r="G4433" s="6">
        <v>53.708610534667997</v>
      </c>
      <c r="H4433" s="6">
        <v>48.836105346679702</v>
      </c>
      <c r="I4433" s="6">
        <v>48.785762786865199</v>
      </c>
      <c r="J4433" s="6">
        <v>48.809959411621101</v>
      </c>
      <c r="K4433" s="6">
        <v>48.829963684082003</v>
      </c>
      <c r="L4433" s="6">
        <v>48.552532196044901</v>
      </c>
    </row>
    <row r="4434" spans="1:12" x14ac:dyDescent="0.25">
      <c r="A4434">
        <v>4101606</v>
      </c>
      <c r="B4434" t="str">
        <f t="shared" si="69"/>
        <v>ARAPOTI, PR, Brasil</v>
      </c>
      <c r="C4434" s="4" t="str">
        <f>_xlfn.XLOOKUP(A4434,[1]!DadosGHD[CD_GEOCMU],[1]!DadosGHD[Região])</f>
        <v>SL</v>
      </c>
      <c r="D4434" s="4" t="str">
        <f>_xlfn.XLOOKUP(A4434,[1]!DadosGHD[CD_GEOCMU],[1]!DadosGHD[uf])</f>
        <v>PR</v>
      </c>
      <c r="E4434" s="5" t="str">
        <f>_xlfn.XLOOKUP(A4434,[1]!DadosGHD[CD_GEOCMU],[1]!DadosGHD[MUNICIPIO])</f>
        <v>ARAPOTI</v>
      </c>
      <c r="F4434" s="6">
        <v>53.571659088134801</v>
      </c>
      <c r="G4434" s="6">
        <v>53.720470428466797</v>
      </c>
      <c r="H4434" s="6">
        <v>48.851245880127003</v>
      </c>
      <c r="I4434" s="6">
        <v>53.779685974121101</v>
      </c>
      <c r="J4434" s="6">
        <v>53.739940643310597</v>
      </c>
      <c r="K4434" s="6">
        <v>53.8115043640137</v>
      </c>
      <c r="L4434" s="6">
        <v>44.073772430419901</v>
      </c>
    </row>
    <row r="4435" spans="1:12" x14ac:dyDescent="0.25">
      <c r="A4435">
        <v>5106802</v>
      </c>
      <c r="B4435" t="str">
        <f t="shared" si="69"/>
        <v>PORTO DOS GAUCHOS, MT, Brasil</v>
      </c>
      <c r="C4435" s="4" t="str">
        <f>_xlfn.XLOOKUP(A4435,[1]!DadosGHD[CD_GEOCMU],[1]!DadosGHD[Região])</f>
        <v>CO</v>
      </c>
      <c r="D4435" s="4" t="str">
        <f>_xlfn.XLOOKUP(A4435,[1]!DadosGHD[CD_GEOCMU],[1]!DadosGHD[uf])</f>
        <v>MT</v>
      </c>
      <c r="E4435" s="5" t="str">
        <f>_xlfn.XLOOKUP(A4435,[1]!DadosGHD[CD_GEOCMU],[1]!DadosGHD[MUNICIPIO])</f>
        <v>PORTO DOS GAUCHOS</v>
      </c>
      <c r="F4435" s="6">
        <v>53.571823120117202</v>
      </c>
      <c r="G4435" s="6">
        <v>58.724052429199197</v>
      </c>
      <c r="H4435" s="6">
        <v>58.867862701416001</v>
      </c>
      <c r="I4435" s="6">
        <v>63.961776733398402</v>
      </c>
      <c r="J4435" s="6">
        <v>64.039611816406307</v>
      </c>
      <c r="K4435" s="6">
        <v>64.13623046875</v>
      </c>
      <c r="L4435" s="6">
        <v>44.070022583007798</v>
      </c>
    </row>
    <row r="4436" spans="1:12" x14ac:dyDescent="0.25">
      <c r="A4436">
        <v>3529708</v>
      </c>
      <c r="B4436" t="str">
        <f t="shared" si="69"/>
        <v>MIGUELOPOLIS, SP, Brasil</v>
      </c>
      <c r="C4436" s="4" t="str">
        <f>_xlfn.XLOOKUP(A4436,[1]!DadosGHD[CD_GEOCMU],[1]!DadosGHD[Região])</f>
        <v>SD</v>
      </c>
      <c r="D4436" s="4" t="str">
        <f>_xlfn.XLOOKUP(A4436,[1]!DadosGHD[CD_GEOCMU],[1]!DadosGHD[uf])</f>
        <v>SP</v>
      </c>
      <c r="E4436" s="5" t="str">
        <f>_xlfn.XLOOKUP(A4436,[1]!DadosGHD[CD_GEOCMU],[1]!DadosGHD[MUNICIPIO])</f>
        <v>MIGUELOPOLIS</v>
      </c>
      <c r="F4436" s="6">
        <v>53.572177886962898</v>
      </c>
      <c r="G4436" s="6">
        <v>48.754199981689503</v>
      </c>
      <c r="H4436" s="6">
        <v>48.804237365722699</v>
      </c>
      <c r="I4436" s="6">
        <v>48.722827911377003</v>
      </c>
      <c r="J4436" s="6">
        <v>43.801750183105497</v>
      </c>
      <c r="K4436" s="6">
        <v>43.826019287109403</v>
      </c>
      <c r="L4436" s="6">
        <v>48.544078826904297</v>
      </c>
    </row>
    <row r="4437" spans="1:12" x14ac:dyDescent="0.25">
      <c r="A4437">
        <v>4119103</v>
      </c>
      <c r="B4437" t="str">
        <f t="shared" si="69"/>
        <v>PIEN, PR, Brasil</v>
      </c>
      <c r="C4437" s="4" t="str">
        <f>_xlfn.XLOOKUP(A4437,[1]!DadosGHD[CD_GEOCMU],[1]!DadosGHD[Região])</f>
        <v>SL</v>
      </c>
      <c r="D4437" s="4" t="str">
        <f>_xlfn.XLOOKUP(A4437,[1]!DadosGHD[CD_GEOCMU],[1]!DadosGHD[uf])</f>
        <v>PR</v>
      </c>
      <c r="E4437" s="5" t="str">
        <f>_xlfn.XLOOKUP(A4437,[1]!DadosGHD[CD_GEOCMU],[1]!DadosGHD[MUNICIPIO])</f>
        <v>PIEN</v>
      </c>
      <c r="F4437" s="6">
        <v>53.572502136230497</v>
      </c>
      <c r="G4437" s="6">
        <v>53.668861389160199</v>
      </c>
      <c r="H4437" s="6">
        <v>48.740119934082003</v>
      </c>
      <c r="I4437" s="6">
        <v>48.7540092468262</v>
      </c>
      <c r="J4437" s="6">
        <v>48.761604309082003</v>
      </c>
      <c r="K4437" s="6">
        <v>53.907989501953097</v>
      </c>
      <c r="L4437" s="6">
        <v>57.525680541992202</v>
      </c>
    </row>
    <row r="4438" spans="1:12" x14ac:dyDescent="0.25">
      <c r="A4438">
        <v>3202900</v>
      </c>
      <c r="B4438" t="str">
        <f t="shared" si="69"/>
        <v>ITARANA, ES, Brasil</v>
      </c>
      <c r="C4438" s="4" t="str">
        <f>_xlfn.XLOOKUP(A4438,[1]!DadosGHD[CD_GEOCMU],[1]!DadosGHD[Região])</f>
        <v>SD</v>
      </c>
      <c r="D4438" s="4" t="str">
        <f>_xlfn.XLOOKUP(A4438,[1]!DadosGHD[CD_GEOCMU],[1]!DadosGHD[uf])</f>
        <v>ES</v>
      </c>
      <c r="E4438" s="5" t="str">
        <f>_xlfn.XLOOKUP(A4438,[1]!DadosGHD[CD_GEOCMU],[1]!DadosGHD[MUNICIPIO])</f>
        <v>ITARANA</v>
      </c>
      <c r="F4438" s="6">
        <v>53.572643280029297</v>
      </c>
      <c r="G4438" s="6">
        <v>53.704109191894503</v>
      </c>
      <c r="H4438" s="6">
        <v>48.831336975097699</v>
      </c>
      <c r="I4438" s="6">
        <v>48.770465850830099</v>
      </c>
      <c r="J4438" s="6">
        <v>48.817703247070298</v>
      </c>
      <c r="K4438" s="6">
        <v>48.864261627197301</v>
      </c>
      <c r="L4438" s="6">
        <v>35.151649475097699</v>
      </c>
    </row>
    <row r="4439" spans="1:12" x14ac:dyDescent="0.25">
      <c r="A4439">
        <v>4300471</v>
      </c>
      <c r="B4439" t="str">
        <f t="shared" si="69"/>
        <v>ALMIRANTE TAMANDARE DO SUL, RS, Brasil</v>
      </c>
      <c r="C4439" s="4" t="str">
        <f>_xlfn.XLOOKUP(A4439,[1]!DadosGHD[CD_GEOCMU],[1]!DadosGHD[Região])</f>
        <v>SL</v>
      </c>
      <c r="D4439" s="4" t="str">
        <f>_xlfn.XLOOKUP(A4439,[1]!DadosGHD[CD_GEOCMU],[1]!DadosGHD[uf])</f>
        <v>RS</v>
      </c>
      <c r="E4439" s="5" t="str">
        <f>_xlfn.XLOOKUP(A4439,[1]!DadosGHD[CD_GEOCMU],[1]!DadosGHD[MUNICIPIO])</f>
        <v>ALMIRANTE TAMANDARE DO SUL</v>
      </c>
      <c r="F4439" s="6">
        <v>53.572834014892599</v>
      </c>
      <c r="G4439" s="6">
        <v>63.8390502929688</v>
      </c>
      <c r="H4439" s="6">
        <v>58.991550445556598</v>
      </c>
      <c r="I4439" s="6">
        <v>58.9315376281738</v>
      </c>
      <c r="J4439" s="6">
        <v>58.962852478027301</v>
      </c>
      <c r="K4439" s="6">
        <v>58.979766845703097</v>
      </c>
      <c r="L4439" s="6">
        <v>48.552444458007798</v>
      </c>
    </row>
    <row r="4440" spans="1:12" x14ac:dyDescent="0.25">
      <c r="A4440">
        <v>4104907</v>
      </c>
      <c r="B4440" t="str">
        <f t="shared" si="69"/>
        <v>CASTRO, PR, Brasil</v>
      </c>
      <c r="C4440" s="4" t="str">
        <f>_xlfn.XLOOKUP(A4440,[1]!DadosGHD[CD_GEOCMU],[1]!DadosGHD[Região])</f>
        <v>SL</v>
      </c>
      <c r="D4440" s="4" t="str">
        <f>_xlfn.XLOOKUP(A4440,[1]!DadosGHD[CD_GEOCMU],[1]!DadosGHD[uf])</f>
        <v>PR</v>
      </c>
      <c r="E4440" s="5" t="str">
        <f>_xlfn.XLOOKUP(A4440,[1]!DadosGHD[CD_GEOCMU],[1]!DadosGHD[MUNICIPIO])</f>
        <v>CASTRO</v>
      </c>
      <c r="F4440" s="6">
        <v>53.573253631591797</v>
      </c>
      <c r="G4440" s="6">
        <v>53.680049896240199</v>
      </c>
      <c r="H4440" s="6">
        <v>53.787792205810597</v>
      </c>
      <c r="I4440" s="6">
        <v>53.745487213134801</v>
      </c>
      <c r="J4440" s="6">
        <v>48.759498596191399</v>
      </c>
      <c r="K4440" s="6">
        <v>48.810115814208999</v>
      </c>
      <c r="L4440" s="6">
        <v>44.051708221435597</v>
      </c>
    </row>
    <row r="4441" spans="1:12" x14ac:dyDescent="0.25">
      <c r="A4441">
        <v>1100205</v>
      </c>
      <c r="B4441" t="str">
        <f t="shared" si="69"/>
        <v>PORTO VELHO, RO, Brasil</v>
      </c>
      <c r="C4441" s="4" t="str">
        <f>_xlfn.XLOOKUP(A4441,[1]!DadosGHD[CD_GEOCMU],[1]!DadosGHD[Região])</f>
        <v>NO</v>
      </c>
      <c r="D4441" s="4" t="str">
        <f>_xlfn.XLOOKUP(A4441,[1]!DadosGHD[CD_GEOCMU],[1]!DadosGHD[uf])</f>
        <v>RO</v>
      </c>
      <c r="E4441" s="5" t="str">
        <f>_xlfn.XLOOKUP(A4441,[1]!DadosGHD[CD_GEOCMU],[1]!DadosGHD[MUNICIPIO])</f>
        <v>PORTO VELHO</v>
      </c>
      <c r="F4441" s="6">
        <v>53.573268890380902</v>
      </c>
      <c r="G4441" s="6">
        <v>48.765911102294901</v>
      </c>
      <c r="H4441" s="6">
        <v>48.812778472900398</v>
      </c>
      <c r="I4441" s="6">
        <v>48.775741577148402</v>
      </c>
      <c r="J4441" s="6">
        <v>48.838626861572301</v>
      </c>
      <c r="K4441" s="6">
        <v>48.913589477539098</v>
      </c>
      <c r="L4441" s="6">
        <v>57.589881896972699</v>
      </c>
    </row>
    <row r="4442" spans="1:12" x14ac:dyDescent="0.25">
      <c r="A4442">
        <v>2919553</v>
      </c>
      <c r="B4442" t="str">
        <f t="shared" si="69"/>
        <v>LUIS EDUARDO MAGALHAES, BA, Brasil</v>
      </c>
      <c r="C4442" s="4" t="str">
        <f>_xlfn.XLOOKUP(A4442,[1]!DadosGHD[CD_GEOCMU],[1]!DadosGHD[Região])</f>
        <v>NE</v>
      </c>
      <c r="D4442" s="4" t="str">
        <f>_xlfn.XLOOKUP(A4442,[1]!DadosGHD[CD_GEOCMU],[1]!DadosGHD[uf])</f>
        <v>BA</v>
      </c>
      <c r="E4442" s="5" t="str">
        <f>_xlfn.XLOOKUP(A4442,[1]!DadosGHD[CD_GEOCMU],[1]!DadosGHD[MUNICIPIO])</f>
        <v>LUIS EDUARDO MAGALHAES</v>
      </c>
      <c r="F4442" s="6">
        <v>53.573341369628899</v>
      </c>
      <c r="G4442" s="6">
        <v>53.696640014648402</v>
      </c>
      <c r="H4442" s="6">
        <v>53.757320404052699</v>
      </c>
      <c r="I4442" s="6">
        <v>48.785640716552699</v>
      </c>
      <c r="J4442" s="6">
        <v>48.827106475830099</v>
      </c>
      <c r="K4442" s="6">
        <v>48.893600463867202</v>
      </c>
      <c r="L4442" s="6">
        <v>39.605464935302699</v>
      </c>
    </row>
    <row r="4443" spans="1:12" x14ac:dyDescent="0.25">
      <c r="A4443">
        <v>4128500</v>
      </c>
      <c r="B4443" t="str">
        <f t="shared" si="69"/>
        <v>WENCESLAU BRAZ, PR, Brasil</v>
      </c>
      <c r="C4443" s="4" t="str">
        <f>_xlfn.XLOOKUP(A4443,[1]!DadosGHD[CD_GEOCMU],[1]!DadosGHD[Região])</f>
        <v>SL</v>
      </c>
      <c r="D4443" s="4" t="str">
        <f>_xlfn.XLOOKUP(A4443,[1]!DadosGHD[CD_GEOCMU],[1]!DadosGHD[uf])</f>
        <v>PR</v>
      </c>
      <c r="E4443" s="5" t="str">
        <f>_xlfn.XLOOKUP(A4443,[1]!DadosGHD[CD_GEOCMU],[1]!DadosGHD[MUNICIPIO])</f>
        <v>WENCESLAU BRAZ</v>
      </c>
      <c r="F4443" s="6">
        <v>53.573543548583999</v>
      </c>
      <c r="G4443" s="6">
        <v>53.751213073730497</v>
      </c>
      <c r="H4443" s="6">
        <v>58.865848541259801</v>
      </c>
      <c r="I4443" s="6">
        <v>53.860191345214801</v>
      </c>
      <c r="J4443" s="6">
        <v>53.748733520507798</v>
      </c>
      <c r="K4443" s="6">
        <v>53.811347961425803</v>
      </c>
      <c r="L4443" s="6">
        <v>44.043621063232401</v>
      </c>
    </row>
    <row r="4444" spans="1:12" x14ac:dyDescent="0.25">
      <c r="A4444">
        <v>3152907</v>
      </c>
      <c r="B4444" t="str">
        <f t="shared" si="69"/>
        <v>PRATAPOLIS, MG, Brasil</v>
      </c>
      <c r="C4444" s="4" t="str">
        <f>_xlfn.XLOOKUP(A4444,[1]!DadosGHD[CD_GEOCMU],[1]!DadosGHD[Região])</f>
        <v>SD</v>
      </c>
      <c r="D4444" s="4" t="str">
        <f>_xlfn.XLOOKUP(A4444,[1]!DadosGHD[CD_GEOCMU],[1]!DadosGHD[uf])</f>
        <v>MG</v>
      </c>
      <c r="E4444" s="5" t="str">
        <f>_xlfn.XLOOKUP(A4444,[1]!DadosGHD[CD_GEOCMU],[1]!DadosGHD[MUNICIPIO])</f>
        <v>PRATAPOLIS</v>
      </c>
      <c r="F4444" s="6">
        <v>53.573982238769503</v>
      </c>
      <c r="G4444" s="6">
        <v>48.769279479980497</v>
      </c>
      <c r="H4444" s="6">
        <v>48.843502044677699</v>
      </c>
      <c r="I4444" s="6">
        <v>53.788955688476598</v>
      </c>
      <c r="J4444" s="6">
        <v>43.771728515625</v>
      </c>
      <c r="K4444" s="6">
        <v>48.812129974365199</v>
      </c>
      <c r="L4444" s="6">
        <v>48.511688232421903</v>
      </c>
    </row>
    <row r="4445" spans="1:12" x14ac:dyDescent="0.25">
      <c r="A4445">
        <v>4109708</v>
      </c>
      <c r="B4445" t="str">
        <f t="shared" si="69"/>
        <v>IBAITI, PR, Brasil</v>
      </c>
      <c r="C4445" s="4" t="str">
        <f>_xlfn.XLOOKUP(A4445,[1]!DadosGHD[CD_GEOCMU],[1]!DadosGHD[Região])</f>
        <v>SL</v>
      </c>
      <c r="D4445" s="4" t="str">
        <f>_xlfn.XLOOKUP(A4445,[1]!DadosGHD[CD_GEOCMU],[1]!DadosGHD[uf])</f>
        <v>PR</v>
      </c>
      <c r="E4445" s="5" t="str">
        <f>_xlfn.XLOOKUP(A4445,[1]!DadosGHD[CD_GEOCMU],[1]!DadosGHD[MUNICIPIO])</f>
        <v>IBAITI</v>
      </c>
      <c r="F4445" s="6">
        <v>53.574344635009801</v>
      </c>
      <c r="G4445" s="6">
        <v>48.7496337890625</v>
      </c>
      <c r="H4445" s="6">
        <v>48.804389953613303</v>
      </c>
      <c r="I4445" s="6">
        <v>53.770103454589801</v>
      </c>
      <c r="J4445" s="6">
        <v>53.778114318847699</v>
      </c>
      <c r="K4445" s="6">
        <v>53.819820404052699</v>
      </c>
      <c r="L4445" s="6">
        <v>48.492343902587898</v>
      </c>
    </row>
    <row r="4446" spans="1:12" x14ac:dyDescent="0.25">
      <c r="A4446">
        <v>5003306</v>
      </c>
      <c r="B4446" t="str">
        <f t="shared" si="69"/>
        <v>COXIM, MS, Brasil</v>
      </c>
      <c r="C4446" s="4" t="str">
        <f>_xlfn.XLOOKUP(A4446,[1]!DadosGHD[CD_GEOCMU],[1]!DadosGHD[Região])</f>
        <v>CO</v>
      </c>
      <c r="D4446" s="4" t="str">
        <f>_xlfn.XLOOKUP(A4446,[1]!DadosGHD[CD_GEOCMU],[1]!DadosGHD[uf])</f>
        <v>MS</v>
      </c>
      <c r="E4446" s="5" t="str">
        <f>_xlfn.XLOOKUP(A4446,[1]!DadosGHD[CD_GEOCMU],[1]!DadosGHD[MUNICIPIO])</f>
        <v>COXIM</v>
      </c>
      <c r="F4446" s="6">
        <v>53.574356079101598</v>
      </c>
      <c r="G4446" s="6">
        <v>53.687843322753899</v>
      </c>
      <c r="H4446" s="6">
        <v>48.840236663818402</v>
      </c>
      <c r="I4446" s="6">
        <v>53.741416931152301</v>
      </c>
      <c r="J4446" s="6">
        <v>53.796241760253899</v>
      </c>
      <c r="K4446" s="6">
        <v>48.910362243652301</v>
      </c>
      <c r="L4446" s="6">
        <v>44.057308197021499</v>
      </c>
    </row>
    <row r="4447" spans="1:12" x14ac:dyDescent="0.25">
      <c r="A4447">
        <v>4209151</v>
      </c>
      <c r="B4447" t="str">
        <f t="shared" si="69"/>
        <v>JOSE BOITEUX, SC, Brasil</v>
      </c>
      <c r="C4447" s="4" t="str">
        <f>_xlfn.XLOOKUP(A4447,[1]!DadosGHD[CD_GEOCMU],[1]!DadosGHD[Região])</f>
        <v>SL</v>
      </c>
      <c r="D4447" s="4" t="str">
        <f>_xlfn.XLOOKUP(A4447,[1]!DadosGHD[CD_GEOCMU],[1]!DadosGHD[uf])</f>
        <v>SC</v>
      </c>
      <c r="E4447" s="5" t="str">
        <f>_xlfn.XLOOKUP(A4447,[1]!DadosGHD[CD_GEOCMU],[1]!DadosGHD[MUNICIPIO])</f>
        <v>JOSE BOITEUX</v>
      </c>
      <c r="F4447" s="6">
        <v>53.574752807617202</v>
      </c>
      <c r="G4447" s="6">
        <v>53.789527893066399</v>
      </c>
      <c r="H4447" s="6">
        <v>48.8201713562012</v>
      </c>
      <c r="I4447" s="6">
        <v>48.788707733154297</v>
      </c>
      <c r="J4447" s="6">
        <v>48.781238555908203</v>
      </c>
      <c r="K4447" s="6">
        <v>48.860668182373097</v>
      </c>
      <c r="L4447" s="6">
        <v>39.580837249755902</v>
      </c>
    </row>
    <row r="4448" spans="1:12" x14ac:dyDescent="0.25">
      <c r="A4448">
        <v>4308854</v>
      </c>
      <c r="B4448" t="str">
        <f t="shared" si="69"/>
        <v>GENTIL, RS, Brasil</v>
      </c>
      <c r="C4448" s="4" t="str">
        <f>_xlfn.XLOOKUP(A4448,[1]!DadosGHD[CD_GEOCMU],[1]!DadosGHD[Região])</f>
        <v>SL</v>
      </c>
      <c r="D4448" s="4" t="str">
        <f>_xlfn.XLOOKUP(A4448,[1]!DadosGHD[CD_GEOCMU],[1]!DadosGHD[uf])</f>
        <v>RS</v>
      </c>
      <c r="E4448" s="5" t="str">
        <f>_xlfn.XLOOKUP(A4448,[1]!DadosGHD[CD_GEOCMU],[1]!DadosGHD[MUNICIPIO])</f>
        <v>GENTIL</v>
      </c>
      <c r="F4448" s="6">
        <v>53.574802398681598</v>
      </c>
      <c r="G4448" s="6">
        <v>63.91796875</v>
      </c>
      <c r="H4448" s="6">
        <v>63.978416442871101</v>
      </c>
      <c r="I4448" s="6">
        <v>48.816741943359403</v>
      </c>
      <c r="J4448" s="6">
        <v>53.783432006835902</v>
      </c>
      <c r="K4448" s="6">
        <v>53.8749809265137</v>
      </c>
      <c r="L4448" s="6">
        <v>48.526531219482401</v>
      </c>
    </row>
    <row r="4449" spans="1:12" x14ac:dyDescent="0.25">
      <c r="A4449">
        <v>5213103</v>
      </c>
      <c r="B4449" t="str">
        <f t="shared" si="69"/>
        <v>MINEIROS, GO, Brasil</v>
      </c>
      <c r="C4449" s="4" t="str">
        <f>_xlfn.XLOOKUP(A4449,[1]!DadosGHD[CD_GEOCMU],[1]!DadosGHD[Região])</f>
        <v>CO</v>
      </c>
      <c r="D4449" s="4" t="str">
        <f>_xlfn.XLOOKUP(A4449,[1]!DadosGHD[CD_GEOCMU],[1]!DadosGHD[uf])</f>
        <v>GO</v>
      </c>
      <c r="E4449" s="5" t="str">
        <f>_xlfn.XLOOKUP(A4449,[1]!DadosGHD[CD_GEOCMU],[1]!DadosGHD[MUNICIPIO])</f>
        <v>MINEIROS</v>
      </c>
      <c r="F4449" s="6">
        <v>53.574989318847699</v>
      </c>
      <c r="G4449" s="6">
        <v>48.765232086181598</v>
      </c>
      <c r="H4449" s="6">
        <v>48.839065551757798</v>
      </c>
      <c r="I4449" s="6">
        <v>48.799365997314503</v>
      </c>
      <c r="J4449" s="6">
        <v>53.7281684875488</v>
      </c>
      <c r="K4449" s="6">
        <v>48.877883911132798</v>
      </c>
      <c r="L4449" s="6">
        <v>39.597835540771499</v>
      </c>
    </row>
    <row r="4450" spans="1:12" x14ac:dyDescent="0.25">
      <c r="A4450">
        <v>5100250</v>
      </c>
      <c r="B4450" t="str">
        <f t="shared" si="69"/>
        <v>ALTA FLORESTA, MT, Brasil</v>
      </c>
      <c r="C4450" s="4" t="str">
        <f>_xlfn.XLOOKUP(A4450,[1]!DadosGHD[CD_GEOCMU],[1]!DadosGHD[Região])</f>
        <v>CO</v>
      </c>
      <c r="D4450" s="4" t="str">
        <f>_xlfn.XLOOKUP(A4450,[1]!DadosGHD[CD_GEOCMU],[1]!DadosGHD[uf])</f>
        <v>MT</v>
      </c>
      <c r="E4450" s="5" t="str">
        <f>_xlfn.XLOOKUP(A4450,[1]!DadosGHD[CD_GEOCMU],[1]!DadosGHD[MUNICIPIO])</f>
        <v>ALTA FLORESTA</v>
      </c>
      <c r="F4450" s="6">
        <v>53.575008392333999</v>
      </c>
      <c r="G4450" s="6">
        <v>53.662040710449197</v>
      </c>
      <c r="H4450" s="6">
        <v>53.7506713867188</v>
      </c>
      <c r="I4450" s="6">
        <v>53.862464904785199</v>
      </c>
      <c r="J4450" s="6">
        <v>58.830642700195298</v>
      </c>
      <c r="K4450" s="6">
        <v>58.999275207519503</v>
      </c>
      <c r="L4450" s="6">
        <v>53.039886474609403</v>
      </c>
    </row>
    <row r="4451" spans="1:12" x14ac:dyDescent="0.25">
      <c r="A4451">
        <v>4210902</v>
      </c>
      <c r="B4451" t="str">
        <f t="shared" si="69"/>
        <v>MODELO, SC, Brasil</v>
      </c>
      <c r="C4451" s="4" t="str">
        <f>_xlfn.XLOOKUP(A4451,[1]!DadosGHD[CD_GEOCMU],[1]!DadosGHD[Região])</f>
        <v>SL</v>
      </c>
      <c r="D4451" s="4" t="str">
        <f>_xlfn.XLOOKUP(A4451,[1]!DadosGHD[CD_GEOCMU],[1]!DadosGHD[uf])</f>
        <v>SC</v>
      </c>
      <c r="E4451" s="5" t="str">
        <f>_xlfn.XLOOKUP(A4451,[1]!DadosGHD[CD_GEOCMU],[1]!DadosGHD[MUNICIPIO])</f>
        <v>MODELO</v>
      </c>
      <c r="F4451" s="6">
        <v>53.575016021728501</v>
      </c>
      <c r="G4451" s="6">
        <v>53.815963745117202</v>
      </c>
      <c r="H4451" s="6">
        <v>58.906730651855497</v>
      </c>
      <c r="I4451" s="6">
        <v>64.000221252441406</v>
      </c>
      <c r="J4451" s="6">
        <v>64.039611816406307</v>
      </c>
      <c r="K4451" s="6">
        <v>64.13623046875</v>
      </c>
      <c r="L4451" s="6">
        <v>57.589881896972699</v>
      </c>
    </row>
    <row r="4452" spans="1:12" x14ac:dyDescent="0.25">
      <c r="A4452">
        <v>4207601</v>
      </c>
      <c r="B4452" t="str">
        <f t="shared" si="69"/>
        <v>IPIRA, SC, Brasil</v>
      </c>
      <c r="C4452" s="4" t="str">
        <f>_xlfn.XLOOKUP(A4452,[1]!DadosGHD[CD_GEOCMU],[1]!DadosGHD[Região])</f>
        <v>SL</v>
      </c>
      <c r="D4452" s="4" t="str">
        <f>_xlfn.XLOOKUP(A4452,[1]!DadosGHD[CD_GEOCMU],[1]!DadosGHD[uf])</f>
        <v>SC</v>
      </c>
      <c r="E4452" s="5" t="str">
        <f>_xlfn.XLOOKUP(A4452,[1]!DadosGHD[CD_GEOCMU],[1]!DadosGHD[MUNICIPIO])</f>
        <v>IPIRA</v>
      </c>
      <c r="F4452" s="6">
        <v>53.575572967529297</v>
      </c>
      <c r="G4452" s="6">
        <v>58.9095458984375</v>
      </c>
      <c r="H4452" s="6">
        <v>58.8457641601563</v>
      </c>
      <c r="I4452" s="6">
        <v>58.8150634765625</v>
      </c>
      <c r="J4452" s="6">
        <v>58.933174133300803</v>
      </c>
      <c r="K4452" s="6">
        <v>59.028697967529297</v>
      </c>
      <c r="L4452" s="6">
        <v>48.519824981689503</v>
      </c>
    </row>
    <row r="4453" spans="1:12" x14ac:dyDescent="0.25">
      <c r="A4453">
        <v>4107652</v>
      </c>
      <c r="B4453" t="str">
        <f t="shared" si="69"/>
        <v>FAZENDA RIO GRANDE, PR, Brasil</v>
      </c>
      <c r="C4453" s="4" t="str">
        <f>_xlfn.XLOOKUP(A4453,[1]!DadosGHD[CD_GEOCMU],[1]!DadosGHD[Região])</f>
        <v>SL</v>
      </c>
      <c r="D4453" s="4" t="str">
        <f>_xlfn.XLOOKUP(A4453,[1]!DadosGHD[CD_GEOCMU],[1]!DadosGHD[uf])</f>
        <v>PR</v>
      </c>
      <c r="E4453" s="5" t="str">
        <f>_xlfn.XLOOKUP(A4453,[1]!DadosGHD[CD_GEOCMU],[1]!DadosGHD[MUNICIPIO])</f>
        <v>FAZENDA RIO GRANDE</v>
      </c>
      <c r="F4453" s="6">
        <v>53.576194763183601</v>
      </c>
      <c r="G4453" s="6">
        <v>53.679351806640597</v>
      </c>
      <c r="H4453" s="6">
        <v>48.820999145507798</v>
      </c>
      <c r="I4453" s="6">
        <v>48.808055877685597</v>
      </c>
      <c r="J4453" s="6">
        <v>48.820968627929702</v>
      </c>
      <c r="K4453" s="6">
        <v>48.818675994873097</v>
      </c>
      <c r="L4453" s="6">
        <v>39.579807281494098</v>
      </c>
    </row>
    <row r="4454" spans="1:12" x14ac:dyDescent="0.25">
      <c r="A4454">
        <v>5205109</v>
      </c>
      <c r="B4454" t="str">
        <f t="shared" si="69"/>
        <v>CATALAO, GO, Brasil</v>
      </c>
      <c r="C4454" s="4" t="str">
        <f>_xlfn.XLOOKUP(A4454,[1]!DadosGHD[CD_GEOCMU],[1]!DadosGHD[Região])</f>
        <v>CO</v>
      </c>
      <c r="D4454" s="4" t="str">
        <f>_xlfn.XLOOKUP(A4454,[1]!DadosGHD[CD_GEOCMU],[1]!DadosGHD[uf])</f>
        <v>GO</v>
      </c>
      <c r="E4454" s="5" t="str">
        <f>_xlfn.XLOOKUP(A4454,[1]!DadosGHD[CD_GEOCMU],[1]!DadosGHD[MUNICIPIO])</f>
        <v>CATALAO</v>
      </c>
      <c r="F4454" s="6">
        <v>53.576221466064503</v>
      </c>
      <c r="G4454" s="6">
        <v>53.743171691894503</v>
      </c>
      <c r="H4454" s="6">
        <v>53.833499908447301</v>
      </c>
      <c r="I4454" s="6">
        <v>53.785251617431598</v>
      </c>
      <c r="J4454" s="6">
        <v>58.8131103515625</v>
      </c>
      <c r="K4454" s="6">
        <v>59.026447296142599</v>
      </c>
      <c r="L4454" s="6">
        <v>57.575550079345703</v>
      </c>
    </row>
    <row r="4455" spans="1:12" x14ac:dyDescent="0.25">
      <c r="A4455">
        <v>4104204</v>
      </c>
      <c r="B4455" t="str">
        <f t="shared" si="69"/>
        <v>CAMPO LARGO, PR, Brasil</v>
      </c>
      <c r="C4455" s="4" t="str">
        <f>_xlfn.XLOOKUP(A4455,[1]!DadosGHD[CD_GEOCMU],[1]!DadosGHD[Região])</f>
        <v>SL</v>
      </c>
      <c r="D4455" s="4" t="str">
        <f>_xlfn.XLOOKUP(A4455,[1]!DadosGHD[CD_GEOCMU],[1]!DadosGHD[uf])</f>
        <v>PR</v>
      </c>
      <c r="E4455" s="5" t="str">
        <f>_xlfn.XLOOKUP(A4455,[1]!DadosGHD[CD_GEOCMU],[1]!DadosGHD[MUNICIPIO])</f>
        <v>CAMPO LARGO</v>
      </c>
      <c r="F4455" s="6">
        <v>53.576774597167997</v>
      </c>
      <c r="G4455" s="6">
        <v>53.6797065734863</v>
      </c>
      <c r="H4455" s="6">
        <v>48.852104187011697</v>
      </c>
      <c r="I4455" s="6">
        <v>53.714500427246101</v>
      </c>
      <c r="J4455" s="6">
        <v>53.725795745849602</v>
      </c>
      <c r="K4455" s="6">
        <v>48.842113494873097</v>
      </c>
      <c r="L4455" s="6">
        <v>48.525066375732401</v>
      </c>
    </row>
    <row r="4456" spans="1:12" x14ac:dyDescent="0.25">
      <c r="A4456">
        <v>4124020</v>
      </c>
      <c r="B4456" t="str">
        <f t="shared" si="69"/>
        <v>SANTA TEREZA DO OESTE, PR, Brasil</v>
      </c>
      <c r="C4456" s="4" t="str">
        <f>_xlfn.XLOOKUP(A4456,[1]!DadosGHD[CD_GEOCMU],[1]!DadosGHD[Região])</f>
        <v>SL</v>
      </c>
      <c r="D4456" s="4" t="str">
        <f>_xlfn.XLOOKUP(A4456,[1]!DadosGHD[CD_GEOCMU],[1]!DadosGHD[uf])</f>
        <v>PR</v>
      </c>
      <c r="E4456" s="5" t="str">
        <f>_xlfn.XLOOKUP(A4456,[1]!DadosGHD[CD_GEOCMU],[1]!DadosGHD[MUNICIPIO])</f>
        <v>SANTA TEREZA DO OESTE</v>
      </c>
      <c r="F4456" s="6">
        <v>53.576896667480497</v>
      </c>
      <c r="G4456" s="6">
        <v>53.690681457519503</v>
      </c>
      <c r="H4456" s="6">
        <v>58.944816589355497</v>
      </c>
      <c r="I4456" s="6">
        <v>58.944023132324197</v>
      </c>
      <c r="J4456" s="6">
        <v>58.959541320800803</v>
      </c>
      <c r="K4456" s="6">
        <v>58.993770599365199</v>
      </c>
      <c r="L4456" s="6">
        <v>53.010650634765597</v>
      </c>
    </row>
    <row r="4457" spans="1:12" x14ac:dyDescent="0.25">
      <c r="A4457">
        <v>5215702</v>
      </c>
      <c r="B4457" t="str">
        <f t="shared" si="69"/>
        <v>PALMEIRAS DE GOIAS, GO, Brasil</v>
      </c>
      <c r="C4457" s="4" t="str">
        <f>_xlfn.XLOOKUP(A4457,[1]!DadosGHD[CD_GEOCMU],[1]!DadosGHD[Região])</f>
        <v>CO</v>
      </c>
      <c r="D4457" s="4" t="str">
        <f>_xlfn.XLOOKUP(A4457,[1]!DadosGHD[CD_GEOCMU],[1]!DadosGHD[uf])</f>
        <v>GO</v>
      </c>
      <c r="E4457" s="5" t="str">
        <f>_xlfn.XLOOKUP(A4457,[1]!DadosGHD[CD_GEOCMU],[1]!DadosGHD[MUNICIPIO])</f>
        <v>PALMEIRAS DE GOIAS</v>
      </c>
      <c r="F4457" s="6">
        <v>53.576969146728501</v>
      </c>
      <c r="G4457" s="6">
        <v>53.656578063964801</v>
      </c>
      <c r="H4457" s="6">
        <v>48.842838287353501</v>
      </c>
      <c r="I4457" s="6">
        <v>53.724418640136697</v>
      </c>
      <c r="J4457" s="6">
        <v>48.827850341796903</v>
      </c>
      <c r="K4457" s="6">
        <v>48.882076263427699</v>
      </c>
      <c r="L4457" s="6">
        <v>35.156333923339801</v>
      </c>
    </row>
    <row r="4458" spans="1:12" x14ac:dyDescent="0.25">
      <c r="A4458">
        <v>4307609</v>
      </c>
      <c r="B4458" t="str">
        <f t="shared" si="69"/>
        <v>ESTANCIA VELHA, RS, Brasil</v>
      </c>
      <c r="C4458" s="4" t="str">
        <f>_xlfn.XLOOKUP(A4458,[1]!DadosGHD[CD_GEOCMU],[1]!DadosGHD[Região])</f>
        <v>SL</v>
      </c>
      <c r="D4458" s="4" t="str">
        <f>_xlfn.XLOOKUP(A4458,[1]!DadosGHD[CD_GEOCMU],[1]!DadosGHD[uf])</f>
        <v>RS</v>
      </c>
      <c r="E4458" s="5" t="str">
        <f>_xlfn.XLOOKUP(A4458,[1]!DadosGHD[CD_GEOCMU],[1]!DadosGHD[MUNICIPIO])</f>
        <v>ESTANCIA VELHA</v>
      </c>
      <c r="F4458" s="6">
        <v>53.578128814697301</v>
      </c>
      <c r="G4458" s="6">
        <v>48.746337890625</v>
      </c>
      <c r="H4458" s="6">
        <v>48.744880676269503</v>
      </c>
      <c r="I4458" s="6">
        <v>48.709121704101598</v>
      </c>
      <c r="J4458" s="6">
        <v>48.734729766845703</v>
      </c>
      <c r="K4458" s="6">
        <v>48.775680541992202</v>
      </c>
      <c r="L4458" s="6">
        <v>48.519939422607401</v>
      </c>
    </row>
    <row r="4459" spans="1:12" x14ac:dyDescent="0.25">
      <c r="A4459">
        <v>3114402</v>
      </c>
      <c r="B4459" t="str">
        <f t="shared" si="69"/>
        <v>CARMO DO RIO CLARO, MG, Brasil</v>
      </c>
      <c r="C4459" s="4" t="str">
        <f>_xlfn.XLOOKUP(A4459,[1]!DadosGHD[CD_GEOCMU],[1]!DadosGHD[Região])</f>
        <v>SD</v>
      </c>
      <c r="D4459" s="4" t="str">
        <f>_xlfn.XLOOKUP(A4459,[1]!DadosGHD[CD_GEOCMU],[1]!DadosGHD[uf])</f>
        <v>MG</v>
      </c>
      <c r="E4459" s="5" t="str">
        <f>_xlfn.XLOOKUP(A4459,[1]!DadosGHD[CD_GEOCMU],[1]!DadosGHD[MUNICIPIO])</f>
        <v>CARMO DO RIO CLARO</v>
      </c>
      <c r="F4459" s="6">
        <v>53.578212738037102</v>
      </c>
      <c r="G4459" s="6">
        <v>48.721759796142599</v>
      </c>
      <c r="H4459" s="6">
        <v>48.761123657226598</v>
      </c>
      <c r="I4459" s="6">
        <v>48.759017944335902</v>
      </c>
      <c r="J4459" s="6">
        <v>48.796665191650398</v>
      </c>
      <c r="K4459" s="6">
        <v>53.824611663818402</v>
      </c>
      <c r="L4459" s="6">
        <v>48.495265960693402</v>
      </c>
    </row>
    <row r="4460" spans="1:12" x14ac:dyDescent="0.25">
      <c r="A4460">
        <v>5203500</v>
      </c>
      <c r="B4460" t="str">
        <f t="shared" si="69"/>
        <v>BOM JESUS DE GOIAS, GO, Brasil</v>
      </c>
      <c r="C4460" s="4" t="str">
        <f>_xlfn.XLOOKUP(A4460,[1]!DadosGHD[CD_GEOCMU],[1]!DadosGHD[Região])</f>
        <v>CO</v>
      </c>
      <c r="D4460" s="4" t="str">
        <f>_xlfn.XLOOKUP(A4460,[1]!DadosGHD[CD_GEOCMU],[1]!DadosGHD[uf])</f>
        <v>GO</v>
      </c>
      <c r="E4460" s="5" t="str">
        <f>_xlfn.XLOOKUP(A4460,[1]!DadosGHD[CD_GEOCMU],[1]!DadosGHD[MUNICIPIO])</f>
        <v>BOM JESUS DE GOIAS</v>
      </c>
      <c r="F4460" s="6">
        <v>53.578826904296903</v>
      </c>
      <c r="G4460" s="6">
        <v>53.727706909179702</v>
      </c>
      <c r="H4460" s="6">
        <v>53.774944305419901</v>
      </c>
      <c r="I4460" s="6">
        <v>53.786643981933601</v>
      </c>
      <c r="J4460" s="6">
        <v>53.846736907958999</v>
      </c>
      <c r="K4460" s="6">
        <v>53.911075592041001</v>
      </c>
      <c r="L4460" s="6">
        <v>39.604648590087898</v>
      </c>
    </row>
    <row r="4461" spans="1:12" x14ac:dyDescent="0.25">
      <c r="A4461">
        <v>4204400</v>
      </c>
      <c r="B4461" t="str">
        <f t="shared" si="69"/>
        <v>CORONEL FREITAS, SC, Brasil</v>
      </c>
      <c r="C4461" s="4" t="str">
        <f>_xlfn.XLOOKUP(A4461,[1]!DadosGHD[CD_GEOCMU],[1]!DadosGHD[Região])</f>
        <v>SL</v>
      </c>
      <c r="D4461" s="4" t="str">
        <f>_xlfn.XLOOKUP(A4461,[1]!DadosGHD[CD_GEOCMU],[1]!DadosGHD[uf])</f>
        <v>SC</v>
      </c>
      <c r="E4461" s="5" t="str">
        <f>_xlfn.XLOOKUP(A4461,[1]!DadosGHD[CD_GEOCMU],[1]!DadosGHD[MUNICIPIO])</f>
        <v>CORONEL FREITAS</v>
      </c>
      <c r="F4461" s="6">
        <v>53.580310821533203</v>
      </c>
      <c r="G4461" s="6">
        <v>53.744701385498097</v>
      </c>
      <c r="H4461" s="6">
        <v>53.867153167724602</v>
      </c>
      <c r="I4461" s="6">
        <v>53.826976776123097</v>
      </c>
      <c r="J4461" s="6">
        <v>53.846706390380902</v>
      </c>
      <c r="K4461" s="6">
        <v>53.981014251708999</v>
      </c>
      <c r="L4461" s="6">
        <v>48.487762451171903</v>
      </c>
    </row>
    <row r="4462" spans="1:12" x14ac:dyDescent="0.25">
      <c r="A4462">
        <v>3129509</v>
      </c>
      <c r="B4462" t="str">
        <f t="shared" si="69"/>
        <v>IBIA, MG, Brasil</v>
      </c>
      <c r="C4462" s="4" t="str">
        <f>_xlfn.XLOOKUP(A4462,[1]!DadosGHD[CD_GEOCMU],[1]!DadosGHD[Região])</f>
        <v>SD</v>
      </c>
      <c r="D4462" s="4" t="str">
        <f>_xlfn.XLOOKUP(A4462,[1]!DadosGHD[CD_GEOCMU],[1]!DadosGHD[uf])</f>
        <v>MG</v>
      </c>
      <c r="E4462" s="5" t="str">
        <f>_xlfn.XLOOKUP(A4462,[1]!DadosGHD[CD_GEOCMU],[1]!DadosGHD[MUNICIPIO])</f>
        <v>IBIA</v>
      </c>
      <c r="F4462" s="6">
        <v>53.580314636230497</v>
      </c>
      <c r="G4462" s="6">
        <v>53.667984008789098</v>
      </c>
      <c r="H4462" s="6">
        <v>53.857860565185597</v>
      </c>
      <c r="I4462" s="6">
        <v>58.880409240722699</v>
      </c>
      <c r="J4462" s="6">
        <v>58.907848358154297</v>
      </c>
      <c r="K4462" s="6">
        <v>58.933761596679702</v>
      </c>
      <c r="L4462" s="6">
        <v>53.034709930419901</v>
      </c>
    </row>
    <row r="4463" spans="1:12" x14ac:dyDescent="0.25">
      <c r="A4463">
        <v>4217006</v>
      </c>
      <c r="B4463" t="str">
        <f t="shared" si="69"/>
        <v>SAO LUDGERO, SC, Brasil</v>
      </c>
      <c r="C4463" s="4" t="str">
        <f>_xlfn.XLOOKUP(A4463,[1]!DadosGHD[CD_GEOCMU],[1]!DadosGHD[Região])</f>
        <v>SL</v>
      </c>
      <c r="D4463" s="4" t="str">
        <f>_xlfn.XLOOKUP(A4463,[1]!DadosGHD[CD_GEOCMU],[1]!DadosGHD[uf])</f>
        <v>SC</v>
      </c>
      <c r="E4463" s="5" t="str">
        <f>_xlfn.XLOOKUP(A4463,[1]!DadosGHD[CD_GEOCMU],[1]!DadosGHD[MUNICIPIO])</f>
        <v>SAO LUDGERO</v>
      </c>
      <c r="F4463" s="6">
        <v>53.580348968505902</v>
      </c>
      <c r="G4463" s="6">
        <v>48.727420806884801</v>
      </c>
      <c r="H4463" s="6">
        <v>48.773300170898402</v>
      </c>
      <c r="I4463" s="6">
        <v>53.805057525634801</v>
      </c>
      <c r="J4463" s="6">
        <v>48.818111419677699</v>
      </c>
      <c r="K4463" s="6">
        <v>53.846355438232401</v>
      </c>
      <c r="L4463" s="6">
        <v>53.054527282714801</v>
      </c>
    </row>
    <row r="4464" spans="1:12" x14ac:dyDescent="0.25">
      <c r="A4464">
        <v>3544509</v>
      </c>
      <c r="B4464" t="str">
        <f t="shared" si="69"/>
        <v>RUBINEIA, SP, Brasil</v>
      </c>
      <c r="C4464" s="4" t="str">
        <f>_xlfn.XLOOKUP(A4464,[1]!DadosGHD[CD_GEOCMU],[1]!DadosGHD[Região])</f>
        <v>SD</v>
      </c>
      <c r="D4464" s="4" t="str">
        <f>_xlfn.XLOOKUP(A4464,[1]!DadosGHD[CD_GEOCMU],[1]!DadosGHD[uf])</f>
        <v>SP</v>
      </c>
      <c r="E4464" s="5" t="str">
        <f>_xlfn.XLOOKUP(A4464,[1]!DadosGHD[CD_GEOCMU],[1]!DadosGHD[MUNICIPIO])</f>
        <v>RUBINEIA</v>
      </c>
      <c r="F4464" s="6">
        <v>53.580379486083999</v>
      </c>
      <c r="G4464" s="6">
        <v>48.740058898925803</v>
      </c>
      <c r="H4464" s="6">
        <v>48.810512542724602</v>
      </c>
      <c r="I4464" s="6">
        <v>53.828727722167997</v>
      </c>
      <c r="J4464" s="6">
        <v>53.876693725585902</v>
      </c>
      <c r="K4464" s="6">
        <v>53.947475433349602</v>
      </c>
      <c r="L4464" s="6">
        <v>53.018508911132798</v>
      </c>
    </row>
    <row r="4465" spans="1:12" x14ac:dyDescent="0.25">
      <c r="A4465">
        <v>4311122</v>
      </c>
      <c r="B4465" t="str">
        <f t="shared" si="69"/>
        <v>JAQUIRANA, RS, Brasil</v>
      </c>
      <c r="C4465" s="4" t="str">
        <f>_xlfn.XLOOKUP(A4465,[1]!DadosGHD[CD_GEOCMU],[1]!DadosGHD[Região])</f>
        <v>SL</v>
      </c>
      <c r="D4465" s="4" t="str">
        <f>_xlfn.XLOOKUP(A4465,[1]!DadosGHD[CD_GEOCMU],[1]!DadosGHD[uf])</f>
        <v>RS</v>
      </c>
      <c r="E4465" s="5" t="str">
        <f>_xlfn.XLOOKUP(A4465,[1]!DadosGHD[CD_GEOCMU],[1]!DadosGHD[MUNICIPIO])</f>
        <v>JAQUIRANA</v>
      </c>
      <c r="F4465" s="6">
        <v>53.581260681152301</v>
      </c>
      <c r="G4465" s="6">
        <v>48.744235992431598</v>
      </c>
      <c r="H4465" s="6">
        <v>43.822948455810597</v>
      </c>
      <c r="I4465" s="6">
        <v>48.7520561218262</v>
      </c>
      <c r="J4465" s="6">
        <v>53.887241363525398</v>
      </c>
      <c r="K4465" s="6">
        <v>53.85302734375</v>
      </c>
      <c r="L4465" s="6">
        <v>44.033126831054702</v>
      </c>
    </row>
    <row r="4466" spans="1:12" x14ac:dyDescent="0.25">
      <c r="A4466">
        <v>4126603</v>
      </c>
      <c r="B4466" t="str">
        <f t="shared" si="69"/>
        <v>SIQUEIRA CAMPOS, PR, Brasil</v>
      </c>
      <c r="C4466" s="4" t="str">
        <f>_xlfn.XLOOKUP(A4466,[1]!DadosGHD[CD_GEOCMU],[1]!DadosGHD[Região])</f>
        <v>SL</v>
      </c>
      <c r="D4466" s="4" t="str">
        <f>_xlfn.XLOOKUP(A4466,[1]!DadosGHD[CD_GEOCMU],[1]!DadosGHD[uf])</f>
        <v>PR</v>
      </c>
      <c r="E4466" s="5" t="str">
        <f>_xlfn.XLOOKUP(A4466,[1]!DadosGHD[CD_GEOCMU],[1]!DadosGHD[MUNICIPIO])</f>
        <v>SIQUEIRA CAMPOS</v>
      </c>
      <c r="F4466" s="6">
        <v>53.581260681152301</v>
      </c>
      <c r="G4466" s="6">
        <v>48.749671936035199</v>
      </c>
      <c r="H4466" s="6">
        <v>48.818286895752003</v>
      </c>
      <c r="I4466" s="6">
        <v>53.712188720703097</v>
      </c>
      <c r="J4466" s="6">
        <v>53.736831665039098</v>
      </c>
      <c r="K4466" s="6">
        <v>53.844699859619098</v>
      </c>
      <c r="L4466" s="6">
        <v>39.583778381347699</v>
      </c>
    </row>
    <row r="4467" spans="1:12" x14ac:dyDescent="0.25">
      <c r="A4467">
        <v>3163904</v>
      </c>
      <c r="B4467" t="str">
        <f t="shared" si="69"/>
        <v>SAO PEDRO DA UNIAO, MG, Brasil</v>
      </c>
      <c r="C4467" s="4" t="str">
        <f>_xlfn.XLOOKUP(A4467,[1]!DadosGHD[CD_GEOCMU],[1]!DadosGHD[Região])</f>
        <v>SD</v>
      </c>
      <c r="D4467" s="4" t="str">
        <f>_xlfn.XLOOKUP(A4467,[1]!DadosGHD[CD_GEOCMU],[1]!DadosGHD[uf])</f>
        <v>MG</v>
      </c>
      <c r="E4467" s="5" t="str">
        <f>_xlfn.XLOOKUP(A4467,[1]!DadosGHD[CD_GEOCMU],[1]!DadosGHD[MUNICIPIO])</f>
        <v>SAO PEDRO DA UNIAO</v>
      </c>
      <c r="F4467" s="6">
        <v>53.582897186279297</v>
      </c>
      <c r="G4467" s="6">
        <v>53.7188110351563</v>
      </c>
      <c r="H4467" s="6">
        <v>48.843788146972699</v>
      </c>
      <c r="I4467" s="6">
        <v>48.807830810546903</v>
      </c>
      <c r="J4467" s="6">
        <v>53.742782592773402</v>
      </c>
      <c r="K4467" s="6">
        <v>53.836334228515597</v>
      </c>
      <c r="L4467" s="6">
        <v>48.5008735656738</v>
      </c>
    </row>
    <row r="4468" spans="1:12" x14ac:dyDescent="0.25">
      <c r="A4468">
        <v>4111506</v>
      </c>
      <c r="B4468" t="str">
        <f t="shared" si="69"/>
        <v>IVAIPORA, PR, Brasil</v>
      </c>
      <c r="C4468" s="4" t="str">
        <f>_xlfn.XLOOKUP(A4468,[1]!DadosGHD[CD_GEOCMU],[1]!DadosGHD[Região])</f>
        <v>SL</v>
      </c>
      <c r="D4468" s="4" t="str">
        <f>_xlfn.XLOOKUP(A4468,[1]!DadosGHD[CD_GEOCMU],[1]!DadosGHD[uf])</f>
        <v>PR</v>
      </c>
      <c r="E4468" s="5" t="str">
        <f>_xlfn.XLOOKUP(A4468,[1]!DadosGHD[CD_GEOCMU],[1]!DadosGHD[MUNICIPIO])</f>
        <v>IVAIPORA</v>
      </c>
      <c r="F4468" s="6">
        <v>53.583049774169901</v>
      </c>
      <c r="G4468" s="6">
        <v>53.6996879577637</v>
      </c>
      <c r="H4468" s="6">
        <v>53.793540954589801</v>
      </c>
      <c r="I4468" s="6">
        <v>48.811946868896499</v>
      </c>
      <c r="J4468" s="6">
        <v>53.809123992919901</v>
      </c>
      <c r="K4468" s="6">
        <v>53.903430938720703</v>
      </c>
      <c r="L4468" s="6">
        <v>52.990684509277301</v>
      </c>
    </row>
    <row r="4469" spans="1:12" x14ac:dyDescent="0.25">
      <c r="A4469">
        <v>3525201</v>
      </c>
      <c r="B4469" t="str">
        <f t="shared" si="69"/>
        <v>JARINU, SP, Brasil</v>
      </c>
      <c r="C4469" s="4" t="str">
        <f>_xlfn.XLOOKUP(A4469,[1]!DadosGHD[CD_GEOCMU],[1]!DadosGHD[Região])</f>
        <v>SD</v>
      </c>
      <c r="D4469" s="4" t="str">
        <f>_xlfn.XLOOKUP(A4469,[1]!DadosGHD[CD_GEOCMU],[1]!DadosGHD[uf])</f>
        <v>SP</v>
      </c>
      <c r="E4469" s="5" t="str">
        <f>_xlfn.XLOOKUP(A4469,[1]!DadosGHD[CD_GEOCMU],[1]!DadosGHD[MUNICIPIO])</f>
        <v>JARINU</v>
      </c>
      <c r="F4469" s="6">
        <v>53.583930969238303</v>
      </c>
      <c r="G4469" s="6">
        <v>48.7373237609863</v>
      </c>
      <c r="H4469" s="6">
        <v>48.765338897705099</v>
      </c>
      <c r="I4469" s="6">
        <v>48.711467742919901</v>
      </c>
      <c r="J4469" s="6">
        <v>48.766979217529297</v>
      </c>
      <c r="K4469" s="6">
        <v>48.840690612792997</v>
      </c>
      <c r="L4469" s="6">
        <v>48.490409851074197</v>
      </c>
    </row>
    <row r="4470" spans="1:12" x14ac:dyDescent="0.25">
      <c r="A4470">
        <v>4303004</v>
      </c>
      <c r="B4470" t="str">
        <f t="shared" si="69"/>
        <v>CACHOEIRA DO SUL, RS, Brasil</v>
      </c>
      <c r="C4470" s="4" t="str">
        <f>_xlfn.XLOOKUP(A4470,[1]!DadosGHD[CD_GEOCMU],[1]!DadosGHD[Região])</f>
        <v>SL</v>
      </c>
      <c r="D4470" s="4" t="str">
        <f>_xlfn.XLOOKUP(A4470,[1]!DadosGHD[CD_GEOCMU],[1]!DadosGHD[uf])</f>
        <v>RS</v>
      </c>
      <c r="E4470" s="5" t="str">
        <f>_xlfn.XLOOKUP(A4470,[1]!DadosGHD[CD_GEOCMU],[1]!DadosGHD[MUNICIPIO])</f>
        <v>CACHOEIRA DO SUL</v>
      </c>
      <c r="F4470" s="6">
        <v>53.5845947265625</v>
      </c>
      <c r="G4470" s="6">
        <v>53.691585540771499</v>
      </c>
      <c r="H4470" s="6">
        <v>53.786220550537102</v>
      </c>
      <c r="I4470" s="6">
        <v>53.773654937744098</v>
      </c>
      <c r="J4470" s="6">
        <v>53.7731323242188</v>
      </c>
      <c r="K4470" s="6">
        <v>53.822074890136697</v>
      </c>
      <c r="L4470" s="6">
        <v>53.006118774414098</v>
      </c>
    </row>
    <row r="4471" spans="1:12" x14ac:dyDescent="0.25">
      <c r="A4471">
        <v>3517208</v>
      </c>
      <c r="B4471" t="str">
        <f t="shared" si="69"/>
        <v>GUAICARA, SP, Brasil</v>
      </c>
      <c r="C4471" s="4" t="str">
        <f>_xlfn.XLOOKUP(A4471,[1]!DadosGHD[CD_GEOCMU],[1]!DadosGHD[Região])</f>
        <v>SD</v>
      </c>
      <c r="D4471" s="4" t="str">
        <f>_xlfn.XLOOKUP(A4471,[1]!DadosGHD[CD_GEOCMU],[1]!DadosGHD[uf])</f>
        <v>SP</v>
      </c>
      <c r="E4471" s="5" t="str">
        <f>_xlfn.XLOOKUP(A4471,[1]!DadosGHD[CD_GEOCMU],[1]!DadosGHD[MUNICIPIO])</f>
        <v>GUAICARA</v>
      </c>
      <c r="F4471" s="6">
        <v>53.584617614746101</v>
      </c>
      <c r="G4471" s="6">
        <v>48.635463714599602</v>
      </c>
      <c r="H4471" s="6">
        <v>43.7616157531738</v>
      </c>
      <c r="I4471" s="6">
        <v>38.778896331787102</v>
      </c>
      <c r="J4471" s="6">
        <v>38.7534370422363</v>
      </c>
      <c r="K4471" s="6">
        <v>33.903713226318402</v>
      </c>
      <c r="L4471" s="6">
        <v>35.112216949462898</v>
      </c>
    </row>
    <row r="4472" spans="1:12" x14ac:dyDescent="0.25">
      <c r="A4472">
        <v>4125001</v>
      </c>
      <c r="B4472" t="str">
        <f t="shared" si="69"/>
        <v>SAO JOAO DO IVAI, PR, Brasil</v>
      </c>
      <c r="C4472" s="4" t="str">
        <f>_xlfn.XLOOKUP(A4472,[1]!DadosGHD[CD_GEOCMU],[1]!DadosGHD[Região])</f>
        <v>SL</v>
      </c>
      <c r="D4472" s="4" t="str">
        <f>_xlfn.XLOOKUP(A4472,[1]!DadosGHD[CD_GEOCMU],[1]!DadosGHD[uf])</f>
        <v>PR</v>
      </c>
      <c r="E4472" s="5" t="str">
        <f>_xlfn.XLOOKUP(A4472,[1]!DadosGHD[CD_GEOCMU],[1]!DadosGHD[MUNICIPIO])</f>
        <v>SAO JOAO DO IVAI</v>
      </c>
      <c r="F4472" s="6">
        <v>53.584728240966797</v>
      </c>
      <c r="G4472" s="6">
        <v>53.707260131835902</v>
      </c>
      <c r="H4472" s="6">
        <v>53.779666900634801</v>
      </c>
      <c r="I4472" s="6">
        <v>53.745689392089801</v>
      </c>
      <c r="J4472" s="6">
        <v>53.852733612060597</v>
      </c>
      <c r="K4472" s="6">
        <v>53.860149383544901</v>
      </c>
      <c r="L4472" s="6">
        <v>39.556121826171903</v>
      </c>
    </row>
    <row r="4473" spans="1:12" x14ac:dyDescent="0.25">
      <c r="A4473">
        <v>4301057</v>
      </c>
      <c r="B4473" t="str">
        <f t="shared" si="69"/>
        <v>ARROIO DO SAL, RS, Brasil</v>
      </c>
      <c r="C4473" s="4" t="str">
        <f>_xlfn.XLOOKUP(A4473,[1]!DadosGHD[CD_GEOCMU],[1]!DadosGHD[Região])</f>
        <v>SL</v>
      </c>
      <c r="D4473" s="4" t="str">
        <f>_xlfn.XLOOKUP(A4473,[1]!DadosGHD[CD_GEOCMU],[1]!DadosGHD[uf])</f>
        <v>RS</v>
      </c>
      <c r="E4473" s="5" t="str">
        <f>_xlfn.XLOOKUP(A4473,[1]!DadosGHD[CD_GEOCMU],[1]!DadosGHD[MUNICIPIO])</f>
        <v>ARROIO DO SAL</v>
      </c>
      <c r="F4473" s="6">
        <v>53.584999084472699</v>
      </c>
      <c r="G4473" s="6">
        <v>53.709419250488303</v>
      </c>
      <c r="H4473" s="6">
        <v>43.740840911865199</v>
      </c>
      <c r="I4473" s="6">
        <v>38.723239898681598</v>
      </c>
      <c r="J4473" s="6">
        <v>48.785236358642599</v>
      </c>
      <c r="K4473" s="6">
        <v>48.904628753662102</v>
      </c>
      <c r="L4473" s="6">
        <v>57.546360015869098</v>
      </c>
    </row>
    <row r="4474" spans="1:12" x14ac:dyDescent="0.25">
      <c r="A4474">
        <v>3524006</v>
      </c>
      <c r="B4474" t="str">
        <f t="shared" si="69"/>
        <v>ITUPEVA, SP, Brasil</v>
      </c>
      <c r="C4474" s="4" t="str">
        <f>_xlfn.XLOOKUP(A4474,[1]!DadosGHD[CD_GEOCMU],[1]!DadosGHD[Região])</f>
        <v>SD</v>
      </c>
      <c r="D4474" s="4" t="str">
        <f>_xlfn.XLOOKUP(A4474,[1]!DadosGHD[CD_GEOCMU],[1]!DadosGHD[uf])</f>
        <v>SP</v>
      </c>
      <c r="E4474" s="5" t="str">
        <f>_xlfn.XLOOKUP(A4474,[1]!DadosGHD[CD_GEOCMU],[1]!DadosGHD[MUNICIPIO])</f>
        <v>ITUPEVA</v>
      </c>
      <c r="F4474" s="6">
        <v>53.5855712890625</v>
      </c>
      <c r="G4474" s="6">
        <v>53.673629760742202</v>
      </c>
      <c r="H4474" s="6">
        <v>53.7498779296875</v>
      </c>
      <c r="I4474" s="6">
        <v>53.799591064453097</v>
      </c>
      <c r="J4474" s="6">
        <v>53.831981658935597</v>
      </c>
      <c r="K4474" s="6">
        <v>48.901863098144503</v>
      </c>
      <c r="L4474" s="6">
        <v>57.515285491943402</v>
      </c>
    </row>
    <row r="4475" spans="1:12" x14ac:dyDescent="0.25">
      <c r="A4475">
        <v>4210209</v>
      </c>
      <c r="B4475" t="str">
        <f t="shared" si="69"/>
        <v>MAJOR GERCINO, SC, Brasil</v>
      </c>
      <c r="C4475" s="4" t="str">
        <f>_xlfn.XLOOKUP(A4475,[1]!DadosGHD[CD_GEOCMU],[1]!DadosGHD[Região])</f>
        <v>SL</v>
      </c>
      <c r="D4475" s="4" t="str">
        <f>_xlfn.XLOOKUP(A4475,[1]!DadosGHD[CD_GEOCMU],[1]!DadosGHD[uf])</f>
        <v>SC</v>
      </c>
      <c r="E4475" s="5" t="str">
        <f>_xlfn.XLOOKUP(A4475,[1]!DadosGHD[CD_GEOCMU],[1]!DadosGHD[MUNICIPIO])</f>
        <v>MAJOR GERCINO</v>
      </c>
      <c r="F4475" s="6">
        <v>53.585605621337898</v>
      </c>
      <c r="G4475" s="6">
        <v>43.747489929199197</v>
      </c>
      <c r="H4475" s="6">
        <v>43.812778472900398</v>
      </c>
      <c r="I4475" s="6">
        <v>43.7552680969238</v>
      </c>
      <c r="J4475" s="6">
        <v>43.761768341064503</v>
      </c>
      <c r="K4475" s="6">
        <v>43.838958740234403</v>
      </c>
      <c r="L4475" s="6">
        <v>44.027256011962898</v>
      </c>
    </row>
    <row r="4476" spans="1:12" x14ac:dyDescent="0.25">
      <c r="A4476">
        <v>4210704</v>
      </c>
      <c r="B4476" t="str">
        <f t="shared" si="69"/>
        <v>MATOS COSTA, SC, Brasil</v>
      </c>
      <c r="C4476" s="4" t="str">
        <f>_xlfn.XLOOKUP(A4476,[1]!DadosGHD[CD_GEOCMU],[1]!DadosGHD[Região])</f>
        <v>SL</v>
      </c>
      <c r="D4476" s="4" t="str">
        <f>_xlfn.XLOOKUP(A4476,[1]!DadosGHD[CD_GEOCMU],[1]!DadosGHD[uf])</f>
        <v>SC</v>
      </c>
      <c r="E4476" s="5" t="str">
        <f>_xlfn.XLOOKUP(A4476,[1]!DadosGHD[CD_GEOCMU],[1]!DadosGHD[MUNICIPIO])</f>
        <v>MATOS COSTA</v>
      </c>
      <c r="F4476" s="6">
        <v>53.586002349853501</v>
      </c>
      <c r="G4476" s="6">
        <v>43.722518920898402</v>
      </c>
      <c r="H4476" s="6">
        <v>43.784214019775398</v>
      </c>
      <c r="I4476" s="6">
        <v>43.755760192871101</v>
      </c>
      <c r="J4476" s="6">
        <v>43.781028747558601</v>
      </c>
      <c r="K4476" s="6">
        <v>43.820987701416001</v>
      </c>
      <c r="L4476" s="6">
        <v>35.113899230957003</v>
      </c>
    </row>
    <row r="4477" spans="1:12" x14ac:dyDescent="0.25">
      <c r="A4477">
        <v>4319000</v>
      </c>
      <c r="B4477" t="str">
        <f t="shared" si="69"/>
        <v>SAO MARCOS, RS, Brasil</v>
      </c>
      <c r="C4477" s="4" t="str">
        <f>_xlfn.XLOOKUP(A4477,[1]!DadosGHD[CD_GEOCMU],[1]!DadosGHD[Região])</f>
        <v>SL</v>
      </c>
      <c r="D4477" s="4" t="str">
        <f>_xlfn.XLOOKUP(A4477,[1]!DadosGHD[CD_GEOCMU],[1]!DadosGHD[uf])</f>
        <v>RS</v>
      </c>
      <c r="E4477" s="5" t="str">
        <f>_xlfn.XLOOKUP(A4477,[1]!DadosGHD[CD_GEOCMU],[1]!DadosGHD[MUNICIPIO])</f>
        <v>SAO MARCOS</v>
      </c>
      <c r="F4477" s="6">
        <v>53.586132049560597</v>
      </c>
      <c r="G4477" s="6">
        <v>53.653476715087898</v>
      </c>
      <c r="H4477" s="6">
        <v>53.751834869384801</v>
      </c>
      <c r="I4477" s="6">
        <v>53.787254333496101</v>
      </c>
      <c r="J4477" s="6">
        <v>53.832359313964801</v>
      </c>
      <c r="K4477" s="6">
        <v>58.941009521484403</v>
      </c>
      <c r="L4477" s="6">
        <v>57.589881896972699</v>
      </c>
    </row>
    <row r="4478" spans="1:12" x14ac:dyDescent="0.25">
      <c r="A4478">
        <v>3131406</v>
      </c>
      <c r="B4478" t="str">
        <f t="shared" si="69"/>
        <v>IPIACU, MG, Brasil</v>
      </c>
      <c r="C4478" s="4" t="str">
        <f>_xlfn.XLOOKUP(A4478,[1]!DadosGHD[CD_GEOCMU],[1]!DadosGHD[Região])</f>
        <v>SD</v>
      </c>
      <c r="D4478" s="4" t="str">
        <f>_xlfn.XLOOKUP(A4478,[1]!DadosGHD[CD_GEOCMU],[1]!DadosGHD[uf])</f>
        <v>MG</v>
      </c>
      <c r="E4478" s="5" t="str">
        <f>_xlfn.XLOOKUP(A4478,[1]!DadosGHD[CD_GEOCMU],[1]!DadosGHD[MUNICIPIO])</f>
        <v>IPIACU</v>
      </c>
      <c r="F4478" s="6">
        <v>53.586208343505902</v>
      </c>
      <c r="G4478" s="6">
        <v>48.752555847167997</v>
      </c>
      <c r="H4478" s="6">
        <v>48.828037261962898</v>
      </c>
      <c r="I4478" s="6">
        <v>48.822879791259801</v>
      </c>
      <c r="J4478" s="6">
        <v>43.822200775146499</v>
      </c>
      <c r="K4478" s="6">
        <v>43.842777252197301</v>
      </c>
      <c r="L4478" s="6">
        <v>39.607048034667997</v>
      </c>
    </row>
    <row r="4479" spans="1:12" x14ac:dyDescent="0.25">
      <c r="A4479">
        <v>3544707</v>
      </c>
      <c r="B4479" t="str">
        <f t="shared" si="69"/>
        <v>SAGRES, SP, Brasil</v>
      </c>
      <c r="C4479" s="4" t="str">
        <f>_xlfn.XLOOKUP(A4479,[1]!DadosGHD[CD_GEOCMU],[1]!DadosGHD[Região])</f>
        <v>SD</v>
      </c>
      <c r="D4479" s="4" t="str">
        <f>_xlfn.XLOOKUP(A4479,[1]!DadosGHD[CD_GEOCMU],[1]!DadosGHD[uf])</f>
        <v>SP</v>
      </c>
      <c r="E4479" s="5" t="str">
        <f>_xlfn.XLOOKUP(A4479,[1]!DadosGHD[CD_GEOCMU],[1]!DadosGHD[MUNICIPIO])</f>
        <v>SAGRES</v>
      </c>
      <c r="F4479" s="6">
        <v>53.586353302002003</v>
      </c>
      <c r="G4479" s="6">
        <v>48.724273681640597</v>
      </c>
      <c r="H4479" s="6">
        <v>48.7212104797363</v>
      </c>
      <c r="I4479" s="6">
        <v>43.774509429931598</v>
      </c>
      <c r="J4479" s="6">
        <v>43.758407592773402</v>
      </c>
      <c r="K4479" s="6">
        <v>33.879528045654297</v>
      </c>
      <c r="L4479" s="6">
        <v>26.297906875610401</v>
      </c>
    </row>
    <row r="4480" spans="1:12" x14ac:dyDescent="0.25">
      <c r="A4480">
        <v>3532058</v>
      </c>
      <c r="B4480" t="str">
        <f t="shared" si="69"/>
        <v>MOTUCA, SP, Brasil</v>
      </c>
      <c r="C4480" s="4" t="str">
        <f>_xlfn.XLOOKUP(A4480,[1]!DadosGHD[CD_GEOCMU],[1]!DadosGHD[Região])</f>
        <v>SD</v>
      </c>
      <c r="D4480" s="4" t="str">
        <f>_xlfn.XLOOKUP(A4480,[1]!DadosGHD[CD_GEOCMU],[1]!DadosGHD[uf])</f>
        <v>SP</v>
      </c>
      <c r="E4480" s="5" t="str">
        <f>_xlfn.XLOOKUP(A4480,[1]!DadosGHD[CD_GEOCMU],[1]!DadosGHD[MUNICIPIO])</f>
        <v>MOTUCA</v>
      </c>
      <c r="F4480" s="6">
        <v>53.5865478515625</v>
      </c>
      <c r="G4480" s="6">
        <v>48.739871978759801</v>
      </c>
      <c r="H4480" s="6">
        <v>48.7785835266113</v>
      </c>
      <c r="I4480" s="6">
        <v>48.7659301757813</v>
      </c>
      <c r="J4480" s="6">
        <v>48.7583198547363</v>
      </c>
      <c r="K4480" s="6">
        <v>48.836105346679702</v>
      </c>
      <c r="L4480" s="6">
        <v>52.991336822509801</v>
      </c>
    </row>
    <row r="4481" spans="1:12" x14ac:dyDescent="0.25">
      <c r="A4481">
        <v>5001102</v>
      </c>
      <c r="B4481" t="str">
        <f t="shared" si="69"/>
        <v>AQUIDAUANA, MS, Brasil</v>
      </c>
      <c r="C4481" s="4" t="str">
        <f>_xlfn.XLOOKUP(A4481,[1]!DadosGHD[CD_GEOCMU],[1]!DadosGHD[Região])</f>
        <v>CO</v>
      </c>
      <c r="D4481" s="4" t="str">
        <f>_xlfn.XLOOKUP(A4481,[1]!DadosGHD[CD_GEOCMU],[1]!DadosGHD[uf])</f>
        <v>MS</v>
      </c>
      <c r="E4481" s="5" t="str">
        <f>_xlfn.XLOOKUP(A4481,[1]!DadosGHD[CD_GEOCMU],[1]!DadosGHD[MUNICIPIO])</f>
        <v>AQUIDAUANA</v>
      </c>
      <c r="F4481" s="6">
        <v>53.586597442627003</v>
      </c>
      <c r="G4481" s="6">
        <v>48.673782348632798</v>
      </c>
      <c r="H4481" s="6">
        <v>43.824546813964801</v>
      </c>
      <c r="I4481" s="6">
        <v>43.779556274414098</v>
      </c>
      <c r="J4481" s="6">
        <v>43.755939483642599</v>
      </c>
      <c r="K4481" s="6">
        <v>43.788070678710902</v>
      </c>
      <c r="L4481" s="6">
        <v>35.120109558105497</v>
      </c>
    </row>
    <row r="4482" spans="1:12" x14ac:dyDescent="0.25">
      <c r="A4482">
        <v>3160504</v>
      </c>
      <c r="B4482" t="str">
        <f t="shared" si="69"/>
        <v>SANTO ANTONIO DO RIO ABAIXO, MG, Brasil</v>
      </c>
      <c r="C4482" s="4" t="str">
        <f>_xlfn.XLOOKUP(A4482,[1]!DadosGHD[CD_GEOCMU],[1]!DadosGHD[Região])</f>
        <v>SD</v>
      </c>
      <c r="D4482" s="4" t="str">
        <f>_xlfn.XLOOKUP(A4482,[1]!DadosGHD[CD_GEOCMU],[1]!DadosGHD[uf])</f>
        <v>MG</v>
      </c>
      <c r="E4482" s="5" t="str">
        <f>_xlfn.XLOOKUP(A4482,[1]!DadosGHD[CD_GEOCMU],[1]!DadosGHD[MUNICIPIO])</f>
        <v>SANTO ANTONIO DO RIO ABAIXO</v>
      </c>
      <c r="F4482" s="6">
        <v>53.586635589599602</v>
      </c>
      <c r="G4482" s="6">
        <v>43.736976623535199</v>
      </c>
      <c r="H4482" s="6">
        <v>43.782005310058601</v>
      </c>
      <c r="I4482" s="6">
        <v>43.748279571533203</v>
      </c>
      <c r="J4482" s="6">
        <v>43.779258728027301</v>
      </c>
      <c r="K4482" s="6">
        <v>43.834426879882798</v>
      </c>
      <c r="L4482" s="6">
        <v>39.575637817382798</v>
      </c>
    </row>
    <row r="4483" spans="1:12" x14ac:dyDescent="0.25">
      <c r="A4483">
        <v>3131901</v>
      </c>
      <c r="B4483" t="str">
        <f t="shared" si="69"/>
        <v>ITABIRITO, MG, Brasil</v>
      </c>
      <c r="C4483" s="4" t="str">
        <f>_xlfn.XLOOKUP(A4483,[1]!DadosGHD[CD_GEOCMU],[1]!DadosGHD[Região])</f>
        <v>SD</v>
      </c>
      <c r="D4483" s="4" t="str">
        <f>_xlfn.XLOOKUP(A4483,[1]!DadosGHD[CD_GEOCMU],[1]!DadosGHD[uf])</f>
        <v>MG</v>
      </c>
      <c r="E4483" s="5" t="str">
        <f>_xlfn.XLOOKUP(A4483,[1]!DadosGHD[CD_GEOCMU],[1]!DadosGHD[MUNICIPIO])</f>
        <v>ITABIRITO</v>
      </c>
      <c r="F4483" s="6">
        <v>53.587329864502003</v>
      </c>
      <c r="G4483" s="6">
        <v>53.676780700683601</v>
      </c>
      <c r="H4483" s="6">
        <v>48.821331024169901</v>
      </c>
      <c r="I4483" s="6">
        <v>48.775348663330099</v>
      </c>
      <c r="J4483" s="6">
        <v>53.739833831787102</v>
      </c>
      <c r="K4483" s="6">
        <v>48.904319763183601</v>
      </c>
      <c r="L4483" s="6">
        <v>48.528053283691399</v>
      </c>
    </row>
    <row r="4484" spans="1:12" x14ac:dyDescent="0.25">
      <c r="A4484">
        <v>4128203</v>
      </c>
      <c r="B4484" t="str">
        <f t="shared" ref="B4484:B4547" si="70">_xlfn.CONCAT(E4484, ", ", D4484, ", Brasil")</f>
        <v>UNIAO DA VITORIA, PR, Brasil</v>
      </c>
      <c r="C4484" s="4" t="str">
        <f>_xlfn.XLOOKUP(A4484,[1]!DadosGHD[CD_GEOCMU],[1]!DadosGHD[Região])</f>
        <v>SL</v>
      </c>
      <c r="D4484" s="4" t="str">
        <f>_xlfn.XLOOKUP(A4484,[1]!DadosGHD[CD_GEOCMU],[1]!DadosGHD[uf])</f>
        <v>PR</v>
      </c>
      <c r="E4484" s="5" t="str">
        <f>_xlfn.XLOOKUP(A4484,[1]!DadosGHD[CD_GEOCMU],[1]!DadosGHD[MUNICIPIO])</f>
        <v>UNIAO DA VITORIA</v>
      </c>
      <c r="F4484" s="6">
        <v>53.587471008300803</v>
      </c>
      <c r="G4484" s="6">
        <v>53.681148529052699</v>
      </c>
      <c r="H4484" s="6">
        <v>53.768264770507798</v>
      </c>
      <c r="I4484" s="6">
        <v>53.7545776367188</v>
      </c>
      <c r="J4484" s="6">
        <v>48.770412445068402</v>
      </c>
      <c r="K4484" s="6">
        <v>53.927684783935597</v>
      </c>
      <c r="L4484" s="6">
        <v>53.062366485595703</v>
      </c>
    </row>
    <row r="4485" spans="1:12" x14ac:dyDescent="0.25">
      <c r="A4485">
        <v>3545100</v>
      </c>
      <c r="B4485" t="str">
        <f t="shared" si="70"/>
        <v>SALMOURAO, SP, Brasil</v>
      </c>
      <c r="C4485" s="4" t="str">
        <f>_xlfn.XLOOKUP(A4485,[1]!DadosGHD[CD_GEOCMU],[1]!DadosGHD[Região])</f>
        <v>SD</v>
      </c>
      <c r="D4485" s="4" t="str">
        <f>_xlfn.XLOOKUP(A4485,[1]!DadosGHD[CD_GEOCMU],[1]!DadosGHD[uf])</f>
        <v>SP</v>
      </c>
      <c r="E4485" s="5" t="str">
        <f>_xlfn.XLOOKUP(A4485,[1]!DadosGHD[CD_GEOCMU],[1]!DadosGHD[MUNICIPIO])</f>
        <v>SALMOURAO</v>
      </c>
      <c r="F4485" s="6">
        <v>53.587677001953097</v>
      </c>
      <c r="G4485" s="6">
        <v>43.6624755859375</v>
      </c>
      <c r="H4485" s="6">
        <v>43.714027404785199</v>
      </c>
      <c r="I4485" s="6">
        <v>38.816215515136697</v>
      </c>
      <c r="J4485" s="6">
        <v>38.812618255615199</v>
      </c>
      <c r="K4485" s="6">
        <v>38.877326965332003</v>
      </c>
      <c r="L4485" s="6">
        <v>39.584850311279297</v>
      </c>
    </row>
    <row r="4486" spans="1:12" x14ac:dyDescent="0.25">
      <c r="A4486">
        <v>4204806</v>
      </c>
      <c r="B4486" t="str">
        <f t="shared" si="70"/>
        <v>CURITIBANOS, SC, Brasil</v>
      </c>
      <c r="C4486" s="4" t="str">
        <f>_xlfn.XLOOKUP(A4486,[1]!DadosGHD[CD_GEOCMU],[1]!DadosGHD[Região])</f>
        <v>SL</v>
      </c>
      <c r="D4486" s="4" t="str">
        <f>_xlfn.XLOOKUP(A4486,[1]!DadosGHD[CD_GEOCMU],[1]!DadosGHD[uf])</f>
        <v>SC</v>
      </c>
      <c r="E4486" s="5" t="str">
        <f>_xlfn.XLOOKUP(A4486,[1]!DadosGHD[CD_GEOCMU],[1]!DadosGHD[MUNICIPIO])</f>
        <v>CURITIBANOS</v>
      </c>
      <c r="F4486" s="6">
        <v>53.587696075439503</v>
      </c>
      <c r="G4486" s="6">
        <v>48.705543518066399</v>
      </c>
      <c r="H4486" s="6">
        <v>48.7681884765625</v>
      </c>
      <c r="I4486" s="6">
        <v>48.706264495849602</v>
      </c>
      <c r="J4486" s="6">
        <v>48.716526031494098</v>
      </c>
      <c r="K4486" s="6">
        <v>48.893032073974602</v>
      </c>
      <c r="L4486" s="6">
        <v>44.075889587402301</v>
      </c>
    </row>
    <row r="4487" spans="1:12" x14ac:dyDescent="0.25">
      <c r="A4487">
        <v>4318309</v>
      </c>
      <c r="B4487" t="str">
        <f t="shared" si="70"/>
        <v>SAO GABRIEL, RS, Brasil</v>
      </c>
      <c r="C4487" s="4" t="str">
        <f>_xlfn.XLOOKUP(A4487,[1]!DadosGHD[CD_GEOCMU],[1]!DadosGHD[Região])</f>
        <v>SL</v>
      </c>
      <c r="D4487" s="4" t="str">
        <f>_xlfn.XLOOKUP(A4487,[1]!DadosGHD[CD_GEOCMU],[1]!DadosGHD[uf])</f>
        <v>RS</v>
      </c>
      <c r="E4487" s="5" t="str">
        <f>_xlfn.XLOOKUP(A4487,[1]!DadosGHD[CD_GEOCMU],[1]!DadosGHD[MUNICIPIO])</f>
        <v>SAO GABRIEL</v>
      </c>
      <c r="F4487" s="6">
        <v>53.587932586669901</v>
      </c>
      <c r="G4487" s="6">
        <v>48.714595794677699</v>
      </c>
      <c r="H4487" s="6">
        <v>48.7420463562012</v>
      </c>
      <c r="I4487" s="6">
        <v>48.725814819335902</v>
      </c>
      <c r="J4487" s="6">
        <v>48.810337066650398</v>
      </c>
      <c r="K4487" s="6">
        <v>48.847602844238303</v>
      </c>
      <c r="L4487" s="6">
        <v>44.026912689208999</v>
      </c>
    </row>
    <row r="4488" spans="1:12" x14ac:dyDescent="0.25">
      <c r="A4488">
        <v>4314027</v>
      </c>
      <c r="B4488" t="str">
        <f t="shared" si="70"/>
        <v>PARAISO DO SUL, RS, Brasil</v>
      </c>
      <c r="C4488" s="4" t="str">
        <f>_xlfn.XLOOKUP(A4488,[1]!DadosGHD[CD_GEOCMU],[1]!DadosGHD[Região])</f>
        <v>SL</v>
      </c>
      <c r="D4488" s="4" t="str">
        <f>_xlfn.XLOOKUP(A4488,[1]!DadosGHD[CD_GEOCMU],[1]!DadosGHD[uf])</f>
        <v>RS</v>
      </c>
      <c r="E4488" s="5" t="str">
        <f>_xlfn.XLOOKUP(A4488,[1]!DadosGHD[CD_GEOCMU],[1]!DadosGHD[MUNICIPIO])</f>
        <v>PARAISO DO SUL</v>
      </c>
      <c r="F4488" s="6">
        <v>53.588085174560597</v>
      </c>
      <c r="G4488" s="6">
        <v>53.725574493408203</v>
      </c>
      <c r="H4488" s="6">
        <v>53.836788177490199</v>
      </c>
      <c r="I4488" s="6">
        <v>53.844806671142599</v>
      </c>
      <c r="J4488" s="6">
        <v>53.897354125976598</v>
      </c>
      <c r="K4488" s="6">
        <v>53.964794158935597</v>
      </c>
      <c r="L4488" s="6">
        <v>48.495250701904297</v>
      </c>
    </row>
    <row r="4489" spans="1:12" x14ac:dyDescent="0.25">
      <c r="A4489">
        <v>4200804</v>
      </c>
      <c r="B4489" t="str">
        <f t="shared" si="70"/>
        <v>ANCHIETA, SC, Brasil</v>
      </c>
      <c r="C4489" s="4" t="str">
        <f>_xlfn.XLOOKUP(A4489,[1]!DadosGHD[CD_GEOCMU],[1]!DadosGHD[Região])</f>
        <v>SL</v>
      </c>
      <c r="D4489" s="4" t="str">
        <f>_xlfn.XLOOKUP(A4489,[1]!DadosGHD[CD_GEOCMU],[1]!DadosGHD[uf])</f>
        <v>SC</v>
      </c>
      <c r="E4489" s="5" t="str">
        <f>_xlfn.XLOOKUP(A4489,[1]!DadosGHD[CD_GEOCMU],[1]!DadosGHD[MUNICIPIO])</f>
        <v>ANCHIETA</v>
      </c>
      <c r="F4489" s="6">
        <v>53.5882568359375</v>
      </c>
      <c r="G4489" s="6">
        <v>58.726383209228501</v>
      </c>
      <c r="H4489" s="6">
        <v>53.908882141113303</v>
      </c>
      <c r="I4489" s="6">
        <v>64.000221252441406</v>
      </c>
      <c r="J4489" s="6">
        <v>64.039611816406307</v>
      </c>
      <c r="K4489" s="6">
        <v>64.13623046875</v>
      </c>
      <c r="L4489" s="6">
        <v>57.589881896972699</v>
      </c>
    </row>
    <row r="4490" spans="1:12" x14ac:dyDescent="0.25">
      <c r="A4490">
        <v>3532702</v>
      </c>
      <c r="B4490" t="str">
        <f t="shared" si="70"/>
        <v>NIPOA, SP, Brasil</v>
      </c>
      <c r="C4490" s="4" t="str">
        <f>_xlfn.XLOOKUP(A4490,[1]!DadosGHD[CD_GEOCMU],[1]!DadosGHD[Região])</f>
        <v>SD</v>
      </c>
      <c r="D4490" s="4" t="str">
        <f>_xlfn.XLOOKUP(A4490,[1]!DadosGHD[CD_GEOCMU],[1]!DadosGHD[uf])</f>
        <v>SP</v>
      </c>
      <c r="E4490" s="5" t="str">
        <f>_xlfn.XLOOKUP(A4490,[1]!DadosGHD[CD_GEOCMU],[1]!DadosGHD[MUNICIPIO])</f>
        <v>NIPOA</v>
      </c>
      <c r="F4490" s="6">
        <v>53.588760375976598</v>
      </c>
      <c r="G4490" s="6">
        <v>53.663646697998097</v>
      </c>
      <c r="H4490" s="6">
        <v>58.834392547607401</v>
      </c>
      <c r="I4490" s="6">
        <v>48.792049407958999</v>
      </c>
      <c r="J4490" s="6">
        <v>48.785209655761697</v>
      </c>
      <c r="K4490" s="6">
        <v>48.819950103759801</v>
      </c>
      <c r="L4490" s="6">
        <v>48.509689331054702</v>
      </c>
    </row>
    <row r="4491" spans="1:12" x14ac:dyDescent="0.25">
      <c r="A4491">
        <v>4207304</v>
      </c>
      <c r="B4491" t="str">
        <f t="shared" si="70"/>
        <v>IMBITUBA, SC, Brasil</v>
      </c>
      <c r="C4491" s="4" t="str">
        <f>_xlfn.XLOOKUP(A4491,[1]!DadosGHD[CD_GEOCMU],[1]!DadosGHD[Região])</f>
        <v>SL</v>
      </c>
      <c r="D4491" s="4" t="str">
        <f>_xlfn.XLOOKUP(A4491,[1]!DadosGHD[CD_GEOCMU],[1]!DadosGHD[uf])</f>
        <v>SC</v>
      </c>
      <c r="E4491" s="5" t="str">
        <f>_xlfn.XLOOKUP(A4491,[1]!DadosGHD[CD_GEOCMU],[1]!DadosGHD[MUNICIPIO])</f>
        <v>IMBITUBA</v>
      </c>
      <c r="F4491" s="6">
        <v>53.588981628417997</v>
      </c>
      <c r="G4491" s="6">
        <v>48.774005889892599</v>
      </c>
      <c r="H4491" s="6">
        <v>48.854740142822301</v>
      </c>
      <c r="I4491" s="6">
        <v>53.809497833252003</v>
      </c>
      <c r="J4491" s="6">
        <v>53.888881683349602</v>
      </c>
      <c r="K4491" s="6">
        <v>53.969409942627003</v>
      </c>
      <c r="L4491" s="6">
        <v>53.051254272460902</v>
      </c>
    </row>
    <row r="4492" spans="1:12" x14ac:dyDescent="0.25">
      <c r="A4492">
        <v>3536703</v>
      </c>
      <c r="B4492" t="str">
        <f t="shared" si="70"/>
        <v>PEDERNEIRAS, SP, Brasil</v>
      </c>
      <c r="C4492" s="4" t="str">
        <f>_xlfn.XLOOKUP(A4492,[1]!DadosGHD[CD_GEOCMU],[1]!DadosGHD[Região])</f>
        <v>SD</v>
      </c>
      <c r="D4492" s="4" t="str">
        <f>_xlfn.XLOOKUP(A4492,[1]!DadosGHD[CD_GEOCMU],[1]!DadosGHD[uf])</f>
        <v>SP</v>
      </c>
      <c r="E4492" s="5" t="str">
        <f>_xlfn.XLOOKUP(A4492,[1]!DadosGHD[CD_GEOCMU],[1]!DadosGHD[MUNICIPIO])</f>
        <v>PEDERNEIRAS</v>
      </c>
      <c r="F4492" s="6">
        <v>53.589527130127003</v>
      </c>
      <c r="G4492" s="6">
        <v>48.769001007080099</v>
      </c>
      <c r="H4492" s="6">
        <v>48.784286499023402</v>
      </c>
      <c r="I4492" s="6">
        <v>48.713954925537102</v>
      </c>
      <c r="J4492" s="6">
        <v>53.7706108093262</v>
      </c>
      <c r="K4492" s="6">
        <v>53.838954925537102</v>
      </c>
      <c r="L4492" s="6">
        <v>57.543117523193402</v>
      </c>
    </row>
    <row r="4493" spans="1:12" x14ac:dyDescent="0.25">
      <c r="A4493">
        <v>4208708</v>
      </c>
      <c r="B4493" t="str">
        <f t="shared" si="70"/>
        <v>JACINTO MACHADO, SC, Brasil</v>
      </c>
      <c r="C4493" s="4" t="str">
        <f>_xlfn.XLOOKUP(A4493,[1]!DadosGHD[CD_GEOCMU],[1]!DadosGHD[Região])</f>
        <v>SL</v>
      </c>
      <c r="D4493" s="4" t="str">
        <f>_xlfn.XLOOKUP(A4493,[1]!DadosGHD[CD_GEOCMU],[1]!DadosGHD[uf])</f>
        <v>SC</v>
      </c>
      <c r="E4493" s="5" t="str">
        <f>_xlfn.XLOOKUP(A4493,[1]!DadosGHD[CD_GEOCMU],[1]!DadosGHD[MUNICIPIO])</f>
        <v>JACINTO MACHADO</v>
      </c>
      <c r="F4493" s="6">
        <v>53.589530944824197</v>
      </c>
      <c r="G4493" s="6">
        <v>53.762325286865199</v>
      </c>
      <c r="H4493" s="6">
        <v>53.823402404785199</v>
      </c>
      <c r="I4493" s="6">
        <v>48.7398490905762</v>
      </c>
      <c r="J4493" s="6">
        <v>48.743534088134801</v>
      </c>
      <c r="K4493" s="6">
        <v>48.7691650390625</v>
      </c>
      <c r="L4493" s="6">
        <v>48.491462707519503</v>
      </c>
    </row>
    <row r="4494" spans="1:12" x14ac:dyDescent="0.25">
      <c r="A4494">
        <v>4103354</v>
      </c>
      <c r="B4494" t="str">
        <f t="shared" si="70"/>
        <v>BRAGANEY, PR, Brasil</v>
      </c>
      <c r="C4494" s="4" t="str">
        <f>_xlfn.XLOOKUP(A4494,[1]!DadosGHD[CD_GEOCMU],[1]!DadosGHD[Região])</f>
        <v>SL</v>
      </c>
      <c r="D4494" s="4" t="str">
        <f>_xlfn.XLOOKUP(A4494,[1]!DadosGHD[CD_GEOCMU],[1]!DadosGHD[uf])</f>
        <v>PR</v>
      </c>
      <c r="E4494" s="5" t="str">
        <f>_xlfn.XLOOKUP(A4494,[1]!DadosGHD[CD_GEOCMU],[1]!DadosGHD[MUNICIPIO])</f>
        <v>BRAGANEY</v>
      </c>
      <c r="F4494" s="6">
        <v>53.589710235595703</v>
      </c>
      <c r="G4494" s="6">
        <v>58.8303413391113</v>
      </c>
      <c r="H4494" s="6">
        <v>48.837276458740199</v>
      </c>
      <c r="I4494" s="6">
        <v>48.8187065124512</v>
      </c>
      <c r="J4494" s="6">
        <v>53.757572174072301</v>
      </c>
      <c r="K4494" s="6">
        <v>53.905303955078097</v>
      </c>
      <c r="L4494" s="6">
        <v>44.033462524414098</v>
      </c>
    </row>
    <row r="4495" spans="1:12" x14ac:dyDescent="0.25">
      <c r="A4495">
        <v>4103701</v>
      </c>
      <c r="B4495" t="str">
        <f t="shared" si="70"/>
        <v>CAMBE, PR, Brasil</v>
      </c>
      <c r="C4495" s="4" t="str">
        <f>_xlfn.XLOOKUP(A4495,[1]!DadosGHD[CD_GEOCMU],[1]!DadosGHD[Região])</f>
        <v>SL</v>
      </c>
      <c r="D4495" s="4" t="str">
        <f>_xlfn.XLOOKUP(A4495,[1]!DadosGHD[CD_GEOCMU],[1]!DadosGHD[uf])</f>
        <v>PR</v>
      </c>
      <c r="E4495" s="5" t="str">
        <f>_xlfn.XLOOKUP(A4495,[1]!DadosGHD[CD_GEOCMU],[1]!DadosGHD[MUNICIPIO])</f>
        <v>CAMBE</v>
      </c>
      <c r="F4495" s="6">
        <v>53.589794158935597</v>
      </c>
      <c r="G4495" s="6">
        <v>53.687271118164098</v>
      </c>
      <c r="H4495" s="6">
        <v>48.858386993408203</v>
      </c>
      <c r="I4495" s="6">
        <v>53.735027313232401</v>
      </c>
      <c r="J4495" s="6">
        <v>53.749626159667997</v>
      </c>
      <c r="K4495" s="6">
        <v>48.884063720703097</v>
      </c>
      <c r="L4495" s="6">
        <v>53.008693695068402</v>
      </c>
    </row>
    <row r="4496" spans="1:12" x14ac:dyDescent="0.25">
      <c r="A4496">
        <v>5102678</v>
      </c>
      <c r="B4496" t="str">
        <f t="shared" si="70"/>
        <v>CAMPO VERDE, MT, Brasil</v>
      </c>
      <c r="C4496" s="4" t="str">
        <f>_xlfn.XLOOKUP(A4496,[1]!DadosGHD[CD_GEOCMU],[1]!DadosGHD[Região])</f>
        <v>CO</v>
      </c>
      <c r="D4496" s="4" t="str">
        <f>_xlfn.XLOOKUP(A4496,[1]!DadosGHD[CD_GEOCMU],[1]!DadosGHD[uf])</f>
        <v>MT</v>
      </c>
      <c r="E4496" s="5" t="str">
        <f>_xlfn.XLOOKUP(A4496,[1]!DadosGHD[CD_GEOCMU],[1]!DadosGHD[MUNICIPIO])</f>
        <v>CAMPO VERDE</v>
      </c>
      <c r="F4496" s="6">
        <v>53.589988708496101</v>
      </c>
      <c r="G4496" s="6">
        <v>53.687068939208999</v>
      </c>
      <c r="H4496" s="6">
        <v>48.795627593994098</v>
      </c>
      <c r="I4496" s="6">
        <v>48.732410430908203</v>
      </c>
      <c r="J4496" s="6">
        <v>48.722099304199197</v>
      </c>
      <c r="K4496" s="6">
        <v>48.798618316650398</v>
      </c>
      <c r="L4496" s="6">
        <v>44.062015533447301</v>
      </c>
    </row>
    <row r="4497" spans="1:12" x14ac:dyDescent="0.25">
      <c r="A4497">
        <v>3549300</v>
      </c>
      <c r="B4497" t="str">
        <f t="shared" si="70"/>
        <v>SAO JOAO DO PAU D'ALHO, SP, Brasil</v>
      </c>
      <c r="C4497" s="4" t="str">
        <f>_xlfn.XLOOKUP(A4497,[1]!DadosGHD[CD_GEOCMU],[1]!DadosGHD[Região])</f>
        <v>SD</v>
      </c>
      <c r="D4497" s="4" t="str">
        <f>_xlfn.XLOOKUP(A4497,[1]!DadosGHD[CD_GEOCMU],[1]!DadosGHD[uf])</f>
        <v>SP</v>
      </c>
      <c r="E4497" s="5" t="str">
        <f>_xlfn.XLOOKUP(A4497,[1]!DadosGHD[CD_GEOCMU],[1]!DadosGHD[MUNICIPIO])</f>
        <v>SAO JOAO DO PAU D'ALHO</v>
      </c>
      <c r="F4497" s="6">
        <v>53.590732574462898</v>
      </c>
      <c r="G4497" s="6">
        <v>48.7745170593262</v>
      </c>
      <c r="H4497" s="6">
        <v>48.714309692382798</v>
      </c>
      <c r="I4497" s="6">
        <v>48.679157257080099</v>
      </c>
      <c r="J4497" s="6">
        <v>48.7114067077637</v>
      </c>
      <c r="K4497" s="6">
        <v>48.829418182373097</v>
      </c>
      <c r="L4497" s="6">
        <v>48.521148681640597</v>
      </c>
    </row>
    <row r="4498" spans="1:12" x14ac:dyDescent="0.25">
      <c r="A4498">
        <v>3540705</v>
      </c>
      <c r="B4498" t="str">
        <f t="shared" si="70"/>
        <v>PORTO FERREIRA, SP, Brasil</v>
      </c>
      <c r="C4498" s="4" t="str">
        <f>_xlfn.XLOOKUP(A4498,[1]!DadosGHD[CD_GEOCMU],[1]!DadosGHD[Região])</f>
        <v>SD</v>
      </c>
      <c r="D4498" s="4" t="str">
        <f>_xlfn.XLOOKUP(A4498,[1]!DadosGHD[CD_GEOCMU],[1]!DadosGHD[uf])</f>
        <v>SP</v>
      </c>
      <c r="E4498" s="5" t="str">
        <f>_xlfn.XLOOKUP(A4498,[1]!DadosGHD[CD_GEOCMU],[1]!DadosGHD[MUNICIPIO])</f>
        <v>PORTO FERREIRA</v>
      </c>
      <c r="F4498" s="6">
        <v>53.5910453796387</v>
      </c>
      <c r="G4498" s="6">
        <v>48.732017517089801</v>
      </c>
      <c r="H4498" s="6">
        <v>43.828365325927699</v>
      </c>
      <c r="I4498" s="6">
        <v>43.784473419189503</v>
      </c>
      <c r="J4498" s="6">
        <v>43.795871734619098</v>
      </c>
      <c r="K4498" s="6">
        <v>43.870639801025398</v>
      </c>
      <c r="L4498" s="6">
        <v>44.037750244140597</v>
      </c>
    </row>
    <row r="4499" spans="1:12" x14ac:dyDescent="0.25">
      <c r="A4499">
        <v>3538600</v>
      </c>
      <c r="B4499" t="str">
        <f t="shared" si="70"/>
        <v>PIRACAIA, SP, Brasil</v>
      </c>
      <c r="C4499" s="4" t="str">
        <f>_xlfn.XLOOKUP(A4499,[1]!DadosGHD[CD_GEOCMU],[1]!DadosGHD[Região])</f>
        <v>SD</v>
      </c>
      <c r="D4499" s="4" t="str">
        <f>_xlfn.XLOOKUP(A4499,[1]!DadosGHD[CD_GEOCMU],[1]!DadosGHD[uf])</f>
        <v>SP</v>
      </c>
      <c r="E4499" s="5" t="str">
        <f>_xlfn.XLOOKUP(A4499,[1]!DadosGHD[CD_GEOCMU],[1]!DadosGHD[MUNICIPIO])</f>
        <v>PIRACAIA</v>
      </c>
      <c r="F4499" s="6">
        <v>53.591224670410199</v>
      </c>
      <c r="G4499" s="6">
        <v>48.772293090820298</v>
      </c>
      <c r="H4499" s="6">
        <v>48.770801544189503</v>
      </c>
      <c r="I4499" s="6">
        <v>48.683807373046903</v>
      </c>
      <c r="J4499" s="6">
        <v>48.742870330810597</v>
      </c>
      <c r="K4499" s="6">
        <v>48.891750335693402</v>
      </c>
      <c r="L4499" s="6">
        <v>53.014461517333999</v>
      </c>
    </row>
    <row r="4500" spans="1:12" x14ac:dyDescent="0.25">
      <c r="A4500">
        <v>3111804</v>
      </c>
      <c r="B4500" t="str">
        <f t="shared" si="70"/>
        <v>CANAPOLIS, MG, Brasil</v>
      </c>
      <c r="C4500" s="4" t="str">
        <f>_xlfn.XLOOKUP(A4500,[1]!DadosGHD[CD_GEOCMU],[1]!DadosGHD[Região])</f>
        <v>SD</v>
      </c>
      <c r="D4500" s="4" t="str">
        <f>_xlfn.XLOOKUP(A4500,[1]!DadosGHD[CD_GEOCMU],[1]!DadosGHD[uf])</f>
        <v>MG</v>
      </c>
      <c r="E4500" s="5" t="str">
        <f>_xlfn.XLOOKUP(A4500,[1]!DadosGHD[CD_GEOCMU],[1]!DadosGHD[MUNICIPIO])</f>
        <v>CANAPOLIS</v>
      </c>
      <c r="F4500" s="6">
        <v>53.5913696289063</v>
      </c>
      <c r="G4500" s="6">
        <v>53.664260864257798</v>
      </c>
      <c r="H4500" s="6">
        <v>53.7681884765625</v>
      </c>
      <c r="I4500" s="6">
        <v>53.7092895507813</v>
      </c>
      <c r="J4500" s="6">
        <v>48.826869964599602</v>
      </c>
      <c r="K4500" s="6">
        <v>48.847721099853501</v>
      </c>
      <c r="L4500" s="6">
        <v>48.552059173583999</v>
      </c>
    </row>
    <row r="4501" spans="1:12" x14ac:dyDescent="0.25">
      <c r="A4501">
        <v>3161700</v>
      </c>
      <c r="B4501" t="str">
        <f t="shared" si="70"/>
        <v>SAO GONCALO DO ABAETE, MG, Brasil</v>
      </c>
      <c r="C4501" s="4" t="str">
        <f>_xlfn.XLOOKUP(A4501,[1]!DadosGHD[CD_GEOCMU],[1]!DadosGHD[Região])</f>
        <v>SD</v>
      </c>
      <c r="D4501" s="4" t="str">
        <f>_xlfn.XLOOKUP(A4501,[1]!DadosGHD[CD_GEOCMU],[1]!DadosGHD[uf])</f>
        <v>MG</v>
      </c>
      <c r="E4501" s="5" t="str">
        <f>_xlfn.XLOOKUP(A4501,[1]!DadosGHD[CD_GEOCMU],[1]!DadosGHD[MUNICIPIO])</f>
        <v>SAO GONCALO DO ABAETE</v>
      </c>
      <c r="F4501" s="6">
        <v>53.591476440429702</v>
      </c>
      <c r="G4501" s="6">
        <v>43.761745452880902</v>
      </c>
      <c r="H4501" s="6">
        <v>43.835830688476598</v>
      </c>
      <c r="I4501" s="6">
        <v>48.759796142578097</v>
      </c>
      <c r="J4501" s="6">
        <v>48.762157440185597</v>
      </c>
      <c r="K4501" s="6">
        <v>48.791927337646499</v>
      </c>
      <c r="L4501" s="6">
        <v>44.032901763916001</v>
      </c>
    </row>
    <row r="4502" spans="1:12" x14ac:dyDescent="0.25">
      <c r="A4502">
        <v>3302106</v>
      </c>
      <c r="B4502" t="str">
        <f t="shared" si="70"/>
        <v>ITAOCARA, RJ, Brasil</v>
      </c>
      <c r="C4502" s="4" t="str">
        <f>_xlfn.XLOOKUP(A4502,[1]!DadosGHD[CD_GEOCMU],[1]!DadosGHD[Região])</f>
        <v>SD</v>
      </c>
      <c r="D4502" s="4" t="str">
        <f>_xlfn.XLOOKUP(A4502,[1]!DadosGHD[CD_GEOCMU],[1]!DadosGHD[uf])</f>
        <v>RJ</v>
      </c>
      <c r="E4502" s="5" t="str">
        <f>_xlfn.XLOOKUP(A4502,[1]!DadosGHD[CD_GEOCMU],[1]!DadosGHD[MUNICIPIO])</f>
        <v>ITAOCARA</v>
      </c>
      <c r="F4502" s="6">
        <v>53.591609954833999</v>
      </c>
      <c r="G4502" s="6">
        <v>53.733440399169901</v>
      </c>
      <c r="H4502" s="6">
        <v>48.796714782714801</v>
      </c>
      <c r="I4502" s="6">
        <v>53.7228813171387</v>
      </c>
      <c r="J4502" s="6">
        <v>53.813446044921903</v>
      </c>
      <c r="K4502" s="6">
        <v>53.826255798339801</v>
      </c>
      <c r="L4502" s="6">
        <v>48.550891876220703</v>
      </c>
    </row>
    <row r="4503" spans="1:12" x14ac:dyDescent="0.25">
      <c r="A4503">
        <v>4119954</v>
      </c>
      <c r="B4503" t="str">
        <f t="shared" si="70"/>
        <v>PONTAL DO PARANA, PR, Brasil</v>
      </c>
      <c r="C4503" s="4" t="str">
        <f>_xlfn.XLOOKUP(A4503,[1]!DadosGHD[CD_GEOCMU],[1]!DadosGHD[Região])</f>
        <v>SL</v>
      </c>
      <c r="D4503" s="4" t="str">
        <f>_xlfn.XLOOKUP(A4503,[1]!DadosGHD[CD_GEOCMU],[1]!DadosGHD[uf])</f>
        <v>PR</v>
      </c>
      <c r="E4503" s="5" t="str">
        <f>_xlfn.XLOOKUP(A4503,[1]!DadosGHD[CD_GEOCMU],[1]!DadosGHD[MUNICIPIO])</f>
        <v>PONTAL DO PARANA</v>
      </c>
      <c r="F4503" s="6">
        <v>53.591796875</v>
      </c>
      <c r="G4503" s="6">
        <v>53.666954040527301</v>
      </c>
      <c r="H4503" s="6">
        <v>48.822555541992202</v>
      </c>
      <c r="I4503" s="6">
        <v>48.708854675292997</v>
      </c>
      <c r="J4503" s="6">
        <v>43.7826118469238</v>
      </c>
      <c r="K4503" s="6">
        <v>43.872657775878899</v>
      </c>
      <c r="L4503" s="6">
        <v>48.529956817627003</v>
      </c>
    </row>
    <row r="4504" spans="1:12" x14ac:dyDescent="0.25">
      <c r="A4504">
        <v>3169802</v>
      </c>
      <c r="B4504" t="str">
        <f t="shared" si="70"/>
        <v>TURVOLANDIA, MG, Brasil</v>
      </c>
      <c r="C4504" s="4" t="str">
        <f>_xlfn.XLOOKUP(A4504,[1]!DadosGHD[CD_GEOCMU],[1]!DadosGHD[Região])</f>
        <v>SD</v>
      </c>
      <c r="D4504" s="4" t="str">
        <f>_xlfn.XLOOKUP(A4504,[1]!DadosGHD[CD_GEOCMU],[1]!DadosGHD[uf])</f>
        <v>MG</v>
      </c>
      <c r="E4504" s="5" t="str">
        <f>_xlfn.XLOOKUP(A4504,[1]!DadosGHD[CD_GEOCMU],[1]!DadosGHD[MUNICIPIO])</f>
        <v>TURVOLANDIA</v>
      </c>
      <c r="F4504" s="6">
        <v>53.592258453369098</v>
      </c>
      <c r="G4504" s="6">
        <v>53.720325469970703</v>
      </c>
      <c r="H4504" s="6">
        <v>53.750473022460902</v>
      </c>
      <c r="I4504" s="6">
        <v>53.712650299072301</v>
      </c>
      <c r="J4504" s="6">
        <v>48.727157592773402</v>
      </c>
      <c r="K4504" s="6">
        <v>48.785308837890597</v>
      </c>
      <c r="L4504" s="6">
        <v>44.018699645996101</v>
      </c>
    </row>
    <row r="4505" spans="1:12" x14ac:dyDescent="0.25">
      <c r="A4505">
        <v>4305009</v>
      </c>
      <c r="B4505" t="str">
        <f t="shared" si="70"/>
        <v>CATUIPE, RS, Brasil</v>
      </c>
      <c r="C4505" s="4" t="str">
        <f>_xlfn.XLOOKUP(A4505,[1]!DadosGHD[CD_GEOCMU],[1]!DadosGHD[Região])</f>
        <v>SL</v>
      </c>
      <c r="D4505" s="4" t="str">
        <f>_xlfn.XLOOKUP(A4505,[1]!DadosGHD[CD_GEOCMU],[1]!DadosGHD[uf])</f>
        <v>RS</v>
      </c>
      <c r="E4505" s="5" t="str">
        <f>_xlfn.XLOOKUP(A4505,[1]!DadosGHD[CD_GEOCMU],[1]!DadosGHD[MUNICIPIO])</f>
        <v>CATUIPE</v>
      </c>
      <c r="F4505" s="6">
        <v>53.592296600341797</v>
      </c>
      <c r="G4505" s="6">
        <v>58.747791290283203</v>
      </c>
      <c r="H4505" s="6">
        <v>58.915027618408203</v>
      </c>
      <c r="I4505" s="6">
        <v>58.915321350097699</v>
      </c>
      <c r="J4505" s="6">
        <v>58.915691375732401</v>
      </c>
      <c r="K4505" s="6">
        <v>53.958263397216797</v>
      </c>
      <c r="L4505" s="6">
        <v>35.150703430175803</v>
      </c>
    </row>
    <row r="4506" spans="1:12" x14ac:dyDescent="0.25">
      <c r="A4506">
        <v>4321105</v>
      </c>
      <c r="B4506" t="str">
        <f t="shared" si="70"/>
        <v>TAPES, RS, Brasil</v>
      </c>
      <c r="C4506" s="4" t="str">
        <f>_xlfn.XLOOKUP(A4506,[1]!DadosGHD[CD_GEOCMU],[1]!DadosGHD[Região])</f>
        <v>SL</v>
      </c>
      <c r="D4506" s="4" t="str">
        <f>_xlfn.XLOOKUP(A4506,[1]!DadosGHD[CD_GEOCMU],[1]!DadosGHD[uf])</f>
        <v>RS</v>
      </c>
      <c r="E4506" s="5" t="str">
        <f>_xlfn.XLOOKUP(A4506,[1]!DadosGHD[CD_GEOCMU],[1]!DadosGHD[MUNICIPIO])</f>
        <v>TAPES</v>
      </c>
      <c r="F4506" s="6">
        <v>53.592781066894503</v>
      </c>
      <c r="G4506" s="6">
        <v>53.7295112609863</v>
      </c>
      <c r="H4506" s="6">
        <v>53.830291748046903</v>
      </c>
      <c r="I4506" s="6">
        <v>53.814384460449197</v>
      </c>
      <c r="J4506" s="6">
        <v>53.731678009033203</v>
      </c>
      <c r="K4506" s="6">
        <v>53.857677459716797</v>
      </c>
      <c r="L4506" s="6">
        <v>53.037185668945298</v>
      </c>
    </row>
    <row r="4507" spans="1:12" x14ac:dyDescent="0.25">
      <c r="A4507">
        <v>3535705</v>
      </c>
      <c r="B4507" t="str">
        <f t="shared" si="70"/>
        <v>PARAISO, SP, Brasil</v>
      </c>
      <c r="C4507" s="4" t="str">
        <f>_xlfn.XLOOKUP(A4507,[1]!DadosGHD[CD_GEOCMU],[1]!DadosGHD[Região])</f>
        <v>SD</v>
      </c>
      <c r="D4507" s="4" t="str">
        <f>_xlfn.XLOOKUP(A4507,[1]!DadosGHD[CD_GEOCMU],[1]!DadosGHD[uf])</f>
        <v>SP</v>
      </c>
      <c r="E4507" s="5" t="str">
        <f>_xlfn.XLOOKUP(A4507,[1]!DadosGHD[CD_GEOCMU],[1]!DadosGHD[MUNICIPIO])</f>
        <v>PARAISO</v>
      </c>
      <c r="F4507" s="6">
        <v>53.592796325683601</v>
      </c>
      <c r="G4507" s="6">
        <v>53.717197418212898</v>
      </c>
      <c r="H4507" s="6">
        <v>48.835819244384801</v>
      </c>
      <c r="I4507" s="6">
        <v>48.749237060546903</v>
      </c>
      <c r="J4507" s="6">
        <v>48.782138824462898</v>
      </c>
      <c r="K4507" s="6">
        <v>48.837390899658203</v>
      </c>
      <c r="L4507" s="6">
        <v>39.558746337890597</v>
      </c>
    </row>
    <row r="4508" spans="1:12" x14ac:dyDescent="0.25">
      <c r="A4508">
        <v>3556107</v>
      </c>
      <c r="B4508" t="str">
        <f t="shared" si="70"/>
        <v>VALENTIM GENTIL, SP, Brasil</v>
      </c>
      <c r="C4508" s="4" t="str">
        <f>_xlfn.XLOOKUP(A4508,[1]!DadosGHD[CD_GEOCMU],[1]!DadosGHD[Região])</f>
        <v>SD</v>
      </c>
      <c r="D4508" s="4" t="str">
        <f>_xlfn.XLOOKUP(A4508,[1]!DadosGHD[CD_GEOCMU],[1]!DadosGHD[uf])</f>
        <v>SP</v>
      </c>
      <c r="E4508" s="5" t="str">
        <f>_xlfn.XLOOKUP(A4508,[1]!DadosGHD[CD_GEOCMU],[1]!DadosGHD[MUNICIPIO])</f>
        <v>VALENTIM GENTIL</v>
      </c>
      <c r="F4508" s="6">
        <v>53.593368530273402</v>
      </c>
      <c r="G4508" s="6">
        <v>53.683864593505902</v>
      </c>
      <c r="H4508" s="6">
        <v>48.8481636047363</v>
      </c>
      <c r="I4508" s="6">
        <v>48.799949645996101</v>
      </c>
      <c r="J4508" s="6">
        <v>53.7261772155762</v>
      </c>
      <c r="K4508" s="6">
        <v>43.8605346679688</v>
      </c>
      <c r="L4508" s="6">
        <v>30.704757690429702</v>
      </c>
    </row>
    <row r="4509" spans="1:12" x14ac:dyDescent="0.25">
      <c r="A4509">
        <v>4217303</v>
      </c>
      <c r="B4509" t="str">
        <f t="shared" si="70"/>
        <v>SAUDADES, SC, Brasil</v>
      </c>
      <c r="C4509" s="4" t="str">
        <f>_xlfn.XLOOKUP(A4509,[1]!DadosGHD[CD_GEOCMU],[1]!DadosGHD[Região])</f>
        <v>SL</v>
      </c>
      <c r="D4509" s="4" t="str">
        <f>_xlfn.XLOOKUP(A4509,[1]!DadosGHD[CD_GEOCMU],[1]!DadosGHD[uf])</f>
        <v>SC</v>
      </c>
      <c r="E4509" s="5" t="str">
        <f>_xlfn.XLOOKUP(A4509,[1]!DadosGHD[CD_GEOCMU],[1]!DadosGHD[MUNICIPIO])</f>
        <v>SAUDADES</v>
      </c>
      <c r="F4509" s="6">
        <v>53.5934028625488</v>
      </c>
      <c r="G4509" s="6">
        <v>53.762741088867202</v>
      </c>
      <c r="H4509" s="6">
        <v>53.8748970031738</v>
      </c>
      <c r="I4509" s="6">
        <v>58.853000640869098</v>
      </c>
      <c r="J4509" s="6">
        <v>58.897972106933601</v>
      </c>
      <c r="K4509" s="6">
        <v>59.023139953613303</v>
      </c>
      <c r="L4509" s="6">
        <v>53.052127838134801</v>
      </c>
    </row>
    <row r="4510" spans="1:12" x14ac:dyDescent="0.25">
      <c r="A4510">
        <v>3132404</v>
      </c>
      <c r="B4510" t="str">
        <f t="shared" si="70"/>
        <v>ITAJUBA, MG, Brasil</v>
      </c>
      <c r="C4510" s="4" t="str">
        <f>_xlfn.XLOOKUP(A4510,[1]!DadosGHD[CD_GEOCMU],[1]!DadosGHD[Região])</f>
        <v>SD</v>
      </c>
      <c r="D4510" s="4" t="str">
        <f>_xlfn.XLOOKUP(A4510,[1]!DadosGHD[CD_GEOCMU],[1]!DadosGHD[uf])</f>
        <v>MG</v>
      </c>
      <c r="E4510" s="5" t="str">
        <f>_xlfn.XLOOKUP(A4510,[1]!DadosGHD[CD_GEOCMU],[1]!DadosGHD[MUNICIPIO])</f>
        <v>ITAJUBA</v>
      </c>
      <c r="F4510" s="6">
        <v>53.593921661377003</v>
      </c>
      <c r="G4510" s="6">
        <v>48.754592895507798</v>
      </c>
      <c r="H4510" s="6">
        <v>53.7878227233887</v>
      </c>
      <c r="I4510" s="6">
        <v>53.7442016601563</v>
      </c>
      <c r="J4510" s="6">
        <v>53.804641723632798</v>
      </c>
      <c r="K4510" s="6">
        <v>53.899349212646499</v>
      </c>
      <c r="L4510" s="6">
        <v>57.57958984375</v>
      </c>
    </row>
    <row r="4511" spans="1:12" x14ac:dyDescent="0.25">
      <c r="A4511">
        <v>3111200</v>
      </c>
      <c r="B4511" t="str">
        <f t="shared" si="70"/>
        <v>CAMPO BELO, MG, Brasil</v>
      </c>
      <c r="C4511" s="4" t="str">
        <f>_xlfn.XLOOKUP(A4511,[1]!DadosGHD[CD_GEOCMU],[1]!DadosGHD[Região])</f>
        <v>SD</v>
      </c>
      <c r="D4511" s="4" t="str">
        <f>_xlfn.XLOOKUP(A4511,[1]!DadosGHD[CD_GEOCMU],[1]!DadosGHD[uf])</f>
        <v>MG</v>
      </c>
      <c r="E4511" s="5" t="str">
        <f>_xlfn.XLOOKUP(A4511,[1]!DadosGHD[CD_GEOCMU],[1]!DadosGHD[MUNICIPIO])</f>
        <v>CAMPO BELO</v>
      </c>
      <c r="F4511" s="6">
        <v>53.594089508056598</v>
      </c>
      <c r="G4511" s="6">
        <v>53.719093322753899</v>
      </c>
      <c r="H4511" s="6">
        <v>53.798980712890597</v>
      </c>
      <c r="I4511" s="6">
        <v>53.745895385742202</v>
      </c>
      <c r="J4511" s="6">
        <v>48.838218688964801</v>
      </c>
      <c r="K4511" s="6">
        <v>48.869842529296903</v>
      </c>
      <c r="L4511" s="6">
        <v>48.533908843994098</v>
      </c>
    </row>
    <row r="4512" spans="1:12" x14ac:dyDescent="0.25">
      <c r="A4512">
        <v>4201505</v>
      </c>
      <c r="B4512" t="str">
        <f t="shared" si="70"/>
        <v>ARMAZEM, SC, Brasil</v>
      </c>
      <c r="C4512" s="4" t="str">
        <f>_xlfn.XLOOKUP(A4512,[1]!DadosGHD[CD_GEOCMU],[1]!DadosGHD[Região])</f>
        <v>SL</v>
      </c>
      <c r="D4512" s="4" t="str">
        <f>_xlfn.XLOOKUP(A4512,[1]!DadosGHD[CD_GEOCMU],[1]!DadosGHD[uf])</f>
        <v>SC</v>
      </c>
      <c r="E4512" s="5" t="str">
        <f>_xlfn.XLOOKUP(A4512,[1]!DadosGHD[CD_GEOCMU],[1]!DadosGHD[MUNICIPIO])</f>
        <v>ARMAZEM</v>
      </c>
      <c r="F4512" s="6">
        <v>53.594173431396499</v>
      </c>
      <c r="G4512" s="6">
        <v>53.733074188232401</v>
      </c>
      <c r="H4512" s="6">
        <v>48.832813262939503</v>
      </c>
      <c r="I4512" s="6">
        <v>48.731311798095703</v>
      </c>
      <c r="J4512" s="6">
        <v>48.758090972900398</v>
      </c>
      <c r="K4512" s="6">
        <v>48.785621643066399</v>
      </c>
      <c r="L4512" s="6">
        <v>44.040420532226598</v>
      </c>
    </row>
    <row r="4513" spans="1:12" x14ac:dyDescent="0.25">
      <c r="A4513">
        <v>3152600</v>
      </c>
      <c r="B4513" t="str">
        <f t="shared" si="70"/>
        <v>POUSO ALTO, MG, Brasil</v>
      </c>
      <c r="C4513" s="4" t="str">
        <f>_xlfn.XLOOKUP(A4513,[1]!DadosGHD[CD_GEOCMU],[1]!DadosGHD[Região])</f>
        <v>SD</v>
      </c>
      <c r="D4513" s="4" t="str">
        <f>_xlfn.XLOOKUP(A4513,[1]!DadosGHD[CD_GEOCMU],[1]!DadosGHD[uf])</f>
        <v>MG</v>
      </c>
      <c r="E4513" s="5" t="str">
        <f>_xlfn.XLOOKUP(A4513,[1]!DadosGHD[CD_GEOCMU],[1]!DadosGHD[MUNICIPIO])</f>
        <v>POUSO ALTO</v>
      </c>
      <c r="F4513" s="6">
        <v>53.594291687011697</v>
      </c>
      <c r="G4513" s="6">
        <v>53.703113555908203</v>
      </c>
      <c r="H4513" s="6">
        <v>53.7569770812988</v>
      </c>
      <c r="I4513" s="6">
        <v>53.715290069580099</v>
      </c>
      <c r="J4513" s="6">
        <v>53.737758636474602</v>
      </c>
      <c r="K4513" s="6">
        <v>48.820690155029297</v>
      </c>
      <c r="L4513" s="6">
        <v>52.985618591308601</v>
      </c>
    </row>
    <row r="4514" spans="1:12" x14ac:dyDescent="0.25">
      <c r="A4514">
        <v>3203346</v>
      </c>
      <c r="B4514" t="str">
        <f t="shared" si="70"/>
        <v>MARECHAL FLORIANO, ES, Brasil</v>
      </c>
      <c r="C4514" s="4" t="str">
        <f>_xlfn.XLOOKUP(A4514,[1]!DadosGHD[CD_GEOCMU],[1]!DadosGHD[Região])</f>
        <v>SD</v>
      </c>
      <c r="D4514" s="4" t="str">
        <f>_xlfn.XLOOKUP(A4514,[1]!DadosGHD[CD_GEOCMU],[1]!DadosGHD[uf])</f>
        <v>ES</v>
      </c>
      <c r="E4514" s="5" t="str">
        <f>_xlfn.XLOOKUP(A4514,[1]!DadosGHD[CD_GEOCMU],[1]!DadosGHD[MUNICIPIO])</f>
        <v>MARECHAL FLORIANO</v>
      </c>
      <c r="F4514" s="6">
        <v>53.594432830810597</v>
      </c>
      <c r="G4514" s="6">
        <v>53.6685600280762</v>
      </c>
      <c r="H4514" s="6">
        <v>53.788738250732401</v>
      </c>
      <c r="I4514" s="6">
        <v>53.810821533203097</v>
      </c>
      <c r="J4514" s="6">
        <v>53.885421752929702</v>
      </c>
      <c r="K4514" s="6">
        <v>53.900440216064503</v>
      </c>
      <c r="L4514" s="6">
        <v>48.496654510498097</v>
      </c>
    </row>
    <row r="4515" spans="1:12" x14ac:dyDescent="0.25">
      <c r="A4515">
        <v>3554755</v>
      </c>
      <c r="B4515" t="str">
        <f t="shared" si="70"/>
        <v>TRABIJU, SP, Brasil</v>
      </c>
      <c r="C4515" s="4" t="str">
        <f>_xlfn.XLOOKUP(A4515,[1]!DadosGHD[CD_GEOCMU],[1]!DadosGHD[Região])</f>
        <v>SD</v>
      </c>
      <c r="D4515" s="4" t="str">
        <f>_xlfn.XLOOKUP(A4515,[1]!DadosGHD[CD_GEOCMU],[1]!DadosGHD[uf])</f>
        <v>SP</v>
      </c>
      <c r="E4515" s="5" t="str">
        <f>_xlfn.XLOOKUP(A4515,[1]!DadosGHD[CD_GEOCMU],[1]!DadosGHD[MUNICIPIO])</f>
        <v>TRABIJU</v>
      </c>
      <c r="F4515" s="6">
        <v>53.594741821289098</v>
      </c>
      <c r="G4515" s="6">
        <v>48.729339599609403</v>
      </c>
      <c r="H4515" s="6">
        <v>48.788387298583999</v>
      </c>
      <c r="I4515" s="6">
        <v>48.728233337402301</v>
      </c>
      <c r="J4515" s="6">
        <v>48.7654418945313</v>
      </c>
      <c r="K4515" s="6">
        <v>48.781604766845703</v>
      </c>
      <c r="L4515" s="6">
        <v>35.122856140136697</v>
      </c>
    </row>
    <row r="4516" spans="1:12" x14ac:dyDescent="0.25">
      <c r="A4516">
        <v>4217204</v>
      </c>
      <c r="B4516" t="str">
        <f t="shared" si="70"/>
        <v>SAO MIGUEL DO OESTE, SC, Brasil</v>
      </c>
      <c r="C4516" s="4" t="str">
        <f>_xlfn.XLOOKUP(A4516,[1]!DadosGHD[CD_GEOCMU],[1]!DadosGHD[Região])</f>
        <v>SL</v>
      </c>
      <c r="D4516" s="4" t="str">
        <f>_xlfn.XLOOKUP(A4516,[1]!DadosGHD[CD_GEOCMU],[1]!DadosGHD[uf])</f>
        <v>SC</v>
      </c>
      <c r="E4516" s="5" t="str">
        <f>_xlfn.XLOOKUP(A4516,[1]!DadosGHD[CD_GEOCMU],[1]!DadosGHD[MUNICIPIO])</f>
        <v>SAO MIGUEL DO OESTE</v>
      </c>
      <c r="F4516" s="6">
        <v>53.595088958740199</v>
      </c>
      <c r="G4516" s="6">
        <v>53.7037963867188</v>
      </c>
      <c r="H4516" s="6">
        <v>48.850147247314503</v>
      </c>
      <c r="I4516" s="6">
        <v>53.807144165039098</v>
      </c>
      <c r="J4516" s="6">
        <v>63.961704254150398</v>
      </c>
      <c r="K4516" s="6">
        <v>59.123802185058601</v>
      </c>
      <c r="L4516" s="6">
        <v>57.589881896972699</v>
      </c>
    </row>
    <row r="4517" spans="1:12" x14ac:dyDescent="0.25">
      <c r="A4517">
        <v>4318408</v>
      </c>
      <c r="B4517" t="str">
        <f t="shared" si="70"/>
        <v>SAO JERONIMO, RS, Brasil</v>
      </c>
      <c r="C4517" s="4" t="str">
        <f>_xlfn.XLOOKUP(A4517,[1]!DadosGHD[CD_GEOCMU],[1]!DadosGHD[Região])</f>
        <v>SL</v>
      </c>
      <c r="D4517" s="4" t="str">
        <f>_xlfn.XLOOKUP(A4517,[1]!DadosGHD[CD_GEOCMU],[1]!DadosGHD[uf])</f>
        <v>RS</v>
      </c>
      <c r="E4517" s="5" t="str">
        <f>_xlfn.XLOOKUP(A4517,[1]!DadosGHD[CD_GEOCMU],[1]!DadosGHD[MUNICIPIO])</f>
        <v>SAO JERONIMO</v>
      </c>
      <c r="F4517" s="6">
        <v>53.5951957702637</v>
      </c>
      <c r="G4517" s="6">
        <v>53.659271240234403</v>
      </c>
      <c r="H4517" s="6">
        <v>48.8450736999512</v>
      </c>
      <c r="I4517" s="6">
        <v>48.815151214599602</v>
      </c>
      <c r="J4517" s="6">
        <v>53.858253479003899</v>
      </c>
      <c r="K4517" s="6">
        <v>53.934131622314503</v>
      </c>
      <c r="L4517" s="6">
        <v>57.569820404052699</v>
      </c>
    </row>
    <row r="4518" spans="1:12" x14ac:dyDescent="0.25">
      <c r="A4518">
        <v>3519600</v>
      </c>
      <c r="B4518" t="str">
        <f t="shared" si="70"/>
        <v>IBITINGA, SP, Brasil</v>
      </c>
      <c r="C4518" s="4" t="str">
        <f>_xlfn.XLOOKUP(A4518,[1]!DadosGHD[CD_GEOCMU],[1]!DadosGHD[Região])</f>
        <v>SD</v>
      </c>
      <c r="D4518" s="4" t="str">
        <f>_xlfn.XLOOKUP(A4518,[1]!DadosGHD[CD_GEOCMU],[1]!DadosGHD[uf])</f>
        <v>SP</v>
      </c>
      <c r="E4518" s="5" t="str">
        <f>_xlfn.XLOOKUP(A4518,[1]!DadosGHD[CD_GEOCMU],[1]!DadosGHD[MUNICIPIO])</f>
        <v>IBITINGA</v>
      </c>
      <c r="F4518" s="6">
        <v>53.595294952392599</v>
      </c>
      <c r="G4518" s="6">
        <v>53.670173645019503</v>
      </c>
      <c r="H4518" s="6">
        <v>48.778491973877003</v>
      </c>
      <c r="I4518" s="6">
        <v>48.696208953857401</v>
      </c>
      <c r="J4518" s="6">
        <v>43.825370788574197</v>
      </c>
      <c r="K4518" s="6">
        <v>48.799877166748097</v>
      </c>
      <c r="L4518" s="6">
        <v>57.5233345031738</v>
      </c>
    </row>
    <row r="4519" spans="1:12" x14ac:dyDescent="0.25">
      <c r="A4519">
        <v>5200605</v>
      </c>
      <c r="B4519" t="str">
        <f t="shared" si="70"/>
        <v>ALTO PARAISO DE GOIAS, GO, Brasil</v>
      </c>
      <c r="C4519" s="4" t="str">
        <f>_xlfn.XLOOKUP(A4519,[1]!DadosGHD[CD_GEOCMU],[1]!DadosGHD[Região])</f>
        <v>CO</v>
      </c>
      <c r="D4519" s="4" t="str">
        <f>_xlfn.XLOOKUP(A4519,[1]!DadosGHD[CD_GEOCMU],[1]!DadosGHD[uf])</f>
        <v>GO</v>
      </c>
      <c r="E4519" s="5" t="str">
        <f>_xlfn.XLOOKUP(A4519,[1]!DadosGHD[CD_GEOCMU],[1]!DadosGHD[MUNICIPIO])</f>
        <v>ALTO PARAISO DE GOIAS</v>
      </c>
      <c r="F4519" s="6">
        <v>53.596080780029297</v>
      </c>
      <c r="G4519" s="6">
        <v>48.735904693603501</v>
      </c>
      <c r="H4519" s="6">
        <v>48.795070648193402</v>
      </c>
      <c r="I4519" s="6">
        <v>48.754463195800803</v>
      </c>
      <c r="J4519" s="6">
        <v>43.7751655578613</v>
      </c>
      <c r="K4519" s="6">
        <v>43.7682075500488</v>
      </c>
      <c r="L4519" s="6">
        <v>35.125114440917997</v>
      </c>
    </row>
    <row r="4520" spans="1:12" x14ac:dyDescent="0.25">
      <c r="A4520">
        <v>5005707</v>
      </c>
      <c r="B4520" t="str">
        <f t="shared" si="70"/>
        <v>NAVIRAI, MS, Brasil</v>
      </c>
      <c r="C4520" s="4" t="str">
        <f>_xlfn.XLOOKUP(A4520,[1]!DadosGHD[CD_GEOCMU],[1]!DadosGHD[Região])</f>
        <v>CO</v>
      </c>
      <c r="D4520" s="4" t="str">
        <f>_xlfn.XLOOKUP(A4520,[1]!DadosGHD[CD_GEOCMU],[1]!DadosGHD[uf])</f>
        <v>MS</v>
      </c>
      <c r="E4520" s="5" t="str">
        <f>_xlfn.XLOOKUP(A4520,[1]!DadosGHD[CD_GEOCMU],[1]!DadosGHD[MUNICIPIO])</f>
        <v>NAVIRAI</v>
      </c>
      <c r="F4520" s="6">
        <v>53.596614837646499</v>
      </c>
      <c r="G4520" s="6">
        <v>48.7614936828613</v>
      </c>
      <c r="H4520" s="6">
        <v>48.827159881591797</v>
      </c>
      <c r="I4520" s="6">
        <v>53.713565826416001</v>
      </c>
      <c r="J4520" s="6">
        <v>48.795768737792997</v>
      </c>
      <c r="K4520" s="6">
        <v>48.813575744628899</v>
      </c>
      <c r="L4520" s="6">
        <v>44.023567199707003</v>
      </c>
    </row>
    <row r="4521" spans="1:12" x14ac:dyDescent="0.25">
      <c r="A4521">
        <v>5207253</v>
      </c>
      <c r="B4521" t="str">
        <f t="shared" si="70"/>
        <v>DOVERLANDIA, GO, Brasil</v>
      </c>
      <c r="C4521" s="4" t="str">
        <f>_xlfn.XLOOKUP(A4521,[1]!DadosGHD[CD_GEOCMU],[1]!DadosGHD[Região])</f>
        <v>CO</v>
      </c>
      <c r="D4521" s="4" t="str">
        <f>_xlfn.XLOOKUP(A4521,[1]!DadosGHD[CD_GEOCMU],[1]!DadosGHD[uf])</f>
        <v>GO</v>
      </c>
      <c r="E4521" s="5" t="str">
        <f>_xlfn.XLOOKUP(A4521,[1]!DadosGHD[CD_GEOCMU],[1]!DadosGHD[MUNICIPIO])</f>
        <v>DOVERLANDIA</v>
      </c>
      <c r="F4521" s="6">
        <v>53.596668243408203</v>
      </c>
      <c r="G4521" s="6">
        <v>53.772548675537102</v>
      </c>
      <c r="H4521" s="6">
        <v>58.8395385742188</v>
      </c>
      <c r="I4521" s="6">
        <v>58.869796752929702</v>
      </c>
      <c r="J4521" s="6">
        <v>53.864406585693402</v>
      </c>
      <c r="K4521" s="6">
        <v>53.938560485839801</v>
      </c>
      <c r="L4521" s="6">
        <v>48.521091461181598</v>
      </c>
    </row>
    <row r="4522" spans="1:12" x14ac:dyDescent="0.25">
      <c r="A4522">
        <v>4302659</v>
      </c>
      <c r="B4522" t="str">
        <f t="shared" si="70"/>
        <v>BROCHIER, RS, Brasil</v>
      </c>
      <c r="C4522" s="4" t="str">
        <f>_xlfn.XLOOKUP(A4522,[1]!DadosGHD[CD_GEOCMU],[1]!DadosGHD[Região])</f>
        <v>SL</v>
      </c>
      <c r="D4522" s="4" t="str">
        <f>_xlfn.XLOOKUP(A4522,[1]!DadosGHD[CD_GEOCMU],[1]!DadosGHD[uf])</f>
        <v>RS</v>
      </c>
      <c r="E4522" s="5" t="str">
        <f>_xlfn.XLOOKUP(A4522,[1]!DadosGHD[CD_GEOCMU],[1]!DadosGHD[MUNICIPIO])</f>
        <v>BROCHIER</v>
      </c>
      <c r="F4522" s="6">
        <v>53.597175598144503</v>
      </c>
      <c r="G4522" s="6">
        <v>53.787864685058601</v>
      </c>
      <c r="H4522" s="6">
        <v>53.819984436035199</v>
      </c>
      <c r="I4522" s="6">
        <v>58.785614013671903</v>
      </c>
      <c r="J4522" s="6">
        <v>53.8176879882813</v>
      </c>
      <c r="K4522" s="6">
        <v>48.860950469970703</v>
      </c>
      <c r="L4522" s="6">
        <v>48.533859252929702</v>
      </c>
    </row>
    <row r="4523" spans="1:12" x14ac:dyDescent="0.25">
      <c r="A4523">
        <v>3522802</v>
      </c>
      <c r="B4523" t="str">
        <f t="shared" si="70"/>
        <v>ITAPORANGA, SP, Brasil</v>
      </c>
      <c r="C4523" s="4" t="str">
        <f>_xlfn.XLOOKUP(A4523,[1]!DadosGHD[CD_GEOCMU],[1]!DadosGHD[Região])</f>
        <v>SD</v>
      </c>
      <c r="D4523" s="4" t="str">
        <f>_xlfn.XLOOKUP(A4523,[1]!DadosGHD[CD_GEOCMU],[1]!DadosGHD[uf])</f>
        <v>SP</v>
      </c>
      <c r="E4523" s="5" t="str">
        <f>_xlfn.XLOOKUP(A4523,[1]!DadosGHD[CD_GEOCMU],[1]!DadosGHD[MUNICIPIO])</f>
        <v>ITAPORANGA</v>
      </c>
      <c r="F4523" s="6">
        <v>53.597423553466797</v>
      </c>
      <c r="G4523" s="6">
        <v>53.6543159484863</v>
      </c>
      <c r="H4523" s="6">
        <v>48.818164825439503</v>
      </c>
      <c r="I4523" s="6">
        <v>48.722160339355497</v>
      </c>
      <c r="J4523" s="6">
        <v>48.712451934814503</v>
      </c>
      <c r="K4523" s="6">
        <v>48.786689758300803</v>
      </c>
      <c r="L4523" s="6">
        <v>48.552345275878899</v>
      </c>
    </row>
    <row r="4524" spans="1:12" x14ac:dyDescent="0.25">
      <c r="A4524">
        <v>4205902</v>
      </c>
      <c r="B4524" t="str">
        <f t="shared" si="70"/>
        <v>GASPAR, SC, Brasil</v>
      </c>
      <c r="C4524" s="4" t="str">
        <f>_xlfn.XLOOKUP(A4524,[1]!DadosGHD[CD_GEOCMU],[1]!DadosGHD[Região])</f>
        <v>SL</v>
      </c>
      <c r="D4524" s="4" t="str">
        <f>_xlfn.XLOOKUP(A4524,[1]!DadosGHD[CD_GEOCMU],[1]!DadosGHD[uf])</f>
        <v>SC</v>
      </c>
      <c r="E4524" s="5" t="str">
        <f>_xlfn.XLOOKUP(A4524,[1]!DadosGHD[CD_GEOCMU],[1]!DadosGHD[MUNICIPIO])</f>
        <v>GASPAR</v>
      </c>
      <c r="F4524" s="6">
        <v>53.5976371765137</v>
      </c>
      <c r="G4524" s="6">
        <v>53.690090179443402</v>
      </c>
      <c r="H4524" s="6">
        <v>53.814662933349602</v>
      </c>
      <c r="I4524" s="6">
        <v>48.813907623291001</v>
      </c>
      <c r="J4524" s="6">
        <v>48.817577362060597</v>
      </c>
      <c r="K4524" s="6">
        <v>48.891178131103501</v>
      </c>
      <c r="L4524" s="6">
        <v>53.0117797851563</v>
      </c>
    </row>
    <row r="4525" spans="1:12" x14ac:dyDescent="0.25">
      <c r="A4525">
        <v>3534906</v>
      </c>
      <c r="B4525" t="str">
        <f t="shared" si="70"/>
        <v>PACAEMBU, SP, Brasil</v>
      </c>
      <c r="C4525" s="4" t="str">
        <f>_xlfn.XLOOKUP(A4525,[1]!DadosGHD[CD_GEOCMU],[1]!DadosGHD[Região])</f>
        <v>SD</v>
      </c>
      <c r="D4525" s="4" t="str">
        <f>_xlfn.XLOOKUP(A4525,[1]!DadosGHD[CD_GEOCMU],[1]!DadosGHD[uf])</f>
        <v>SP</v>
      </c>
      <c r="E4525" s="5" t="str">
        <f>_xlfn.XLOOKUP(A4525,[1]!DadosGHD[CD_GEOCMU],[1]!DadosGHD[MUNICIPIO])</f>
        <v>PACAEMBU</v>
      </c>
      <c r="F4525" s="6">
        <v>53.597763061523402</v>
      </c>
      <c r="G4525" s="6">
        <v>48.735153198242202</v>
      </c>
      <c r="H4525" s="6">
        <v>43.839759826660199</v>
      </c>
      <c r="I4525" s="6">
        <v>43.773185729980497</v>
      </c>
      <c r="J4525" s="6">
        <v>43.764675140380902</v>
      </c>
      <c r="K4525" s="6">
        <v>43.824462890625</v>
      </c>
      <c r="L4525" s="6">
        <v>44.061702728271499</v>
      </c>
    </row>
    <row r="4526" spans="1:12" x14ac:dyDescent="0.25">
      <c r="A4526">
        <v>3159605</v>
      </c>
      <c r="B4526" t="str">
        <f t="shared" si="70"/>
        <v>SANTA RITA DO SAPUCAI, MG, Brasil</v>
      </c>
      <c r="C4526" s="4" t="str">
        <f>_xlfn.XLOOKUP(A4526,[1]!DadosGHD[CD_GEOCMU],[1]!DadosGHD[Região])</f>
        <v>SD</v>
      </c>
      <c r="D4526" s="4" t="str">
        <f>_xlfn.XLOOKUP(A4526,[1]!DadosGHD[CD_GEOCMU],[1]!DadosGHD[uf])</f>
        <v>MG</v>
      </c>
      <c r="E4526" s="5" t="str">
        <f>_xlfn.XLOOKUP(A4526,[1]!DadosGHD[CD_GEOCMU],[1]!DadosGHD[MUNICIPIO])</f>
        <v>SANTA RITA DO SAPUCAI</v>
      </c>
      <c r="F4526" s="6">
        <v>53.597846984863303</v>
      </c>
      <c r="G4526" s="6">
        <v>53.669715881347699</v>
      </c>
      <c r="H4526" s="6">
        <v>53.763484954833999</v>
      </c>
      <c r="I4526" s="6">
        <v>53.7811088562012</v>
      </c>
      <c r="J4526" s="6">
        <v>53.821723937988303</v>
      </c>
      <c r="K4526" s="6">
        <v>53.879596710205099</v>
      </c>
      <c r="L4526" s="6">
        <v>57.542232513427699</v>
      </c>
    </row>
    <row r="4527" spans="1:12" x14ac:dyDescent="0.25">
      <c r="A4527">
        <v>3169307</v>
      </c>
      <c r="B4527" t="str">
        <f t="shared" si="70"/>
        <v>TRES CORACOES, MG, Brasil</v>
      </c>
      <c r="C4527" s="4" t="str">
        <f>_xlfn.XLOOKUP(A4527,[1]!DadosGHD[CD_GEOCMU],[1]!DadosGHD[Região])</f>
        <v>SD</v>
      </c>
      <c r="D4527" s="4" t="str">
        <f>_xlfn.XLOOKUP(A4527,[1]!DadosGHD[CD_GEOCMU],[1]!DadosGHD[uf])</f>
        <v>MG</v>
      </c>
      <c r="E4527" s="5" t="str">
        <f>_xlfn.XLOOKUP(A4527,[1]!DadosGHD[CD_GEOCMU],[1]!DadosGHD[MUNICIPIO])</f>
        <v>TRES CORACOES</v>
      </c>
      <c r="F4527" s="6">
        <v>53.598194122314503</v>
      </c>
      <c r="G4527" s="6">
        <v>53.653247833252003</v>
      </c>
      <c r="H4527" s="6">
        <v>48.826877593994098</v>
      </c>
      <c r="I4527" s="6">
        <v>53.72216796875</v>
      </c>
      <c r="J4527" s="6">
        <v>53.742862701416001</v>
      </c>
      <c r="K4527" s="6">
        <v>53.812820434570298</v>
      </c>
      <c r="L4527" s="6">
        <v>53.038368225097699</v>
      </c>
    </row>
    <row r="4528" spans="1:12" x14ac:dyDescent="0.25">
      <c r="A4528">
        <v>4317400</v>
      </c>
      <c r="B4528" t="str">
        <f t="shared" si="70"/>
        <v>SANTIAGO, RS, Brasil</v>
      </c>
      <c r="C4528" s="4" t="str">
        <f>_xlfn.XLOOKUP(A4528,[1]!DadosGHD[CD_GEOCMU],[1]!DadosGHD[Região])</f>
        <v>SL</v>
      </c>
      <c r="D4528" s="4" t="str">
        <f>_xlfn.XLOOKUP(A4528,[1]!DadosGHD[CD_GEOCMU],[1]!DadosGHD[uf])</f>
        <v>RS</v>
      </c>
      <c r="E4528" s="5" t="str">
        <f>_xlfn.XLOOKUP(A4528,[1]!DadosGHD[CD_GEOCMU],[1]!DadosGHD[MUNICIPIO])</f>
        <v>SANTIAGO</v>
      </c>
      <c r="F4528" s="6">
        <v>53.598560333252003</v>
      </c>
      <c r="G4528" s="6">
        <v>53.684349060058601</v>
      </c>
      <c r="H4528" s="6">
        <v>53.797809600830099</v>
      </c>
      <c r="I4528" s="6">
        <v>53.811527252197301</v>
      </c>
      <c r="J4528" s="6">
        <v>53.8340034484863</v>
      </c>
      <c r="K4528" s="6">
        <v>58.924324035644503</v>
      </c>
      <c r="L4528" s="6">
        <v>57.498012542724602</v>
      </c>
    </row>
    <row r="4529" spans="1:12" x14ac:dyDescent="0.25">
      <c r="A4529">
        <v>5107859</v>
      </c>
      <c r="B4529" t="str">
        <f t="shared" si="70"/>
        <v>SAO FELIX DO ARAGUAIA, MT, Brasil</v>
      </c>
      <c r="C4529" s="4" t="str">
        <f>_xlfn.XLOOKUP(A4529,[1]!DadosGHD[CD_GEOCMU],[1]!DadosGHD[Região])</f>
        <v>CO</v>
      </c>
      <c r="D4529" s="4" t="str">
        <f>_xlfn.XLOOKUP(A4529,[1]!DadosGHD[CD_GEOCMU],[1]!DadosGHD[uf])</f>
        <v>MT</v>
      </c>
      <c r="E4529" s="5" t="str">
        <f>_xlfn.XLOOKUP(A4529,[1]!DadosGHD[CD_GEOCMU],[1]!DadosGHD[MUNICIPIO])</f>
        <v>SAO FELIX DO ARAGUAIA</v>
      </c>
      <c r="F4529" s="6">
        <v>53.598705291748097</v>
      </c>
      <c r="G4529" s="6">
        <v>53.654411315917997</v>
      </c>
      <c r="H4529" s="6">
        <v>48.804695129394503</v>
      </c>
      <c r="I4529" s="6">
        <v>48.7819213867188</v>
      </c>
      <c r="J4529" s="6">
        <v>48.831836700439503</v>
      </c>
      <c r="K4529" s="6">
        <v>53.827705383300803</v>
      </c>
      <c r="L4529" s="6">
        <v>39.570194244384801</v>
      </c>
    </row>
    <row r="4530" spans="1:12" x14ac:dyDescent="0.25">
      <c r="A4530">
        <v>3550100</v>
      </c>
      <c r="B4530" t="str">
        <f t="shared" si="70"/>
        <v>SAO MANUEL, SP, Brasil</v>
      </c>
      <c r="C4530" s="4" t="str">
        <f>_xlfn.XLOOKUP(A4530,[1]!DadosGHD[CD_GEOCMU],[1]!DadosGHD[Região])</f>
        <v>SD</v>
      </c>
      <c r="D4530" s="4" t="str">
        <f>_xlfn.XLOOKUP(A4530,[1]!DadosGHD[CD_GEOCMU],[1]!DadosGHD[uf])</f>
        <v>SP</v>
      </c>
      <c r="E4530" s="5" t="str">
        <f>_xlfn.XLOOKUP(A4530,[1]!DadosGHD[CD_GEOCMU],[1]!DadosGHD[MUNICIPIO])</f>
        <v>SAO MANUEL</v>
      </c>
      <c r="F4530" s="6">
        <v>53.598846435546903</v>
      </c>
      <c r="G4530" s="6">
        <v>48.757026672363303</v>
      </c>
      <c r="H4530" s="6">
        <v>48.823642730712898</v>
      </c>
      <c r="I4530" s="6">
        <v>48.749759674072301</v>
      </c>
      <c r="J4530" s="6">
        <v>53.747367858886697</v>
      </c>
      <c r="K4530" s="6">
        <v>48.848941802978501</v>
      </c>
      <c r="L4530" s="6">
        <v>48.524005889892599</v>
      </c>
    </row>
    <row r="4531" spans="1:12" x14ac:dyDescent="0.25">
      <c r="A4531">
        <v>4321600</v>
      </c>
      <c r="B4531" t="str">
        <f t="shared" si="70"/>
        <v>TRAMANDAI, RS, Brasil</v>
      </c>
      <c r="C4531" s="4" t="str">
        <f>_xlfn.XLOOKUP(A4531,[1]!DadosGHD[CD_GEOCMU],[1]!DadosGHD[Região])</f>
        <v>SL</v>
      </c>
      <c r="D4531" s="4" t="str">
        <f>_xlfn.XLOOKUP(A4531,[1]!DadosGHD[CD_GEOCMU],[1]!DadosGHD[uf])</f>
        <v>RS</v>
      </c>
      <c r="E4531" s="5" t="str">
        <f>_xlfn.XLOOKUP(A4531,[1]!DadosGHD[CD_GEOCMU],[1]!DadosGHD[MUNICIPIO])</f>
        <v>TRAMANDAI</v>
      </c>
      <c r="F4531" s="6">
        <v>53.598995208740199</v>
      </c>
      <c r="G4531" s="6">
        <v>48.706142425537102</v>
      </c>
      <c r="H4531" s="6">
        <v>48.773021697998097</v>
      </c>
      <c r="I4531" s="6">
        <v>53.762042999267599</v>
      </c>
      <c r="J4531" s="6">
        <v>58.863136291503899</v>
      </c>
      <c r="K4531" s="6">
        <v>58.958732604980497</v>
      </c>
      <c r="L4531" s="6">
        <v>57.589881896972699</v>
      </c>
    </row>
    <row r="4532" spans="1:12" x14ac:dyDescent="0.25">
      <c r="A4532">
        <v>4310439</v>
      </c>
      <c r="B4532" t="str">
        <f t="shared" si="70"/>
        <v>IPE, RS, Brasil</v>
      </c>
      <c r="C4532" s="4" t="str">
        <f>_xlfn.XLOOKUP(A4532,[1]!DadosGHD[CD_GEOCMU],[1]!DadosGHD[Região])</f>
        <v>SL</v>
      </c>
      <c r="D4532" s="4" t="str">
        <f>_xlfn.XLOOKUP(A4532,[1]!DadosGHD[CD_GEOCMU],[1]!DadosGHD[uf])</f>
        <v>RS</v>
      </c>
      <c r="E4532" s="5" t="str">
        <f>_xlfn.XLOOKUP(A4532,[1]!DadosGHD[CD_GEOCMU],[1]!DadosGHD[MUNICIPIO])</f>
        <v>IPE</v>
      </c>
      <c r="F4532" s="6">
        <v>53.599636077880902</v>
      </c>
      <c r="G4532" s="6">
        <v>58.908596038818402</v>
      </c>
      <c r="H4532" s="6">
        <v>64.026092529296903</v>
      </c>
      <c r="I4532" s="6">
        <v>58.933910369873097</v>
      </c>
      <c r="J4532" s="6">
        <v>63.997665405273402</v>
      </c>
      <c r="K4532" s="6">
        <v>64.13623046875</v>
      </c>
      <c r="L4532" s="6">
        <v>57.589881896972699</v>
      </c>
    </row>
    <row r="4533" spans="1:12" x14ac:dyDescent="0.25">
      <c r="A4533">
        <v>3539509</v>
      </c>
      <c r="B4533" t="str">
        <f t="shared" si="70"/>
        <v>PITANGUEIRAS, SP, Brasil</v>
      </c>
      <c r="C4533" s="4" t="str">
        <f>_xlfn.XLOOKUP(A4533,[1]!DadosGHD[CD_GEOCMU],[1]!DadosGHD[Região])</f>
        <v>SD</v>
      </c>
      <c r="D4533" s="4" t="str">
        <f>_xlfn.XLOOKUP(A4533,[1]!DadosGHD[CD_GEOCMU],[1]!DadosGHD[uf])</f>
        <v>SP</v>
      </c>
      <c r="E4533" s="5" t="str">
        <f>_xlfn.XLOOKUP(A4533,[1]!DadosGHD[CD_GEOCMU],[1]!DadosGHD[MUNICIPIO])</f>
        <v>PITANGUEIRAS</v>
      </c>
      <c r="F4533" s="6">
        <v>53.599979400634801</v>
      </c>
      <c r="G4533" s="6">
        <v>53.6575317382813</v>
      </c>
      <c r="H4533" s="6">
        <v>48.769100189208999</v>
      </c>
      <c r="I4533" s="6">
        <v>43.805183410644503</v>
      </c>
      <c r="J4533" s="6">
        <v>43.774559020996101</v>
      </c>
      <c r="K4533" s="6">
        <v>43.777297973632798</v>
      </c>
      <c r="L4533" s="6">
        <v>52.981895446777301</v>
      </c>
    </row>
    <row r="4534" spans="1:12" x14ac:dyDescent="0.25">
      <c r="A4534">
        <v>3541604</v>
      </c>
      <c r="B4534" t="str">
        <f t="shared" si="70"/>
        <v>PROMISSAO, SP, Brasil</v>
      </c>
      <c r="C4534" s="4" t="str">
        <f>_xlfn.XLOOKUP(A4534,[1]!DadosGHD[CD_GEOCMU],[1]!DadosGHD[Região])</f>
        <v>SD</v>
      </c>
      <c r="D4534" s="4" t="str">
        <f>_xlfn.XLOOKUP(A4534,[1]!DadosGHD[CD_GEOCMU],[1]!DadosGHD[uf])</f>
        <v>SP</v>
      </c>
      <c r="E4534" s="5" t="str">
        <f>_xlfn.XLOOKUP(A4534,[1]!DadosGHD[CD_GEOCMU],[1]!DadosGHD[MUNICIPIO])</f>
        <v>PROMISSAO</v>
      </c>
      <c r="F4534" s="6">
        <v>53.600002288818402</v>
      </c>
      <c r="G4534" s="6">
        <v>53.665569305419901</v>
      </c>
      <c r="H4534" s="6">
        <v>48.827583312988303</v>
      </c>
      <c r="I4534" s="6">
        <v>48.766819000244098</v>
      </c>
      <c r="J4534" s="6">
        <v>48.763912200927699</v>
      </c>
      <c r="K4534" s="6">
        <v>48.777347564697301</v>
      </c>
      <c r="L4534" s="6">
        <v>48.497859954833999</v>
      </c>
    </row>
    <row r="4535" spans="1:12" x14ac:dyDescent="0.25">
      <c r="A4535">
        <v>3124708</v>
      </c>
      <c r="B4535" t="str">
        <f t="shared" si="70"/>
        <v>ESTRELA DO INDAIA, MG, Brasil</v>
      </c>
      <c r="C4535" s="4" t="str">
        <f>_xlfn.XLOOKUP(A4535,[1]!DadosGHD[CD_GEOCMU],[1]!DadosGHD[Região])</f>
        <v>SD</v>
      </c>
      <c r="D4535" s="4" t="str">
        <f>_xlfn.XLOOKUP(A4535,[1]!DadosGHD[CD_GEOCMU],[1]!DadosGHD[uf])</f>
        <v>MG</v>
      </c>
      <c r="E4535" s="5" t="str">
        <f>_xlfn.XLOOKUP(A4535,[1]!DadosGHD[CD_GEOCMU],[1]!DadosGHD[MUNICIPIO])</f>
        <v>ESTRELA DO INDAIA</v>
      </c>
      <c r="F4535" s="6">
        <v>53.6000785827637</v>
      </c>
      <c r="G4535" s="6">
        <v>38.728065490722699</v>
      </c>
      <c r="H4535" s="6">
        <v>33.889362335205099</v>
      </c>
      <c r="I4535" s="6">
        <v>33.8584594726563</v>
      </c>
      <c r="J4535" s="6">
        <v>33.871299743652301</v>
      </c>
      <c r="K4535" s="6">
        <v>38.815773010253899</v>
      </c>
      <c r="L4535" s="6">
        <v>44.028026580810597</v>
      </c>
    </row>
    <row r="4536" spans="1:12" x14ac:dyDescent="0.25">
      <c r="A4536">
        <v>5105622</v>
      </c>
      <c r="B4536" t="str">
        <f t="shared" si="70"/>
        <v>MIRASSOL D'OESTE, MT, Brasil</v>
      </c>
      <c r="C4536" s="4" t="str">
        <f>_xlfn.XLOOKUP(A4536,[1]!DadosGHD[CD_GEOCMU],[1]!DadosGHD[Região])</f>
        <v>CO</v>
      </c>
      <c r="D4536" s="4" t="str">
        <f>_xlfn.XLOOKUP(A4536,[1]!DadosGHD[CD_GEOCMU],[1]!DadosGHD[uf])</f>
        <v>MT</v>
      </c>
      <c r="E4536" s="5" t="str">
        <f>_xlfn.XLOOKUP(A4536,[1]!DadosGHD[CD_GEOCMU],[1]!DadosGHD[MUNICIPIO])</f>
        <v>MIRASSOL D'OESTE</v>
      </c>
      <c r="F4536" s="6">
        <v>53.601112365722699</v>
      </c>
      <c r="G4536" s="6">
        <v>53.659603118896499</v>
      </c>
      <c r="H4536" s="6">
        <v>48.818653106689503</v>
      </c>
      <c r="I4536" s="6">
        <v>48.819698333740199</v>
      </c>
      <c r="J4536" s="6">
        <v>48.805183410644503</v>
      </c>
      <c r="K4536" s="6">
        <v>48.912590026855497</v>
      </c>
      <c r="L4536" s="6">
        <v>39.5698852539063</v>
      </c>
    </row>
    <row r="4537" spans="1:12" x14ac:dyDescent="0.25">
      <c r="A4537">
        <v>5207808</v>
      </c>
      <c r="B4537" t="str">
        <f t="shared" si="70"/>
        <v>FIRMINOPOLIS, GO, Brasil</v>
      </c>
      <c r="C4537" s="4" t="str">
        <f>_xlfn.XLOOKUP(A4537,[1]!DadosGHD[CD_GEOCMU],[1]!DadosGHD[Região])</f>
        <v>CO</v>
      </c>
      <c r="D4537" s="4" t="str">
        <f>_xlfn.XLOOKUP(A4537,[1]!DadosGHD[CD_GEOCMU],[1]!DadosGHD[uf])</f>
        <v>GO</v>
      </c>
      <c r="E4537" s="5" t="str">
        <f>_xlfn.XLOOKUP(A4537,[1]!DadosGHD[CD_GEOCMU],[1]!DadosGHD[MUNICIPIO])</f>
        <v>FIRMINOPOLIS</v>
      </c>
      <c r="F4537" s="6">
        <v>53.601608276367202</v>
      </c>
      <c r="G4537" s="6">
        <v>48.758945465087898</v>
      </c>
      <c r="H4537" s="6">
        <v>53.754886627197301</v>
      </c>
      <c r="I4537" s="6">
        <v>53.746280670166001</v>
      </c>
      <c r="J4537" s="6">
        <v>53.796985626220703</v>
      </c>
      <c r="K4537" s="6">
        <v>48.864471435546903</v>
      </c>
      <c r="L4537" s="6">
        <v>39.566116333007798</v>
      </c>
    </row>
    <row r="4538" spans="1:12" x14ac:dyDescent="0.25">
      <c r="A4538">
        <v>3111002</v>
      </c>
      <c r="B4538" t="str">
        <f t="shared" si="70"/>
        <v>CAMPESTRE, MG, Brasil</v>
      </c>
      <c r="C4538" s="4" t="str">
        <f>_xlfn.XLOOKUP(A4538,[1]!DadosGHD[CD_GEOCMU],[1]!DadosGHD[Região])</f>
        <v>SD</v>
      </c>
      <c r="D4538" s="4" t="str">
        <f>_xlfn.XLOOKUP(A4538,[1]!DadosGHD[CD_GEOCMU],[1]!DadosGHD[uf])</f>
        <v>MG</v>
      </c>
      <c r="E4538" s="5" t="str">
        <f>_xlfn.XLOOKUP(A4538,[1]!DadosGHD[CD_GEOCMU],[1]!DadosGHD[MUNICIPIO])</f>
        <v>CAMPESTRE</v>
      </c>
      <c r="F4538" s="6">
        <v>53.6016235351563</v>
      </c>
      <c r="G4538" s="6">
        <v>53.687831878662102</v>
      </c>
      <c r="H4538" s="6">
        <v>53.801136016845703</v>
      </c>
      <c r="I4538" s="6">
        <v>53.805816650390597</v>
      </c>
      <c r="J4538" s="6">
        <v>58.890525817871101</v>
      </c>
      <c r="K4538" s="6">
        <v>53.973403930664098</v>
      </c>
      <c r="L4538" s="6">
        <v>48.5472221374512</v>
      </c>
    </row>
    <row r="4539" spans="1:12" x14ac:dyDescent="0.25">
      <c r="A4539">
        <v>3534500</v>
      </c>
      <c r="B4539" t="str">
        <f t="shared" si="70"/>
        <v>OSCAR BRESSANE, SP, Brasil</v>
      </c>
      <c r="C4539" s="4" t="str">
        <f>_xlfn.XLOOKUP(A4539,[1]!DadosGHD[CD_GEOCMU],[1]!DadosGHD[Região])</f>
        <v>SD</v>
      </c>
      <c r="D4539" s="4" t="str">
        <f>_xlfn.XLOOKUP(A4539,[1]!DadosGHD[CD_GEOCMU],[1]!DadosGHD[uf])</f>
        <v>SP</v>
      </c>
      <c r="E4539" s="5" t="str">
        <f>_xlfn.XLOOKUP(A4539,[1]!DadosGHD[CD_GEOCMU],[1]!DadosGHD[MUNICIPIO])</f>
        <v>OSCAR BRESSANE</v>
      </c>
      <c r="F4539" s="6">
        <v>53.601741790771499</v>
      </c>
      <c r="G4539" s="6">
        <v>48.6923217773438</v>
      </c>
      <c r="H4539" s="6">
        <v>53.763484954833999</v>
      </c>
      <c r="I4539" s="6">
        <v>53.761741638183601</v>
      </c>
      <c r="J4539" s="6">
        <v>53.7343940734863</v>
      </c>
      <c r="K4539" s="6">
        <v>48.829154968261697</v>
      </c>
      <c r="L4539" s="6">
        <v>44.052581787109403</v>
      </c>
    </row>
    <row r="4540" spans="1:12" x14ac:dyDescent="0.25">
      <c r="A4540">
        <v>3521903</v>
      </c>
      <c r="B4540" t="str">
        <f t="shared" si="70"/>
        <v>ITAJOBI, SP, Brasil</v>
      </c>
      <c r="C4540" s="4" t="str">
        <f>_xlfn.XLOOKUP(A4540,[1]!DadosGHD[CD_GEOCMU],[1]!DadosGHD[Região])</f>
        <v>SD</v>
      </c>
      <c r="D4540" s="4" t="str">
        <f>_xlfn.XLOOKUP(A4540,[1]!DadosGHD[CD_GEOCMU],[1]!DadosGHD[uf])</f>
        <v>SP</v>
      </c>
      <c r="E4540" s="5" t="str">
        <f>_xlfn.XLOOKUP(A4540,[1]!DadosGHD[CD_GEOCMU],[1]!DadosGHD[MUNICIPIO])</f>
        <v>ITAJOBI</v>
      </c>
      <c r="F4540" s="6">
        <v>53.601970672607401</v>
      </c>
      <c r="G4540" s="6">
        <v>48.762569427490199</v>
      </c>
      <c r="H4540" s="6">
        <v>48.776115417480497</v>
      </c>
      <c r="I4540" s="6">
        <v>48.7262573242188</v>
      </c>
      <c r="J4540" s="6">
        <v>48.732353210449197</v>
      </c>
      <c r="K4540" s="6">
        <v>48.769775390625</v>
      </c>
      <c r="L4540" s="6">
        <v>52.980899810791001</v>
      </c>
    </row>
    <row r="4541" spans="1:12" x14ac:dyDescent="0.25">
      <c r="A4541">
        <v>3517000</v>
      </c>
      <c r="B4541" t="str">
        <f t="shared" si="70"/>
        <v>GETULINA, SP, Brasil</v>
      </c>
      <c r="C4541" s="4" t="str">
        <f>_xlfn.XLOOKUP(A4541,[1]!DadosGHD[CD_GEOCMU],[1]!DadosGHD[Região])</f>
        <v>SD</v>
      </c>
      <c r="D4541" s="4" t="str">
        <f>_xlfn.XLOOKUP(A4541,[1]!DadosGHD[CD_GEOCMU],[1]!DadosGHD[uf])</f>
        <v>SP</v>
      </c>
      <c r="E4541" s="5" t="str">
        <f>_xlfn.XLOOKUP(A4541,[1]!DadosGHD[CD_GEOCMU],[1]!DadosGHD[MUNICIPIO])</f>
        <v>GETULINA</v>
      </c>
      <c r="F4541" s="6">
        <v>53.6020698547363</v>
      </c>
      <c r="G4541" s="6">
        <v>48.722885131835902</v>
      </c>
      <c r="H4541" s="6">
        <v>43.807754516601598</v>
      </c>
      <c r="I4541" s="6">
        <v>43.7463188171387</v>
      </c>
      <c r="J4541" s="6">
        <v>38.839168548583999</v>
      </c>
      <c r="K4541" s="6">
        <v>38.839778900146499</v>
      </c>
      <c r="L4541" s="6">
        <v>30.712499618530298</v>
      </c>
    </row>
    <row r="4542" spans="1:12" x14ac:dyDescent="0.25">
      <c r="A4542">
        <v>3538006</v>
      </c>
      <c r="B4542" t="str">
        <f t="shared" si="70"/>
        <v>PINDAMONHANGABA, SP, Brasil</v>
      </c>
      <c r="C4542" s="4" t="str">
        <f>_xlfn.XLOOKUP(A4542,[1]!DadosGHD[CD_GEOCMU],[1]!DadosGHD[Região])</f>
        <v>SD</v>
      </c>
      <c r="D4542" s="4" t="str">
        <f>_xlfn.XLOOKUP(A4542,[1]!DadosGHD[CD_GEOCMU],[1]!DadosGHD[uf])</f>
        <v>SP</v>
      </c>
      <c r="E4542" s="5" t="str">
        <f>_xlfn.XLOOKUP(A4542,[1]!DadosGHD[CD_GEOCMU],[1]!DadosGHD[MUNICIPIO])</f>
        <v>PINDAMONHANGABA</v>
      </c>
      <c r="F4542" s="6">
        <v>53.602134704589801</v>
      </c>
      <c r="G4542" s="6">
        <v>53.670276641845703</v>
      </c>
      <c r="H4542" s="6">
        <v>48.817058563232401</v>
      </c>
      <c r="I4542" s="6">
        <v>48.76953125</v>
      </c>
      <c r="J4542" s="6">
        <v>48.785377502441399</v>
      </c>
      <c r="K4542" s="6">
        <v>48.844375610351598</v>
      </c>
      <c r="L4542" s="6">
        <v>53.026237487792997</v>
      </c>
    </row>
    <row r="4543" spans="1:12" x14ac:dyDescent="0.25">
      <c r="A4543">
        <v>5105606</v>
      </c>
      <c r="B4543" t="str">
        <f t="shared" si="70"/>
        <v>MATUPA, MT, Brasil</v>
      </c>
      <c r="C4543" s="4" t="str">
        <f>_xlfn.XLOOKUP(A4543,[1]!DadosGHD[CD_GEOCMU],[1]!DadosGHD[Região])</f>
        <v>CO</v>
      </c>
      <c r="D4543" s="4" t="str">
        <f>_xlfn.XLOOKUP(A4543,[1]!DadosGHD[CD_GEOCMU],[1]!DadosGHD[uf])</f>
        <v>MT</v>
      </c>
      <c r="E4543" s="5" t="str">
        <f>_xlfn.XLOOKUP(A4543,[1]!DadosGHD[CD_GEOCMU],[1]!DadosGHD[MUNICIPIO])</f>
        <v>MATUPA</v>
      </c>
      <c r="F4543" s="6">
        <v>53.602256774902301</v>
      </c>
      <c r="G4543" s="6">
        <v>53.673351287841797</v>
      </c>
      <c r="H4543" s="6">
        <v>48.784832000732401</v>
      </c>
      <c r="I4543" s="6">
        <v>48.766143798828097</v>
      </c>
      <c r="J4543" s="6">
        <v>48.785472869873097</v>
      </c>
      <c r="K4543" s="6">
        <v>53.8987007141113</v>
      </c>
      <c r="L4543" s="6">
        <v>44.038845062255902</v>
      </c>
    </row>
    <row r="4544" spans="1:12" x14ac:dyDescent="0.25">
      <c r="A4544">
        <v>4116109</v>
      </c>
      <c r="B4544" t="str">
        <f t="shared" si="70"/>
        <v>MOREIRA SALES, PR, Brasil</v>
      </c>
      <c r="C4544" s="4" t="str">
        <f>_xlfn.XLOOKUP(A4544,[1]!DadosGHD[CD_GEOCMU],[1]!DadosGHD[Região])</f>
        <v>SL</v>
      </c>
      <c r="D4544" s="4" t="str">
        <f>_xlfn.XLOOKUP(A4544,[1]!DadosGHD[CD_GEOCMU],[1]!DadosGHD[uf])</f>
        <v>PR</v>
      </c>
      <c r="E4544" s="5" t="str">
        <f>_xlfn.XLOOKUP(A4544,[1]!DadosGHD[CD_GEOCMU],[1]!DadosGHD[MUNICIPIO])</f>
        <v>MOREIRA SALES</v>
      </c>
      <c r="F4544" s="6">
        <v>53.602375030517599</v>
      </c>
      <c r="G4544" s="6">
        <v>53.710472106933601</v>
      </c>
      <c r="H4544" s="6">
        <v>53.870552062988303</v>
      </c>
      <c r="I4544" s="6">
        <v>53.814010620117202</v>
      </c>
      <c r="J4544" s="6">
        <v>53.759941101074197</v>
      </c>
      <c r="K4544" s="6">
        <v>53.853031158447301</v>
      </c>
      <c r="L4544" s="6">
        <v>44.017169952392599</v>
      </c>
    </row>
    <row r="4545" spans="1:12" x14ac:dyDescent="0.25">
      <c r="A4545">
        <v>4315503</v>
      </c>
      <c r="B4545" t="str">
        <f t="shared" si="70"/>
        <v>RESTINGA SECA, RS, Brasil</v>
      </c>
      <c r="C4545" s="4" t="str">
        <f>_xlfn.XLOOKUP(A4545,[1]!DadosGHD[CD_GEOCMU],[1]!DadosGHD[Região])</f>
        <v>SL</v>
      </c>
      <c r="D4545" s="4" t="str">
        <f>_xlfn.XLOOKUP(A4545,[1]!DadosGHD[CD_GEOCMU],[1]!DadosGHD[uf])</f>
        <v>RS</v>
      </c>
      <c r="E4545" s="5" t="str">
        <f>_xlfn.XLOOKUP(A4545,[1]!DadosGHD[CD_GEOCMU],[1]!DadosGHD[MUNICIPIO])</f>
        <v>RESTINGA SECA</v>
      </c>
      <c r="F4545" s="6">
        <v>53.602500915527301</v>
      </c>
      <c r="G4545" s="6">
        <v>53.685886383056598</v>
      </c>
      <c r="H4545" s="6">
        <v>53.784236907958999</v>
      </c>
      <c r="I4545" s="6">
        <v>53.850723266601598</v>
      </c>
      <c r="J4545" s="6">
        <v>58.822837829589801</v>
      </c>
      <c r="K4545" s="6">
        <v>53.924537658691399</v>
      </c>
      <c r="L4545" s="6">
        <v>48.500782012939503</v>
      </c>
    </row>
    <row r="4546" spans="1:12" x14ac:dyDescent="0.25">
      <c r="A4546">
        <v>3547403</v>
      </c>
      <c r="B4546" t="str">
        <f t="shared" si="70"/>
        <v>SANTA RITA D'OESTE, SP, Brasil</v>
      </c>
      <c r="C4546" s="4" t="str">
        <f>_xlfn.XLOOKUP(A4546,[1]!DadosGHD[CD_GEOCMU],[1]!DadosGHD[Região])</f>
        <v>SD</v>
      </c>
      <c r="D4546" s="4" t="str">
        <f>_xlfn.XLOOKUP(A4546,[1]!DadosGHD[CD_GEOCMU],[1]!DadosGHD[uf])</f>
        <v>SP</v>
      </c>
      <c r="E4546" s="5" t="str">
        <f>_xlfn.XLOOKUP(A4546,[1]!DadosGHD[CD_GEOCMU],[1]!DadosGHD[MUNICIPIO])</f>
        <v>SANTA RITA D'OESTE</v>
      </c>
      <c r="F4546" s="6">
        <v>53.604072570800803</v>
      </c>
      <c r="G4546" s="6">
        <v>48.668655395507798</v>
      </c>
      <c r="H4546" s="6">
        <v>48.757293701171903</v>
      </c>
      <c r="I4546" s="6">
        <v>48.747299194335902</v>
      </c>
      <c r="J4546" s="6">
        <v>48.725337982177699</v>
      </c>
      <c r="K4546" s="6">
        <v>43.853271484375</v>
      </c>
      <c r="L4546" s="6">
        <v>35.123317718505902</v>
      </c>
    </row>
    <row r="4547" spans="1:12" x14ac:dyDescent="0.25">
      <c r="A4547">
        <v>3136900</v>
      </c>
      <c r="B4547" t="str">
        <f t="shared" si="70"/>
        <v>JURUAIA, MG, Brasil</v>
      </c>
      <c r="C4547" s="4" t="str">
        <f>_xlfn.XLOOKUP(A4547,[1]!DadosGHD[CD_GEOCMU],[1]!DadosGHD[Região])</f>
        <v>SD</v>
      </c>
      <c r="D4547" s="4" t="str">
        <f>_xlfn.XLOOKUP(A4547,[1]!DadosGHD[CD_GEOCMU],[1]!DadosGHD[uf])</f>
        <v>MG</v>
      </c>
      <c r="E4547" s="5" t="str">
        <f>_xlfn.XLOOKUP(A4547,[1]!DadosGHD[CD_GEOCMU],[1]!DadosGHD[MUNICIPIO])</f>
        <v>JURUAIA</v>
      </c>
      <c r="F4547" s="6">
        <v>53.604251861572301</v>
      </c>
      <c r="G4547" s="6">
        <v>48.712165832519503</v>
      </c>
      <c r="H4547" s="6">
        <v>43.819011688232401</v>
      </c>
      <c r="I4547" s="6">
        <v>43.7664604187012</v>
      </c>
      <c r="J4547" s="6">
        <v>48.708244323730497</v>
      </c>
      <c r="K4547" s="6">
        <v>48.837150573730497</v>
      </c>
      <c r="L4547" s="6">
        <v>39.563808441162102</v>
      </c>
    </row>
    <row r="4548" spans="1:12" x14ac:dyDescent="0.25">
      <c r="A4548">
        <v>4306403</v>
      </c>
      <c r="B4548" t="str">
        <f t="shared" ref="B4548:B4611" si="71">_xlfn.CONCAT(E4548, ", ", D4548, ", Brasil")</f>
        <v>DOIS IRMAOS, RS, Brasil</v>
      </c>
      <c r="C4548" s="4" t="str">
        <f>_xlfn.XLOOKUP(A4548,[1]!DadosGHD[CD_GEOCMU],[1]!DadosGHD[Região])</f>
        <v>SL</v>
      </c>
      <c r="D4548" s="4" t="str">
        <f>_xlfn.XLOOKUP(A4548,[1]!DadosGHD[CD_GEOCMU],[1]!DadosGHD[uf])</f>
        <v>RS</v>
      </c>
      <c r="E4548" s="5" t="str">
        <f>_xlfn.XLOOKUP(A4548,[1]!DadosGHD[CD_GEOCMU],[1]!DadosGHD[MUNICIPIO])</f>
        <v>DOIS IRMAOS</v>
      </c>
      <c r="F4548" s="6">
        <v>53.604297637939503</v>
      </c>
      <c r="G4548" s="6">
        <v>53.741355895996101</v>
      </c>
      <c r="H4548" s="6">
        <v>53.786598205566399</v>
      </c>
      <c r="I4548" s="6">
        <v>53.774833679199197</v>
      </c>
      <c r="J4548" s="6">
        <v>53.8217163085938</v>
      </c>
      <c r="K4548" s="6">
        <v>53.9416694641113</v>
      </c>
      <c r="L4548" s="6">
        <v>57.589881896972699</v>
      </c>
    </row>
    <row r="4549" spans="1:12" x14ac:dyDescent="0.25">
      <c r="A4549">
        <v>3539400</v>
      </c>
      <c r="B4549" t="str">
        <f t="shared" si="71"/>
        <v>PIRATININGA, SP, Brasil</v>
      </c>
      <c r="C4549" s="4" t="str">
        <f>_xlfn.XLOOKUP(A4549,[1]!DadosGHD[CD_GEOCMU],[1]!DadosGHD[Região])</f>
        <v>SD</v>
      </c>
      <c r="D4549" s="4" t="str">
        <f>_xlfn.XLOOKUP(A4549,[1]!DadosGHD[CD_GEOCMU],[1]!DadosGHD[uf])</f>
        <v>SP</v>
      </c>
      <c r="E4549" s="5" t="str">
        <f>_xlfn.XLOOKUP(A4549,[1]!DadosGHD[CD_GEOCMU],[1]!DadosGHD[MUNICIPIO])</f>
        <v>PIRATININGA</v>
      </c>
      <c r="F4549" s="6">
        <v>53.604503631591797</v>
      </c>
      <c r="G4549" s="6">
        <v>53.667800903320298</v>
      </c>
      <c r="H4549" s="6">
        <v>48.7708129882813</v>
      </c>
      <c r="I4549" s="6">
        <v>48.721797943115199</v>
      </c>
      <c r="J4549" s="6">
        <v>48.707290649414098</v>
      </c>
      <c r="K4549" s="6">
        <v>48.764961242675803</v>
      </c>
      <c r="L4549" s="6">
        <v>48.524471282958999</v>
      </c>
    </row>
    <row r="4550" spans="1:12" x14ac:dyDescent="0.25">
      <c r="A4550">
        <v>4200705</v>
      </c>
      <c r="B4550" t="str">
        <f t="shared" si="71"/>
        <v>ALFREDO WAGNER, SC, Brasil</v>
      </c>
      <c r="C4550" s="4" t="str">
        <f>_xlfn.XLOOKUP(A4550,[1]!DadosGHD[CD_GEOCMU],[1]!DadosGHD[Região])</f>
        <v>SL</v>
      </c>
      <c r="D4550" s="4" t="str">
        <f>_xlfn.XLOOKUP(A4550,[1]!DadosGHD[CD_GEOCMU],[1]!DadosGHD[uf])</f>
        <v>SC</v>
      </c>
      <c r="E4550" s="5" t="str">
        <f>_xlfn.XLOOKUP(A4550,[1]!DadosGHD[CD_GEOCMU],[1]!DadosGHD[MUNICIPIO])</f>
        <v>ALFREDO WAGNER</v>
      </c>
      <c r="F4550" s="6">
        <v>53.6047973632813</v>
      </c>
      <c r="G4550" s="6">
        <v>53.772899627685597</v>
      </c>
      <c r="H4550" s="6">
        <v>53.817344665527301</v>
      </c>
      <c r="I4550" s="6">
        <v>53.793743133544901</v>
      </c>
      <c r="J4550" s="6">
        <v>53.871612548828097</v>
      </c>
      <c r="K4550" s="6">
        <v>53.921241760253899</v>
      </c>
      <c r="L4550" s="6">
        <v>48.523468017578097</v>
      </c>
    </row>
    <row r="4551" spans="1:12" x14ac:dyDescent="0.25">
      <c r="A4551">
        <v>3145109</v>
      </c>
      <c r="B4551" t="str">
        <f t="shared" si="71"/>
        <v>NOVA RESENDE, MG, Brasil</v>
      </c>
      <c r="C4551" s="4" t="str">
        <f>_xlfn.XLOOKUP(A4551,[1]!DadosGHD[CD_GEOCMU],[1]!DadosGHD[Região])</f>
        <v>SD</v>
      </c>
      <c r="D4551" s="4" t="str">
        <f>_xlfn.XLOOKUP(A4551,[1]!DadosGHD[CD_GEOCMU],[1]!DadosGHD[uf])</f>
        <v>MG</v>
      </c>
      <c r="E4551" s="5" t="str">
        <f>_xlfn.XLOOKUP(A4551,[1]!DadosGHD[CD_GEOCMU],[1]!DadosGHD[MUNICIPIO])</f>
        <v>NOVA RESENDE</v>
      </c>
      <c r="F4551" s="6">
        <v>53.604808807373097</v>
      </c>
      <c r="G4551" s="6">
        <v>48.670581817627003</v>
      </c>
      <c r="H4551" s="6">
        <v>48.732814788818402</v>
      </c>
      <c r="I4551" s="6">
        <v>48.704074859619098</v>
      </c>
      <c r="J4551" s="6">
        <v>48.743385314941399</v>
      </c>
      <c r="K4551" s="6">
        <v>48.786617279052699</v>
      </c>
      <c r="L4551" s="6">
        <v>44.047740936279297</v>
      </c>
    </row>
    <row r="4552" spans="1:12" x14ac:dyDescent="0.25">
      <c r="A4552">
        <v>5005681</v>
      </c>
      <c r="B4552" t="str">
        <f t="shared" si="71"/>
        <v>MUNDO NOVO, MS, Brasil</v>
      </c>
      <c r="C4552" s="4" t="str">
        <f>_xlfn.XLOOKUP(A4552,[1]!DadosGHD[CD_GEOCMU],[1]!DadosGHD[Região])</f>
        <v>CO</v>
      </c>
      <c r="D4552" s="4" t="str">
        <f>_xlfn.XLOOKUP(A4552,[1]!DadosGHD[CD_GEOCMU],[1]!DadosGHD[uf])</f>
        <v>MS</v>
      </c>
      <c r="E4552" s="5" t="str">
        <f>_xlfn.XLOOKUP(A4552,[1]!DadosGHD[CD_GEOCMU],[1]!DadosGHD[MUNICIPIO])</f>
        <v>MUNDO NOVO</v>
      </c>
      <c r="F4552" s="6">
        <v>53.604930877685597</v>
      </c>
      <c r="G4552" s="6">
        <v>53.713661193847699</v>
      </c>
      <c r="H4552" s="6">
        <v>53.8041801452637</v>
      </c>
      <c r="I4552" s="6">
        <v>53.728649139404297</v>
      </c>
      <c r="J4552" s="6">
        <v>53.8054809570313</v>
      </c>
      <c r="K4552" s="6">
        <v>53.928897857666001</v>
      </c>
      <c r="L4552" s="6">
        <v>48.533924102783203</v>
      </c>
    </row>
    <row r="4553" spans="1:12" x14ac:dyDescent="0.25">
      <c r="A4553">
        <v>5105150</v>
      </c>
      <c r="B4553" t="str">
        <f t="shared" si="71"/>
        <v>JUINA, MT, Brasil</v>
      </c>
      <c r="C4553" s="4" t="str">
        <f>_xlfn.XLOOKUP(A4553,[1]!DadosGHD[CD_GEOCMU],[1]!DadosGHD[Região])</f>
        <v>CO</v>
      </c>
      <c r="D4553" s="4" t="str">
        <f>_xlfn.XLOOKUP(A4553,[1]!DadosGHD[CD_GEOCMU],[1]!DadosGHD[uf])</f>
        <v>MT</v>
      </c>
      <c r="E4553" s="5" t="str">
        <f>_xlfn.XLOOKUP(A4553,[1]!DadosGHD[CD_GEOCMU],[1]!DadosGHD[MUNICIPIO])</f>
        <v>JUINA</v>
      </c>
      <c r="F4553" s="6">
        <v>53.605098724365199</v>
      </c>
      <c r="G4553" s="6">
        <v>53.739681243896499</v>
      </c>
      <c r="H4553" s="6">
        <v>53.778369903564503</v>
      </c>
      <c r="I4553" s="6">
        <v>53.773025512695298</v>
      </c>
      <c r="J4553" s="6">
        <v>53.786834716796903</v>
      </c>
      <c r="K4553" s="6">
        <v>53.915176391601598</v>
      </c>
      <c r="L4553" s="6">
        <v>39.570339202880902</v>
      </c>
    </row>
    <row r="4554" spans="1:12" x14ac:dyDescent="0.25">
      <c r="A4554">
        <v>4217253</v>
      </c>
      <c r="B4554" t="str">
        <f t="shared" si="71"/>
        <v>SAO PEDRO DE ALCANTARA, SC, Brasil</v>
      </c>
      <c r="C4554" s="4" t="str">
        <f>_xlfn.XLOOKUP(A4554,[1]!DadosGHD[CD_GEOCMU],[1]!DadosGHD[Região])</f>
        <v>SL</v>
      </c>
      <c r="D4554" s="4" t="str">
        <f>_xlfn.XLOOKUP(A4554,[1]!DadosGHD[CD_GEOCMU],[1]!DadosGHD[uf])</f>
        <v>SC</v>
      </c>
      <c r="E4554" s="5" t="str">
        <f>_xlfn.XLOOKUP(A4554,[1]!DadosGHD[CD_GEOCMU],[1]!DadosGHD[MUNICIPIO])</f>
        <v>SAO PEDRO DE ALCANTARA</v>
      </c>
      <c r="F4554" s="6">
        <v>53.6056098937988</v>
      </c>
      <c r="G4554" s="6">
        <v>48.665943145752003</v>
      </c>
      <c r="H4554" s="6">
        <v>48.8069458007813</v>
      </c>
      <c r="I4554" s="6">
        <v>43.795692443847699</v>
      </c>
      <c r="J4554" s="6">
        <v>48.726634979248097</v>
      </c>
      <c r="K4554" s="6">
        <v>48.863880157470703</v>
      </c>
      <c r="L4554" s="6">
        <v>57.529087066650398</v>
      </c>
    </row>
    <row r="4555" spans="1:12" x14ac:dyDescent="0.25">
      <c r="A4555">
        <v>5208905</v>
      </c>
      <c r="B4555" t="str">
        <f t="shared" si="71"/>
        <v>GOIAS, GO, Brasil</v>
      </c>
      <c r="C4555" s="4" t="str">
        <f>_xlfn.XLOOKUP(A4555,[1]!DadosGHD[CD_GEOCMU],[1]!DadosGHD[Região])</f>
        <v>CO</v>
      </c>
      <c r="D4555" s="4" t="str">
        <f>_xlfn.XLOOKUP(A4555,[1]!DadosGHD[CD_GEOCMU],[1]!DadosGHD[uf])</f>
        <v>GO</v>
      </c>
      <c r="E4555" s="5" t="str">
        <f>_xlfn.XLOOKUP(A4555,[1]!DadosGHD[CD_GEOCMU],[1]!DadosGHD[MUNICIPIO])</f>
        <v>GOIAS</v>
      </c>
      <c r="F4555" s="6">
        <v>53.605747222900398</v>
      </c>
      <c r="G4555" s="6">
        <v>53.729618072509801</v>
      </c>
      <c r="H4555" s="6">
        <v>53.836681365966797</v>
      </c>
      <c r="I4555" s="6">
        <v>53.786849975585902</v>
      </c>
      <c r="J4555" s="6">
        <v>53.814437866210902</v>
      </c>
      <c r="K4555" s="6">
        <v>59.112056732177699</v>
      </c>
      <c r="L4555" s="6">
        <v>44.052707672119098</v>
      </c>
    </row>
    <row r="4556" spans="1:12" x14ac:dyDescent="0.25">
      <c r="A4556">
        <v>3540408</v>
      </c>
      <c r="B4556" t="str">
        <f t="shared" si="71"/>
        <v>POPULINA, SP, Brasil</v>
      </c>
      <c r="C4556" s="4" t="str">
        <f>_xlfn.XLOOKUP(A4556,[1]!DadosGHD[CD_GEOCMU],[1]!DadosGHD[Região])</f>
        <v>SD</v>
      </c>
      <c r="D4556" s="4" t="str">
        <f>_xlfn.XLOOKUP(A4556,[1]!DadosGHD[CD_GEOCMU],[1]!DadosGHD[uf])</f>
        <v>SP</v>
      </c>
      <c r="E4556" s="5" t="str">
        <f>_xlfn.XLOOKUP(A4556,[1]!DadosGHD[CD_GEOCMU],[1]!DadosGHD[MUNICIPIO])</f>
        <v>POPULINA</v>
      </c>
      <c r="F4556" s="6">
        <v>53.606044769287102</v>
      </c>
      <c r="G4556" s="6">
        <v>48.765693664550803</v>
      </c>
      <c r="H4556" s="6">
        <v>48.7900199890137</v>
      </c>
      <c r="I4556" s="6">
        <v>48.707176208496101</v>
      </c>
      <c r="J4556" s="6">
        <v>48.700252532958999</v>
      </c>
      <c r="K4556" s="6">
        <v>43.855911254882798</v>
      </c>
      <c r="L4556" s="6">
        <v>30.6991996765137</v>
      </c>
    </row>
    <row r="4557" spans="1:12" x14ac:dyDescent="0.25">
      <c r="A4557">
        <v>3136207</v>
      </c>
      <c r="B4557" t="str">
        <f t="shared" si="71"/>
        <v>JOAO MONLEVADE, MG, Brasil</v>
      </c>
      <c r="C4557" s="4" t="str">
        <f>_xlfn.XLOOKUP(A4557,[1]!DadosGHD[CD_GEOCMU],[1]!DadosGHD[Região])</f>
        <v>SD</v>
      </c>
      <c r="D4557" s="4" t="str">
        <f>_xlfn.XLOOKUP(A4557,[1]!DadosGHD[CD_GEOCMU],[1]!DadosGHD[uf])</f>
        <v>MG</v>
      </c>
      <c r="E4557" s="5" t="str">
        <f>_xlfn.XLOOKUP(A4557,[1]!DadosGHD[CD_GEOCMU],[1]!DadosGHD[MUNICIPIO])</f>
        <v>JOAO MONLEVADE</v>
      </c>
      <c r="F4557" s="6">
        <v>53.606292724609403</v>
      </c>
      <c r="G4557" s="6">
        <v>53.736026763916001</v>
      </c>
      <c r="H4557" s="6">
        <v>53.767677307128899</v>
      </c>
      <c r="I4557" s="6">
        <v>53.7420654296875</v>
      </c>
      <c r="J4557" s="6">
        <v>53.789207458496101</v>
      </c>
      <c r="K4557" s="6">
        <v>53.831962585449197</v>
      </c>
      <c r="L4557" s="6">
        <v>57.497314453125</v>
      </c>
    </row>
    <row r="4558" spans="1:12" x14ac:dyDescent="0.25">
      <c r="A4558">
        <v>5107909</v>
      </c>
      <c r="B4558" t="str">
        <f t="shared" si="71"/>
        <v>SINOP, MT, Brasil</v>
      </c>
      <c r="C4558" s="4" t="str">
        <f>_xlfn.XLOOKUP(A4558,[1]!DadosGHD[CD_GEOCMU],[1]!DadosGHD[Região])</f>
        <v>CO</v>
      </c>
      <c r="D4558" s="4" t="str">
        <f>_xlfn.XLOOKUP(A4558,[1]!DadosGHD[CD_GEOCMU],[1]!DadosGHD[uf])</f>
        <v>MT</v>
      </c>
      <c r="E4558" s="5" t="str">
        <f>_xlfn.XLOOKUP(A4558,[1]!DadosGHD[CD_GEOCMU],[1]!DadosGHD[MUNICIPIO])</f>
        <v>SINOP</v>
      </c>
      <c r="F4558" s="6">
        <v>53.6063232421875</v>
      </c>
      <c r="G4558" s="6">
        <v>53.677478790283203</v>
      </c>
      <c r="H4558" s="6">
        <v>53.814090728759801</v>
      </c>
      <c r="I4558" s="6">
        <v>53.851844787597699</v>
      </c>
      <c r="J4558" s="6">
        <v>58.918739318847699</v>
      </c>
      <c r="K4558" s="6">
        <v>59.116153717041001</v>
      </c>
      <c r="L4558" s="6">
        <v>53.066444396972699</v>
      </c>
    </row>
    <row r="4559" spans="1:12" x14ac:dyDescent="0.25">
      <c r="A4559">
        <v>3127701</v>
      </c>
      <c r="B4559" t="str">
        <f t="shared" si="71"/>
        <v>GOVERNADOR VALADARES, MG, Brasil</v>
      </c>
      <c r="C4559" s="4" t="str">
        <f>_xlfn.XLOOKUP(A4559,[1]!DadosGHD[CD_GEOCMU],[1]!DadosGHD[Região])</f>
        <v>SD</v>
      </c>
      <c r="D4559" s="4" t="str">
        <f>_xlfn.XLOOKUP(A4559,[1]!DadosGHD[CD_GEOCMU],[1]!DadosGHD[uf])</f>
        <v>MG</v>
      </c>
      <c r="E4559" s="5" t="str">
        <f>_xlfn.XLOOKUP(A4559,[1]!DadosGHD[CD_GEOCMU],[1]!DadosGHD[MUNICIPIO])</f>
        <v>GOVERNADOR VALADARES</v>
      </c>
      <c r="F4559" s="6">
        <v>53.606418609619098</v>
      </c>
      <c r="G4559" s="6">
        <v>53.698673248291001</v>
      </c>
      <c r="H4559" s="6">
        <v>53.802146911621101</v>
      </c>
      <c r="I4559" s="6">
        <v>53.787940979003899</v>
      </c>
      <c r="J4559" s="6">
        <v>53.796428680419901</v>
      </c>
      <c r="K4559" s="6">
        <v>53.8873481750488</v>
      </c>
      <c r="L4559" s="6">
        <v>57.517448425292997</v>
      </c>
    </row>
    <row r="4560" spans="1:12" x14ac:dyDescent="0.25">
      <c r="A4560">
        <v>3151404</v>
      </c>
      <c r="B4560" t="str">
        <f t="shared" si="71"/>
        <v>PITANGUI, MG, Brasil</v>
      </c>
      <c r="C4560" s="4" t="str">
        <f>_xlfn.XLOOKUP(A4560,[1]!DadosGHD[CD_GEOCMU],[1]!DadosGHD[Região])</f>
        <v>SD</v>
      </c>
      <c r="D4560" s="4" t="str">
        <f>_xlfn.XLOOKUP(A4560,[1]!DadosGHD[CD_GEOCMU],[1]!DadosGHD[uf])</f>
        <v>MG</v>
      </c>
      <c r="E4560" s="5" t="str">
        <f>_xlfn.XLOOKUP(A4560,[1]!DadosGHD[CD_GEOCMU],[1]!DadosGHD[MUNICIPIO])</f>
        <v>PITANGUI</v>
      </c>
      <c r="F4560" s="6">
        <v>53.606479644775398</v>
      </c>
      <c r="G4560" s="6">
        <v>53.706378936767599</v>
      </c>
      <c r="H4560" s="6">
        <v>53.753913879394503</v>
      </c>
      <c r="I4560" s="6">
        <v>48.802749633789098</v>
      </c>
      <c r="J4560" s="6">
        <v>48.797752380371101</v>
      </c>
      <c r="K4560" s="6">
        <v>48.881462097167997</v>
      </c>
      <c r="L4560" s="6">
        <v>53.027873992919901</v>
      </c>
    </row>
    <row r="4561" spans="1:12" x14ac:dyDescent="0.25">
      <c r="A4561">
        <v>4115606</v>
      </c>
      <c r="B4561" t="str">
        <f t="shared" si="71"/>
        <v>MATELANDIA, PR, Brasil</v>
      </c>
      <c r="C4561" s="4" t="str">
        <f>_xlfn.XLOOKUP(A4561,[1]!DadosGHD[CD_GEOCMU],[1]!DadosGHD[Região])</f>
        <v>SL</v>
      </c>
      <c r="D4561" s="4" t="str">
        <f>_xlfn.XLOOKUP(A4561,[1]!DadosGHD[CD_GEOCMU],[1]!DadosGHD[uf])</f>
        <v>PR</v>
      </c>
      <c r="E4561" s="5" t="str">
        <f>_xlfn.XLOOKUP(A4561,[1]!DadosGHD[CD_GEOCMU],[1]!DadosGHD[MUNICIPIO])</f>
        <v>MATELANDIA</v>
      </c>
      <c r="F4561" s="6">
        <v>53.607154846191399</v>
      </c>
      <c r="G4561" s="6">
        <v>53.747142791748097</v>
      </c>
      <c r="H4561" s="6">
        <v>48.766880035400398</v>
      </c>
      <c r="I4561" s="6">
        <v>48.717926025390597</v>
      </c>
      <c r="J4561" s="6">
        <v>48.8247680664063</v>
      </c>
      <c r="K4561" s="6">
        <v>48.906288146972699</v>
      </c>
      <c r="L4561" s="6">
        <v>53.029949188232401</v>
      </c>
    </row>
    <row r="4562" spans="1:12" x14ac:dyDescent="0.25">
      <c r="A4562">
        <v>3503000</v>
      </c>
      <c r="B4562" t="str">
        <f t="shared" si="71"/>
        <v>ARAMINA, SP, Brasil</v>
      </c>
      <c r="C4562" s="4" t="str">
        <f>_xlfn.XLOOKUP(A4562,[1]!DadosGHD[CD_GEOCMU],[1]!DadosGHD[Região])</f>
        <v>SD</v>
      </c>
      <c r="D4562" s="4" t="str">
        <f>_xlfn.XLOOKUP(A4562,[1]!DadosGHD[CD_GEOCMU],[1]!DadosGHD[uf])</f>
        <v>SP</v>
      </c>
      <c r="E4562" s="5" t="str">
        <f>_xlfn.XLOOKUP(A4562,[1]!DadosGHD[CD_GEOCMU],[1]!DadosGHD[MUNICIPIO])</f>
        <v>ARAMINA</v>
      </c>
      <c r="F4562" s="6">
        <v>53.607212066650398</v>
      </c>
      <c r="G4562" s="6">
        <v>53.663131713867202</v>
      </c>
      <c r="H4562" s="6">
        <v>48.8094291687012</v>
      </c>
      <c r="I4562" s="6">
        <v>48.747688293457003</v>
      </c>
      <c r="J4562" s="6">
        <v>48.725963592529297</v>
      </c>
      <c r="K4562" s="6">
        <v>48.793754577636697</v>
      </c>
      <c r="L4562" s="6">
        <v>44.057731628417997</v>
      </c>
    </row>
    <row r="4563" spans="1:12" x14ac:dyDescent="0.25">
      <c r="A4563">
        <v>4316402</v>
      </c>
      <c r="B4563" t="str">
        <f t="shared" si="71"/>
        <v>ROSARIO DO SUL, RS, Brasil</v>
      </c>
      <c r="C4563" s="4" t="str">
        <f>_xlfn.XLOOKUP(A4563,[1]!DadosGHD[CD_GEOCMU],[1]!DadosGHD[Região])</f>
        <v>SL</v>
      </c>
      <c r="D4563" s="4" t="str">
        <f>_xlfn.XLOOKUP(A4563,[1]!DadosGHD[CD_GEOCMU],[1]!DadosGHD[uf])</f>
        <v>RS</v>
      </c>
      <c r="E4563" s="5" t="str">
        <f>_xlfn.XLOOKUP(A4563,[1]!DadosGHD[CD_GEOCMU],[1]!DadosGHD[MUNICIPIO])</f>
        <v>ROSARIO DO SUL</v>
      </c>
      <c r="F4563" s="6">
        <v>53.607868194580099</v>
      </c>
      <c r="G4563" s="6">
        <v>53.679298400878899</v>
      </c>
      <c r="H4563" s="6">
        <v>53.819545745849602</v>
      </c>
      <c r="I4563" s="6">
        <v>53.794944763183601</v>
      </c>
      <c r="J4563" s="6">
        <v>53.735805511474602</v>
      </c>
      <c r="K4563" s="6">
        <v>53.904212951660199</v>
      </c>
      <c r="L4563" s="6">
        <v>53.030708312988303</v>
      </c>
    </row>
    <row r="4564" spans="1:12" x14ac:dyDescent="0.25">
      <c r="A4564">
        <v>4124103</v>
      </c>
      <c r="B4564" t="str">
        <f t="shared" si="71"/>
        <v>SANTO ANTONIO DA PLATINA, PR, Brasil</v>
      </c>
      <c r="C4564" s="4" t="str">
        <f>_xlfn.XLOOKUP(A4564,[1]!DadosGHD[CD_GEOCMU],[1]!DadosGHD[Região])</f>
        <v>SL</v>
      </c>
      <c r="D4564" s="4" t="str">
        <f>_xlfn.XLOOKUP(A4564,[1]!DadosGHD[CD_GEOCMU],[1]!DadosGHD[uf])</f>
        <v>PR</v>
      </c>
      <c r="E4564" s="5" t="str">
        <f>_xlfn.XLOOKUP(A4564,[1]!DadosGHD[CD_GEOCMU],[1]!DadosGHD[MUNICIPIO])</f>
        <v>SANTO ANTONIO DA PLATINA</v>
      </c>
      <c r="F4564" s="6">
        <v>53.607975006103501</v>
      </c>
      <c r="G4564" s="6">
        <v>53.742626190185597</v>
      </c>
      <c r="H4564" s="6">
        <v>53.7780570983887</v>
      </c>
      <c r="I4564" s="6">
        <v>53.768165588378899</v>
      </c>
      <c r="J4564" s="6">
        <v>53.802101135253899</v>
      </c>
      <c r="K4564" s="6">
        <v>53.832633972167997</v>
      </c>
      <c r="L4564" s="6">
        <v>53.0296020507813</v>
      </c>
    </row>
    <row r="4565" spans="1:12" x14ac:dyDescent="0.25">
      <c r="A4565">
        <v>1707702</v>
      </c>
      <c r="B4565" t="str">
        <f t="shared" si="71"/>
        <v>FILADELFIA, TO, Brasil</v>
      </c>
      <c r="C4565" s="4" t="str">
        <f>_xlfn.XLOOKUP(A4565,[1]!DadosGHD[CD_GEOCMU],[1]!DadosGHD[Região])</f>
        <v>NO</v>
      </c>
      <c r="D4565" s="4" t="str">
        <f>_xlfn.XLOOKUP(A4565,[1]!DadosGHD[CD_GEOCMU],[1]!DadosGHD[uf])</f>
        <v>TO</v>
      </c>
      <c r="E4565" s="5" t="str">
        <f>_xlfn.XLOOKUP(A4565,[1]!DadosGHD[CD_GEOCMU],[1]!DadosGHD[MUNICIPIO])</f>
        <v>FILADELFIA</v>
      </c>
      <c r="F4565" s="6">
        <v>53.6087455749512</v>
      </c>
      <c r="G4565" s="6">
        <v>53.678459167480497</v>
      </c>
      <c r="H4565" s="6">
        <v>48.812931060791001</v>
      </c>
      <c r="I4565" s="6">
        <v>48.719413757324197</v>
      </c>
      <c r="J4565" s="6">
        <v>43.819053649902301</v>
      </c>
      <c r="K4565" s="6">
        <v>38.890846252441399</v>
      </c>
      <c r="L4565" s="6">
        <v>30.683448791503899</v>
      </c>
    </row>
    <row r="4566" spans="1:12" x14ac:dyDescent="0.25">
      <c r="A4566">
        <v>5104609</v>
      </c>
      <c r="B4566" t="str">
        <f t="shared" si="71"/>
        <v>ITIQUIRA, MT, Brasil</v>
      </c>
      <c r="C4566" s="4" t="str">
        <f>_xlfn.XLOOKUP(A4566,[1]!DadosGHD[CD_GEOCMU],[1]!DadosGHD[Região])</f>
        <v>CO</v>
      </c>
      <c r="D4566" s="4" t="str">
        <f>_xlfn.XLOOKUP(A4566,[1]!DadosGHD[CD_GEOCMU],[1]!DadosGHD[uf])</f>
        <v>MT</v>
      </c>
      <c r="E4566" s="5" t="str">
        <f>_xlfn.XLOOKUP(A4566,[1]!DadosGHD[CD_GEOCMU],[1]!DadosGHD[MUNICIPIO])</f>
        <v>ITIQUIRA</v>
      </c>
      <c r="F4566" s="6">
        <v>53.609352111816399</v>
      </c>
      <c r="G4566" s="6">
        <v>53.751010894775398</v>
      </c>
      <c r="H4566" s="6">
        <v>53.789039611816399</v>
      </c>
      <c r="I4566" s="6">
        <v>53.796623229980497</v>
      </c>
      <c r="J4566" s="6">
        <v>53.805324554443402</v>
      </c>
      <c r="K4566" s="6">
        <v>48.892929077148402</v>
      </c>
      <c r="L4566" s="6">
        <v>44.027671813964801</v>
      </c>
    </row>
    <row r="4567" spans="1:12" x14ac:dyDescent="0.25">
      <c r="A4567">
        <v>3531100</v>
      </c>
      <c r="B4567" t="str">
        <f t="shared" si="71"/>
        <v>MONGAGUA, SP, Brasil</v>
      </c>
      <c r="C4567" s="4" t="str">
        <f>_xlfn.XLOOKUP(A4567,[1]!DadosGHD[CD_GEOCMU],[1]!DadosGHD[Região])</f>
        <v>SD</v>
      </c>
      <c r="D4567" s="4" t="str">
        <f>_xlfn.XLOOKUP(A4567,[1]!DadosGHD[CD_GEOCMU],[1]!DadosGHD[uf])</f>
        <v>SP</v>
      </c>
      <c r="E4567" s="5" t="str">
        <f>_xlfn.XLOOKUP(A4567,[1]!DadosGHD[CD_GEOCMU],[1]!DadosGHD[MUNICIPIO])</f>
        <v>MONGAGUA</v>
      </c>
      <c r="F4567" s="6">
        <v>53.609455108642599</v>
      </c>
      <c r="G4567" s="6">
        <v>53.671817779541001</v>
      </c>
      <c r="H4567" s="6">
        <v>53.779666900634801</v>
      </c>
      <c r="I4567" s="6">
        <v>53.736480712890597</v>
      </c>
      <c r="J4567" s="6">
        <v>53.851146697998097</v>
      </c>
      <c r="K4567" s="6">
        <v>53.909683227539098</v>
      </c>
      <c r="L4567" s="6">
        <v>57.5462646484375</v>
      </c>
    </row>
    <row r="4568" spans="1:12" x14ac:dyDescent="0.25">
      <c r="A4568">
        <v>5210208</v>
      </c>
      <c r="B4568" t="str">
        <f t="shared" si="71"/>
        <v>IPORA, GO, Brasil</v>
      </c>
      <c r="C4568" s="4" t="str">
        <f>_xlfn.XLOOKUP(A4568,[1]!DadosGHD[CD_GEOCMU],[1]!DadosGHD[Região])</f>
        <v>CO</v>
      </c>
      <c r="D4568" s="4" t="str">
        <f>_xlfn.XLOOKUP(A4568,[1]!DadosGHD[CD_GEOCMU],[1]!DadosGHD[uf])</f>
        <v>GO</v>
      </c>
      <c r="E4568" s="5" t="str">
        <f>_xlfn.XLOOKUP(A4568,[1]!DadosGHD[CD_GEOCMU],[1]!DadosGHD[MUNICIPIO])</f>
        <v>IPORA</v>
      </c>
      <c r="F4568" s="6">
        <v>53.609485626220703</v>
      </c>
      <c r="G4568" s="6">
        <v>53.766914367675803</v>
      </c>
      <c r="H4568" s="6">
        <v>58.918220520019503</v>
      </c>
      <c r="I4568" s="6">
        <v>58.979808807373097</v>
      </c>
      <c r="J4568" s="6">
        <v>63.934001922607401</v>
      </c>
      <c r="K4568" s="6">
        <v>64.0968017578125</v>
      </c>
      <c r="L4568" s="6">
        <v>53.044944763183601</v>
      </c>
    </row>
    <row r="4569" spans="1:12" x14ac:dyDescent="0.25">
      <c r="A4569">
        <v>3539301</v>
      </c>
      <c r="B4569" t="str">
        <f t="shared" si="71"/>
        <v>PIRASSUNUNGA, SP, Brasil</v>
      </c>
      <c r="C4569" s="4" t="str">
        <f>_xlfn.XLOOKUP(A4569,[1]!DadosGHD[CD_GEOCMU],[1]!DadosGHD[Região])</f>
        <v>SD</v>
      </c>
      <c r="D4569" s="4" t="str">
        <f>_xlfn.XLOOKUP(A4569,[1]!DadosGHD[CD_GEOCMU],[1]!DadosGHD[uf])</f>
        <v>SP</v>
      </c>
      <c r="E4569" s="5" t="str">
        <f>_xlfn.XLOOKUP(A4569,[1]!DadosGHD[CD_GEOCMU],[1]!DadosGHD[MUNICIPIO])</f>
        <v>PIRASSUNUNGA</v>
      </c>
      <c r="F4569" s="6">
        <v>53.609649658203097</v>
      </c>
      <c r="G4569" s="6">
        <v>53.725147247314503</v>
      </c>
      <c r="H4569" s="6">
        <v>53.8330688476563</v>
      </c>
      <c r="I4569" s="6">
        <v>58.849178314208999</v>
      </c>
      <c r="J4569" s="6">
        <v>58.966949462890597</v>
      </c>
      <c r="K4569" s="6">
        <v>59.025337219238303</v>
      </c>
      <c r="L4569" s="6">
        <v>57.589881896972699</v>
      </c>
    </row>
    <row r="4570" spans="1:12" x14ac:dyDescent="0.25">
      <c r="A4570">
        <v>3164704</v>
      </c>
      <c r="B4570" t="str">
        <f t="shared" si="71"/>
        <v>SAO SEBASTIAO DO PARAISO, MG, Brasil</v>
      </c>
      <c r="C4570" s="4" t="str">
        <f>_xlfn.XLOOKUP(A4570,[1]!DadosGHD[CD_GEOCMU],[1]!DadosGHD[Região])</f>
        <v>SD</v>
      </c>
      <c r="D4570" s="4" t="str">
        <f>_xlfn.XLOOKUP(A4570,[1]!DadosGHD[CD_GEOCMU],[1]!DadosGHD[uf])</f>
        <v>MG</v>
      </c>
      <c r="E4570" s="5" t="str">
        <f>_xlfn.XLOOKUP(A4570,[1]!DadosGHD[CD_GEOCMU],[1]!DadosGHD[MUNICIPIO])</f>
        <v>SAO SEBASTIAO DO PARAISO</v>
      </c>
      <c r="F4570" s="6">
        <v>53.609794616699197</v>
      </c>
      <c r="G4570" s="6">
        <v>48.7325248718262</v>
      </c>
      <c r="H4570" s="6">
        <v>48.752315521240199</v>
      </c>
      <c r="I4570" s="6">
        <v>48.823978424072301</v>
      </c>
      <c r="J4570" s="6">
        <v>48.727821350097699</v>
      </c>
      <c r="K4570" s="6">
        <v>53.863803863525398</v>
      </c>
      <c r="L4570" s="6">
        <v>57.519828796386697</v>
      </c>
    </row>
    <row r="4571" spans="1:12" x14ac:dyDescent="0.25">
      <c r="A4571">
        <v>3513504</v>
      </c>
      <c r="B4571" t="str">
        <f t="shared" si="71"/>
        <v>CUBATAO, SP, Brasil</v>
      </c>
      <c r="C4571" s="4" t="str">
        <f>_xlfn.XLOOKUP(A4571,[1]!DadosGHD[CD_GEOCMU],[1]!DadosGHD[Região])</f>
        <v>SD</v>
      </c>
      <c r="D4571" s="4" t="str">
        <f>_xlfn.XLOOKUP(A4571,[1]!DadosGHD[CD_GEOCMU],[1]!DadosGHD[uf])</f>
        <v>SP</v>
      </c>
      <c r="E4571" s="5" t="str">
        <f>_xlfn.XLOOKUP(A4571,[1]!DadosGHD[CD_GEOCMU],[1]!DadosGHD[MUNICIPIO])</f>
        <v>CUBATAO</v>
      </c>
      <c r="F4571" s="6">
        <v>53.609951019287102</v>
      </c>
      <c r="G4571" s="6">
        <v>53.696929931640597</v>
      </c>
      <c r="H4571" s="6">
        <v>48.850784301757798</v>
      </c>
      <c r="I4571" s="6">
        <v>48.797981262207003</v>
      </c>
      <c r="J4571" s="6">
        <v>48.787586212158203</v>
      </c>
      <c r="K4571" s="6">
        <v>48.766242980957003</v>
      </c>
      <c r="L4571" s="6">
        <v>44.059528350830099</v>
      </c>
    </row>
    <row r="4572" spans="1:12" x14ac:dyDescent="0.25">
      <c r="A4572">
        <v>3521309</v>
      </c>
      <c r="B4572" t="str">
        <f t="shared" si="71"/>
        <v>IPUA, SP, Brasil</v>
      </c>
      <c r="C4572" s="4" t="str">
        <f>_xlfn.XLOOKUP(A4572,[1]!DadosGHD[CD_GEOCMU],[1]!DadosGHD[Região])</f>
        <v>SD</v>
      </c>
      <c r="D4572" s="4" t="str">
        <f>_xlfn.XLOOKUP(A4572,[1]!DadosGHD[CD_GEOCMU],[1]!DadosGHD[uf])</f>
        <v>SP</v>
      </c>
      <c r="E4572" s="5" t="str">
        <f>_xlfn.XLOOKUP(A4572,[1]!DadosGHD[CD_GEOCMU],[1]!DadosGHD[MUNICIPIO])</f>
        <v>IPUA</v>
      </c>
      <c r="F4572" s="6">
        <v>53.610012054443402</v>
      </c>
      <c r="G4572" s="6">
        <v>53.725925445556598</v>
      </c>
      <c r="H4572" s="6">
        <v>48.860263824462898</v>
      </c>
      <c r="I4572" s="6">
        <v>53.707565307617202</v>
      </c>
      <c r="J4572" s="6">
        <v>53.7406616210938</v>
      </c>
      <c r="K4572" s="6">
        <v>48.840930938720703</v>
      </c>
      <c r="L4572" s="6">
        <v>48.5460014343262</v>
      </c>
    </row>
    <row r="4573" spans="1:12" x14ac:dyDescent="0.25">
      <c r="A4573">
        <v>4303509</v>
      </c>
      <c r="B4573" t="str">
        <f t="shared" si="71"/>
        <v>CAMAQUA, RS, Brasil</v>
      </c>
      <c r="C4573" s="4" t="str">
        <f>_xlfn.XLOOKUP(A4573,[1]!DadosGHD[CD_GEOCMU],[1]!DadosGHD[Região])</f>
        <v>SL</v>
      </c>
      <c r="D4573" s="4" t="str">
        <f>_xlfn.XLOOKUP(A4573,[1]!DadosGHD[CD_GEOCMU],[1]!DadosGHD[uf])</f>
        <v>RS</v>
      </c>
      <c r="E4573" s="5" t="str">
        <f>_xlfn.XLOOKUP(A4573,[1]!DadosGHD[CD_GEOCMU],[1]!DadosGHD[MUNICIPIO])</f>
        <v>CAMAQUA</v>
      </c>
      <c r="F4573" s="6">
        <v>53.610019683837898</v>
      </c>
      <c r="G4573" s="6">
        <v>53.664787292480497</v>
      </c>
      <c r="H4573" s="6">
        <v>48.843944549560597</v>
      </c>
      <c r="I4573" s="6">
        <v>48.811622619628899</v>
      </c>
      <c r="J4573" s="6">
        <v>48.752140045166001</v>
      </c>
      <c r="K4573" s="6">
        <v>48.853878021240199</v>
      </c>
      <c r="L4573" s="6">
        <v>53.061813354492202</v>
      </c>
    </row>
    <row r="4574" spans="1:12" x14ac:dyDescent="0.25">
      <c r="A4574">
        <v>2305506</v>
      </c>
      <c r="B4574" t="str">
        <f t="shared" si="71"/>
        <v>IGUATU, CE, Brasil</v>
      </c>
      <c r="C4574" s="4" t="str">
        <f>_xlfn.XLOOKUP(A4574,[1]!DadosGHD[CD_GEOCMU],[1]!DadosGHD[Região])</f>
        <v>NE</v>
      </c>
      <c r="D4574" s="4" t="str">
        <f>_xlfn.XLOOKUP(A4574,[1]!DadosGHD[CD_GEOCMU],[1]!DadosGHD[uf])</f>
        <v>CE</v>
      </c>
      <c r="E4574" s="5" t="str">
        <f>_xlfn.XLOOKUP(A4574,[1]!DadosGHD[CD_GEOCMU],[1]!DadosGHD[MUNICIPIO])</f>
        <v>IGUATU</v>
      </c>
      <c r="F4574" s="6">
        <v>53.610111236572301</v>
      </c>
      <c r="G4574" s="6">
        <v>48.670482635498097</v>
      </c>
      <c r="H4574" s="6">
        <v>43.729694366455099</v>
      </c>
      <c r="I4574" s="6">
        <v>43.790519714355497</v>
      </c>
      <c r="J4574" s="6">
        <v>48.704799652099602</v>
      </c>
      <c r="K4574" s="6">
        <v>43.877643585205099</v>
      </c>
      <c r="L4574" s="6">
        <v>48.517807006835902</v>
      </c>
    </row>
    <row r="4575" spans="1:12" x14ac:dyDescent="0.25">
      <c r="A4575">
        <v>3129202</v>
      </c>
      <c r="B4575" t="str">
        <f t="shared" si="71"/>
        <v>HELIODORA, MG, Brasil</v>
      </c>
      <c r="C4575" s="4" t="str">
        <f>_xlfn.XLOOKUP(A4575,[1]!DadosGHD[CD_GEOCMU],[1]!DadosGHD[Região])</f>
        <v>SD</v>
      </c>
      <c r="D4575" s="4" t="str">
        <f>_xlfn.XLOOKUP(A4575,[1]!DadosGHD[CD_GEOCMU],[1]!DadosGHD[uf])</f>
        <v>MG</v>
      </c>
      <c r="E4575" s="5" t="str">
        <f>_xlfn.XLOOKUP(A4575,[1]!DadosGHD[CD_GEOCMU],[1]!DadosGHD[MUNICIPIO])</f>
        <v>HELIODORA</v>
      </c>
      <c r="F4575" s="6">
        <v>53.611595153808601</v>
      </c>
      <c r="G4575" s="6">
        <v>48.688182830810597</v>
      </c>
      <c r="H4575" s="6">
        <v>48.761608123779297</v>
      </c>
      <c r="I4575" s="6">
        <v>53.834663391113303</v>
      </c>
      <c r="J4575" s="6">
        <v>53.889358520507798</v>
      </c>
      <c r="K4575" s="6">
        <v>53.989173889160199</v>
      </c>
      <c r="L4575" s="6">
        <v>57.516563415527301</v>
      </c>
    </row>
    <row r="4576" spans="1:12" x14ac:dyDescent="0.25">
      <c r="A4576">
        <v>4309209</v>
      </c>
      <c r="B4576" t="str">
        <f t="shared" si="71"/>
        <v>GRAVATAI, RS, Brasil</v>
      </c>
      <c r="C4576" s="4" t="str">
        <f>_xlfn.XLOOKUP(A4576,[1]!DadosGHD[CD_GEOCMU],[1]!DadosGHD[Região])</f>
        <v>SL</v>
      </c>
      <c r="D4576" s="4" t="str">
        <f>_xlfn.XLOOKUP(A4576,[1]!DadosGHD[CD_GEOCMU],[1]!DadosGHD[uf])</f>
        <v>RS</v>
      </c>
      <c r="E4576" s="5" t="str">
        <f>_xlfn.XLOOKUP(A4576,[1]!DadosGHD[CD_GEOCMU],[1]!DadosGHD[MUNICIPIO])</f>
        <v>GRAVATAI</v>
      </c>
      <c r="F4576" s="6">
        <v>53.6117553710938</v>
      </c>
      <c r="G4576" s="6">
        <v>53.660976409912102</v>
      </c>
      <c r="H4576" s="6">
        <v>48.8232231140137</v>
      </c>
      <c r="I4576" s="6">
        <v>48.796775817871101</v>
      </c>
      <c r="J4576" s="6">
        <v>48.789348602294901</v>
      </c>
      <c r="K4576" s="6">
        <v>48.823673248291001</v>
      </c>
      <c r="L4576" s="6">
        <v>48.531318664550803</v>
      </c>
    </row>
    <row r="4577" spans="1:12" x14ac:dyDescent="0.25">
      <c r="A4577">
        <v>3161304</v>
      </c>
      <c r="B4577" t="str">
        <f t="shared" si="71"/>
        <v>SAO FRANCISCO DE SALES, MG, Brasil</v>
      </c>
      <c r="C4577" s="4" t="str">
        <f>_xlfn.XLOOKUP(A4577,[1]!DadosGHD[CD_GEOCMU],[1]!DadosGHD[Região])</f>
        <v>SD</v>
      </c>
      <c r="D4577" s="4" t="str">
        <f>_xlfn.XLOOKUP(A4577,[1]!DadosGHD[CD_GEOCMU],[1]!DadosGHD[uf])</f>
        <v>MG</v>
      </c>
      <c r="E4577" s="5" t="str">
        <f>_xlfn.XLOOKUP(A4577,[1]!DadosGHD[CD_GEOCMU],[1]!DadosGHD[MUNICIPIO])</f>
        <v>SAO FRANCISCO DE SALES</v>
      </c>
      <c r="F4577" s="6">
        <v>53.612171173095703</v>
      </c>
      <c r="G4577" s="6">
        <v>48.630805969238303</v>
      </c>
      <c r="H4577" s="6">
        <v>48.726371765136697</v>
      </c>
      <c r="I4577" s="6">
        <v>43.792617797851598</v>
      </c>
      <c r="J4577" s="6">
        <v>43.767292022705099</v>
      </c>
      <c r="K4577" s="6">
        <v>43.790325164794901</v>
      </c>
      <c r="L4577" s="6">
        <v>48.520233154296903</v>
      </c>
    </row>
    <row r="4578" spans="1:12" x14ac:dyDescent="0.25">
      <c r="A4578">
        <v>3522901</v>
      </c>
      <c r="B4578" t="str">
        <f t="shared" si="71"/>
        <v>ITAPUI, SP, Brasil</v>
      </c>
      <c r="C4578" s="4" t="str">
        <f>_xlfn.XLOOKUP(A4578,[1]!DadosGHD[CD_GEOCMU],[1]!DadosGHD[Região])</f>
        <v>SD</v>
      </c>
      <c r="D4578" s="4" t="str">
        <f>_xlfn.XLOOKUP(A4578,[1]!DadosGHD[CD_GEOCMU],[1]!DadosGHD[uf])</f>
        <v>SP</v>
      </c>
      <c r="E4578" s="5" t="str">
        <f>_xlfn.XLOOKUP(A4578,[1]!DadosGHD[CD_GEOCMU],[1]!DadosGHD[MUNICIPIO])</f>
        <v>ITAPUI</v>
      </c>
      <c r="F4578" s="6">
        <v>53.612342834472699</v>
      </c>
      <c r="G4578" s="6">
        <v>48.768867492675803</v>
      </c>
      <c r="H4578" s="6">
        <v>48.846282958984403</v>
      </c>
      <c r="I4578" s="6">
        <v>48.7424926757813</v>
      </c>
      <c r="J4578" s="6">
        <v>48.780960083007798</v>
      </c>
      <c r="K4578" s="6">
        <v>48.802711486816399</v>
      </c>
      <c r="L4578" s="6">
        <v>48.553443908691399</v>
      </c>
    </row>
    <row r="4579" spans="1:12" x14ac:dyDescent="0.25">
      <c r="A4579">
        <v>3113701</v>
      </c>
      <c r="B4579" t="str">
        <f t="shared" si="71"/>
        <v>CARLOS CHAGAS, MG, Brasil</v>
      </c>
      <c r="C4579" s="4" t="str">
        <f>_xlfn.XLOOKUP(A4579,[1]!DadosGHD[CD_GEOCMU],[1]!DadosGHD[Região])</f>
        <v>SD</v>
      </c>
      <c r="D4579" s="4" t="str">
        <f>_xlfn.XLOOKUP(A4579,[1]!DadosGHD[CD_GEOCMU],[1]!DadosGHD[uf])</f>
        <v>MG</v>
      </c>
      <c r="E4579" s="5" t="str">
        <f>_xlfn.XLOOKUP(A4579,[1]!DadosGHD[CD_GEOCMU],[1]!DadosGHD[MUNICIPIO])</f>
        <v>CARLOS CHAGAS</v>
      </c>
      <c r="F4579" s="6">
        <v>53.612434387207003</v>
      </c>
      <c r="G4579" s="6">
        <v>48.763458251953097</v>
      </c>
      <c r="H4579" s="6">
        <v>48.817348480224602</v>
      </c>
      <c r="I4579" s="6">
        <v>48.753444671630902</v>
      </c>
      <c r="J4579" s="6">
        <v>48.789665222167997</v>
      </c>
      <c r="K4579" s="6">
        <v>48.762710571289098</v>
      </c>
      <c r="L4579" s="6">
        <v>39.571067810058601</v>
      </c>
    </row>
    <row r="4580" spans="1:12" x14ac:dyDescent="0.25">
      <c r="A4580">
        <v>4306932</v>
      </c>
      <c r="B4580" t="str">
        <f t="shared" si="71"/>
        <v>ENTRE-IJUIS, RS, Brasil</v>
      </c>
      <c r="C4580" s="4" t="str">
        <f>_xlfn.XLOOKUP(A4580,[1]!DadosGHD[CD_GEOCMU],[1]!DadosGHD[Região])</f>
        <v>SL</v>
      </c>
      <c r="D4580" s="4" t="str">
        <f>_xlfn.XLOOKUP(A4580,[1]!DadosGHD[CD_GEOCMU],[1]!DadosGHD[uf])</f>
        <v>RS</v>
      </c>
      <c r="E4580" s="5" t="str">
        <f>_xlfn.XLOOKUP(A4580,[1]!DadosGHD[CD_GEOCMU],[1]!DadosGHD[MUNICIPIO])</f>
        <v>ENTRE-IJUIS</v>
      </c>
      <c r="F4580" s="6">
        <v>53.612743377685597</v>
      </c>
      <c r="G4580" s="6">
        <v>53.7819633483887</v>
      </c>
      <c r="H4580" s="6">
        <v>53.8692016601563</v>
      </c>
      <c r="I4580" s="6">
        <v>58.803287506103501</v>
      </c>
      <c r="J4580" s="6">
        <v>58.857219696044901</v>
      </c>
      <c r="K4580" s="6">
        <v>58.920967102050803</v>
      </c>
      <c r="L4580" s="6">
        <v>39.606372833252003</v>
      </c>
    </row>
    <row r="4581" spans="1:12" x14ac:dyDescent="0.25">
      <c r="A4581">
        <v>3553955</v>
      </c>
      <c r="B4581" t="str">
        <f t="shared" si="71"/>
        <v>TARUMA, SP, Brasil</v>
      </c>
      <c r="C4581" s="4" t="str">
        <f>_xlfn.XLOOKUP(A4581,[1]!DadosGHD[CD_GEOCMU],[1]!DadosGHD[Região])</f>
        <v>SD</v>
      </c>
      <c r="D4581" s="4" t="str">
        <f>_xlfn.XLOOKUP(A4581,[1]!DadosGHD[CD_GEOCMU],[1]!DadosGHD[uf])</f>
        <v>SP</v>
      </c>
      <c r="E4581" s="5" t="str">
        <f>_xlfn.XLOOKUP(A4581,[1]!DadosGHD[CD_GEOCMU],[1]!DadosGHD[MUNICIPIO])</f>
        <v>TARUMA</v>
      </c>
      <c r="F4581" s="6">
        <v>53.612861633300803</v>
      </c>
      <c r="G4581" s="6">
        <v>48.708187103271499</v>
      </c>
      <c r="H4581" s="6">
        <v>43.811244964599602</v>
      </c>
      <c r="I4581" s="6">
        <v>43.766380310058601</v>
      </c>
      <c r="J4581" s="6">
        <v>43.754608154296903</v>
      </c>
      <c r="K4581" s="6">
        <v>43.757785797119098</v>
      </c>
      <c r="L4581" s="6">
        <v>35.135250091552699</v>
      </c>
    </row>
    <row r="4582" spans="1:12" x14ac:dyDescent="0.25">
      <c r="A4582">
        <v>3514106</v>
      </c>
      <c r="B4582" t="str">
        <f t="shared" si="71"/>
        <v>DOIS CORREGOS, SP, Brasil</v>
      </c>
      <c r="C4582" s="4" t="str">
        <f>_xlfn.XLOOKUP(A4582,[1]!DadosGHD[CD_GEOCMU],[1]!DadosGHD[Região])</f>
        <v>SD</v>
      </c>
      <c r="D4582" s="4" t="str">
        <f>_xlfn.XLOOKUP(A4582,[1]!DadosGHD[CD_GEOCMU],[1]!DadosGHD[uf])</f>
        <v>SP</v>
      </c>
      <c r="E4582" s="5" t="str">
        <f>_xlfn.XLOOKUP(A4582,[1]!DadosGHD[CD_GEOCMU],[1]!DadosGHD[MUNICIPIO])</f>
        <v>DOIS CORREGOS</v>
      </c>
      <c r="F4582" s="6">
        <v>53.613433837890597</v>
      </c>
      <c r="G4582" s="6">
        <v>53.752399444580099</v>
      </c>
      <c r="H4582" s="6">
        <v>53.855350494384801</v>
      </c>
      <c r="I4582" s="6">
        <v>53.732349395752003</v>
      </c>
      <c r="J4582" s="6">
        <v>48.761398315429702</v>
      </c>
      <c r="K4582" s="6">
        <v>53.933040618896499</v>
      </c>
      <c r="L4582" s="6">
        <v>57.579624176025398</v>
      </c>
    </row>
    <row r="4583" spans="1:12" x14ac:dyDescent="0.25">
      <c r="A4583">
        <v>3530508</v>
      </c>
      <c r="B4583" t="str">
        <f t="shared" si="71"/>
        <v>MOCOCA, SP, Brasil</v>
      </c>
      <c r="C4583" s="4" t="str">
        <f>_xlfn.XLOOKUP(A4583,[1]!DadosGHD[CD_GEOCMU],[1]!DadosGHD[Região])</f>
        <v>SD</v>
      </c>
      <c r="D4583" s="4" t="str">
        <f>_xlfn.XLOOKUP(A4583,[1]!DadosGHD[CD_GEOCMU],[1]!DadosGHD[uf])</f>
        <v>SP</v>
      </c>
      <c r="E4583" s="5" t="str">
        <f>_xlfn.XLOOKUP(A4583,[1]!DadosGHD[CD_GEOCMU],[1]!DadosGHD[MUNICIPIO])</f>
        <v>MOCOCA</v>
      </c>
      <c r="F4583" s="6">
        <v>53.613906860351598</v>
      </c>
      <c r="G4583" s="6">
        <v>53.733005523681598</v>
      </c>
      <c r="H4583" s="6">
        <v>53.829944610595703</v>
      </c>
      <c r="I4583" s="6">
        <v>58.885009765625</v>
      </c>
      <c r="J4583" s="6">
        <v>53.897388458252003</v>
      </c>
      <c r="K4583" s="6">
        <v>53.924957275390597</v>
      </c>
      <c r="L4583" s="6">
        <v>53.041126251220703</v>
      </c>
    </row>
    <row r="4584" spans="1:12" x14ac:dyDescent="0.25">
      <c r="A4584">
        <v>4201273</v>
      </c>
      <c r="B4584" t="str">
        <f t="shared" si="71"/>
        <v>ARABUTA, SC, Brasil</v>
      </c>
      <c r="C4584" s="4" t="str">
        <f>_xlfn.XLOOKUP(A4584,[1]!DadosGHD[CD_GEOCMU],[1]!DadosGHD[Região])</f>
        <v>SL</v>
      </c>
      <c r="D4584" s="4" t="str">
        <f>_xlfn.XLOOKUP(A4584,[1]!DadosGHD[CD_GEOCMU],[1]!DadosGHD[uf])</f>
        <v>SC</v>
      </c>
      <c r="E4584" s="5" t="str">
        <f>_xlfn.XLOOKUP(A4584,[1]!DadosGHD[CD_GEOCMU],[1]!DadosGHD[MUNICIPIO])</f>
        <v>ARABUTA</v>
      </c>
      <c r="F4584" s="6">
        <v>53.6148681640625</v>
      </c>
      <c r="G4584" s="6">
        <v>53.726261138916001</v>
      </c>
      <c r="H4584" s="6">
        <v>53.782707214355497</v>
      </c>
      <c r="I4584" s="6">
        <v>48.7029838562012</v>
      </c>
      <c r="J4584" s="6">
        <v>58.843925476074197</v>
      </c>
      <c r="K4584" s="6">
        <v>64.13623046875</v>
      </c>
      <c r="L4584" s="6">
        <v>57.589881896972699</v>
      </c>
    </row>
    <row r="4585" spans="1:12" x14ac:dyDescent="0.25">
      <c r="A4585">
        <v>5220405</v>
      </c>
      <c r="B4585" t="str">
        <f t="shared" si="71"/>
        <v>SAO SIMAO, GO, Brasil</v>
      </c>
      <c r="C4585" s="4" t="str">
        <f>_xlfn.XLOOKUP(A4585,[1]!DadosGHD[CD_GEOCMU],[1]!DadosGHD[Região])</f>
        <v>CO</v>
      </c>
      <c r="D4585" s="4" t="str">
        <f>_xlfn.XLOOKUP(A4585,[1]!DadosGHD[CD_GEOCMU],[1]!DadosGHD[uf])</f>
        <v>GO</v>
      </c>
      <c r="E4585" s="5" t="str">
        <f>_xlfn.XLOOKUP(A4585,[1]!DadosGHD[CD_GEOCMU],[1]!DadosGHD[MUNICIPIO])</f>
        <v>SAO SIMAO</v>
      </c>
      <c r="F4585" s="6">
        <v>53.615226745605497</v>
      </c>
      <c r="G4585" s="6">
        <v>53.733413696289098</v>
      </c>
      <c r="H4585" s="6">
        <v>53.764934539794901</v>
      </c>
      <c r="I4585" s="6">
        <v>53.720394134521499</v>
      </c>
      <c r="J4585" s="6">
        <v>53.751529693603501</v>
      </c>
      <c r="K4585" s="6">
        <v>48.888362884521499</v>
      </c>
      <c r="L4585" s="6">
        <v>48.555023193359403</v>
      </c>
    </row>
    <row r="4586" spans="1:12" x14ac:dyDescent="0.25">
      <c r="A4586">
        <v>4109609</v>
      </c>
      <c r="B4586" t="str">
        <f t="shared" si="71"/>
        <v>GUARATUBA, PR, Brasil</v>
      </c>
      <c r="C4586" s="4" t="str">
        <f>_xlfn.XLOOKUP(A4586,[1]!DadosGHD[CD_GEOCMU],[1]!DadosGHD[Região])</f>
        <v>SL</v>
      </c>
      <c r="D4586" s="4" t="str">
        <f>_xlfn.XLOOKUP(A4586,[1]!DadosGHD[CD_GEOCMU],[1]!DadosGHD[uf])</f>
        <v>PR</v>
      </c>
      <c r="E4586" s="5" t="str">
        <f>_xlfn.XLOOKUP(A4586,[1]!DadosGHD[CD_GEOCMU],[1]!DadosGHD[MUNICIPIO])</f>
        <v>GUARATUBA</v>
      </c>
      <c r="F4586" s="6">
        <v>53.6154594421387</v>
      </c>
      <c r="G4586" s="6">
        <v>53.6863822937012</v>
      </c>
      <c r="H4586" s="6">
        <v>48.830677032470703</v>
      </c>
      <c r="I4586" s="6">
        <v>48.7570991516113</v>
      </c>
      <c r="J4586" s="6">
        <v>43.815345764160199</v>
      </c>
      <c r="K4586" s="6">
        <v>43.823585510253899</v>
      </c>
      <c r="L4586" s="6">
        <v>39.599571228027301</v>
      </c>
    </row>
    <row r="4587" spans="1:12" x14ac:dyDescent="0.25">
      <c r="A4587">
        <v>4321402</v>
      </c>
      <c r="B4587" t="str">
        <f t="shared" si="71"/>
        <v>TENENTE PORTELA, RS, Brasil</v>
      </c>
      <c r="C4587" s="4" t="str">
        <f>_xlfn.XLOOKUP(A4587,[1]!DadosGHD[CD_GEOCMU],[1]!DadosGHD[Região])</f>
        <v>SL</v>
      </c>
      <c r="D4587" s="4" t="str">
        <f>_xlfn.XLOOKUP(A4587,[1]!DadosGHD[CD_GEOCMU],[1]!DadosGHD[uf])</f>
        <v>RS</v>
      </c>
      <c r="E4587" s="5" t="str">
        <f>_xlfn.XLOOKUP(A4587,[1]!DadosGHD[CD_GEOCMU],[1]!DadosGHD[MUNICIPIO])</f>
        <v>TENENTE PORTELA</v>
      </c>
      <c r="F4587" s="6">
        <v>53.616050720214801</v>
      </c>
      <c r="G4587" s="6">
        <v>53.746768951416001</v>
      </c>
      <c r="H4587" s="6">
        <v>53.859779357910199</v>
      </c>
      <c r="I4587" s="6">
        <v>53.822360992431598</v>
      </c>
      <c r="J4587" s="6">
        <v>53.849006652832003</v>
      </c>
      <c r="K4587" s="6">
        <v>58.924991607666001</v>
      </c>
      <c r="L4587" s="6">
        <v>48.545661926269503</v>
      </c>
    </row>
    <row r="4588" spans="1:12" x14ac:dyDescent="0.25">
      <c r="A4588">
        <v>5102637</v>
      </c>
      <c r="B4588" t="str">
        <f t="shared" si="71"/>
        <v>CAMPO NOVO DO PARECIS, MT, Brasil</v>
      </c>
      <c r="C4588" s="4" t="str">
        <f>_xlfn.XLOOKUP(A4588,[1]!DadosGHD[CD_GEOCMU],[1]!DadosGHD[Região])</f>
        <v>CO</v>
      </c>
      <c r="D4588" s="4" t="str">
        <f>_xlfn.XLOOKUP(A4588,[1]!DadosGHD[CD_GEOCMU],[1]!DadosGHD[uf])</f>
        <v>MT</v>
      </c>
      <c r="E4588" s="5" t="str">
        <f>_xlfn.XLOOKUP(A4588,[1]!DadosGHD[CD_GEOCMU],[1]!DadosGHD[MUNICIPIO])</f>
        <v>CAMPO NOVO DO PARECIS</v>
      </c>
      <c r="F4588" s="6">
        <v>53.616134643554702</v>
      </c>
      <c r="G4588" s="6">
        <v>53.709953308105497</v>
      </c>
      <c r="H4588" s="6">
        <v>53.824981689453097</v>
      </c>
      <c r="I4588" s="6">
        <v>53.821769714355497</v>
      </c>
      <c r="J4588" s="6">
        <v>58.803821563720703</v>
      </c>
      <c r="K4588" s="6">
        <v>53.917373657226598</v>
      </c>
      <c r="L4588" s="6">
        <v>39.564247131347699</v>
      </c>
    </row>
    <row r="4589" spans="1:12" x14ac:dyDescent="0.25">
      <c r="A4589">
        <v>3508900</v>
      </c>
      <c r="B4589" t="str">
        <f t="shared" si="71"/>
        <v>CAIABU, SP, Brasil</v>
      </c>
      <c r="C4589" s="4" t="str">
        <f>_xlfn.XLOOKUP(A4589,[1]!DadosGHD[CD_GEOCMU],[1]!DadosGHD[Região])</f>
        <v>SD</v>
      </c>
      <c r="D4589" s="4" t="str">
        <f>_xlfn.XLOOKUP(A4589,[1]!DadosGHD[CD_GEOCMU],[1]!DadosGHD[uf])</f>
        <v>SP</v>
      </c>
      <c r="E4589" s="5" t="str">
        <f>_xlfn.XLOOKUP(A4589,[1]!DadosGHD[CD_GEOCMU],[1]!DadosGHD[MUNICIPIO])</f>
        <v>CAIABU</v>
      </c>
      <c r="F4589" s="6">
        <v>53.6165580749512</v>
      </c>
      <c r="G4589" s="6">
        <v>43.748336791992202</v>
      </c>
      <c r="H4589" s="6">
        <v>43.796909332275398</v>
      </c>
      <c r="I4589" s="6">
        <v>48.692783355712898</v>
      </c>
      <c r="J4589" s="6">
        <v>48.730094909667997</v>
      </c>
      <c r="K4589" s="6">
        <v>48.790000915527301</v>
      </c>
      <c r="L4589" s="6">
        <v>44.078449249267599</v>
      </c>
    </row>
    <row r="4590" spans="1:12" x14ac:dyDescent="0.25">
      <c r="A4590">
        <v>3154804</v>
      </c>
      <c r="B4590" t="str">
        <f t="shared" si="71"/>
        <v>RIO ACIMA, MG, Brasil</v>
      </c>
      <c r="C4590" s="4" t="str">
        <f>_xlfn.XLOOKUP(A4590,[1]!DadosGHD[CD_GEOCMU],[1]!DadosGHD[Região])</f>
        <v>SD</v>
      </c>
      <c r="D4590" s="4" t="str">
        <f>_xlfn.XLOOKUP(A4590,[1]!DadosGHD[CD_GEOCMU],[1]!DadosGHD[uf])</f>
        <v>MG</v>
      </c>
      <c r="E4590" s="5" t="str">
        <f>_xlfn.XLOOKUP(A4590,[1]!DadosGHD[CD_GEOCMU],[1]!DadosGHD[MUNICIPIO])</f>
        <v>RIO ACIMA</v>
      </c>
      <c r="F4590" s="6">
        <v>53.616790771484403</v>
      </c>
      <c r="G4590" s="6">
        <v>43.764591217041001</v>
      </c>
      <c r="H4590" s="6">
        <v>43.819667816162102</v>
      </c>
      <c r="I4590" s="6">
        <v>43.779701232910199</v>
      </c>
      <c r="J4590" s="6">
        <v>43.762413024902301</v>
      </c>
      <c r="K4590" s="6">
        <v>43.795261383056598</v>
      </c>
      <c r="L4590" s="6">
        <v>39.584602355957003</v>
      </c>
    </row>
    <row r="4591" spans="1:12" x14ac:dyDescent="0.25">
      <c r="A4591">
        <v>3103801</v>
      </c>
      <c r="B4591" t="str">
        <f t="shared" si="71"/>
        <v>ARAPUA, MG, Brasil</v>
      </c>
      <c r="C4591" s="4" t="str">
        <f>_xlfn.XLOOKUP(A4591,[1]!DadosGHD[CD_GEOCMU],[1]!DadosGHD[Região])</f>
        <v>SD</v>
      </c>
      <c r="D4591" s="4" t="str">
        <f>_xlfn.XLOOKUP(A4591,[1]!DadosGHD[CD_GEOCMU],[1]!DadosGHD[uf])</f>
        <v>MG</v>
      </c>
      <c r="E4591" s="5" t="str">
        <f>_xlfn.XLOOKUP(A4591,[1]!DadosGHD[CD_GEOCMU],[1]!DadosGHD[MUNICIPIO])</f>
        <v>ARAPUA</v>
      </c>
      <c r="F4591" s="6">
        <v>53.617515563964801</v>
      </c>
      <c r="G4591" s="6">
        <v>58.7854194641113</v>
      </c>
      <c r="H4591" s="6">
        <v>58.853298187255902</v>
      </c>
      <c r="I4591" s="6">
        <v>53.878627777099602</v>
      </c>
      <c r="J4591" s="6">
        <v>58.847332000732401</v>
      </c>
      <c r="K4591" s="6">
        <v>58.956638336181598</v>
      </c>
      <c r="L4591" s="6">
        <v>53.035327911377003</v>
      </c>
    </row>
    <row r="4592" spans="1:12" x14ac:dyDescent="0.25">
      <c r="A4592">
        <v>3131307</v>
      </c>
      <c r="B4592" t="str">
        <f t="shared" si="71"/>
        <v>IPATINGA, MG, Brasil</v>
      </c>
      <c r="C4592" s="4" t="str">
        <f>_xlfn.XLOOKUP(A4592,[1]!DadosGHD[CD_GEOCMU],[1]!DadosGHD[Região])</f>
        <v>SD</v>
      </c>
      <c r="D4592" s="4" t="str">
        <f>_xlfn.XLOOKUP(A4592,[1]!DadosGHD[CD_GEOCMU],[1]!DadosGHD[uf])</f>
        <v>MG</v>
      </c>
      <c r="E4592" s="5" t="str">
        <f>_xlfn.XLOOKUP(A4592,[1]!DadosGHD[CD_GEOCMU],[1]!DadosGHD[MUNICIPIO])</f>
        <v>IPATINGA</v>
      </c>
      <c r="F4592" s="6">
        <v>53.617530822753899</v>
      </c>
      <c r="G4592" s="6">
        <v>53.672409057617202</v>
      </c>
      <c r="H4592" s="6">
        <v>48.835620880127003</v>
      </c>
      <c r="I4592" s="6">
        <v>48.775760650634801</v>
      </c>
      <c r="J4592" s="6">
        <v>48.785675048828097</v>
      </c>
      <c r="K4592" s="6">
        <v>48.910343170166001</v>
      </c>
      <c r="L4592" s="6">
        <v>57.557971954345703</v>
      </c>
    </row>
    <row r="4593" spans="1:12" x14ac:dyDescent="0.25">
      <c r="A4593">
        <v>3152808</v>
      </c>
      <c r="B4593" t="str">
        <f t="shared" si="71"/>
        <v>PRATA, MG, Brasil</v>
      </c>
      <c r="C4593" s="4" t="str">
        <f>_xlfn.XLOOKUP(A4593,[1]!DadosGHD[CD_GEOCMU],[1]!DadosGHD[Região])</f>
        <v>SD</v>
      </c>
      <c r="D4593" s="4" t="str">
        <f>_xlfn.XLOOKUP(A4593,[1]!DadosGHD[CD_GEOCMU],[1]!DadosGHD[uf])</f>
        <v>MG</v>
      </c>
      <c r="E4593" s="5" t="str">
        <f>_xlfn.XLOOKUP(A4593,[1]!DadosGHD[CD_GEOCMU],[1]!DadosGHD[MUNICIPIO])</f>
        <v>PRATA</v>
      </c>
      <c r="F4593" s="6">
        <v>53.618362426757798</v>
      </c>
      <c r="G4593" s="6">
        <v>53.752841949462898</v>
      </c>
      <c r="H4593" s="6">
        <v>53.833450317382798</v>
      </c>
      <c r="I4593" s="6">
        <v>53.827136993408203</v>
      </c>
      <c r="J4593" s="6">
        <v>58.855911254882798</v>
      </c>
      <c r="K4593" s="6">
        <v>58.915721893310597</v>
      </c>
      <c r="L4593" s="6">
        <v>53.047946929931598</v>
      </c>
    </row>
    <row r="4594" spans="1:12" x14ac:dyDescent="0.25">
      <c r="A4594">
        <v>3125507</v>
      </c>
      <c r="B4594" t="str">
        <f t="shared" si="71"/>
        <v>SAO GONCALO DO RIO PRETO, MG, Brasil</v>
      </c>
      <c r="C4594" s="4" t="str">
        <f>_xlfn.XLOOKUP(A4594,[1]!DadosGHD[CD_GEOCMU],[1]!DadosGHD[Região])</f>
        <v>SD</v>
      </c>
      <c r="D4594" s="4" t="str">
        <f>_xlfn.XLOOKUP(A4594,[1]!DadosGHD[CD_GEOCMU],[1]!DadosGHD[uf])</f>
        <v>MG</v>
      </c>
      <c r="E4594" s="5" t="str">
        <f>_xlfn.XLOOKUP(A4594,[1]!DadosGHD[CD_GEOCMU],[1]!DadosGHD[MUNICIPIO])</f>
        <v>SAO GONCALO DO RIO PRETO</v>
      </c>
      <c r="F4594" s="6">
        <v>53.6186332702637</v>
      </c>
      <c r="G4594" s="6">
        <v>48.645641326904297</v>
      </c>
      <c r="H4594" s="6">
        <v>43.841762542724602</v>
      </c>
      <c r="I4594" s="6">
        <v>48.679641723632798</v>
      </c>
      <c r="J4594" s="6">
        <v>48.709716796875</v>
      </c>
      <c r="K4594" s="6">
        <v>48.784202575683601</v>
      </c>
      <c r="L4594" s="6">
        <v>48.488967895507798</v>
      </c>
    </row>
    <row r="4595" spans="1:12" x14ac:dyDescent="0.25">
      <c r="A4595">
        <v>4107306</v>
      </c>
      <c r="B4595" t="str">
        <f t="shared" si="71"/>
        <v>DOUTOR CAMARGO, PR, Brasil</v>
      </c>
      <c r="C4595" s="4" t="str">
        <f>_xlfn.XLOOKUP(A4595,[1]!DadosGHD[CD_GEOCMU],[1]!DadosGHD[Região])</f>
        <v>SL</v>
      </c>
      <c r="D4595" s="4" t="str">
        <f>_xlfn.XLOOKUP(A4595,[1]!DadosGHD[CD_GEOCMU],[1]!DadosGHD[uf])</f>
        <v>PR</v>
      </c>
      <c r="E4595" s="5" t="str">
        <f>_xlfn.XLOOKUP(A4595,[1]!DadosGHD[CD_GEOCMU],[1]!DadosGHD[MUNICIPIO])</f>
        <v>DOUTOR CAMARGO</v>
      </c>
      <c r="F4595" s="6">
        <v>53.618762969970703</v>
      </c>
      <c r="G4595" s="6">
        <v>58.7195014953613</v>
      </c>
      <c r="H4595" s="6">
        <v>58.818832397460902</v>
      </c>
      <c r="I4595" s="6">
        <v>53.757667541503899</v>
      </c>
      <c r="J4595" s="6">
        <v>53.7846870422363</v>
      </c>
      <c r="K4595" s="6">
        <v>53.872264862060597</v>
      </c>
      <c r="L4595" s="6">
        <v>52.997787475585902</v>
      </c>
    </row>
    <row r="4596" spans="1:12" x14ac:dyDescent="0.25">
      <c r="A4596">
        <v>3171303</v>
      </c>
      <c r="B4596" t="str">
        <f t="shared" si="71"/>
        <v>VICOSA, MG, Brasil</v>
      </c>
      <c r="C4596" s="4" t="str">
        <f>_xlfn.XLOOKUP(A4596,[1]!DadosGHD[CD_GEOCMU],[1]!DadosGHD[Região])</f>
        <v>SD</v>
      </c>
      <c r="D4596" s="4" t="str">
        <f>_xlfn.XLOOKUP(A4596,[1]!DadosGHD[CD_GEOCMU],[1]!DadosGHD[uf])</f>
        <v>MG</v>
      </c>
      <c r="E4596" s="5" t="str">
        <f>_xlfn.XLOOKUP(A4596,[1]!DadosGHD[CD_GEOCMU],[1]!DadosGHD[MUNICIPIO])</f>
        <v>VICOSA</v>
      </c>
      <c r="F4596" s="6">
        <v>53.620426177978501</v>
      </c>
      <c r="G4596" s="6">
        <v>53.658432006835902</v>
      </c>
      <c r="H4596" s="6">
        <v>48.8567085266113</v>
      </c>
      <c r="I4596" s="6">
        <v>48.8132934570313</v>
      </c>
      <c r="J4596" s="6">
        <v>48.8150444030762</v>
      </c>
      <c r="K4596" s="6">
        <v>48.839546203613303</v>
      </c>
      <c r="L4596" s="6">
        <v>44.076187133789098</v>
      </c>
    </row>
    <row r="4597" spans="1:12" x14ac:dyDescent="0.25">
      <c r="A4597">
        <v>4321501</v>
      </c>
      <c r="B4597" t="str">
        <f t="shared" si="71"/>
        <v>TORRES, RS, Brasil</v>
      </c>
      <c r="C4597" s="4" t="str">
        <f>_xlfn.XLOOKUP(A4597,[1]!DadosGHD[CD_GEOCMU],[1]!DadosGHD[Região])</f>
        <v>SL</v>
      </c>
      <c r="D4597" s="4" t="str">
        <f>_xlfn.XLOOKUP(A4597,[1]!DadosGHD[CD_GEOCMU],[1]!DadosGHD[uf])</f>
        <v>RS</v>
      </c>
      <c r="E4597" s="5" t="str">
        <f>_xlfn.XLOOKUP(A4597,[1]!DadosGHD[CD_GEOCMU],[1]!DadosGHD[MUNICIPIO])</f>
        <v>TORRES</v>
      </c>
      <c r="F4597" s="6">
        <v>53.620754241943402</v>
      </c>
      <c r="G4597" s="6">
        <v>53.7005004882813</v>
      </c>
      <c r="H4597" s="6">
        <v>53.803993225097699</v>
      </c>
      <c r="I4597" s="6">
        <v>53.758113861083999</v>
      </c>
      <c r="J4597" s="6">
        <v>53.829502105712898</v>
      </c>
      <c r="K4597" s="6">
        <v>58.913890838623097</v>
      </c>
      <c r="L4597" s="6">
        <v>57.498950958252003</v>
      </c>
    </row>
    <row r="4598" spans="1:12" x14ac:dyDescent="0.25">
      <c r="A4598">
        <v>2918704</v>
      </c>
      <c r="B4598" t="str">
        <f t="shared" si="71"/>
        <v>LAFAIETE COUTINHO, BA, Brasil</v>
      </c>
      <c r="C4598" s="4" t="str">
        <f>_xlfn.XLOOKUP(A4598,[1]!DadosGHD[CD_GEOCMU],[1]!DadosGHD[Região])</f>
        <v>NE</v>
      </c>
      <c r="D4598" s="4" t="str">
        <f>_xlfn.XLOOKUP(A4598,[1]!DadosGHD[CD_GEOCMU],[1]!DadosGHD[uf])</f>
        <v>BA</v>
      </c>
      <c r="E4598" s="5" t="str">
        <f>_xlfn.XLOOKUP(A4598,[1]!DadosGHD[CD_GEOCMU],[1]!DadosGHD[MUNICIPIO])</f>
        <v>LAFAIETE COUTINHO</v>
      </c>
      <c r="F4598" s="6">
        <v>53.620876312255902</v>
      </c>
      <c r="G4598" s="6">
        <v>43.649635314941399</v>
      </c>
      <c r="H4598" s="6">
        <v>43.721065521240199</v>
      </c>
      <c r="I4598" s="6">
        <v>43.693511962890597</v>
      </c>
      <c r="J4598" s="6">
        <v>43.714202880859403</v>
      </c>
      <c r="K4598" s="6">
        <v>43.772129058837898</v>
      </c>
      <c r="L4598" s="6">
        <v>30.7130126953125</v>
      </c>
    </row>
    <row r="4599" spans="1:12" x14ac:dyDescent="0.25">
      <c r="A4599">
        <v>3304110</v>
      </c>
      <c r="B4599" t="str">
        <f t="shared" si="71"/>
        <v>PORTO REAL, RJ, Brasil</v>
      </c>
      <c r="C4599" s="4" t="str">
        <f>_xlfn.XLOOKUP(A4599,[1]!DadosGHD[CD_GEOCMU],[1]!DadosGHD[Região])</f>
        <v>SD</v>
      </c>
      <c r="D4599" s="4" t="str">
        <f>_xlfn.XLOOKUP(A4599,[1]!DadosGHD[CD_GEOCMU],[1]!DadosGHD[uf])</f>
        <v>RJ</v>
      </c>
      <c r="E4599" s="5" t="str">
        <f>_xlfn.XLOOKUP(A4599,[1]!DadosGHD[CD_GEOCMU],[1]!DadosGHD[MUNICIPIO])</f>
        <v>PORTO REAL</v>
      </c>
      <c r="F4599" s="6">
        <v>53.620880126953097</v>
      </c>
      <c r="G4599" s="6">
        <v>48.663551330566399</v>
      </c>
      <c r="H4599" s="6">
        <v>48.827545166015597</v>
      </c>
      <c r="I4599" s="6">
        <v>48.806056976318402</v>
      </c>
      <c r="J4599" s="6">
        <v>48.781002044677699</v>
      </c>
      <c r="K4599" s="6">
        <v>48.857444763183601</v>
      </c>
      <c r="L4599" s="6">
        <v>52.984809875488303</v>
      </c>
    </row>
    <row r="4600" spans="1:12" x14ac:dyDescent="0.25">
      <c r="A4600">
        <v>4321907</v>
      </c>
      <c r="B4600" t="str">
        <f t="shared" si="71"/>
        <v>TRES PASSOS, RS, Brasil</v>
      </c>
      <c r="C4600" s="4" t="str">
        <f>_xlfn.XLOOKUP(A4600,[1]!DadosGHD[CD_GEOCMU],[1]!DadosGHD[Região])</f>
        <v>SL</v>
      </c>
      <c r="D4600" s="4" t="str">
        <f>_xlfn.XLOOKUP(A4600,[1]!DadosGHD[CD_GEOCMU],[1]!DadosGHD[uf])</f>
        <v>RS</v>
      </c>
      <c r="E4600" s="5" t="str">
        <f>_xlfn.XLOOKUP(A4600,[1]!DadosGHD[CD_GEOCMU],[1]!DadosGHD[MUNICIPIO])</f>
        <v>TRES PASSOS</v>
      </c>
      <c r="F4600" s="6">
        <v>53.620929718017599</v>
      </c>
      <c r="G4600" s="6">
        <v>53.755386352539098</v>
      </c>
      <c r="H4600" s="6">
        <v>53.881214141845703</v>
      </c>
      <c r="I4600" s="6">
        <v>53.883018493652301</v>
      </c>
      <c r="J4600" s="6">
        <v>53.870407104492202</v>
      </c>
      <c r="K4600" s="6">
        <v>53.915634155273402</v>
      </c>
      <c r="L4600" s="6">
        <v>44.046863555908203</v>
      </c>
    </row>
    <row r="4601" spans="1:12" x14ac:dyDescent="0.25">
      <c r="A4601">
        <v>3518107</v>
      </c>
      <c r="B4601" t="str">
        <f t="shared" si="71"/>
        <v>GUARANTA, SP, Brasil</v>
      </c>
      <c r="C4601" s="4" t="str">
        <f>_xlfn.XLOOKUP(A4601,[1]!DadosGHD[CD_GEOCMU],[1]!DadosGHD[Região])</f>
        <v>SD</v>
      </c>
      <c r="D4601" s="4" t="str">
        <f>_xlfn.XLOOKUP(A4601,[1]!DadosGHD[CD_GEOCMU],[1]!DadosGHD[uf])</f>
        <v>SP</v>
      </c>
      <c r="E4601" s="5" t="str">
        <f>_xlfn.XLOOKUP(A4601,[1]!DadosGHD[CD_GEOCMU],[1]!DadosGHD[MUNICIPIO])</f>
        <v>GUARANTA</v>
      </c>
      <c r="F4601" s="6">
        <v>53.621170043945298</v>
      </c>
      <c r="G4601" s="6">
        <v>48.731998443603501</v>
      </c>
      <c r="H4601" s="6">
        <v>48.776359558105497</v>
      </c>
      <c r="I4601" s="6">
        <v>48.739349365234403</v>
      </c>
      <c r="J4601" s="6">
        <v>48.741641998291001</v>
      </c>
      <c r="K4601" s="6">
        <v>43.7955131530762</v>
      </c>
      <c r="L4601" s="6">
        <v>48.5143432617188</v>
      </c>
    </row>
    <row r="4602" spans="1:12" x14ac:dyDescent="0.25">
      <c r="A4602">
        <v>3118403</v>
      </c>
      <c r="B4602" t="str">
        <f t="shared" si="71"/>
        <v>CONSELHEIRO PENA, MG, Brasil</v>
      </c>
      <c r="C4602" s="4" t="str">
        <f>_xlfn.XLOOKUP(A4602,[1]!DadosGHD[CD_GEOCMU],[1]!DadosGHD[Região])</f>
        <v>SD</v>
      </c>
      <c r="D4602" s="4" t="str">
        <f>_xlfn.XLOOKUP(A4602,[1]!DadosGHD[CD_GEOCMU],[1]!DadosGHD[uf])</f>
        <v>MG</v>
      </c>
      <c r="E4602" s="5" t="str">
        <f>_xlfn.XLOOKUP(A4602,[1]!DadosGHD[CD_GEOCMU],[1]!DadosGHD[MUNICIPIO])</f>
        <v>CONSELHEIRO PENA</v>
      </c>
      <c r="F4602" s="6">
        <v>53.6215629577637</v>
      </c>
      <c r="G4602" s="6">
        <v>48.708614349365199</v>
      </c>
      <c r="H4602" s="6">
        <v>48.721290588378899</v>
      </c>
      <c r="I4602" s="6">
        <v>48.7324409484863</v>
      </c>
      <c r="J4602" s="6">
        <v>48.786849975585902</v>
      </c>
      <c r="K4602" s="6">
        <v>48.821990966796903</v>
      </c>
      <c r="L4602" s="6">
        <v>52.984481811523402</v>
      </c>
    </row>
    <row r="4603" spans="1:12" x14ac:dyDescent="0.25">
      <c r="A4603">
        <v>3540101</v>
      </c>
      <c r="B4603" t="str">
        <f t="shared" si="71"/>
        <v>PONGAI, SP, Brasil</v>
      </c>
      <c r="C4603" s="4" t="str">
        <f>_xlfn.XLOOKUP(A4603,[1]!DadosGHD[CD_GEOCMU],[1]!DadosGHD[Região])</f>
        <v>SD</v>
      </c>
      <c r="D4603" s="4" t="str">
        <f>_xlfn.XLOOKUP(A4603,[1]!DadosGHD[CD_GEOCMU],[1]!DadosGHD[uf])</f>
        <v>SP</v>
      </c>
      <c r="E4603" s="5" t="str">
        <f>_xlfn.XLOOKUP(A4603,[1]!DadosGHD[CD_GEOCMU],[1]!DadosGHD[MUNICIPIO])</f>
        <v>PONGAI</v>
      </c>
      <c r="F4603" s="6">
        <v>53.621818542480497</v>
      </c>
      <c r="G4603" s="6">
        <v>53.669059753417997</v>
      </c>
      <c r="H4603" s="6">
        <v>53.755817413330099</v>
      </c>
      <c r="I4603" s="6">
        <v>48.809688568115199</v>
      </c>
      <c r="J4603" s="6">
        <v>48.770004272460902</v>
      </c>
      <c r="K4603" s="6">
        <v>48.830196380615199</v>
      </c>
      <c r="L4603" s="6">
        <v>39.601997375488303</v>
      </c>
    </row>
    <row r="4604" spans="1:12" x14ac:dyDescent="0.25">
      <c r="A4604">
        <v>4210605</v>
      </c>
      <c r="B4604" t="str">
        <f t="shared" si="71"/>
        <v>MASSARANDUBA, SC, Brasil</v>
      </c>
      <c r="C4604" s="4" t="str">
        <f>_xlfn.XLOOKUP(A4604,[1]!DadosGHD[CD_GEOCMU],[1]!DadosGHD[Região])</f>
        <v>SL</v>
      </c>
      <c r="D4604" s="4" t="str">
        <f>_xlfn.XLOOKUP(A4604,[1]!DadosGHD[CD_GEOCMU],[1]!DadosGHD[uf])</f>
        <v>SC</v>
      </c>
      <c r="E4604" s="5" t="str">
        <f>_xlfn.XLOOKUP(A4604,[1]!DadosGHD[CD_GEOCMU],[1]!DadosGHD[MUNICIPIO])</f>
        <v>MASSARANDUBA</v>
      </c>
      <c r="F4604" s="6">
        <v>53.621833801269503</v>
      </c>
      <c r="G4604" s="6">
        <v>53.770286560058601</v>
      </c>
      <c r="H4604" s="6">
        <v>53.866024017333999</v>
      </c>
      <c r="I4604" s="6">
        <v>53.735748291015597</v>
      </c>
      <c r="J4604" s="6">
        <v>58.861373901367202</v>
      </c>
      <c r="K4604" s="6">
        <v>58.923336029052699</v>
      </c>
      <c r="L4604" s="6">
        <v>53.063766479492202</v>
      </c>
    </row>
    <row r="4605" spans="1:12" x14ac:dyDescent="0.25">
      <c r="A4605">
        <v>3122306</v>
      </c>
      <c r="B4605" t="str">
        <f t="shared" si="71"/>
        <v>DIVINOPOLIS, MG, Brasil</v>
      </c>
      <c r="C4605" s="4" t="str">
        <f>_xlfn.XLOOKUP(A4605,[1]!DadosGHD[CD_GEOCMU],[1]!DadosGHD[Região])</f>
        <v>SD</v>
      </c>
      <c r="D4605" s="4" t="str">
        <f>_xlfn.XLOOKUP(A4605,[1]!DadosGHD[CD_GEOCMU],[1]!DadosGHD[uf])</f>
        <v>MG</v>
      </c>
      <c r="E4605" s="5" t="str">
        <f>_xlfn.XLOOKUP(A4605,[1]!DadosGHD[CD_GEOCMU],[1]!DadosGHD[MUNICIPIO])</f>
        <v>DIVINOPOLIS</v>
      </c>
      <c r="F4605" s="6">
        <v>53.622035980224602</v>
      </c>
      <c r="G4605" s="6">
        <v>53.730876922607401</v>
      </c>
      <c r="H4605" s="6">
        <v>53.816024780273402</v>
      </c>
      <c r="I4605" s="6">
        <v>53.835609436035199</v>
      </c>
      <c r="J4605" s="6">
        <v>53.878879547119098</v>
      </c>
      <c r="K4605" s="6">
        <v>53.925666809082003</v>
      </c>
      <c r="L4605" s="6">
        <v>57.492454528808601</v>
      </c>
    </row>
    <row r="4606" spans="1:12" x14ac:dyDescent="0.25">
      <c r="A4606">
        <v>4111803</v>
      </c>
      <c r="B4606" t="str">
        <f t="shared" si="71"/>
        <v>JACAREZINHO, PR, Brasil</v>
      </c>
      <c r="C4606" s="4" t="str">
        <f>_xlfn.XLOOKUP(A4606,[1]!DadosGHD[CD_GEOCMU],[1]!DadosGHD[Região])</f>
        <v>SL</v>
      </c>
      <c r="D4606" s="4" t="str">
        <f>_xlfn.XLOOKUP(A4606,[1]!DadosGHD[CD_GEOCMU],[1]!DadosGHD[uf])</f>
        <v>PR</v>
      </c>
      <c r="E4606" s="5" t="str">
        <f>_xlfn.XLOOKUP(A4606,[1]!DadosGHD[CD_GEOCMU],[1]!DadosGHD[MUNICIPIO])</f>
        <v>JACAREZINHO</v>
      </c>
      <c r="F4606" s="6">
        <v>53.6224365234375</v>
      </c>
      <c r="G4606" s="6">
        <v>53.815116882324197</v>
      </c>
      <c r="H4606" s="6">
        <v>53.9007759094238</v>
      </c>
      <c r="I4606" s="6">
        <v>53.859828948974602</v>
      </c>
      <c r="J4606" s="6">
        <v>58.805950164794901</v>
      </c>
      <c r="K4606" s="6">
        <v>53.959297180175803</v>
      </c>
      <c r="L4606" s="6">
        <v>53.056854248046903</v>
      </c>
    </row>
    <row r="4607" spans="1:12" x14ac:dyDescent="0.25">
      <c r="A4607">
        <v>3149903</v>
      </c>
      <c r="B4607" t="str">
        <f t="shared" si="71"/>
        <v>PERDOES, MG, Brasil</v>
      </c>
      <c r="C4607" s="4" t="str">
        <f>_xlfn.XLOOKUP(A4607,[1]!DadosGHD[CD_GEOCMU],[1]!DadosGHD[Região])</f>
        <v>SD</v>
      </c>
      <c r="D4607" s="4" t="str">
        <f>_xlfn.XLOOKUP(A4607,[1]!DadosGHD[CD_GEOCMU],[1]!DadosGHD[uf])</f>
        <v>MG</v>
      </c>
      <c r="E4607" s="5" t="str">
        <f>_xlfn.XLOOKUP(A4607,[1]!DadosGHD[CD_GEOCMU],[1]!DadosGHD[MUNICIPIO])</f>
        <v>PERDOES</v>
      </c>
      <c r="F4607" s="6">
        <v>53.623199462890597</v>
      </c>
      <c r="G4607" s="6">
        <v>53.684288024902301</v>
      </c>
      <c r="H4607" s="6">
        <v>48.838375091552699</v>
      </c>
      <c r="I4607" s="6">
        <v>48.813072204589801</v>
      </c>
      <c r="J4607" s="6">
        <v>53.883434295654297</v>
      </c>
      <c r="K4607" s="6">
        <v>53.899429321289098</v>
      </c>
      <c r="L4607" s="6">
        <v>57.502754211425803</v>
      </c>
    </row>
    <row r="4608" spans="1:12" x14ac:dyDescent="0.25">
      <c r="A4608">
        <v>5217401</v>
      </c>
      <c r="B4608" t="str">
        <f t="shared" si="71"/>
        <v>PIRES DO RIO, GO, Brasil</v>
      </c>
      <c r="C4608" s="4" t="str">
        <f>_xlfn.XLOOKUP(A4608,[1]!DadosGHD[CD_GEOCMU],[1]!DadosGHD[Região])</f>
        <v>CO</v>
      </c>
      <c r="D4608" s="4" t="str">
        <f>_xlfn.XLOOKUP(A4608,[1]!DadosGHD[CD_GEOCMU],[1]!DadosGHD[uf])</f>
        <v>GO</v>
      </c>
      <c r="E4608" s="5" t="str">
        <f>_xlfn.XLOOKUP(A4608,[1]!DadosGHD[CD_GEOCMU],[1]!DadosGHD[MUNICIPIO])</f>
        <v>PIRES DO RIO</v>
      </c>
      <c r="F4608" s="6">
        <v>53.623222351074197</v>
      </c>
      <c r="G4608" s="6">
        <v>53.738590240478501</v>
      </c>
      <c r="H4608" s="6">
        <v>53.795433044433601</v>
      </c>
      <c r="I4608" s="6">
        <v>53.719200134277301</v>
      </c>
      <c r="J4608" s="6">
        <v>48.8148002624512</v>
      </c>
      <c r="K4608" s="6">
        <v>48.891921997070298</v>
      </c>
      <c r="L4608" s="6">
        <v>53.005741119384801</v>
      </c>
    </row>
    <row r="4609" spans="1:12" x14ac:dyDescent="0.25">
      <c r="A4609">
        <v>5106000</v>
      </c>
      <c r="B4609" t="str">
        <f t="shared" si="71"/>
        <v>NORTELANDIA, MT, Brasil</v>
      </c>
      <c r="C4609" s="4" t="str">
        <f>_xlfn.XLOOKUP(A4609,[1]!DadosGHD[CD_GEOCMU],[1]!DadosGHD[Região])</f>
        <v>CO</v>
      </c>
      <c r="D4609" s="4" t="str">
        <f>_xlfn.XLOOKUP(A4609,[1]!DadosGHD[CD_GEOCMU],[1]!DadosGHD[uf])</f>
        <v>MT</v>
      </c>
      <c r="E4609" s="5" t="str">
        <f>_xlfn.XLOOKUP(A4609,[1]!DadosGHD[CD_GEOCMU],[1]!DadosGHD[MUNICIPIO])</f>
        <v>NORTELANDIA</v>
      </c>
      <c r="F4609" s="6">
        <v>53.6234130859375</v>
      </c>
      <c r="G4609" s="6">
        <v>53.738407135009801</v>
      </c>
      <c r="H4609" s="6">
        <v>48.858486175537102</v>
      </c>
      <c r="I4609" s="6">
        <v>48.811336517333999</v>
      </c>
      <c r="J4609" s="6">
        <v>48.729934692382798</v>
      </c>
      <c r="K4609" s="6">
        <v>48.785762786865199</v>
      </c>
      <c r="L4609" s="6">
        <v>44.040611267089801</v>
      </c>
    </row>
    <row r="4610" spans="1:12" x14ac:dyDescent="0.25">
      <c r="A4610">
        <v>3146503</v>
      </c>
      <c r="B4610" t="str">
        <f t="shared" si="71"/>
        <v>PAINS, MG, Brasil</v>
      </c>
      <c r="C4610" s="4" t="str">
        <f>_xlfn.XLOOKUP(A4610,[1]!DadosGHD[CD_GEOCMU],[1]!DadosGHD[Região])</f>
        <v>SD</v>
      </c>
      <c r="D4610" s="4" t="str">
        <f>_xlfn.XLOOKUP(A4610,[1]!DadosGHD[CD_GEOCMU],[1]!DadosGHD[uf])</f>
        <v>MG</v>
      </c>
      <c r="E4610" s="5" t="str">
        <f>_xlfn.XLOOKUP(A4610,[1]!DadosGHD[CD_GEOCMU],[1]!DadosGHD[MUNICIPIO])</f>
        <v>PAINS</v>
      </c>
      <c r="F4610" s="6">
        <v>53.623874664306598</v>
      </c>
      <c r="G4610" s="6">
        <v>53.662723541259801</v>
      </c>
      <c r="H4610" s="6">
        <v>53.777442932128899</v>
      </c>
      <c r="I4610" s="6">
        <v>53.751667022705099</v>
      </c>
      <c r="J4610" s="6">
        <v>53.727703094482401</v>
      </c>
      <c r="K4610" s="6">
        <v>53.832870483398402</v>
      </c>
      <c r="L4610" s="6">
        <v>48.537582397460902</v>
      </c>
    </row>
    <row r="4611" spans="1:12" x14ac:dyDescent="0.25">
      <c r="A4611">
        <v>3548203</v>
      </c>
      <c r="B4611" t="str">
        <f t="shared" si="71"/>
        <v>SANTO ANTONIO DO PINHAL, SP, Brasil</v>
      </c>
      <c r="C4611" s="4" t="str">
        <f>_xlfn.XLOOKUP(A4611,[1]!DadosGHD[CD_GEOCMU],[1]!DadosGHD[Região])</f>
        <v>SD</v>
      </c>
      <c r="D4611" s="4" t="str">
        <f>_xlfn.XLOOKUP(A4611,[1]!DadosGHD[CD_GEOCMU],[1]!DadosGHD[uf])</f>
        <v>SP</v>
      </c>
      <c r="E4611" s="5" t="str">
        <f>_xlfn.XLOOKUP(A4611,[1]!DadosGHD[CD_GEOCMU],[1]!DadosGHD[MUNICIPIO])</f>
        <v>SANTO ANTONIO DO PINHAL</v>
      </c>
      <c r="F4611" s="6">
        <v>53.623878479003899</v>
      </c>
      <c r="G4611" s="6">
        <v>53.666191101074197</v>
      </c>
      <c r="H4611" s="6">
        <v>48.850086212158203</v>
      </c>
      <c r="I4611" s="6">
        <v>48.803802490234403</v>
      </c>
      <c r="J4611" s="6">
        <v>48.764686584472699</v>
      </c>
      <c r="K4611" s="6">
        <v>48.793830871582003</v>
      </c>
      <c r="L4611" s="6">
        <v>35.154991149902301</v>
      </c>
    </row>
    <row r="4612" spans="1:12" x14ac:dyDescent="0.25">
      <c r="A4612">
        <v>3110707</v>
      </c>
      <c r="B4612" t="str">
        <f t="shared" ref="B4612:B4675" si="72">_xlfn.CONCAT(E4612, ", ", D4612, ", Brasil")</f>
        <v>CAMBUQUIRA, MG, Brasil</v>
      </c>
      <c r="C4612" s="4" t="str">
        <f>_xlfn.XLOOKUP(A4612,[1]!DadosGHD[CD_GEOCMU],[1]!DadosGHD[Região])</f>
        <v>SD</v>
      </c>
      <c r="D4612" s="4" t="str">
        <f>_xlfn.XLOOKUP(A4612,[1]!DadosGHD[CD_GEOCMU],[1]!DadosGHD[uf])</f>
        <v>MG</v>
      </c>
      <c r="E4612" s="5" t="str">
        <f>_xlfn.XLOOKUP(A4612,[1]!DadosGHD[CD_GEOCMU],[1]!DadosGHD[MUNICIPIO])</f>
        <v>CAMBUQUIRA</v>
      </c>
      <c r="F4612" s="6">
        <v>53.625114440917997</v>
      </c>
      <c r="G4612" s="6">
        <v>53.665153503417997</v>
      </c>
      <c r="H4612" s="6">
        <v>53.778694152832003</v>
      </c>
      <c r="I4612" s="6">
        <v>53.756893157958999</v>
      </c>
      <c r="J4612" s="6">
        <v>53.769207000732401</v>
      </c>
      <c r="K4612" s="6">
        <v>48.864089965820298</v>
      </c>
      <c r="L4612" s="6">
        <v>48.528495788574197</v>
      </c>
    </row>
    <row r="4613" spans="1:12" x14ac:dyDescent="0.25">
      <c r="A4613">
        <v>3500204</v>
      </c>
      <c r="B4613" t="str">
        <f t="shared" si="72"/>
        <v>ADOLFO, SP, Brasil</v>
      </c>
      <c r="C4613" s="4" t="str">
        <f>_xlfn.XLOOKUP(A4613,[1]!DadosGHD[CD_GEOCMU],[1]!DadosGHD[Região])</f>
        <v>SD</v>
      </c>
      <c r="D4613" s="4" t="str">
        <f>_xlfn.XLOOKUP(A4613,[1]!DadosGHD[CD_GEOCMU],[1]!DadosGHD[uf])</f>
        <v>SP</v>
      </c>
      <c r="E4613" s="5" t="str">
        <f>_xlfn.XLOOKUP(A4613,[1]!DadosGHD[CD_GEOCMU],[1]!DadosGHD[MUNICIPIO])</f>
        <v>ADOLFO</v>
      </c>
      <c r="F4613" s="6">
        <v>53.625236511230497</v>
      </c>
      <c r="G4613" s="6">
        <v>58.716320037841797</v>
      </c>
      <c r="H4613" s="6">
        <v>53.875251770019503</v>
      </c>
      <c r="I4613" s="6">
        <v>58.8789672851563</v>
      </c>
      <c r="J4613" s="6">
        <v>63.971443176269503</v>
      </c>
      <c r="K4613" s="6">
        <v>53.924263000488303</v>
      </c>
      <c r="L4613" s="6">
        <v>48.5152397155762</v>
      </c>
    </row>
    <row r="4614" spans="1:12" x14ac:dyDescent="0.25">
      <c r="A4614">
        <v>4200408</v>
      </c>
      <c r="B4614" t="str">
        <f t="shared" si="72"/>
        <v>AGUA DOCE, SC, Brasil</v>
      </c>
      <c r="C4614" s="4" t="str">
        <f>_xlfn.XLOOKUP(A4614,[1]!DadosGHD[CD_GEOCMU],[1]!DadosGHD[Região])</f>
        <v>SL</v>
      </c>
      <c r="D4614" s="4" t="str">
        <f>_xlfn.XLOOKUP(A4614,[1]!DadosGHD[CD_GEOCMU],[1]!DadosGHD[uf])</f>
        <v>SC</v>
      </c>
      <c r="E4614" s="5" t="str">
        <f>_xlfn.XLOOKUP(A4614,[1]!DadosGHD[CD_GEOCMU],[1]!DadosGHD[MUNICIPIO])</f>
        <v>AGUA DOCE</v>
      </c>
      <c r="F4614" s="6">
        <v>53.626007080078097</v>
      </c>
      <c r="G4614" s="6">
        <v>53.748245239257798</v>
      </c>
      <c r="H4614" s="6">
        <v>53.799777984619098</v>
      </c>
      <c r="I4614" s="6">
        <v>58.837318420410199</v>
      </c>
      <c r="J4614" s="6">
        <v>58.881320953369098</v>
      </c>
      <c r="K4614" s="6">
        <v>58.931930541992202</v>
      </c>
      <c r="L4614" s="6">
        <v>53.040210723877003</v>
      </c>
    </row>
    <row r="4615" spans="1:12" x14ac:dyDescent="0.25">
      <c r="A4615">
        <v>4100509</v>
      </c>
      <c r="B4615" t="str">
        <f t="shared" si="72"/>
        <v>ALTONIA, PR, Brasil</v>
      </c>
      <c r="C4615" s="4" t="str">
        <f>_xlfn.XLOOKUP(A4615,[1]!DadosGHD[CD_GEOCMU],[1]!DadosGHD[Região])</f>
        <v>SL</v>
      </c>
      <c r="D4615" s="4" t="str">
        <f>_xlfn.XLOOKUP(A4615,[1]!DadosGHD[CD_GEOCMU],[1]!DadosGHD[uf])</f>
        <v>PR</v>
      </c>
      <c r="E4615" s="5" t="str">
        <f>_xlfn.XLOOKUP(A4615,[1]!DadosGHD[CD_GEOCMU],[1]!DadosGHD[MUNICIPIO])</f>
        <v>ALTONIA</v>
      </c>
      <c r="F4615" s="6">
        <v>53.626106262207003</v>
      </c>
      <c r="G4615" s="6">
        <v>58.7682075500488</v>
      </c>
      <c r="H4615" s="6">
        <v>48.8485298156738</v>
      </c>
      <c r="I4615" s="6">
        <v>48.803031921386697</v>
      </c>
      <c r="J4615" s="6">
        <v>48.817893981933601</v>
      </c>
      <c r="K4615" s="6">
        <v>48.813854217529297</v>
      </c>
      <c r="L4615" s="6">
        <v>39.574874877929702</v>
      </c>
    </row>
    <row r="4616" spans="1:12" x14ac:dyDescent="0.25">
      <c r="A4616">
        <v>3542909</v>
      </c>
      <c r="B4616" t="str">
        <f t="shared" si="72"/>
        <v>RIBEIRAO BONITO, SP, Brasil</v>
      </c>
      <c r="C4616" s="4" t="str">
        <f>_xlfn.XLOOKUP(A4616,[1]!DadosGHD[CD_GEOCMU],[1]!DadosGHD[Região])</f>
        <v>SD</v>
      </c>
      <c r="D4616" s="4" t="str">
        <f>_xlfn.XLOOKUP(A4616,[1]!DadosGHD[CD_GEOCMU],[1]!DadosGHD[uf])</f>
        <v>SP</v>
      </c>
      <c r="E4616" s="5" t="str">
        <f>_xlfn.XLOOKUP(A4616,[1]!DadosGHD[CD_GEOCMU],[1]!DadosGHD[MUNICIPIO])</f>
        <v>RIBEIRAO BONITO</v>
      </c>
      <c r="F4616" s="6">
        <v>53.626220703125</v>
      </c>
      <c r="G4616" s="6">
        <v>53.6767387390137</v>
      </c>
      <c r="H4616" s="6">
        <v>48.827312469482401</v>
      </c>
      <c r="I4616" s="6">
        <v>48.710128784179702</v>
      </c>
      <c r="J4616" s="6">
        <v>43.804229736328097</v>
      </c>
      <c r="K4616" s="6">
        <v>43.854423522949197</v>
      </c>
      <c r="L4616" s="6">
        <v>48.523036956787102</v>
      </c>
    </row>
    <row r="4617" spans="1:12" x14ac:dyDescent="0.25">
      <c r="A4617">
        <v>4211751</v>
      </c>
      <c r="B4617" t="str">
        <f t="shared" si="72"/>
        <v>OTACILIO COSTA, SC, Brasil</v>
      </c>
      <c r="C4617" s="4" t="str">
        <f>_xlfn.XLOOKUP(A4617,[1]!DadosGHD[CD_GEOCMU],[1]!DadosGHD[Região])</f>
        <v>SL</v>
      </c>
      <c r="D4617" s="4" t="str">
        <f>_xlfn.XLOOKUP(A4617,[1]!DadosGHD[CD_GEOCMU],[1]!DadosGHD[uf])</f>
        <v>SC</v>
      </c>
      <c r="E4617" s="5" t="str">
        <f>_xlfn.XLOOKUP(A4617,[1]!DadosGHD[CD_GEOCMU],[1]!DadosGHD[MUNICIPIO])</f>
        <v>OTACILIO COSTA</v>
      </c>
      <c r="F4617" s="6">
        <v>53.627391815185597</v>
      </c>
      <c r="G4617" s="6">
        <v>53.680267333984403</v>
      </c>
      <c r="H4617" s="6">
        <v>53.757774353027301</v>
      </c>
      <c r="I4617" s="6">
        <v>48.821708679199197</v>
      </c>
      <c r="J4617" s="6">
        <v>48.837207794189503</v>
      </c>
      <c r="K4617" s="6">
        <v>48.895236968994098</v>
      </c>
      <c r="L4617" s="6">
        <v>52.993003845214801</v>
      </c>
    </row>
    <row r="4618" spans="1:12" x14ac:dyDescent="0.25">
      <c r="A4618">
        <v>3541000</v>
      </c>
      <c r="B4618" t="str">
        <f t="shared" si="72"/>
        <v>PRAIA GRANDE, SP, Brasil</v>
      </c>
      <c r="C4618" s="4" t="str">
        <f>_xlfn.XLOOKUP(A4618,[1]!DadosGHD[CD_GEOCMU],[1]!DadosGHD[Região])</f>
        <v>SD</v>
      </c>
      <c r="D4618" s="4" t="str">
        <f>_xlfn.XLOOKUP(A4618,[1]!DadosGHD[CD_GEOCMU],[1]!DadosGHD[uf])</f>
        <v>SP</v>
      </c>
      <c r="E4618" s="5" t="str">
        <f>_xlfn.XLOOKUP(A4618,[1]!DadosGHD[CD_GEOCMU],[1]!DadosGHD[MUNICIPIO])</f>
        <v>PRAIA GRANDE</v>
      </c>
      <c r="F4618" s="6">
        <v>53.627613067627003</v>
      </c>
      <c r="G4618" s="6">
        <v>53.729789733886697</v>
      </c>
      <c r="H4618" s="6">
        <v>53.774532318115199</v>
      </c>
      <c r="I4618" s="6">
        <v>53.7359008789063</v>
      </c>
      <c r="J4618" s="6">
        <v>53.764781951904297</v>
      </c>
      <c r="K4618" s="6">
        <v>53.809993743896499</v>
      </c>
      <c r="L4618" s="6">
        <v>57.534629821777301</v>
      </c>
    </row>
    <row r="4619" spans="1:12" x14ac:dyDescent="0.25">
      <c r="A4619">
        <v>4313490</v>
      </c>
      <c r="B4619" t="str">
        <f t="shared" si="72"/>
        <v>NOVO BARREIRO, RS, Brasil</v>
      </c>
      <c r="C4619" s="4" t="str">
        <f>_xlfn.XLOOKUP(A4619,[1]!DadosGHD[CD_GEOCMU],[1]!DadosGHD[Região])</f>
        <v>SL</v>
      </c>
      <c r="D4619" s="4" t="str">
        <f>_xlfn.XLOOKUP(A4619,[1]!DadosGHD[CD_GEOCMU],[1]!DadosGHD[uf])</f>
        <v>RS</v>
      </c>
      <c r="E4619" s="5" t="str">
        <f>_xlfn.XLOOKUP(A4619,[1]!DadosGHD[CD_GEOCMU],[1]!DadosGHD[MUNICIPIO])</f>
        <v>NOVO BARREIRO</v>
      </c>
      <c r="F4619" s="6">
        <v>53.627735137939503</v>
      </c>
      <c r="G4619" s="6">
        <v>53.679538726806598</v>
      </c>
      <c r="H4619" s="6">
        <v>48.858341217041001</v>
      </c>
      <c r="I4619" s="6">
        <v>48.776973724365199</v>
      </c>
      <c r="J4619" s="6">
        <v>53.835926055908203</v>
      </c>
      <c r="K4619" s="6">
        <v>48.815689086914098</v>
      </c>
      <c r="L4619" s="6">
        <v>35.134971618652301</v>
      </c>
    </row>
    <row r="4620" spans="1:12" x14ac:dyDescent="0.25">
      <c r="A4620">
        <v>4101002</v>
      </c>
      <c r="B4620" t="str">
        <f t="shared" si="72"/>
        <v>AMPERE, PR, Brasil</v>
      </c>
      <c r="C4620" s="4" t="str">
        <f>_xlfn.XLOOKUP(A4620,[1]!DadosGHD[CD_GEOCMU],[1]!DadosGHD[Região])</f>
        <v>SL</v>
      </c>
      <c r="D4620" s="4" t="str">
        <f>_xlfn.XLOOKUP(A4620,[1]!DadosGHD[CD_GEOCMU],[1]!DadosGHD[uf])</f>
        <v>PR</v>
      </c>
      <c r="E4620" s="5" t="str">
        <f>_xlfn.XLOOKUP(A4620,[1]!DadosGHD[CD_GEOCMU],[1]!DadosGHD[MUNICIPIO])</f>
        <v>AMPERE</v>
      </c>
      <c r="F4620" s="6">
        <v>53.628101348877003</v>
      </c>
      <c r="G4620" s="6">
        <v>53.716972351074197</v>
      </c>
      <c r="H4620" s="6">
        <v>58.936569213867202</v>
      </c>
      <c r="I4620" s="6">
        <v>58.924915313720703</v>
      </c>
      <c r="J4620" s="6">
        <v>58.985267639160199</v>
      </c>
      <c r="K4620" s="6">
        <v>59.075233459472699</v>
      </c>
      <c r="L4620" s="6">
        <v>57.589881896972699</v>
      </c>
    </row>
    <row r="4621" spans="1:12" x14ac:dyDescent="0.25">
      <c r="A4621">
        <v>3302254</v>
      </c>
      <c r="B4621" t="str">
        <f t="shared" si="72"/>
        <v>ITATIAIA, RJ, Brasil</v>
      </c>
      <c r="C4621" s="4" t="str">
        <f>_xlfn.XLOOKUP(A4621,[1]!DadosGHD[CD_GEOCMU],[1]!DadosGHD[Região])</f>
        <v>SD</v>
      </c>
      <c r="D4621" s="4" t="str">
        <f>_xlfn.XLOOKUP(A4621,[1]!DadosGHD[CD_GEOCMU],[1]!DadosGHD[uf])</f>
        <v>RJ</v>
      </c>
      <c r="E4621" s="5" t="str">
        <f>_xlfn.XLOOKUP(A4621,[1]!DadosGHD[CD_GEOCMU],[1]!DadosGHD[MUNICIPIO])</f>
        <v>ITATIAIA</v>
      </c>
      <c r="F4621" s="6">
        <v>53.628269195556598</v>
      </c>
      <c r="G4621" s="6">
        <v>48.721153259277301</v>
      </c>
      <c r="H4621" s="6">
        <v>48.799480438232401</v>
      </c>
      <c r="I4621" s="6">
        <v>48.732444763183601</v>
      </c>
      <c r="J4621" s="6">
        <v>48.791221618652301</v>
      </c>
      <c r="K4621" s="6">
        <v>48.839778900146499</v>
      </c>
      <c r="L4621" s="6">
        <v>52.9987983703613</v>
      </c>
    </row>
    <row r="4622" spans="1:12" x14ac:dyDescent="0.25">
      <c r="A4622">
        <v>4117404</v>
      </c>
      <c r="B4622" t="str">
        <f t="shared" si="72"/>
        <v>OURIZONA, PR, Brasil</v>
      </c>
      <c r="C4622" s="4" t="str">
        <f>_xlfn.XLOOKUP(A4622,[1]!DadosGHD[CD_GEOCMU],[1]!DadosGHD[Região])</f>
        <v>SL</v>
      </c>
      <c r="D4622" s="4" t="str">
        <f>_xlfn.XLOOKUP(A4622,[1]!DadosGHD[CD_GEOCMU],[1]!DadosGHD[uf])</f>
        <v>PR</v>
      </c>
      <c r="E4622" s="5" t="str">
        <f>_xlfn.XLOOKUP(A4622,[1]!DadosGHD[CD_GEOCMU],[1]!DadosGHD[MUNICIPIO])</f>
        <v>OURIZONA</v>
      </c>
      <c r="F4622" s="6">
        <v>53.628326416015597</v>
      </c>
      <c r="G4622" s="6">
        <v>53.768306732177699</v>
      </c>
      <c r="H4622" s="6">
        <v>53.865970611572301</v>
      </c>
      <c r="I4622" s="6">
        <v>53.871715545654297</v>
      </c>
      <c r="J4622" s="6">
        <v>53.875755310058601</v>
      </c>
      <c r="K4622" s="6">
        <v>48.796703338623097</v>
      </c>
      <c r="L4622" s="6">
        <v>44.0464477539063</v>
      </c>
    </row>
    <row r="4623" spans="1:12" x14ac:dyDescent="0.25">
      <c r="A4623">
        <v>4316006</v>
      </c>
      <c r="B4623" t="str">
        <f t="shared" si="72"/>
        <v>ROLANTE, RS, Brasil</v>
      </c>
      <c r="C4623" s="4" t="str">
        <f>_xlfn.XLOOKUP(A4623,[1]!DadosGHD[CD_GEOCMU],[1]!DadosGHD[Região])</f>
        <v>SL</v>
      </c>
      <c r="D4623" s="4" t="str">
        <f>_xlfn.XLOOKUP(A4623,[1]!DadosGHD[CD_GEOCMU],[1]!DadosGHD[uf])</f>
        <v>RS</v>
      </c>
      <c r="E4623" s="5" t="str">
        <f>_xlfn.XLOOKUP(A4623,[1]!DadosGHD[CD_GEOCMU],[1]!DadosGHD[MUNICIPIO])</f>
        <v>ROLANTE</v>
      </c>
      <c r="F4623" s="6">
        <v>53.628810882568402</v>
      </c>
      <c r="G4623" s="6">
        <v>53.772560119628899</v>
      </c>
      <c r="H4623" s="6">
        <v>48.809471130371101</v>
      </c>
      <c r="I4623" s="6">
        <v>53.795032501220703</v>
      </c>
      <c r="J4623" s="6">
        <v>58.949958801269503</v>
      </c>
      <c r="K4623" s="6">
        <v>59.070404052734403</v>
      </c>
      <c r="L4623" s="6">
        <v>57.589881896972699</v>
      </c>
    </row>
    <row r="4624" spans="1:12" x14ac:dyDescent="0.25">
      <c r="A4624">
        <v>3545209</v>
      </c>
      <c r="B4624" t="str">
        <f t="shared" si="72"/>
        <v>SALTO, SP, Brasil</v>
      </c>
      <c r="C4624" s="4" t="str">
        <f>_xlfn.XLOOKUP(A4624,[1]!DadosGHD[CD_GEOCMU],[1]!DadosGHD[Região])</f>
        <v>SD</v>
      </c>
      <c r="D4624" s="4" t="str">
        <f>_xlfn.XLOOKUP(A4624,[1]!DadosGHD[CD_GEOCMU],[1]!DadosGHD[uf])</f>
        <v>SP</v>
      </c>
      <c r="E4624" s="5" t="str">
        <f>_xlfn.XLOOKUP(A4624,[1]!DadosGHD[CD_GEOCMU],[1]!DadosGHD[MUNICIPIO])</f>
        <v>SALTO</v>
      </c>
      <c r="F4624" s="6">
        <v>53.628875732421903</v>
      </c>
      <c r="G4624" s="6">
        <v>53.758358001708999</v>
      </c>
      <c r="H4624" s="6">
        <v>53.840076446533203</v>
      </c>
      <c r="I4624" s="6">
        <v>53.831127166748097</v>
      </c>
      <c r="J4624" s="6">
        <v>53.808326721191399</v>
      </c>
      <c r="K4624" s="6">
        <v>53.854557037353501</v>
      </c>
      <c r="L4624" s="6">
        <v>48.529502868652301</v>
      </c>
    </row>
    <row r="4625" spans="1:12" x14ac:dyDescent="0.25">
      <c r="A4625">
        <v>3122702</v>
      </c>
      <c r="B4625" t="str">
        <f t="shared" si="72"/>
        <v>DOM SILVERIO, MG, Brasil</v>
      </c>
      <c r="C4625" s="4" t="str">
        <f>_xlfn.XLOOKUP(A4625,[1]!DadosGHD[CD_GEOCMU],[1]!DadosGHD[Região])</f>
        <v>SD</v>
      </c>
      <c r="D4625" s="4" t="str">
        <f>_xlfn.XLOOKUP(A4625,[1]!DadosGHD[CD_GEOCMU],[1]!DadosGHD[uf])</f>
        <v>MG</v>
      </c>
      <c r="E4625" s="5" t="str">
        <f>_xlfn.XLOOKUP(A4625,[1]!DadosGHD[CD_GEOCMU],[1]!DadosGHD[MUNICIPIO])</f>
        <v>DOM SILVERIO</v>
      </c>
      <c r="F4625" s="6">
        <v>53.629505157470703</v>
      </c>
      <c r="G4625" s="6">
        <v>53.788223266601598</v>
      </c>
      <c r="H4625" s="6">
        <v>53.861911773681598</v>
      </c>
      <c r="I4625" s="6">
        <v>53.843070983886697</v>
      </c>
      <c r="J4625" s="6">
        <v>53.884910583496101</v>
      </c>
      <c r="K4625" s="6">
        <v>58.951911926269503</v>
      </c>
      <c r="L4625" s="6">
        <v>57.589881896972699</v>
      </c>
    </row>
    <row r="4626" spans="1:12" x14ac:dyDescent="0.25">
      <c r="A4626">
        <v>3204609</v>
      </c>
      <c r="B4626" t="str">
        <f t="shared" si="72"/>
        <v>SANTA TERESA, ES, Brasil</v>
      </c>
      <c r="C4626" s="4" t="str">
        <f>_xlfn.XLOOKUP(A4626,[1]!DadosGHD[CD_GEOCMU],[1]!DadosGHD[Região])</f>
        <v>SD</v>
      </c>
      <c r="D4626" s="4" t="str">
        <f>_xlfn.XLOOKUP(A4626,[1]!DadosGHD[CD_GEOCMU],[1]!DadosGHD[uf])</f>
        <v>ES</v>
      </c>
      <c r="E4626" s="5" t="str">
        <f>_xlfn.XLOOKUP(A4626,[1]!DadosGHD[CD_GEOCMU],[1]!DadosGHD[MUNICIPIO])</f>
        <v>SANTA TERESA</v>
      </c>
      <c r="F4626" s="6">
        <v>53.629604339599602</v>
      </c>
      <c r="G4626" s="6">
        <v>53.777523040771499</v>
      </c>
      <c r="H4626" s="6">
        <v>53.849185943603501</v>
      </c>
      <c r="I4626" s="6">
        <v>53.743492126464801</v>
      </c>
      <c r="J4626" s="6">
        <v>58.866958618164098</v>
      </c>
      <c r="K4626" s="6">
        <v>58.998931884765597</v>
      </c>
      <c r="L4626" s="6">
        <v>57.524787902832003</v>
      </c>
    </row>
    <row r="4627" spans="1:12" x14ac:dyDescent="0.25">
      <c r="A4627">
        <v>3200409</v>
      </c>
      <c r="B4627" t="str">
        <f t="shared" si="72"/>
        <v>ANCHIETA, ES, Brasil</v>
      </c>
      <c r="C4627" s="4" t="str">
        <f>_xlfn.XLOOKUP(A4627,[1]!DadosGHD[CD_GEOCMU],[1]!DadosGHD[Região])</f>
        <v>SD</v>
      </c>
      <c r="D4627" s="4" t="str">
        <f>_xlfn.XLOOKUP(A4627,[1]!DadosGHD[CD_GEOCMU],[1]!DadosGHD[uf])</f>
        <v>ES</v>
      </c>
      <c r="E4627" s="5" t="str">
        <f>_xlfn.XLOOKUP(A4627,[1]!DadosGHD[CD_GEOCMU],[1]!DadosGHD[MUNICIPIO])</f>
        <v>ANCHIETA</v>
      </c>
      <c r="F4627" s="6">
        <v>53.630214691162102</v>
      </c>
      <c r="G4627" s="6">
        <v>48.762866973877003</v>
      </c>
      <c r="H4627" s="6">
        <v>48.800125122070298</v>
      </c>
      <c r="I4627" s="6">
        <v>48.768245697021499</v>
      </c>
      <c r="J4627" s="6">
        <v>48.807239532470703</v>
      </c>
      <c r="K4627" s="6">
        <v>48.882133483886697</v>
      </c>
      <c r="L4627" s="6">
        <v>48.491863250732401</v>
      </c>
    </row>
    <row r="4628" spans="1:12" x14ac:dyDescent="0.25">
      <c r="A4628">
        <v>4113502</v>
      </c>
      <c r="B4628" t="str">
        <f t="shared" si="72"/>
        <v>LOANDA, PR, Brasil</v>
      </c>
      <c r="C4628" s="4" t="str">
        <f>_xlfn.XLOOKUP(A4628,[1]!DadosGHD[CD_GEOCMU],[1]!DadosGHD[Região])</f>
        <v>SL</v>
      </c>
      <c r="D4628" s="4" t="str">
        <f>_xlfn.XLOOKUP(A4628,[1]!DadosGHD[CD_GEOCMU],[1]!DadosGHD[uf])</f>
        <v>PR</v>
      </c>
      <c r="E4628" s="5" t="str">
        <f>_xlfn.XLOOKUP(A4628,[1]!DadosGHD[CD_GEOCMU],[1]!DadosGHD[MUNICIPIO])</f>
        <v>LOANDA</v>
      </c>
      <c r="F4628" s="6">
        <v>53.6303100585938</v>
      </c>
      <c r="G4628" s="6">
        <v>53.715583801269503</v>
      </c>
      <c r="H4628" s="6">
        <v>53.852993011474602</v>
      </c>
      <c r="I4628" s="6">
        <v>53.821578979492202</v>
      </c>
      <c r="J4628" s="6">
        <v>53.8831596374512</v>
      </c>
      <c r="K4628" s="6">
        <v>53.900585174560597</v>
      </c>
      <c r="L4628" s="6">
        <v>44.054126739502003</v>
      </c>
    </row>
    <row r="4629" spans="1:12" x14ac:dyDescent="0.25">
      <c r="A4629">
        <v>3509809</v>
      </c>
      <c r="B4629" t="str">
        <f t="shared" si="72"/>
        <v>CAMPOS NOVOS PAULISTA, SP, Brasil</v>
      </c>
      <c r="C4629" s="4" t="str">
        <f>_xlfn.XLOOKUP(A4629,[1]!DadosGHD[CD_GEOCMU],[1]!DadosGHD[Região])</f>
        <v>SD</v>
      </c>
      <c r="D4629" s="4" t="str">
        <f>_xlfn.XLOOKUP(A4629,[1]!DadosGHD[CD_GEOCMU],[1]!DadosGHD[uf])</f>
        <v>SP</v>
      </c>
      <c r="E4629" s="5" t="str">
        <f>_xlfn.XLOOKUP(A4629,[1]!DadosGHD[CD_GEOCMU],[1]!DadosGHD[MUNICIPIO])</f>
        <v>CAMPOS NOVOS PAULISTA</v>
      </c>
      <c r="F4629" s="6">
        <v>53.630519866943402</v>
      </c>
      <c r="G4629" s="6">
        <v>53.774196624755902</v>
      </c>
      <c r="H4629" s="6">
        <v>53.849601745605497</v>
      </c>
      <c r="I4629" s="6">
        <v>53.798259735107401</v>
      </c>
      <c r="J4629" s="6">
        <v>53.806468963623097</v>
      </c>
      <c r="K4629" s="6">
        <v>53.839328765869098</v>
      </c>
      <c r="L4629" s="6">
        <v>44.062164306640597</v>
      </c>
    </row>
    <row r="4630" spans="1:12" x14ac:dyDescent="0.25">
      <c r="A4630">
        <v>3513405</v>
      </c>
      <c r="B4630" t="str">
        <f t="shared" si="72"/>
        <v>CRUZEIRO, SP, Brasil</v>
      </c>
      <c r="C4630" s="4" t="str">
        <f>_xlfn.XLOOKUP(A4630,[1]!DadosGHD[CD_GEOCMU],[1]!DadosGHD[Região])</f>
        <v>SD</v>
      </c>
      <c r="D4630" s="4" t="str">
        <f>_xlfn.XLOOKUP(A4630,[1]!DadosGHD[CD_GEOCMU],[1]!DadosGHD[uf])</f>
        <v>SP</v>
      </c>
      <c r="E4630" s="5" t="str">
        <f>_xlfn.XLOOKUP(A4630,[1]!DadosGHD[CD_GEOCMU],[1]!DadosGHD[MUNICIPIO])</f>
        <v>CRUZEIRO</v>
      </c>
      <c r="F4630" s="6">
        <v>53.630565643310597</v>
      </c>
      <c r="G4630" s="6">
        <v>53.712776184082003</v>
      </c>
      <c r="H4630" s="6">
        <v>48.8346138000488</v>
      </c>
      <c r="I4630" s="6">
        <v>48.790554046630902</v>
      </c>
      <c r="J4630" s="6">
        <v>48.746734619140597</v>
      </c>
      <c r="K4630" s="6">
        <v>48.7800903320313</v>
      </c>
      <c r="L4630" s="6">
        <v>48.550754547119098</v>
      </c>
    </row>
    <row r="4631" spans="1:12" x14ac:dyDescent="0.25">
      <c r="A4631">
        <v>4317103</v>
      </c>
      <c r="B4631" t="str">
        <f t="shared" si="72"/>
        <v>SANT'ANA DO LIVRAMENTO, RS, Brasil</v>
      </c>
      <c r="C4631" s="4" t="str">
        <f>_xlfn.XLOOKUP(A4631,[1]!DadosGHD[CD_GEOCMU],[1]!DadosGHD[Região])</f>
        <v>SL</v>
      </c>
      <c r="D4631" s="4" t="str">
        <f>_xlfn.XLOOKUP(A4631,[1]!DadosGHD[CD_GEOCMU],[1]!DadosGHD[uf])</f>
        <v>RS</v>
      </c>
      <c r="E4631" s="5" t="str">
        <f>_xlfn.XLOOKUP(A4631,[1]!DadosGHD[CD_GEOCMU],[1]!DadosGHD[MUNICIPIO])</f>
        <v>SANT'ANA DO LIVRAMENTO</v>
      </c>
      <c r="F4631" s="6">
        <v>53.631107330322301</v>
      </c>
      <c r="G4631" s="6">
        <v>53.721260070800803</v>
      </c>
      <c r="H4631" s="6">
        <v>53.823051452636697</v>
      </c>
      <c r="I4631" s="6">
        <v>53.741218566894503</v>
      </c>
      <c r="J4631" s="6">
        <v>48.789859771728501</v>
      </c>
      <c r="K4631" s="6">
        <v>53.849708557128899</v>
      </c>
      <c r="L4631" s="6">
        <v>48.523941040039098</v>
      </c>
    </row>
    <row r="4632" spans="1:12" x14ac:dyDescent="0.25">
      <c r="A4632">
        <v>3540903</v>
      </c>
      <c r="B4632" t="str">
        <f t="shared" si="72"/>
        <v>PRADOPOLIS, SP, Brasil</v>
      </c>
      <c r="C4632" s="4" t="str">
        <f>_xlfn.XLOOKUP(A4632,[1]!DadosGHD[CD_GEOCMU],[1]!DadosGHD[Região])</f>
        <v>SD</v>
      </c>
      <c r="D4632" s="4" t="str">
        <f>_xlfn.XLOOKUP(A4632,[1]!DadosGHD[CD_GEOCMU],[1]!DadosGHD[uf])</f>
        <v>SP</v>
      </c>
      <c r="E4632" s="5" t="str">
        <f>_xlfn.XLOOKUP(A4632,[1]!DadosGHD[CD_GEOCMU],[1]!DadosGHD[MUNICIPIO])</f>
        <v>PRADOPOLIS</v>
      </c>
      <c r="F4632" s="6">
        <v>53.631996154785199</v>
      </c>
      <c r="G4632" s="6">
        <v>53.689739227294901</v>
      </c>
      <c r="H4632" s="6">
        <v>48.805564880371101</v>
      </c>
      <c r="I4632" s="6">
        <v>48.706340789794901</v>
      </c>
      <c r="J4632" s="6">
        <v>43.778907775878899</v>
      </c>
      <c r="K4632" s="6">
        <v>38.8856201171875</v>
      </c>
      <c r="L4632" s="6">
        <v>39.557823181152301</v>
      </c>
    </row>
    <row r="4633" spans="1:12" x14ac:dyDescent="0.25">
      <c r="A4633">
        <v>3553708</v>
      </c>
      <c r="B4633" t="str">
        <f t="shared" si="72"/>
        <v>TAQUARITINGA, SP, Brasil</v>
      </c>
      <c r="C4633" s="4" t="str">
        <f>_xlfn.XLOOKUP(A4633,[1]!DadosGHD[CD_GEOCMU],[1]!DadosGHD[Região])</f>
        <v>SD</v>
      </c>
      <c r="D4633" s="4" t="str">
        <f>_xlfn.XLOOKUP(A4633,[1]!DadosGHD[CD_GEOCMU],[1]!DadosGHD[uf])</f>
        <v>SP</v>
      </c>
      <c r="E4633" s="5" t="str">
        <f>_xlfn.XLOOKUP(A4633,[1]!DadosGHD[CD_GEOCMU],[1]!DadosGHD[MUNICIPIO])</f>
        <v>TAQUARITINGA</v>
      </c>
      <c r="F4633" s="6">
        <v>53.632728576660199</v>
      </c>
      <c r="G4633" s="6">
        <v>53.699783325195298</v>
      </c>
      <c r="H4633" s="6">
        <v>48.808036804199197</v>
      </c>
      <c r="I4633" s="6">
        <v>48.730251312255902</v>
      </c>
      <c r="J4633" s="6">
        <v>43.8127632141113</v>
      </c>
      <c r="K4633" s="6">
        <v>43.851402282714801</v>
      </c>
      <c r="L4633" s="6">
        <v>39.610328674316399</v>
      </c>
    </row>
    <row r="4634" spans="1:12" x14ac:dyDescent="0.25">
      <c r="A4634">
        <v>5204300</v>
      </c>
      <c r="B4634" t="str">
        <f t="shared" si="72"/>
        <v>CACU, GO, Brasil</v>
      </c>
      <c r="C4634" s="4" t="str">
        <f>_xlfn.XLOOKUP(A4634,[1]!DadosGHD[CD_GEOCMU],[1]!DadosGHD[Região])</f>
        <v>CO</v>
      </c>
      <c r="D4634" s="4" t="str">
        <f>_xlfn.XLOOKUP(A4634,[1]!DadosGHD[CD_GEOCMU],[1]!DadosGHD[uf])</f>
        <v>GO</v>
      </c>
      <c r="E4634" s="5" t="str">
        <f>_xlfn.XLOOKUP(A4634,[1]!DadosGHD[CD_GEOCMU],[1]!DadosGHD[MUNICIPIO])</f>
        <v>CACU</v>
      </c>
      <c r="F4634" s="6">
        <v>53.632808685302699</v>
      </c>
      <c r="G4634" s="6">
        <v>53.731910705566399</v>
      </c>
      <c r="H4634" s="6">
        <v>48.851036071777301</v>
      </c>
      <c r="I4634" s="6">
        <v>48.774913787841797</v>
      </c>
      <c r="J4634" s="6">
        <v>48.7808837890625</v>
      </c>
      <c r="K4634" s="6">
        <v>48.800140380859403</v>
      </c>
      <c r="L4634" s="6">
        <v>39.565837860107401</v>
      </c>
    </row>
    <row r="4635" spans="1:12" x14ac:dyDescent="0.25">
      <c r="A4635">
        <v>3202702</v>
      </c>
      <c r="B4635" t="str">
        <f t="shared" si="72"/>
        <v>ITAGUACU, ES, Brasil</v>
      </c>
      <c r="C4635" s="4" t="str">
        <f>_xlfn.XLOOKUP(A4635,[1]!DadosGHD[CD_GEOCMU],[1]!DadosGHD[Região])</f>
        <v>SD</v>
      </c>
      <c r="D4635" s="4" t="str">
        <f>_xlfn.XLOOKUP(A4635,[1]!DadosGHD[CD_GEOCMU],[1]!DadosGHD[uf])</f>
        <v>ES</v>
      </c>
      <c r="E4635" s="5" t="str">
        <f>_xlfn.XLOOKUP(A4635,[1]!DadosGHD[CD_GEOCMU],[1]!DadosGHD[MUNICIPIO])</f>
        <v>ITAGUACU</v>
      </c>
      <c r="F4635" s="6">
        <v>53.633247375488303</v>
      </c>
      <c r="G4635" s="6">
        <v>53.706714630127003</v>
      </c>
      <c r="H4635" s="6">
        <v>48.855117797851598</v>
      </c>
      <c r="I4635" s="6">
        <v>48.819103240966797</v>
      </c>
      <c r="J4635" s="6">
        <v>53.790512084960902</v>
      </c>
      <c r="K4635" s="6">
        <v>53.856666564941399</v>
      </c>
      <c r="L4635" s="6">
        <v>39.607875823974602</v>
      </c>
    </row>
    <row r="4636" spans="1:12" x14ac:dyDescent="0.25">
      <c r="A4636">
        <v>3104007</v>
      </c>
      <c r="B4636" t="str">
        <f t="shared" si="72"/>
        <v>ARAXA, MG, Brasil</v>
      </c>
      <c r="C4636" s="4" t="str">
        <f>_xlfn.XLOOKUP(A4636,[1]!DadosGHD[CD_GEOCMU],[1]!DadosGHD[Região])</f>
        <v>SD</v>
      </c>
      <c r="D4636" s="4" t="str">
        <f>_xlfn.XLOOKUP(A4636,[1]!DadosGHD[CD_GEOCMU],[1]!DadosGHD[uf])</f>
        <v>MG</v>
      </c>
      <c r="E4636" s="5" t="str">
        <f>_xlfn.XLOOKUP(A4636,[1]!DadosGHD[CD_GEOCMU],[1]!DadosGHD[MUNICIPIO])</f>
        <v>ARAXA</v>
      </c>
      <c r="F4636" s="6">
        <v>53.633255004882798</v>
      </c>
      <c r="G4636" s="6">
        <v>53.785903930664098</v>
      </c>
      <c r="H4636" s="6">
        <v>58.850261688232401</v>
      </c>
      <c r="I4636" s="6">
        <v>58.886837005615199</v>
      </c>
      <c r="J4636" s="6">
        <v>58.869720458984403</v>
      </c>
      <c r="K4636" s="6">
        <v>53.966739654541001</v>
      </c>
      <c r="L4636" s="6">
        <v>53.0213623046875</v>
      </c>
    </row>
    <row r="4637" spans="1:12" x14ac:dyDescent="0.25">
      <c r="A4637">
        <v>5211305</v>
      </c>
      <c r="B4637" t="str">
        <f t="shared" si="72"/>
        <v>ITARUMA, GO, Brasil</v>
      </c>
      <c r="C4637" s="4" t="str">
        <f>_xlfn.XLOOKUP(A4637,[1]!DadosGHD[CD_GEOCMU],[1]!DadosGHD[Região])</f>
        <v>CO</v>
      </c>
      <c r="D4637" s="4" t="str">
        <f>_xlfn.XLOOKUP(A4637,[1]!DadosGHD[CD_GEOCMU],[1]!DadosGHD[uf])</f>
        <v>GO</v>
      </c>
      <c r="E4637" s="5" t="str">
        <f>_xlfn.XLOOKUP(A4637,[1]!DadosGHD[CD_GEOCMU],[1]!DadosGHD[MUNICIPIO])</f>
        <v>ITARUMA</v>
      </c>
      <c r="F4637" s="6">
        <v>53.633716583252003</v>
      </c>
      <c r="G4637" s="6">
        <v>53.816677093505902</v>
      </c>
      <c r="H4637" s="6">
        <v>58.823287963867202</v>
      </c>
      <c r="I4637" s="6">
        <v>58.8610649108887</v>
      </c>
      <c r="J4637" s="6">
        <v>63.960258483886697</v>
      </c>
      <c r="K4637" s="6">
        <v>64.13623046875</v>
      </c>
      <c r="L4637" s="6">
        <v>48.5126762390137</v>
      </c>
    </row>
    <row r="4638" spans="1:12" x14ac:dyDescent="0.25">
      <c r="A4638">
        <v>5217708</v>
      </c>
      <c r="B4638" t="str">
        <f t="shared" si="72"/>
        <v>PONTALINA, GO, Brasil</v>
      </c>
      <c r="C4638" s="4" t="str">
        <f>_xlfn.XLOOKUP(A4638,[1]!DadosGHD[CD_GEOCMU],[1]!DadosGHD[Região])</f>
        <v>CO</v>
      </c>
      <c r="D4638" s="4" t="str">
        <f>_xlfn.XLOOKUP(A4638,[1]!DadosGHD[CD_GEOCMU],[1]!DadosGHD[uf])</f>
        <v>GO</v>
      </c>
      <c r="E4638" s="5" t="str">
        <f>_xlfn.XLOOKUP(A4638,[1]!DadosGHD[CD_GEOCMU],[1]!DadosGHD[MUNICIPIO])</f>
        <v>PONTALINA</v>
      </c>
      <c r="F4638" s="6">
        <v>53.633785247802699</v>
      </c>
      <c r="G4638" s="6">
        <v>53.752643585205099</v>
      </c>
      <c r="H4638" s="6">
        <v>53.812568664550803</v>
      </c>
      <c r="I4638" s="6">
        <v>53.803070068359403</v>
      </c>
      <c r="J4638" s="6">
        <v>53.757217407226598</v>
      </c>
      <c r="K4638" s="6">
        <v>53.838363647460902</v>
      </c>
      <c r="L4638" s="6">
        <v>39.559089660644503</v>
      </c>
    </row>
    <row r="4639" spans="1:12" x14ac:dyDescent="0.25">
      <c r="A4639">
        <v>4118006</v>
      </c>
      <c r="B4639" t="str">
        <f t="shared" si="72"/>
        <v>PARAISO DO NORTE, PR, Brasil</v>
      </c>
      <c r="C4639" s="4" t="str">
        <f>_xlfn.XLOOKUP(A4639,[1]!DadosGHD[CD_GEOCMU],[1]!DadosGHD[Região])</f>
        <v>SL</v>
      </c>
      <c r="D4639" s="4" t="str">
        <f>_xlfn.XLOOKUP(A4639,[1]!DadosGHD[CD_GEOCMU],[1]!DadosGHD[uf])</f>
        <v>PR</v>
      </c>
      <c r="E4639" s="5" t="str">
        <f>_xlfn.XLOOKUP(A4639,[1]!DadosGHD[CD_GEOCMU],[1]!DadosGHD[MUNICIPIO])</f>
        <v>PARAISO DO NORTE</v>
      </c>
      <c r="F4639" s="6">
        <v>53.634227752685597</v>
      </c>
      <c r="G4639" s="6">
        <v>53.783596038818402</v>
      </c>
      <c r="H4639" s="6">
        <v>53.807785034179702</v>
      </c>
      <c r="I4639" s="6">
        <v>53.760185241699197</v>
      </c>
      <c r="J4639" s="6">
        <v>53.790565490722699</v>
      </c>
      <c r="K4639" s="6">
        <v>48.893123626708999</v>
      </c>
      <c r="L4639" s="6">
        <v>44.062129974365199</v>
      </c>
    </row>
    <row r="4640" spans="1:12" x14ac:dyDescent="0.25">
      <c r="A4640">
        <v>4312401</v>
      </c>
      <c r="B4640" t="str">
        <f t="shared" si="72"/>
        <v>MONTENEGRO, RS, Brasil</v>
      </c>
      <c r="C4640" s="4" t="str">
        <f>_xlfn.XLOOKUP(A4640,[1]!DadosGHD[CD_GEOCMU],[1]!DadosGHD[Região])</f>
        <v>SL</v>
      </c>
      <c r="D4640" s="4" t="str">
        <f>_xlfn.XLOOKUP(A4640,[1]!DadosGHD[CD_GEOCMU],[1]!DadosGHD[uf])</f>
        <v>RS</v>
      </c>
      <c r="E4640" s="5" t="str">
        <f>_xlfn.XLOOKUP(A4640,[1]!DadosGHD[CD_GEOCMU],[1]!DadosGHD[MUNICIPIO])</f>
        <v>MONTENEGRO</v>
      </c>
      <c r="F4640" s="6">
        <v>53.6346435546875</v>
      </c>
      <c r="G4640" s="6">
        <v>53.698795318603501</v>
      </c>
      <c r="H4640" s="6">
        <v>53.7490043640137</v>
      </c>
      <c r="I4640" s="6">
        <v>53.767623901367202</v>
      </c>
      <c r="J4640" s="6">
        <v>53.815208435058601</v>
      </c>
      <c r="K4640" s="6">
        <v>53.875480651855497</v>
      </c>
      <c r="L4640" s="6">
        <v>53.040130615234403</v>
      </c>
    </row>
    <row r="4641" spans="1:12" x14ac:dyDescent="0.25">
      <c r="A4641">
        <v>3536000</v>
      </c>
      <c r="B4641" t="str">
        <f t="shared" si="72"/>
        <v>PARAPUA, SP, Brasil</v>
      </c>
      <c r="C4641" s="4" t="str">
        <f>_xlfn.XLOOKUP(A4641,[1]!DadosGHD[CD_GEOCMU],[1]!DadosGHD[Região])</f>
        <v>SD</v>
      </c>
      <c r="D4641" s="4" t="str">
        <f>_xlfn.XLOOKUP(A4641,[1]!DadosGHD[CD_GEOCMU],[1]!DadosGHD[uf])</f>
        <v>SP</v>
      </c>
      <c r="E4641" s="5" t="str">
        <f>_xlfn.XLOOKUP(A4641,[1]!DadosGHD[CD_GEOCMU],[1]!DadosGHD[MUNICIPIO])</f>
        <v>PARAPUA</v>
      </c>
      <c r="F4641" s="6">
        <v>53.635032653808601</v>
      </c>
      <c r="G4641" s="6">
        <v>53.767734527587898</v>
      </c>
      <c r="H4641" s="6">
        <v>48.814167022705099</v>
      </c>
      <c r="I4641" s="6">
        <v>48.742984771728501</v>
      </c>
      <c r="J4641" s="6">
        <v>48.731101989746101</v>
      </c>
      <c r="K4641" s="6">
        <v>48.8138427734375</v>
      </c>
      <c r="L4641" s="6">
        <v>44.052558898925803</v>
      </c>
    </row>
    <row r="4642" spans="1:12" x14ac:dyDescent="0.25">
      <c r="A4642">
        <v>3304524</v>
      </c>
      <c r="B4642" t="str">
        <f t="shared" si="72"/>
        <v>RIO DAS OSTRAS, RJ, Brasil</v>
      </c>
      <c r="C4642" s="4" t="str">
        <f>_xlfn.XLOOKUP(A4642,[1]!DadosGHD[CD_GEOCMU],[1]!DadosGHD[Região])</f>
        <v>SD</v>
      </c>
      <c r="D4642" s="4" t="str">
        <f>_xlfn.XLOOKUP(A4642,[1]!DadosGHD[CD_GEOCMU],[1]!DadosGHD[uf])</f>
        <v>RJ</v>
      </c>
      <c r="E4642" s="5" t="str">
        <f>_xlfn.XLOOKUP(A4642,[1]!DadosGHD[CD_GEOCMU],[1]!DadosGHD[MUNICIPIO])</f>
        <v>RIO DAS OSTRAS</v>
      </c>
      <c r="F4642" s="6">
        <v>53.637619018554702</v>
      </c>
      <c r="G4642" s="6">
        <v>53.735599517822301</v>
      </c>
      <c r="H4642" s="6">
        <v>53.7623100280762</v>
      </c>
      <c r="I4642" s="6">
        <v>53.711776733398402</v>
      </c>
      <c r="J4642" s="6">
        <v>53.725734710693402</v>
      </c>
      <c r="K4642" s="6">
        <v>48.848625183105497</v>
      </c>
      <c r="L4642" s="6">
        <v>57.529636383056598</v>
      </c>
    </row>
    <row r="4643" spans="1:12" x14ac:dyDescent="0.25">
      <c r="A4643">
        <v>3501905</v>
      </c>
      <c r="B4643" t="str">
        <f t="shared" si="72"/>
        <v>AMPARO, SP, Brasil</v>
      </c>
      <c r="C4643" s="4" t="str">
        <f>_xlfn.XLOOKUP(A4643,[1]!DadosGHD[CD_GEOCMU],[1]!DadosGHD[Região])</f>
        <v>SD</v>
      </c>
      <c r="D4643" s="4" t="str">
        <f>_xlfn.XLOOKUP(A4643,[1]!DadosGHD[CD_GEOCMU],[1]!DadosGHD[uf])</f>
        <v>SP</v>
      </c>
      <c r="E4643" s="5" t="str">
        <f>_xlfn.XLOOKUP(A4643,[1]!DadosGHD[CD_GEOCMU],[1]!DadosGHD[MUNICIPIO])</f>
        <v>AMPARO</v>
      </c>
      <c r="F4643" s="6">
        <v>53.637630462646499</v>
      </c>
      <c r="G4643" s="6">
        <v>53.669944763183601</v>
      </c>
      <c r="H4643" s="6">
        <v>48.80126953125</v>
      </c>
      <c r="I4643" s="6">
        <v>48.746650695800803</v>
      </c>
      <c r="J4643" s="6">
        <v>48.804126739502003</v>
      </c>
      <c r="K4643" s="6">
        <v>48.868328094482401</v>
      </c>
      <c r="L4643" s="6">
        <v>48.552677154541001</v>
      </c>
    </row>
    <row r="4644" spans="1:12" x14ac:dyDescent="0.25">
      <c r="A4644">
        <v>1720259</v>
      </c>
      <c r="B4644" t="str">
        <f t="shared" si="72"/>
        <v>SAO SALVADOR DO TOCANTINS, TO, Brasil</v>
      </c>
      <c r="C4644" s="4" t="str">
        <f>_xlfn.XLOOKUP(A4644,[1]!DadosGHD[CD_GEOCMU],[1]!DadosGHD[Região])</f>
        <v>NO</v>
      </c>
      <c r="D4644" s="4" t="str">
        <f>_xlfn.XLOOKUP(A4644,[1]!DadosGHD[CD_GEOCMU],[1]!DadosGHD[uf])</f>
        <v>TO</v>
      </c>
      <c r="E4644" s="5" t="str">
        <f>_xlfn.XLOOKUP(A4644,[1]!DadosGHD[CD_GEOCMU],[1]!DadosGHD[MUNICIPIO])</f>
        <v>SAO SALVADOR DO TOCANTINS</v>
      </c>
      <c r="F4644" s="6">
        <v>53.637683868408203</v>
      </c>
      <c r="G4644" s="6">
        <v>48.754360198974602</v>
      </c>
      <c r="H4644" s="6">
        <v>48.797279357910199</v>
      </c>
      <c r="I4644" s="6">
        <v>48.751415252685597</v>
      </c>
      <c r="J4644" s="6">
        <v>38.835067749023402</v>
      </c>
      <c r="K4644" s="6">
        <v>38.8629341125488</v>
      </c>
      <c r="L4644" s="6">
        <v>35.114894866943402</v>
      </c>
    </row>
    <row r="4645" spans="1:12" x14ac:dyDescent="0.25">
      <c r="A4645">
        <v>3526803</v>
      </c>
      <c r="B4645" t="str">
        <f t="shared" si="72"/>
        <v>LENCOIS PAULISTA, SP, Brasil</v>
      </c>
      <c r="C4645" s="4" t="str">
        <f>_xlfn.XLOOKUP(A4645,[1]!DadosGHD[CD_GEOCMU],[1]!DadosGHD[Região])</f>
        <v>SD</v>
      </c>
      <c r="D4645" s="4" t="str">
        <f>_xlfn.XLOOKUP(A4645,[1]!DadosGHD[CD_GEOCMU],[1]!DadosGHD[uf])</f>
        <v>SP</v>
      </c>
      <c r="E4645" s="5" t="str">
        <f>_xlfn.XLOOKUP(A4645,[1]!DadosGHD[CD_GEOCMU],[1]!DadosGHD[MUNICIPIO])</f>
        <v>LENCOIS PAULISTA</v>
      </c>
      <c r="F4645" s="6">
        <v>53.637744903564503</v>
      </c>
      <c r="G4645" s="6">
        <v>53.699951171875</v>
      </c>
      <c r="H4645" s="6">
        <v>48.859779357910199</v>
      </c>
      <c r="I4645" s="6">
        <v>48.818088531494098</v>
      </c>
      <c r="J4645" s="6">
        <v>53.839809417724602</v>
      </c>
      <c r="K4645" s="6">
        <v>53.848869323730497</v>
      </c>
      <c r="L4645" s="6">
        <v>57.515869140625</v>
      </c>
    </row>
    <row r="4646" spans="1:12" x14ac:dyDescent="0.25">
      <c r="A4646">
        <v>3149804</v>
      </c>
      <c r="B4646" t="str">
        <f t="shared" si="72"/>
        <v>PERDIZES, MG, Brasil</v>
      </c>
      <c r="C4646" s="4" t="str">
        <f>_xlfn.XLOOKUP(A4646,[1]!DadosGHD[CD_GEOCMU],[1]!DadosGHD[Região])</f>
        <v>SD</v>
      </c>
      <c r="D4646" s="4" t="str">
        <f>_xlfn.XLOOKUP(A4646,[1]!DadosGHD[CD_GEOCMU],[1]!DadosGHD[uf])</f>
        <v>MG</v>
      </c>
      <c r="E4646" s="5" t="str">
        <f>_xlfn.XLOOKUP(A4646,[1]!DadosGHD[CD_GEOCMU],[1]!DadosGHD[MUNICIPIO])</f>
        <v>PERDIZES</v>
      </c>
      <c r="F4646" s="6">
        <v>53.637924194335902</v>
      </c>
      <c r="G4646" s="6">
        <v>53.738452911377003</v>
      </c>
      <c r="H4646" s="6">
        <v>53.822078704833999</v>
      </c>
      <c r="I4646" s="6">
        <v>53.807197570800803</v>
      </c>
      <c r="J4646" s="6">
        <v>53.828178405761697</v>
      </c>
      <c r="K4646" s="6">
        <v>53.857585906982401</v>
      </c>
      <c r="L4646" s="6">
        <v>44.032703399658203</v>
      </c>
    </row>
    <row r="4647" spans="1:12" x14ac:dyDescent="0.25">
      <c r="A4647">
        <v>3529302</v>
      </c>
      <c r="B4647" t="str">
        <f t="shared" si="72"/>
        <v>MATAO, SP, Brasil</v>
      </c>
      <c r="C4647" s="4" t="str">
        <f>_xlfn.XLOOKUP(A4647,[1]!DadosGHD[CD_GEOCMU],[1]!DadosGHD[Região])</f>
        <v>SD</v>
      </c>
      <c r="D4647" s="4" t="str">
        <f>_xlfn.XLOOKUP(A4647,[1]!DadosGHD[CD_GEOCMU],[1]!DadosGHD[uf])</f>
        <v>SP</v>
      </c>
      <c r="E4647" s="5" t="str">
        <f>_xlfn.XLOOKUP(A4647,[1]!DadosGHD[CD_GEOCMU],[1]!DadosGHD[MUNICIPIO])</f>
        <v>MATAO</v>
      </c>
      <c r="F4647" s="6">
        <v>53.638015747070298</v>
      </c>
      <c r="G4647" s="6">
        <v>53.814708709716797</v>
      </c>
      <c r="H4647" s="6">
        <v>53.773914337158203</v>
      </c>
      <c r="I4647" s="6">
        <v>53.747913360595703</v>
      </c>
      <c r="J4647" s="6">
        <v>48.7503051757813</v>
      </c>
      <c r="K4647" s="6">
        <v>53.813304901123097</v>
      </c>
      <c r="L4647" s="6">
        <v>53.038127899169901</v>
      </c>
    </row>
    <row r="4648" spans="1:12" x14ac:dyDescent="0.25">
      <c r="A4648">
        <v>3509700</v>
      </c>
      <c r="B4648" t="str">
        <f t="shared" si="72"/>
        <v>CAMPOS DO JORDAO, SP, Brasil</v>
      </c>
      <c r="C4648" s="4" t="str">
        <f>_xlfn.XLOOKUP(A4648,[1]!DadosGHD[CD_GEOCMU],[1]!DadosGHD[Região])</f>
        <v>SD</v>
      </c>
      <c r="D4648" s="4" t="str">
        <f>_xlfn.XLOOKUP(A4648,[1]!DadosGHD[CD_GEOCMU],[1]!DadosGHD[uf])</f>
        <v>SP</v>
      </c>
      <c r="E4648" s="5" t="str">
        <f>_xlfn.XLOOKUP(A4648,[1]!DadosGHD[CD_GEOCMU],[1]!DadosGHD[MUNICIPIO])</f>
        <v>CAMPOS DO JORDAO</v>
      </c>
      <c r="F4648" s="6">
        <v>53.638141632080099</v>
      </c>
      <c r="G4648" s="6">
        <v>48.735443115234403</v>
      </c>
      <c r="H4648" s="6">
        <v>48.724910736083999</v>
      </c>
      <c r="I4648" s="6">
        <v>43.785415649414098</v>
      </c>
      <c r="J4648" s="6">
        <v>43.770534515380902</v>
      </c>
      <c r="K4648" s="6">
        <v>43.775550842285199</v>
      </c>
      <c r="L4648" s="6">
        <v>48.547988891601598</v>
      </c>
    </row>
    <row r="4649" spans="1:12" x14ac:dyDescent="0.25">
      <c r="A4649">
        <v>5207600</v>
      </c>
      <c r="B4649" t="str">
        <f t="shared" si="72"/>
        <v>FAZENDA NOVA, GO, Brasil</v>
      </c>
      <c r="C4649" s="4" t="str">
        <f>_xlfn.XLOOKUP(A4649,[1]!DadosGHD[CD_GEOCMU],[1]!DadosGHD[Região])</f>
        <v>CO</v>
      </c>
      <c r="D4649" s="4" t="str">
        <f>_xlfn.XLOOKUP(A4649,[1]!DadosGHD[CD_GEOCMU],[1]!DadosGHD[uf])</f>
        <v>GO</v>
      </c>
      <c r="E4649" s="5" t="str">
        <f>_xlfn.XLOOKUP(A4649,[1]!DadosGHD[CD_GEOCMU],[1]!DadosGHD[MUNICIPIO])</f>
        <v>FAZENDA NOVA</v>
      </c>
      <c r="F4649" s="6">
        <v>53.638214111328097</v>
      </c>
      <c r="G4649" s="6">
        <v>53.750907897949197</v>
      </c>
      <c r="H4649" s="6">
        <v>58.831943511962898</v>
      </c>
      <c r="I4649" s="6">
        <v>58.921234130859403</v>
      </c>
      <c r="J4649" s="6">
        <v>58.958251953125</v>
      </c>
      <c r="K4649" s="6">
        <v>64.100311279296903</v>
      </c>
      <c r="L4649" s="6">
        <v>39.5926704406738</v>
      </c>
    </row>
    <row r="4650" spans="1:12" x14ac:dyDescent="0.25">
      <c r="A4650">
        <v>4313805</v>
      </c>
      <c r="B4650" t="str">
        <f t="shared" si="72"/>
        <v>PALMITINHO, RS, Brasil</v>
      </c>
      <c r="C4650" s="4" t="str">
        <f>_xlfn.XLOOKUP(A4650,[1]!DadosGHD[CD_GEOCMU],[1]!DadosGHD[Região])</f>
        <v>SL</v>
      </c>
      <c r="D4650" s="4" t="str">
        <f>_xlfn.XLOOKUP(A4650,[1]!DadosGHD[CD_GEOCMU],[1]!DadosGHD[uf])</f>
        <v>RS</v>
      </c>
      <c r="E4650" s="5" t="str">
        <f>_xlfn.XLOOKUP(A4650,[1]!DadosGHD[CD_GEOCMU],[1]!DadosGHD[MUNICIPIO])</f>
        <v>PALMITINHO</v>
      </c>
      <c r="F4650" s="6">
        <v>53.638469696044901</v>
      </c>
      <c r="G4650" s="6">
        <v>53.784984588623097</v>
      </c>
      <c r="H4650" s="6">
        <v>53.881332397460902</v>
      </c>
      <c r="I4650" s="6">
        <v>58.793800354003899</v>
      </c>
      <c r="J4650" s="6">
        <v>58.810958862304702</v>
      </c>
      <c r="K4650" s="6">
        <v>53.9100151062012</v>
      </c>
      <c r="L4650" s="6">
        <v>44.016799926757798</v>
      </c>
    </row>
    <row r="4651" spans="1:12" x14ac:dyDescent="0.25">
      <c r="A4651">
        <v>3544400</v>
      </c>
      <c r="B4651" t="str">
        <f t="shared" si="72"/>
        <v>RUBIACEA, SP, Brasil</v>
      </c>
      <c r="C4651" s="4" t="str">
        <f>_xlfn.XLOOKUP(A4651,[1]!DadosGHD[CD_GEOCMU],[1]!DadosGHD[Região])</f>
        <v>SD</v>
      </c>
      <c r="D4651" s="4" t="str">
        <f>_xlfn.XLOOKUP(A4651,[1]!DadosGHD[CD_GEOCMU],[1]!DadosGHD[uf])</f>
        <v>SP</v>
      </c>
      <c r="E4651" s="5" t="str">
        <f>_xlfn.XLOOKUP(A4651,[1]!DadosGHD[CD_GEOCMU],[1]!DadosGHD[MUNICIPIO])</f>
        <v>RUBIACEA</v>
      </c>
      <c r="F4651" s="6">
        <v>53.638717651367202</v>
      </c>
      <c r="G4651" s="6">
        <v>48.636680603027301</v>
      </c>
      <c r="H4651" s="6">
        <v>43.812633514404297</v>
      </c>
      <c r="I4651" s="6">
        <v>48.687294006347699</v>
      </c>
      <c r="J4651" s="6">
        <v>48.766071319580099</v>
      </c>
      <c r="K4651" s="6">
        <v>48.858406066894503</v>
      </c>
      <c r="L4651" s="6">
        <v>53.030410766601598</v>
      </c>
    </row>
    <row r="4652" spans="1:12" x14ac:dyDescent="0.25">
      <c r="A4652">
        <v>4314506</v>
      </c>
      <c r="B4652" t="str">
        <f t="shared" si="72"/>
        <v>PINHEIRO MACHADO, RS, Brasil</v>
      </c>
      <c r="C4652" s="4" t="str">
        <f>_xlfn.XLOOKUP(A4652,[1]!DadosGHD[CD_GEOCMU],[1]!DadosGHD[Região])</f>
        <v>SL</v>
      </c>
      <c r="D4652" s="4" t="str">
        <f>_xlfn.XLOOKUP(A4652,[1]!DadosGHD[CD_GEOCMU],[1]!DadosGHD[uf])</f>
        <v>RS</v>
      </c>
      <c r="E4652" s="5" t="str">
        <f>_xlfn.XLOOKUP(A4652,[1]!DadosGHD[CD_GEOCMU],[1]!DadosGHD[MUNICIPIO])</f>
        <v>PINHEIRO MACHADO</v>
      </c>
      <c r="F4652" s="6">
        <v>53.638916015625</v>
      </c>
      <c r="G4652" s="6">
        <v>53.752006530761697</v>
      </c>
      <c r="H4652" s="6">
        <v>53.896377563476598</v>
      </c>
      <c r="I4652" s="6">
        <v>58.801681518554702</v>
      </c>
      <c r="J4652" s="6">
        <v>53.804710388183601</v>
      </c>
      <c r="K4652" s="6">
        <v>53.9312744140625</v>
      </c>
      <c r="L4652" s="6">
        <v>48.556476593017599</v>
      </c>
    </row>
    <row r="4653" spans="1:12" x14ac:dyDescent="0.25">
      <c r="A4653">
        <v>4206405</v>
      </c>
      <c r="B4653" t="str">
        <f t="shared" si="72"/>
        <v>GUARACIABA, SC, Brasil</v>
      </c>
      <c r="C4653" s="4" t="str">
        <f>_xlfn.XLOOKUP(A4653,[1]!DadosGHD[CD_GEOCMU],[1]!DadosGHD[Região])</f>
        <v>SL</v>
      </c>
      <c r="D4653" s="4" t="str">
        <f>_xlfn.XLOOKUP(A4653,[1]!DadosGHD[CD_GEOCMU],[1]!DadosGHD[uf])</f>
        <v>SC</v>
      </c>
      <c r="E4653" s="5" t="str">
        <f>_xlfn.XLOOKUP(A4653,[1]!DadosGHD[CD_GEOCMU],[1]!DadosGHD[MUNICIPIO])</f>
        <v>GUARACIABA</v>
      </c>
      <c r="F4653" s="6">
        <v>53.638957977294901</v>
      </c>
      <c r="G4653" s="6">
        <v>58.738166809082003</v>
      </c>
      <c r="H4653" s="6">
        <v>53.885547637939503</v>
      </c>
      <c r="I4653" s="6">
        <v>53.843250274658203</v>
      </c>
      <c r="J4653" s="6">
        <v>58.947761535644503</v>
      </c>
      <c r="K4653" s="6">
        <v>64.109115600585895</v>
      </c>
      <c r="L4653" s="6">
        <v>57.589881896972699</v>
      </c>
    </row>
    <row r="4654" spans="1:12" x14ac:dyDescent="0.25">
      <c r="A4654">
        <v>4202602</v>
      </c>
      <c r="B4654" t="str">
        <f t="shared" si="72"/>
        <v>BOM RETIRO, SC, Brasil</v>
      </c>
      <c r="C4654" s="4" t="str">
        <f>_xlfn.XLOOKUP(A4654,[1]!DadosGHD[CD_GEOCMU],[1]!DadosGHD[Região])</f>
        <v>SL</v>
      </c>
      <c r="D4654" s="4" t="str">
        <f>_xlfn.XLOOKUP(A4654,[1]!DadosGHD[CD_GEOCMU],[1]!DadosGHD[uf])</f>
        <v>SC</v>
      </c>
      <c r="E4654" s="5" t="str">
        <f>_xlfn.XLOOKUP(A4654,[1]!DadosGHD[CD_GEOCMU],[1]!DadosGHD[MUNICIPIO])</f>
        <v>BOM RETIRO</v>
      </c>
      <c r="F4654" s="6">
        <v>53.6392822265625</v>
      </c>
      <c r="G4654" s="6">
        <v>53.761096954345703</v>
      </c>
      <c r="H4654" s="6">
        <v>53.767490386962898</v>
      </c>
      <c r="I4654" s="6">
        <v>53.729953765869098</v>
      </c>
      <c r="J4654" s="6">
        <v>58.812324523925803</v>
      </c>
      <c r="K4654" s="6">
        <v>48.843318939208999</v>
      </c>
      <c r="L4654" s="6">
        <v>53.028846740722699</v>
      </c>
    </row>
    <row r="4655" spans="1:12" x14ac:dyDescent="0.25">
      <c r="A4655">
        <v>4205100</v>
      </c>
      <c r="B4655" t="str">
        <f t="shared" si="72"/>
        <v>DONA EMMA, SC, Brasil</v>
      </c>
      <c r="C4655" s="4" t="str">
        <f>_xlfn.XLOOKUP(A4655,[1]!DadosGHD[CD_GEOCMU],[1]!DadosGHD[Região])</f>
        <v>SL</v>
      </c>
      <c r="D4655" s="4" t="str">
        <f>_xlfn.XLOOKUP(A4655,[1]!DadosGHD[CD_GEOCMU],[1]!DadosGHD[uf])</f>
        <v>SC</v>
      </c>
      <c r="E4655" s="5" t="str">
        <f>_xlfn.XLOOKUP(A4655,[1]!DadosGHD[CD_GEOCMU],[1]!DadosGHD[MUNICIPIO])</f>
        <v>DONA EMMA</v>
      </c>
      <c r="F4655" s="6">
        <v>53.639347076416001</v>
      </c>
      <c r="G4655" s="6">
        <v>43.708003997802699</v>
      </c>
      <c r="H4655" s="6">
        <v>43.742057800292997</v>
      </c>
      <c r="I4655" s="6">
        <v>53.8005561828613</v>
      </c>
      <c r="J4655" s="6">
        <v>53.845222473144503</v>
      </c>
      <c r="K4655" s="6">
        <v>53.886631011962898</v>
      </c>
      <c r="L4655" s="6">
        <v>48.504432678222699</v>
      </c>
    </row>
    <row r="4656" spans="1:12" x14ac:dyDescent="0.25">
      <c r="A4656">
        <v>4108809</v>
      </c>
      <c r="B4656" t="str">
        <f t="shared" si="72"/>
        <v>GUAIRA, PR, Brasil</v>
      </c>
      <c r="C4656" s="4" t="str">
        <f>_xlfn.XLOOKUP(A4656,[1]!DadosGHD[CD_GEOCMU],[1]!DadosGHD[Região])</f>
        <v>SL</v>
      </c>
      <c r="D4656" s="4" t="str">
        <f>_xlfn.XLOOKUP(A4656,[1]!DadosGHD[CD_GEOCMU],[1]!DadosGHD[uf])</f>
        <v>PR</v>
      </c>
      <c r="E4656" s="5" t="str">
        <f>_xlfn.XLOOKUP(A4656,[1]!DadosGHD[CD_GEOCMU],[1]!DadosGHD[MUNICIPIO])</f>
        <v>GUAIRA</v>
      </c>
      <c r="F4656" s="6">
        <v>53.639816284179702</v>
      </c>
      <c r="G4656" s="6">
        <v>53.722835540771499</v>
      </c>
      <c r="H4656" s="6">
        <v>53.881031036377003</v>
      </c>
      <c r="I4656" s="6">
        <v>58.834228515625</v>
      </c>
      <c r="J4656" s="6">
        <v>58.825965881347699</v>
      </c>
      <c r="K4656" s="6">
        <v>53.815830230712898</v>
      </c>
      <c r="L4656" s="6">
        <v>52.984405517578097</v>
      </c>
    </row>
    <row r="4657" spans="1:12" x14ac:dyDescent="0.25">
      <c r="A4657">
        <v>4101408</v>
      </c>
      <c r="B4657" t="str">
        <f t="shared" si="72"/>
        <v>APUCARANA, PR, Brasil</v>
      </c>
      <c r="C4657" s="4" t="str">
        <f>_xlfn.XLOOKUP(A4657,[1]!DadosGHD[CD_GEOCMU],[1]!DadosGHD[Região])</f>
        <v>SL</v>
      </c>
      <c r="D4657" s="4" t="str">
        <f>_xlfn.XLOOKUP(A4657,[1]!DadosGHD[CD_GEOCMU],[1]!DadosGHD[uf])</f>
        <v>PR</v>
      </c>
      <c r="E4657" s="5" t="str">
        <f>_xlfn.XLOOKUP(A4657,[1]!DadosGHD[CD_GEOCMU],[1]!DadosGHD[MUNICIPIO])</f>
        <v>APUCARANA</v>
      </c>
      <c r="F4657" s="6">
        <v>53.640148162841797</v>
      </c>
      <c r="G4657" s="6">
        <v>53.746952056884801</v>
      </c>
      <c r="H4657" s="6">
        <v>53.826171875</v>
      </c>
      <c r="I4657" s="6">
        <v>53.822921752929702</v>
      </c>
      <c r="J4657" s="6">
        <v>53.837173461914098</v>
      </c>
      <c r="K4657" s="6">
        <v>53.843685150146499</v>
      </c>
      <c r="L4657" s="6">
        <v>53.040454864502003</v>
      </c>
    </row>
    <row r="4658" spans="1:12" x14ac:dyDescent="0.25">
      <c r="A4658">
        <v>3528908</v>
      </c>
      <c r="B4658" t="str">
        <f t="shared" si="72"/>
        <v>MARIAPOLIS, SP, Brasil</v>
      </c>
      <c r="C4658" s="4" t="str">
        <f>_xlfn.XLOOKUP(A4658,[1]!DadosGHD[CD_GEOCMU],[1]!DadosGHD[Região])</f>
        <v>SD</v>
      </c>
      <c r="D4658" s="4" t="str">
        <f>_xlfn.XLOOKUP(A4658,[1]!DadosGHD[CD_GEOCMU],[1]!DadosGHD[uf])</f>
        <v>SP</v>
      </c>
      <c r="E4658" s="5" t="str">
        <f>_xlfn.XLOOKUP(A4658,[1]!DadosGHD[CD_GEOCMU],[1]!DadosGHD[MUNICIPIO])</f>
        <v>MARIAPOLIS</v>
      </c>
      <c r="F4658" s="6">
        <v>53.640342712402301</v>
      </c>
      <c r="G4658" s="6">
        <v>43.763832092285199</v>
      </c>
      <c r="H4658" s="6">
        <v>43.742172241210902</v>
      </c>
      <c r="I4658" s="6">
        <v>43.689525604248097</v>
      </c>
      <c r="J4658" s="6">
        <v>38.822639465332003</v>
      </c>
      <c r="K4658" s="6">
        <v>43.839466094970703</v>
      </c>
      <c r="L4658" s="6">
        <v>53.049915313720703</v>
      </c>
    </row>
    <row r="4659" spans="1:12" x14ac:dyDescent="0.25">
      <c r="A4659">
        <v>4200903</v>
      </c>
      <c r="B4659" t="str">
        <f t="shared" si="72"/>
        <v>ANGELINA, SC, Brasil</v>
      </c>
      <c r="C4659" s="4" t="str">
        <f>_xlfn.XLOOKUP(A4659,[1]!DadosGHD[CD_GEOCMU],[1]!DadosGHD[Região])</f>
        <v>SL</v>
      </c>
      <c r="D4659" s="4" t="str">
        <f>_xlfn.XLOOKUP(A4659,[1]!DadosGHD[CD_GEOCMU],[1]!DadosGHD[uf])</f>
        <v>SC</v>
      </c>
      <c r="E4659" s="5" t="str">
        <f>_xlfn.XLOOKUP(A4659,[1]!DadosGHD[CD_GEOCMU],[1]!DadosGHD[MUNICIPIO])</f>
        <v>ANGELINA</v>
      </c>
      <c r="F4659" s="6">
        <v>53.640529632568402</v>
      </c>
      <c r="G4659" s="6">
        <v>53.716480255127003</v>
      </c>
      <c r="H4659" s="6">
        <v>48.8535346984863</v>
      </c>
      <c r="I4659" s="6">
        <v>53.775215148925803</v>
      </c>
      <c r="J4659" s="6">
        <v>64.039611816406307</v>
      </c>
      <c r="K4659" s="6">
        <v>64.13623046875</v>
      </c>
      <c r="L4659" s="6">
        <v>57.589881896972699</v>
      </c>
    </row>
    <row r="4660" spans="1:12" x14ac:dyDescent="0.25">
      <c r="A4660">
        <v>4302303</v>
      </c>
      <c r="B4660" t="str">
        <f t="shared" si="72"/>
        <v>BOM JESUS, RS, Brasil</v>
      </c>
      <c r="C4660" s="4" t="str">
        <f>_xlfn.XLOOKUP(A4660,[1]!DadosGHD[CD_GEOCMU],[1]!DadosGHD[Região])</f>
        <v>SL</v>
      </c>
      <c r="D4660" s="4" t="str">
        <f>_xlfn.XLOOKUP(A4660,[1]!DadosGHD[CD_GEOCMU],[1]!DadosGHD[uf])</f>
        <v>RS</v>
      </c>
      <c r="E4660" s="5" t="str">
        <f>_xlfn.XLOOKUP(A4660,[1]!DadosGHD[CD_GEOCMU],[1]!DadosGHD[MUNICIPIO])</f>
        <v>BOM JESUS</v>
      </c>
      <c r="F4660" s="6">
        <v>53.640827178955099</v>
      </c>
      <c r="G4660" s="6">
        <v>58.724266052246101</v>
      </c>
      <c r="H4660" s="6">
        <v>58.968315124511697</v>
      </c>
      <c r="I4660" s="6">
        <v>64.000221252441406</v>
      </c>
      <c r="J4660" s="6">
        <v>64.039611816406307</v>
      </c>
      <c r="K4660" s="6">
        <v>64.115219116210895</v>
      </c>
      <c r="L4660" s="6">
        <v>52.982486724853501</v>
      </c>
    </row>
    <row r="4661" spans="1:12" x14ac:dyDescent="0.25">
      <c r="A4661">
        <v>3550704</v>
      </c>
      <c r="B4661" t="str">
        <f t="shared" si="72"/>
        <v>SAO SEBASTIAO, SP, Brasil</v>
      </c>
      <c r="C4661" s="4" t="str">
        <f>_xlfn.XLOOKUP(A4661,[1]!DadosGHD[CD_GEOCMU],[1]!DadosGHD[Região])</f>
        <v>SD</v>
      </c>
      <c r="D4661" s="4" t="str">
        <f>_xlfn.XLOOKUP(A4661,[1]!DadosGHD[CD_GEOCMU],[1]!DadosGHD[uf])</f>
        <v>SP</v>
      </c>
      <c r="E4661" s="5" t="str">
        <f>_xlfn.XLOOKUP(A4661,[1]!DadosGHD[CD_GEOCMU],[1]!DadosGHD[MUNICIPIO])</f>
        <v>SAO SEBASTIAO</v>
      </c>
      <c r="F4661" s="6">
        <v>53.641201019287102</v>
      </c>
      <c r="G4661" s="6">
        <v>53.716487884521499</v>
      </c>
      <c r="H4661" s="6">
        <v>48.814548492431598</v>
      </c>
      <c r="I4661" s="6">
        <v>48.712963104248097</v>
      </c>
      <c r="J4661" s="6">
        <v>43.791839599609403</v>
      </c>
      <c r="K4661" s="6">
        <v>48.8880424499512</v>
      </c>
      <c r="L4661" s="6">
        <v>57.543037414550803</v>
      </c>
    </row>
    <row r="4662" spans="1:12" x14ac:dyDescent="0.25">
      <c r="A4662">
        <v>3119302</v>
      </c>
      <c r="B4662" t="str">
        <f t="shared" si="72"/>
        <v>COROMANDEL, MG, Brasil</v>
      </c>
      <c r="C4662" s="4" t="str">
        <f>_xlfn.XLOOKUP(A4662,[1]!DadosGHD[CD_GEOCMU],[1]!DadosGHD[Região])</f>
        <v>SD</v>
      </c>
      <c r="D4662" s="4" t="str">
        <f>_xlfn.XLOOKUP(A4662,[1]!DadosGHD[CD_GEOCMU],[1]!DadosGHD[uf])</f>
        <v>MG</v>
      </c>
      <c r="E4662" s="5" t="str">
        <f>_xlfn.XLOOKUP(A4662,[1]!DadosGHD[CD_GEOCMU],[1]!DadosGHD[MUNICIPIO])</f>
        <v>COROMANDEL</v>
      </c>
      <c r="F4662" s="6">
        <v>53.641273498535199</v>
      </c>
      <c r="G4662" s="6">
        <v>58.767684936523402</v>
      </c>
      <c r="H4662" s="6">
        <v>58.870006561279297</v>
      </c>
      <c r="I4662" s="6">
        <v>58.922451019287102</v>
      </c>
      <c r="J4662" s="6">
        <v>58.940345764160199</v>
      </c>
      <c r="K4662" s="6">
        <v>59.017910003662102</v>
      </c>
      <c r="L4662" s="6">
        <v>48.532333374023402</v>
      </c>
    </row>
    <row r="4663" spans="1:12" x14ac:dyDescent="0.25">
      <c r="A4663">
        <v>4202107</v>
      </c>
      <c r="B4663" t="str">
        <f t="shared" si="72"/>
        <v>BARRA VELHA, SC, Brasil</v>
      </c>
      <c r="C4663" s="4" t="str">
        <f>_xlfn.XLOOKUP(A4663,[1]!DadosGHD[CD_GEOCMU],[1]!DadosGHD[Região])</f>
        <v>SL</v>
      </c>
      <c r="D4663" s="4" t="str">
        <f>_xlfn.XLOOKUP(A4663,[1]!DadosGHD[CD_GEOCMU],[1]!DadosGHD[uf])</f>
        <v>SC</v>
      </c>
      <c r="E4663" s="5" t="str">
        <f>_xlfn.XLOOKUP(A4663,[1]!DadosGHD[CD_GEOCMU],[1]!DadosGHD[MUNICIPIO])</f>
        <v>BARRA VELHA</v>
      </c>
      <c r="F4663" s="6">
        <v>53.641323089599602</v>
      </c>
      <c r="G4663" s="6">
        <v>58.716300964355497</v>
      </c>
      <c r="H4663" s="6">
        <v>58.934558868408203</v>
      </c>
      <c r="I4663" s="6">
        <v>58.878040313720703</v>
      </c>
      <c r="J4663" s="6">
        <v>58.942836761474602</v>
      </c>
      <c r="K4663" s="6">
        <v>59.027259826660199</v>
      </c>
      <c r="L4663" s="6">
        <v>57.5677490234375</v>
      </c>
    </row>
    <row r="4664" spans="1:12" x14ac:dyDescent="0.25">
      <c r="A4664">
        <v>4311205</v>
      </c>
      <c r="B4664" t="str">
        <f t="shared" si="72"/>
        <v>JULIO DE CASTILHOS, RS, Brasil</v>
      </c>
      <c r="C4664" s="4" t="str">
        <f>_xlfn.XLOOKUP(A4664,[1]!DadosGHD[CD_GEOCMU],[1]!DadosGHD[Região])</f>
        <v>SL</v>
      </c>
      <c r="D4664" s="4" t="str">
        <f>_xlfn.XLOOKUP(A4664,[1]!DadosGHD[CD_GEOCMU],[1]!DadosGHD[uf])</f>
        <v>RS</v>
      </c>
      <c r="E4664" s="5" t="str">
        <f>_xlfn.XLOOKUP(A4664,[1]!DadosGHD[CD_GEOCMU],[1]!DadosGHD[MUNICIPIO])</f>
        <v>JULIO DE CASTILHOS</v>
      </c>
      <c r="F4664" s="6">
        <v>53.6414604187012</v>
      </c>
      <c r="G4664" s="6">
        <v>53.7972221374512</v>
      </c>
      <c r="H4664" s="6">
        <v>58.928516387939503</v>
      </c>
      <c r="I4664" s="6">
        <v>58.893524169921903</v>
      </c>
      <c r="J4664" s="6">
        <v>58.936737060546903</v>
      </c>
      <c r="K4664" s="6">
        <v>58.9688911437988</v>
      </c>
      <c r="L4664" s="6">
        <v>57.529636383056598</v>
      </c>
    </row>
    <row r="4665" spans="1:12" x14ac:dyDescent="0.25">
      <c r="A4665">
        <v>4317905</v>
      </c>
      <c r="B4665" t="str">
        <f t="shared" si="72"/>
        <v>SANTO CRISTO, RS, Brasil</v>
      </c>
      <c r="C4665" s="4" t="str">
        <f>_xlfn.XLOOKUP(A4665,[1]!DadosGHD[CD_GEOCMU],[1]!DadosGHD[Região])</f>
        <v>SL</v>
      </c>
      <c r="D4665" s="4" t="str">
        <f>_xlfn.XLOOKUP(A4665,[1]!DadosGHD[CD_GEOCMU],[1]!DadosGHD[uf])</f>
        <v>RS</v>
      </c>
      <c r="E4665" s="5" t="str">
        <f>_xlfn.XLOOKUP(A4665,[1]!DadosGHD[CD_GEOCMU],[1]!DadosGHD[MUNICIPIO])</f>
        <v>SANTO CRISTO</v>
      </c>
      <c r="F4665" s="6">
        <v>53.641632080078097</v>
      </c>
      <c r="G4665" s="6">
        <v>53.793251037597699</v>
      </c>
      <c r="H4665" s="6">
        <v>58.842208862304702</v>
      </c>
      <c r="I4665" s="6">
        <v>58.914474487304702</v>
      </c>
      <c r="J4665" s="6">
        <v>58.900863647460902</v>
      </c>
      <c r="K4665" s="6">
        <v>59.086891174316399</v>
      </c>
      <c r="L4665" s="6">
        <v>53.000682830810597</v>
      </c>
    </row>
    <row r="4666" spans="1:12" x14ac:dyDescent="0.25">
      <c r="A4666">
        <v>3505005</v>
      </c>
      <c r="B4666" t="str">
        <f t="shared" si="72"/>
        <v>BARAO DE ANTONINA, SP, Brasil</v>
      </c>
      <c r="C4666" s="4" t="str">
        <f>_xlfn.XLOOKUP(A4666,[1]!DadosGHD[CD_GEOCMU],[1]!DadosGHD[Região])</f>
        <v>SD</v>
      </c>
      <c r="D4666" s="4" t="str">
        <f>_xlfn.XLOOKUP(A4666,[1]!DadosGHD[CD_GEOCMU],[1]!DadosGHD[uf])</f>
        <v>SP</v>
      </c>
      <c r="E4666" s="5" t="str">
        <f>_xlfn.XLOOKUP(A4666,[1]!DadosGHD[CD_GEOCMU],[1]!DadosGHD[MUNICIPIO])</f>
        <v>BARAO DE ANTONINA</v>
      </c>
      <c r="F4666" s="6">
        <v>53.641975402832003</v>
      </c>
      <c r="G4666" s="6">
        <v>53.655765533447301</v>
      </c>
      <c r="H4666" s="6">
        <v>48.821784973144503</v>
      </c>
      <c r="I4666" s="6">
        <v>48.769542694091797</v>
      </c>
      <c r="J4666" s="6">
        <v>48.722141265869098</v>
      </c>
      <c r="K4666" s="6">
        <v>38.856880187988303</v>
      </c>
      <c r="L4666" s="6">
        <v>48.5109252929688</v>
      </c>
    </row>
    <row r="4667" spans="1:12" x14ac:dyDescent="0.25">
      <c r="A4667">
        <v>3303104</v>
      </c>
      <c r="B4667" t="str">
        <f t="shared" si="72"/>
        <v>NATIVIDADE, RJ, Brasil</v>
      </c>
      <c r="C4667" s="4" t="str">
        <f>_xlfn.XLOOKUP(A4667,[1]!DadosGHD[CD_GEOCMU],[1]!DadosGHD[Região])</f>
        <v>SD</v>
      </c>
      <c r="D4667" s="4" t="str">
        <f>_xlfn.XLOOKUP(A4667,[1]!DadosGHD[CD_GEOCMU],[1]!DadosGHD[uf])</f>
        <v>RJ</v>
      </c>
      <c r="E4667" s="5" t="str">
        <f>_xlfn.XLOOKUP(A4667,[1]!DadosGHD[CD_GEOCMU],[1]!DadosGHD[MUNICIPIO])</f>
        <v>NATIVIDADE</v>
      </c>
      <c r="F4667" s="6">
        <v>53.642009735107401</v>
      </c>
      <c r="G4667" s="6">
        <v>48.771198272705099</v>
      </c>
      <c r="H4667" s="6">
        <v>48.813182830810597</v>
      </c>
      <c r="I4667" s="6">
        <v>48.819286346435597</v>
      </c>
      <c r="J4667" s="6">
        <v>43.814773559570298</v>
      </c>
      <c r="K4667" s="6">
        <v>48.835350036621101</v>
      </c>
      <c r="L4667" s="6">
        <v>39.558589935302699</v>
      </c>
    </row>
    <row r="4668" spans="1:12" x14ac:dyDescent="0.25">
      <c r="A4668">
        <v>3543600</v>
      </c>
      <c r="B4668" t="str">
        <f t="shared" si="72"/>
        <v>RIFAINA, SP, Brasil</v>
      </c>
      <c r="C4668" s="4" t="str">
        <f>_xlfn.XLOOKUP(A4668,[1]!DadosGHD[CD_GEOCMU],[1]!DadosGHD[Região])</f>
        <v>SD</v>
      </c>
      <c r="D4668" s="4" t="str">
        <f>_xlfn.XLOOKUP(A4668,[1]!DadosGHD[CD_GEOCMU],[1]!DadosGHD[uf])</f>
        <v>SP</v>
      </c>
      <c r="E4668" s="5" t="str">
        <f>_xlfn.XLOOKUP(A4668,[1]!DadosGHD[CD_GEOCMU],[1]!DadosGHD[MUNICIPIO])</f>
        <v>RIFAINA</v>
      </c>
      <c r="F4668" s="6">
        <v>53.642044067382798</v>
      </c>
      <c r="G4668" s="6">
        <v>43.641529083252003</v>
      </c>
      <c r="H4668" s="6">
        <v>38.827133178710902</v>
      </c>
      <c r="I4668" s="6">
        <v>43.679145812988303</v>
      </c>
      <c r="J4668" s="6">
        <v>53.829196929931598</v>
      </c>
      <c r="K4668" s="6">
        <v>58.964546203613303</v>
      </c>
      <c r="L4668" s="6">
        <v>57.589881896972699</v>
      </c>
    </row>
    <row r="4669" spans="1:12" x14ac:dyDescent="0.25">
      <c r="A4669">
        <v>3505906</v>
      </c>
      <c r="B4669" t="str">
        <f t="shared" si="72"/>
        <v>BATATAIS, SP, Brasil</v>
      </c>
      <c r="C4669" s="4" t="str">
        <f>_xlfn.XLOOKUP(A4669,[1]!DadosGHD[CD_GEOCMU],[1]!DadosGHD[Região])</f>
        <v>SD</v>
      </c>
      <c r="D4669" s="4" t="str">
        <f>_xlfn.XLOOKUP(A4669,[1]!DadosGHD[CD_GEOCMU],[1]!DadosGHD[uf])</f>
        <v>SP</v>
      </c>
      <c r="E4669" s="5" t="str">
        <f>_xlfn.XLOOKUP(A4669,[1]!DadosGHD[CD_GEOCMU],[1]!DadosGHD[MUNICIPIO])</f>
        <v>BATATAIS</v>
      </c>
      <c r="F4669" s="6">
        <v>53.642463684082003</v>
      </c>
      <c r="G4669" s="6">
        <v>53.7325439453125</v>
      </c>
      <c r="H4669" s="6">
        <v>48.856517791748097</v>
      </c>
      <c r="I4669" s="6">
        <v>48.766696929931598</v>
      </c>
      <c r="J4669" s="6">
        <v>53.757526397705099</v>
      </c>
      <c r="K4669" s="6">
        <v>53.950099945068402</v>
      </c>
      <c r="L4669" s="6">
        <v>57.570350646972699</v>
      </c>
    </row>
    <row r="4670" spans="1:12" x14ac:dyDescent="0.25">
      <c r="A4670">
        <v>3144706</v>
      </c>
      <c r="B4670" t="str">
        <f t="shared" si="72"/>
        <v>NOVA ERA, MG, Brasil</v>
      </c>
      <c r="C4670" s="4" t="str">
        <f>_xlfn.XLOOKUP(A4670,[1]!DadosGHD[CD_GEOCMU],[1]!DadosGHD[Região])</f>
        <v>SD</v>
      </c>
      <c r="D4670" s="4" t="str">
        <f>_xlfn.XLOOKUP(A4670,[1]!DadosGHD[CD_GEOCMU],[1]!DadosGHD[uf])</f>
        <v>MG</v>
      </c>
      <c r="E4670" s="5" t="str">
        <f>_xlfn.XLOOKUP(A4670,[1]!DadosGHD[CD_GEOCMU],[1]!DadosGHD[MUNICIPIO])</f>
        <v>NOVA ERA</v>
      </c>
      <c r="F4670" s="6">
        <v>53.642547607421903</v>
      </c>
      <c r="G4670" s="6">
        <v>53.7421264648438</v>
      </c>
      <c r="H4670" s="6">
        <v>53.838615417480497</v>
      </c>
      <c r="I4670" s="6">
        <v>53.808917999267599</v>
      </c>
      <c r="J4670" s="6">
        <v>53.875217437744098</v>
      </c>
      <c r="K4670" s="6">
        <v>53.9145698547363</v>
      </c>
      <c r="L4670" s="6">
        <v>52.992626190185597</v>
      </c>
    </row>
    <row r="4671" spans="1:12" x14ac:dyDescent="0.25">
      <c r="A4671">
        <v>4106605</v>
      </c>
      <c r="B4671" t="str">
        <f t="shared" si="72"/>
        <v>CRUZEIRO DO OESTE, PR, Brasil</v>
      </c>
      <c r="C4671" s="4" t="str">
        <f>_xlfn.XLOOKUP(A4671,[1]!DadosGHD[CD_GEOCMU],[1]!DadosGHD[Região])</f>
        <v>SL</v>
      </c>
      <c r="D4671" s="4" t="str">
        <f>_xlfn.XLOOKUP(A4671,[1]!DadosGHD[CD_GEOCMU],[1]!DadosGHD[uf])</f>
        <v>PR</v>
      </c>
      <c r="E4671" s="5" t="str">
        <f>_xlfn.XLOOKUP(A4671,[1]!DadosGHD[CD_GEOCMU],[1]!DadosGHD[MUNICIPIO])</f>
        <v>CRUZEIRO DO OESTE</v>
      </c>
      <c r="F4671" s="6">
        <v>53.642551422119098</v>
      </c>
      <c r="G4671" s="6">
        <v>53.759288787841797</v>
      </c>
      <c r="H4671" s="6">
        <v>53.855522155761697</v>
      </c>
      <c r="I4671" s="6">
        <v>53.861572265625</v>
      </c>
      <c r="J4671" s="6">
        <v>53.889957427978501</v>
      </c>
      <c r="K4671" s="6">
        <v>53.9599418640137</v>
      </c>
      <c r="L4671" s="6">
        <v>48.548038482666001</v>
      </c>
    </row>
    <row r="4672" spans="1:12" x14ac:dyDescent="0.25">
      <c r="A4672">
        <v>3506300</v>
      </c>
      <c r="B4672" t="str">
        <f t="shared" si="72"/>
        <v>BERNARDINO DE CAMPOS, SP, Brasil</v>
      </c>
      <c r="C4672" s="4" t="str">
        <f>_xlfn.XLOOKUP(A4672,[1]!DadosGHD[CD_GEOCMU],[1]!DadosGHD[Região])</f>
        <v>SD</v>
      </c>
      <c r="D4672" s="4" t="str">
        <f>_xlfn.XLOOKUP(A4672,[1]!DadosGHD[CD_GEOCMU],[1]!DadosGHD[uf])</f>
        <v>SP</v>
      </c>
      <c r="E4672" s="5" t="str">
        <f>_xlfn.XLOOKUP(A4672,[1]!DadosGHD[CD_GEOCMU],[1]!DadosGHD[MUNICIPIO])</f>
        <v>BERNARDINO DE CAMPOS</v>
      </c>
      <c r="F4672" s="6">
        <v>53.642795562744098</v>
      </c>
      <c r="G4672" s="6">
        <v>53.8013725280762</v>
      </c>
      <c r="H4672" s="6">
        <v>53.754432678222699</v>
      </c>
      <c r="I4672" s="6">
        <v>53.793487548828097</v>
      </c>
      <c r="J4672" s="6">
        <v>53.843563079833999</v>
      </c>
      <c r="K4672" s="6">
        <v>48.8901977539063</v>
      </c>
      <c r="L4672" s="6">
        <v>53.022716522216797</v>
      </c>
    </row>
    <row r="4673" spans="1:12" x14ac:dyDescent="0.25">
      <c r="A4673">
        <v>3113206</v>
      </c>
      <c r="B4673" t="str">
        <f t="shared" si="72"/>
        <v>CARANDAI, MG, Brasil</v>
      </c>
      <c r="C4673" s="4" t="str">
        <f>_xlfn.XLOOKUP(A4673,[1]!DadosGHD[CD_GEOCMU],[1]!DadosGHD[Região])</f>
        <v>SD</v>
      </c>
      <c r="D4673" s="4" t="str">
        <f>_xlfn.XLOOKUP(A4673,[1]!DadosGHD[CD_GEOCMU],[1]!DadosGHD[uf])</f>
        <v>MG</v>
      </c>
      <c r="E4673" s="5" t="str">
        <f>_xlfn.XLOOKUP(A4673,[1]!DadosGHD[CD_GEOCMU],[1]!DadosGHD[MUNICIPIO])</f>
        <v>CARANDAI</v>
      </c>
      <c r="F4673" s="6">
        <v>53.642807006835902</v>
      </c>
      <c r="G4673" s="6">
        <v>53.708820343017599</v>
      </c>
      <c r="H4673" s="6">
        <v>53.759815216064503</v>
      </c>
      <c r="I4673" s="6">
        <v>48.8096733093262</v>
      </c>
      <c r="J4673" s="6">
        <v>53.763931274414098</v>
      </c>
      <c r="K4673" s="6">
        <v>48.9055786132813</v>
      </c>
      <c r="L4673" s="6">
        <v>44.075363159179702</v>
      </c>
    </row>
    <row r="4674" spans="1:12" x14ac:dyDescent="0.25">
      <c r="A4674">
        <v>3535002</v>
      </c>
      <c r="B4674" t="str">
        <f t="shared" si="72"/>
        <v>PALESTINA, SP, Brasil</v>
      </c>
      <c r="C4674" s="4" t="str">
        <f>_xlfn.XLOOKUP(A4674,[1]!DadosGHD[CD_GEOCMU],[1]!DadosGHD[Região])</f>
        <v>SD</v>
      </c>
      <c r="D4674" s="4" t="str">
        <f>_xlfn.XLOOKUP(A4674,[1]!DadosGHD[CD_GEOCMU],[1]!DadosGHD[uf])</f>
        <v>SP</v>
      </c>
      <c r="E4674" s="5" t="str">
        <f>_xlfn.XLOOKUP(A4674,[1]!DadosGHD[CD_GEOCMU],[1]!DadosGHD[MUNICIPIO])</f>
        <v>PALESTINA</v>
      </c>
      <c r="F4674" s="6">
        <v>53.6429443359375</v>
      </c>
      <c r="G4674" s="6">
        <v>53.683921813964801</v>
      </c>
      <c r="H4674" s="6">
        <v>53.788597106933601</v>
      </c>
      <c r="I4674" s="6">
        <v>53.722866058349602</v>
      </c>
      <c r="J4674" s="6">
        <v>48.795925140380902</v>
      </c>
      <c r="K4674" s="6">
        <v>48.789516448974602</v>
      </c>
      <c r="L4674" s="6">
        <v>44.032943725585902</v>
      </c>
    </row>
    <row r="4675" spans="1:12" x14ac:dyDescent="0.25">
      <c r="A4675">
        <v>4307807</v>
      </c>
      <c r="B4675" t="str">
        <f t="shared" si="72"/>
        <v>ESTRELA, RS, Brasil</v>
      </c>
      <c r="C4675" s="4" t="str">
        <f>_xlfn.XLOOKUP(A4675,[1]!DadosGHD[CD_GEOCMU],[1]!DadosGHD[Região])</f>
        <v>SL</v>
      </c>
      <c r="D4675" s="4" t="str">
        <f>_xlfn.XLOOKUP(A4675,[1]!DadosGHD[CD_GEOCMU],[1]!DadosGHD[uf])</f>
        <v>RS</v>
      </c>
      <c r="E4675" s="5" t="str">
        <f>_xlfn.XLOOKUP(A4675,[1]!DadosGHD[CD_GEOCMU],[1]!DadosGHD[MUNICIPIO])</f>
        <v>ESTRELA</v>
      </c>
      <c r="F4675" s="6">
        <v>53.643310546875</v>
      </c>
      <c r="G4675" s="6">
        <v>53.691867828369098</v>
      </c>
      <c r="H4675" s="6">
        <v>53.870803833007798</v>
      </c>
      <c r="I4675" s="6">
        <v>58.9068603515625</v>
      </c>
      <c r="J4675" s="6">
        <v>58.874378204345703</v>
      </c>
      <c r="K4675" s="6">
        <v>53.862655639648402</v>
      </c>
      <c r="L4675" s="6">
        <v>53.061496734619098</v>
      </c>
    </row>
    <row r="4676" spans="1:12" x14ac:dyDescent="0.25">
      <c r="A4676">
        <v>4318002</v>
      </c>
      <c r="B4676" t="str">
        <f t="shared" ref="B4676:B4739" si="73">_xlfn.CONCAT(E4676, ", ", D4676, ", Brasil")</f>
        <v>SAO BORJA, RS, Brasil</v>
      </c>
      <c r="C4676" s="4" t="str">
        <f>_xlfn.XLOOKUP(A4676,[1]!DadosGHD[CD_GEOCMU],[1]!DadosGHD[Região])</f>
        <v>SL</v>
      </c>
      <c r="D4676" s="4" t="str">
        <f>_xlfn.XLOOKUP(A4676,[1]!DadosGHD[CD_GEOCMU],[1]!DadosGHD[uf])</f>
        <v>RS</v>
      </c>
      <c r="E4676" s="5" t="str">
        <f>_xlfn.XLOOKUP(A4676,[1]!DadosGHD[CD_GEOCMU],[1]!DadosGHD[MUNICIPIO])</f>
        <v>SAO BORJA</v>
      </c>
      <c r="F4676" s="6">
        <v>53.643455505371101</v>
      </c>
      <c r="G4676" s="6">
        <v>53.6837348937988</v>
      </c>
      <c r="H4676" s="6">
        <v>53.790199279785199</v>
      </c>
      <c r="I4676" s="6">
        <v>53.816986083984403</v>
      </c>
      <c r="J4676" s="6">
        <v>53.8837890625</v>
      </c>
      <c r="K4676" s="6">
        <v>53.873001098632798</v>
      </c>
      <c r="L4676" s="6">
        <v>53.035636901855497</v>
      </c>
    </row>
    <row r="4677" spans="1:12" x14ac:dyDescent="0.25">
      <c r="A4677">
        <v>3515608</v>
      </c>
      <c r="B4677" t="str">
        <f t="shared" si="73"/>
        <v>FERNANDO PRESTES, SP, Brasil</v>
      </c>
      <c r="C4677" s="4" t="str">
        <f>_xlfn.XLOOKUP(A4677,[1]!DadosGHD[CD_GEOCMU],[1]!DadosGHD[Região])</f>
        <v>SD</v>
      </c>
      <c r="D4677" s="4" t="str">
        <f>_xlfn.XLOOKUP(A4677,[1]!DadosGHD[CD_GEOCMU],[1]!DadosGHD[uf])</f>
        <v>SP</v>
      </c>
      <c r="E4677" s="5" t="str">
        <f>_xlfn.XLOOKUP(A4677,[1]!DadosGHD[CD_GEOCMU],[1]!DadosGHD[MUNICIPIO])</f>
        <v>FERNANDO PRESTES</v>
      </c>
      <c r="F4677" s="6">
        <v>53.643489837646499</v>
      </c>
      <c r="G4677" s="6">
        <v>48.725757598877003</v>
      </c>
      <c r="H4677" s="6">
        <v>48.774436950683601</v>
      </c>
      <c r="I4677" s="6">
        <v>48.723320007324197</v>
      </c>
      <c r="J4677" s="6">
        <v>48.730239868164098</v>
      </c>
      <c r="K4677" s="6">
        <v>48.802261352539098</v>
      </c>
      <c r="L4677" s="6">
        <v>44.036239624023402</v>
      </c>
    </row>
    <row r="4678" spans="1:12" x14ac:dyDescent="0.25">
      <c r="A4678">
        <v>3554300</v>
      </c>
      <c r="B4678" t="str">
        <f t="shared" si="73"/>
        <v>TEODORO SAMPAIO, SP, Brasil</v>
      </c>
      <c r="C4678" s="4" t="str">
        <f>_xlfn.XLOOKUP(A4678,[1]!DadosGHD[CD_GEOCMU],[1]!DadosGHD[Região])</f>
        <v>SD</v>
      </c>
      <c r="D4678" s="4" t="str">
        <f>_xlfn.XLOOKUP(A4678,[1]!DadosGHD[CD_GEOCMU],[1]!DadosGHD[uf])</f>
        <v>SP</v>
      </c>
      <c r="E4678" s="5" t="str">
        <f>_xlfn.XLOOKUP(A4678,[1]!DadosGHD[CD_GEOCMU],[1]!DadosGHD[MUNICIPIO])</f>
        <v>TEODORO SAMPAIO</v>
      </c>
      <c r="F4678" s="6">
        <v>53.6435737609863</v>
      </c>
      <c r="G4678" s="6">
        <v>53.742702484130902</v>
      </c>
      <c r="H4678" s="6">
        <v>53.785591125488303</v>
      </c>
      <c r="I4678" s="6">
        <v>53.721183776855497</v>
      </c>
      <c r="J4678" s="6">
        <v>53.730068206787102</v>
      </c>
      <c r="K4678" s="6">
        <v>48.804492950439503</v>
      </c>
      <c r="L4678" s="6">
        <v>35.153350830078097</v>
      </c>
    </row>
    <row r="4679" spans="1:12" x14ac:dyDescent="0.25">
      <c r="A4679">
        <v>4207007</v>
      </c>
      <c r="B4679" t="str">
        <f t="shared" si="73"/>
        <v>ICARA, SC, Brasil</v>
      </c>
      <c r="C4679" s="4" t="str">
        <f>_xlfn.XLOOKUP(A4679,[1]!DadosGHD[CD_GEOCMU],[1]!DadosGHD[Região])</f>
        <v>SL</v>
      </c>
      <c r="D4679" s="4" t="str">
        <f>_xlfn.XLOOKUP(A4679,[1]!DadosGHD[CD_GEOCMU],[1]!DadosGHD[uf])</f>
        <v>SC</v>
      </c>
      <c r="E4679" s="5" t="str">
        <f>_xlfn.XLOOKUP(A4679,[1]!DadosGHD[CD_GEOCMU],[1]!DadosGHD[MUNICIPIO])</f>
        <v>ICARA</v>
      </c>
      <c r="F4679" s="6">
        <v>53.644527435302699</v>
      </c>
      <c r="G4679" s="6">
        <v>53.747894287109403</v>
      </c>
      <c r="H4679" s="6">
        <v>53.8832817077637</v>
      </c>
      <c r="I4679" s="6">
        <v>53.773113250732401</v>
      </c>
      <c r="J4679" s="6">
        <v>53.795112609863303</v>
      </c>
      <c r="K4679" s="6">
        <v>48.911911010742202</v>
      </c>
      <c r="L4679" s="6">
        <v>48.505615234375</v>
      </c>
    </row>
    <row r="4680" spans="1:12" x14ac:dyDescent="0.25">
      <c r="A4680">
        <v>5103858</v>
      </c>
      <c r="B4680" t="str">
        <f t="shared" si="73"/>
        <v>GAUCHA DO NORTE, MT, Brasil</v>
      </c>
      <c r="C4680" s="4" t="str">
        <f>_xlfn.XLOOKUP(A4680,[1]!DadosGHD[CD_GEOCMU],[1]!DadosGHD[Região])</f>
        <v>CO</v>
      </c>
      <c r="D4680" s="4" t="str">
        <f>_xlfn.XLOOKUP(A4680,[1]!DadosGHD[CD_GEOCMU],[1]!DadosGHD[uf])</f>
        <v>MT</v>
      </c>
      <c r="E4680" s="5" t="str">
        <f>_xlfn.XLOOKUP(A4680,[1]!DadosGHD[CD_GEOCMU],[1]!DadosGHD[MUNICIPIO])</f>
        <v>GAUCHA DO NORTE</v>
      </c>
      <c r="F4680" s="6">
        <v>53.644744873046903</v>
      </c>
      <c r="G4680" s="6">
        <v>58.793159484863303</v>
      </c>
      <c r="H4680" s="6">
        <v>53.884830474853501</v>
      </c>
      <c r="I4680" s="6">
        <v>53.807399749755902</v>
      </c>
      <c r="J4680" s="6">
        <v>53.7864799499512</v>
      </c>
      <c r="K4680" s="6">
        <v>53.828941345214801</v>
      </c>
      <c r="L4680" s="6">
        <v>44.036975860595703</v>
      </c>
    </row>
    <row r="4681" spans="1:12" x14ac:dyDescent="0.25">
      <c r="A4681">
        <v>3524907</v>
      </c>
      <c r="B4681" t="str">
        <f t="shared" si="73"/>
        <v>JAMBEIRO, SP, Brasil</v>
      </c>
      <c r="C4681" s="4" t="str">
        <f>_xlfn.XLOOKUP(A4681,[1]!DadosGHD[CD_GEOCMU],[1]!DadosGHD[Região])</f>
        <v>SD</v>
      </c>
      <c r="D4681" s="4" t="str">
        <f>_xlfn.XLOOKUP(A4681,[1]!DadosGHD[CD_GEOCMU],[1]!DadosGHD[uf])</f>
        <v>SP</v>
      </c>
      <c r="E4681" s="5" t="str">
        <f>_xlfn.XLOOKUP(A4681,[1]!DadosGHD[CD_GEOCMU],[1]!DadosGHD[MUNICIPIO])</f>
        <v>JAMBEIRO</v>
      </c>
      <c r="F4681" s="6">
        <v>53.644985198974602</v>
      </c>
      <c r="G4681" s="6">
        <v>53.790199279785199</v>
      </c>
      <c r="H4681" s="6">
        <v>48.8404350280762</v>
      </c>
      <c r="I4681" s="6">
        <v>48.7197456359863</v>
      </c>
      <c r="J4681" s="6">
        <v>43.720855712890597</v>
      </c>
      <c r="K4681" s="6">
        <v>38.867118835449197</v>
      </c>
      <c r="L4681" s="6">
        <v>44.015151977539098</v>
      </c>
    </row>
    <row r="4682" spans="1:12" x14ac:dyDescent="0.25">
      <c r="A4682">
        <v>4206306</v>
      </c>
      <c r="B4682" t="str">
        <f t="shared" si="73"/>
        <v>GUABIRUBA, SC, Brasil</v>
      </c>
      <c r="C4682" s="4" t="str">
        <f>_xlfn.XLOOKUP(A4682,[1]!DadosGHD[CD_GEOCMU],[1]!DadosGHD[Região])</f>
        <v>SL</v>
      </c>
      <c r="D4682" s="4" t="str">
        <f>_xlfn.XLOOKUP(A4682,[1]!DadosGHD[CD_GEOCMU],[1]!DadosGHD[uf])</f>
        <v>SC</v>
      </c>
      <c r="E4682" s="5" t="str">
        <f>_xlfn.XLOOKUP(A4682,[1]!DadosGHD[CD_GEOCMU],[1]!DadosGHD[MUNICIPIO])</f>
        <v>GUABIRUBA</v>
      </c>
      <c r="F4682" s="6">
        <v>53.645416259765597</v>
      </c>
      <c r="G4682" s="6">
        <v>53.671798706054702</v>
      </c>
      <c r="H4682" s="6">
        <v>53.823585510253899</v>
      </c>
      <c r="I4682" s="6">
        <v>53.843986511230497</v>
      </c>
      <c r="J4682" s="6">
        <v>53.862297058105497</v>
      </c>
      <c r="K4682" s="6">
        <v>53.865406036377003</v>
      </c>
      <c r="L4682" s="6">
        <v>57.550910949707003</v>
      </c>
    </row>
    <row r="4683" spans="1:12" x14ac:dyDescent="0.25">
      <c r="A4683">
        <v>3115102</v>
      </c>
      <c r="B4683" t="str">
        <f t="shared" si="73"/>
        <v>CASSIA, MG, Brasil</v>
      </c>
      <c r="C4683" s="4" t="str">
        <f>_xlfn.XLOOKUP(A4683,[1]!DadosGHD[CD_GEOCMU],[1]!DadosGHD[Região])</f>
        <v>SD</v>
      </c>
      <c r="D4683" s="4" t="str">
        <f>_xlfn.XLOOKUP(A4683,[1]!DadosGHD[CD_GEOCMU],[1]!DadosGHD[uf])</f>
        <v>MG</v>
      </c>
      <c r="E4683" s="5" t="str">
        <f>_xlfn.XLOOKUP(A4683,[1]!DadosGHD[CD_GEOCMU],[1]!DadosGHD[MUNICIPIO])</f>
        <v>CASSIA</v>
      </c>
      <c r="F4683" s="6">
        <v>53.645755767822301</v>
      </c>
      <c r="G4683" s="6">
        <v>53.760787963867202</v>
      </c>
      <c r="H4683" s="6">
        <v>53.814380645752003</v>
      </c>
      <c r="I4683" s="6">
        <v>53.846858978271499</v>
      </c>
      <c r="J4683" s="6">
        <v>53.791694641113303</v>
      </c>
      <c r="K4683" s="6">
        <v>53.820491790771499</v>
      </c>
      <c r="L4683" s="6">
        <v>48.506622314453097</v>
      </c>
    </row>
    <row r="4684" spans="1:12" x14ac:dyDescent="0.25">
      <c r="A4684">
        <v>4205456</v>
      </c>
      <c r="B4684" t="str">
        <f t="shared" si="73"/>
        <v>FORQUILHINHA, SC, Brasil</v>
      </c>
      <c r="C4684" s="4" t="str">
        <f>_xlfn.XLOOKUP(A4684,[1]!DadosGHD[CD_GEOCMU],[1]!DadosGHD[Região])</f>
        <v>SL</v>
      </c>
      <c r="D4684" s="4" t="str">
        <f>_xlfn.XLOOKUP(A4684,[1]!DadosGHD[CD_GEOCMU],[1]!DadosGHD[uf])</f>
        <v>SC</v>
      </c>
      <c r="E4684" s="5" t="str">
        <f>_xlfn.XLOOKUP(A4684,[1]!DadosGHD[CD_GEOCMU],[1]!DadosGHD[MUNICIPIO])</f>
        <v>FORQUILHINHA</v>
      </c>
      <c r="F4684" s="6">
        <v>53.645896911621101</v>
      </c>
      <c r="G4684" s="6">
        <v>53.728050231933601</v>
      </c>
      <c r="H4684" s="6">
        <v>53.878376007080099</v>
      </c>
      <c r="I4684" s="6">
        <v>48.821811676025398</v>
      </c>
      <c r="J4684" s="6">
        <v>53.734504699707003</v>
      </c>
      <c r="K4684" s="6">
        <v>48.854438781738303</v>
      </c>
      <c r="L4684" s="6">
        <v>44.045753479003899</v>
      </c>
    </row>
    <row r="4685" spans="1:12" x14ac:dyDescent="0.25">
      <c r="A4685">
        <v>3556800</v>
      </c>
      <c r="B4685" t="str">
        <f t="shared" si="73"/>
        <v>VIRADOURO, SP, Brasil</v>
      </c>
      <c r="C4685" s="4" t="str">
        <f>_xlfn.XLOOKUP(A4685,[1]!DadosGHD[CD_GEOCMU],[1]!DadosGHD[Região])</f>
        <v>SD</v>
      </c>
      <c r="D4685" s="4" t="str">
        <f>_xlfn.XLOOKUP(A4685,[1]!DadosGHD[CD_GEOCMU],[1]!DadosGHD[uf])</f>
        <v>SP</v>
      </c>
      <c r="E4685" s="5" t="str">
        <f>_xlfn.XLOOKUP(A4685,[1]!DadosGHD[CD_GEOCMU],[1]!DadosGHD[MUNICIPIO])</f>
        <v>VIRADOURO</v>
      </c>
      <c r="F4685" s="6">
        <v>53.646026611328097</v>
      </c>
      <c r="G4685" s="6">
        <v>53.661563873291001</v>
      </c>
      <c r="H4685" s="6">
        <v>48.757602691650398</v>
      </c>
      <c r="I4685" s="6">
        <v>48.707843780517599</v>
      </c>
      <c r="J4685" s="6">
        <v>48.701145172119098</v>
      </c>
      <c r="K4685" s="6">
        <v>43.815433502197301</v>
      </c>
      <c r="L4685" s="6">
        <v>48.521965026855497</v>
      </c>
    </row>
    <row r="4686" spans="1:12" x14ac:dyDescent="0.25">
      <c r="A4686">
        <v>4210506</v>
      </c>
      <c r="B4686" t="str">
        <f t="shared" si="73"/>
        <v>MARAVILHA, SC, Brasil</v>
      </c>
      <c r="C4686" s="4" t="str">
        <f>_xlfn.XLOOKUP(A4686,[1]!DadosGHD[CD_GEOCMU],[1]!DadosGHD[Região])</f>
        <v>SL</v>
      </c>
      <c r="D4686" s="4" t="str">
        <f>_xlfn.XLOOKUP(A4686,[1]!DadosGHD[CD_GEOCMU],[1]!DadosGHD[uf])</f>
        <v>SC</v>
      </c>
      <c r="E4686" s="5" t="str">
        <f>_xlfn.XLOOKUP(A4686,[1]!DadosGHD[CD_GEOCMU],[1]!DadosGHD[MUNICIPIO])</f>
        <v>MARAVILHA</v>
      </c>
      <c r="F4686" s="6">
        <v>53.646690368652301</v>
      </c>
      <c r="G4686" s="6">
        <v>48.746147155761697</v>
      </c>
      <c r="H4686" s="6">
        <v>53.763393402099602</v>
      </c>
      <c r="I4686" s="6">
        <v>58.936344146728501</v>
      </c>
      <c r="J4686" s="6">
        <v>63.967441558837898</v>
      </c>
      <c r="K4686" s="6">
        <v>59.129974365234403</v>
      </c>
      <c r="L4686" s="6">
        <v>57.589881896972699</v>
      </c>
    </row>
    <row r="4687" spans="1:12" x14ac:dyDescent="0.25">
      <c r="A4687">
        <v>3105103</v>
      </c>
      <c r="B4687" t="str">
        <f t="shared" si="73"/>
        <v>BAMBUI, MG, Brasil</v>
      </c>
      <c r="C4687" s="4" t="str">
        <f>_xlfn.XLOOKUP(A4687,[1]!DadosGHD[CD_GEOCMU],[1]!DadosGHD[Região])</f>
        <v>SD</v>
      </c>
      <c r="D4687" s="4" t="str">
        <f>_xlfn.XLOOKUP(A4687,[1]!DadosGHD[CD_GEOCMU],[1]!DadosGHD[uf])</f>
        <v>MG</v>
      </c>
      <c r="E4687" s="5" t="str">
        <f>_xlfn.XLOOKUP(A4687,[1]!DadosGHD[CD_GEOCMU],[1]!DadosGHD[MUNICIPIO])</f>
        <v>BAMBUI</v>
      </c>
      <c r="F4687" s="6">
        <v>53.6471977233887</v>
      </c>
      <c r="G4687" s="6">
        <v>53.728092193603501</v>
      </c>
      <c r="H4687" s="6">
        <v>53.805801391601598</v>
      </c>
      <c r="I4687" s="6">
        <v>53.808765411377003</v>
      </c>
      <c r="J4687" s="6">
        <v>53.876441955566399</v>
      </c>
      <c r="K4687" s="6">
        <v>53.853633880615199</v>
      </c>
      <c r="L4687" s="6">
        <v>44.059703826904297</v>
      </c>
    </row>
    <row r="4688" spans="1:12" x14ac:dyDescent="0.25">
      <c r="A4688">
        <v>3110301</v>
      </c>
      <c r="B4688" t="str">
        <f t="shared" si="73"/>
        <v>CALDAS, MG, Brasil</v>
      </c>
      <c r="C4688" s="4" t="str">
        <f>_xlfn.XLOOKUP(A4688,[1]!DadosGHD[CD_GEOCMU],[1]!DadosGHD[Região])</f>
        <v>SD</v>
      </c>
      <c r="D4688" s="4" t="str">
        <f>_xlfn.XLOOKUP(A4688,[1]!DadosGHD[CD_GEOCMU],[1]!DadosGHD[uf])</f>
        <v>MG</v>
      </c>
      <c r="E4688" s="5" t="str">
        <f>_xlfn.XLOOKUP(A4688,[1]!DadosGHD[CD_GEOCMU],[1]!DadosGHD[MUNICIPIO])</f>
        <v>CALDAS</v>
      </c>
      <c r="F4688" s="6">
        <v>53.647880554199197</v>
      </c>
      <c r="G4688" s="6">
        <v>53.7140083312988</v>
      </c>
      <c r="H4688" s="6">
        <v>53.812351226806598</v>
      </c>
      <c r="I4688" s="6">
        <v>53.765132904052699</v>
      </c>
      <c r="J4688" s="6">
        <v>53.808914184570298</v>
      </c>
      <c r="K4688" s="6">
        <v>53.886875152587898</v>
      </c>
      <c r="L4688" s="6">
        <v>48.5592041015625</v>
      </c>
    </row>
    <row r="4689" spans="1:12" x14ac:dyDescent="0.25">
      <c r="A4689">
        <v>5211503</v>
      </c>
      <c r="B4689" t="str">
        <f t="shared" si="73"/>
        <v>ITUMBIARA, GO, Brasil</v>
      </c>
      <c r="C4689" s="4" t="str">
        <f>_xlfn.XLOOKUP(A4689,[1]!DadosGHD[CD_GEOCMU],[1]!DadosGHD[Região])</f>
        <v>CO</v>
      </c>
      <c r="D4689" s="4" t="str">
        <f>_xlfn.XLOOKUP(A4689,[1]!DadosGHD[CD_GEOCMU],[1]!DadosGHD[uf])</f>
        <v>GO</v>
      </c>
      <c r="E4689" s="5" t="str">
        <f>_xlfn.XLOOKUP(A4689,[1]!DadosGHD[CD_GEOCMU],[1]!DadosGHD[MUNICIPIO])</f>
        <v>ITUMBIARA</v>
      </c>
      <c r="F4689" s="6">
        <v>53.647991180419901</v>
      </c>
      <c r="G4689" s="6">
        <v>53.749835968017599</v>
      </c>
      <c r="H4689" s="6">
        <v>53.872112274169901</v>
      </c>
      <c r="I4689" s="6">
        <v>58.828620910644503</v>
      </c>
      <c r="J4689" s="6">
        <v>58.862415313720703</v>
      </c>
      <c r="K4689" s="6">
        <v>53.991252899169901</v>
      </c>
      <c r="L4689" s="6">
        <v>48.5211181640625</v>
      </c>
    </row>
    <row r="4690" spans="1:12" x14ac:dyDescent="0.25">
      <c r="A4690">
        <v>3540606</v>
      </c>
      <c r="B4690" t="str">
        <f t="shared" si="73"/>
        <v>PORTO FELIZ, SP, Brasil</v>
      </c>
      <c r="C4690" s="4" t="str">
        <f>_xlfn.XLOOKUP(A4690,[1]!DadosGHD[CD_GEOCMU],[1]!DadosGHD[Região])</f>
        <v>SD</v>
      </c>
      <c r="D4690" s="4" t="str">
        <f>_xlfn.XLOOKUP(A4690,[1]!DadosGHD[CD_GEOCMU],[1]!DadosGHD[uf])</f>
        <v>SP</v>
      </c>
      <c r="E4690" s="5" t="str">
        <f>_xlfn.XLOOKUP(A4690,[1]!DadosGHD[CD_GEOCMU],[1]!DadosGHD[MUNICIPIO])</f>
        <v>PORTO FELIZ</v>
      </c>
      <c r="F4690" s="6">
        <v>53.648025512695298</v>
      </c>
      <c r="G4690" s="6">
        <v>53.732269287109403</v>
      </c>
      <c r="H4690" s="6">
        <v>53.785820007324197</v>
      </c>
      <c r="I4690" s="6">
        <v>53.7308959960938</v>
      </c>
      <c r="J4690" s="6">
        <v>48.795085906982401</v>
      </c>
      <c r="K4690" s="6">
        <v>48.807010650634801</v>
      </c>
      <c r="L4690" s="6">
        <v>44.0431098937988</v>
      </c>
    </row>
    <row r="4691" spans="1:12" x14ac:dyDescent="0.25">
      <c r="A4691">
        <v>4319208</v>
      </c>
      <c r="B4691" t="str">
        <f t="shared" si="73"/>
        <v>SAO NICOLAU, RS, Brasil</v>
      </c>
      <c r="C4691" s="4" t="str">
        <f>_xlfn.XLOOKUP(A4691,[1]!DadosGHD[CD_GEOCMU],[1]!DadosGHD[Região])</f>
        <v>SL</v>
      </c>
      <c r="D4691" s="4" t="str">
        <f>_xlfn.XLOOKUP(A4691,[1]!DadosGHD[CD_GEOCMU],[1]!DadosGHD[uf])</f>
        <v>RS</v>
      </c>
      <c r="E4691" s="5" t="str">
        <f>_xlfn.XLOOKUP(A4691,[1]!DadosGHD[CD_GEOCMU],[1]!DadosGHD[MUNICIPIO])</f>
        <v>SAO NICOLAU</v>
      </c>
      <c r="F4691" s="6">
        <v>53.648128509521499</v>
      </c>
      <c r="G4691" s="6">
        <v>58.819442749023402</v>
      </c>
      <c r="H4691" s="6">
        <v>58.954841613769503</v>
      </c>
      <c r="I4691" s="6">
        <v>58.870018005371101</v>
      </c>
      <c r="J4691" s="6">
        <v>58.896404266357401</v>
      </c>
      <c r="K4691" s="6">
        <v>53.905704498291001</v>
      </c>
      <c r="L4691" s="6">
        <v>35.136726379394503</v>
      </c>
    </row>
    <row r="4692" spans="1:12" x14ac:dyDescent="0.25">
      <c r="A4692">
        <v>3546009</v>
      </c>
      <c r="B4692" t="str">
        <f t="shared" si="73"/>
        <v>SANTA BRANCA, SP, Brasil</v>
      </c>
      <c r="C4692" s="4" t="str">
        <f>_xlfn.XLOOKUP(A4692,[1]!DadosGHD[CD_GEOCMU],[1]!DadosGHD[Região])</f>
        <v>SD</v>
      </c>
      <c r="D4692" s="4" t="str">
        <f>_xlfn.XLOOKUP(A4692,[1]!DadosGHD[CD_GEOCMU],[1]!DadosGHD[uf])</f>
        <v>SP</v>
      </c>
      <c r="E4692" s="5" t="str">
        <f>_xlfn.XLOOKUP(A4692,[1]!DadosGHD[CD_GEOCMU],[1]!DadosGHD[MUNICIPIO])</f>
        <v>SANTA BRANCA</v>
      </c>
      <c r="F4692" s="6">
        <v>53.648468017578097</v>
      </c>
      <c r="G4692" s="6">
        <v>53.699615478515597</v>
      </c>
      <c r="H4692" s="6">
        <v>48.812576293945298</v>
      </c>
      <c r="I4692" s="6">
        <v>48.710659027099602</v>
      </c>
      <c r="J4692" s="6">
        <v>48.711204528808601</v>
      </c>
      <c r="K4692" s="6">
        <v>43.849369049072301</v>
      </c>
      <c r="L4692" s="6">
        <v>48.527320861816399</v>
      </c>
    </row>
    <row r="4693" spans="1:12" x14ac:dyDescent="0.25">
      <c r="A4693">
        <v>4218004</v>
      </c>
      <c r="B4693" t="str">
        <f t="shared" si="73"/>
        <v>TIJUCAS, SC, Brasil</v>
      </c>
      <c r="C4693" s="4" t="str">
        <f>_xlfn.XLOOKUP(A4693,[1]!DadosGHD[CD_GEOCMU],[1]!DadosGHD[Região])</f>
        <v>SL</v>
      </c>
      <c r="D4693" s="4" t="str">
        <f>_xlfn.XLOOKUP(A4693,[1]!DadosGHD[CD_GEOCMU],[1]!DadosGHD[uf])</f>
        <v>SC</v>
      </c>
      <c r="E4693" s="5" t="str">
        <f>_xlfn.XLOOKUP(A4693,[1]!DadosGHD[CD_GEOCMU],[1]!DadosGHD[MUNICIPIO])</f>
        <v>TIJUCAS</v>
      </c>
      <c r="F4693" s="6">
        <v>53.648548126220703</v>
      </c>
      <c r="G4693" s="6">
        <v>53.764438629150398</v>
      </c>
      <c r="H4693" s="6">
        <v>53.870582580566399</v>
      </c>
      <c r="I4693" s="6">
        <v>58.859184265136697</v>
      </c>
      <c r="J4693" s="6">
        <v>58.9530639648438</v>
      </c>
      <c r="K4693" s="6">
        <v>59.046085357666001</v>
      </c>
      <c r="L4693" s="6">
        <v>57.582420349121101</v>
      </c>
    </row>
    <row r="4694" spans="1:12" x14ac:dyDescent="0.25">
      <c r="A4694">
        <v>3164431</v>
      </c>
      <c r="B4694" t="str">
        <f t="shared" si="73"/>
        <v>SAO SEBASTIAO DA VARGEM ALEGRE, MG, Brasil</v>
      </c>
      <c r="C4694" s="4" t="str">
        <f>_xlfn.XLOOKUP(A4694,[1]!DadosGHD[CD_GEOCMU],[1]!DadosGHD[Região])</f>
        <v>SD</v>
      </c>
      <c r="D4694" s="4" t="str">
        <f>_xlfn.XLOOKUP(A4694,[1]!DadosGHD[CD_GEOCMU],[1]!DadosGHD[uf])</f>
        <v>MG</v>
      </c>
      <c r="E4694" s="5" t="str">
        <f>_xlfn.XLOOKUP(A4694,[1]!DadosGHD[CD_GEOCMU],[1]!DadosGHD[MUNICIPIO])</f>
        <v>SAO SEBASTIAO DA VARGEM ALEGRE</v>
      </c>
      <c r="F4694" s="6">
        <v>53.649681091308601</v>
      </c>
      <c r="G4694" s="6">
        <v>53.746997833252003</v>
      </c>
      <c r="H4694" s="6">
        <v>53.810871124267599</v>
      </c>
      <c r="I4694" s="6">
        <v>53.790229797363303</v>
      </c>
      <c r="J4694" s="6">
        <v>48.721107482910199</v>
      </c>
      <c r="K4694" s="6">
        <v>43.872817993164098</v>
      </c>
      <c r="L4694" s="6">
        <v>39.6026420593262</v>
      </c>
    </row>
    <row r="4695" spans="1:12" x14ac:dyDescent="0.25">
      <c r="A4695">
        <v>4304705</v>
      </c>
      <c r="B4695" t="str">
        <f t="shared" si="73"/>
        <v>CARAZINHO, RS, Brasil</v>
      </c>
      <c r="C4695" s="4" t="str">
        <f>_xlfn.XLOOKUP(A4695,[1]!DadosGHD[CD_GEOCMU],[1]!DadosGHD[Região])</f>
        <v>SL</v>
      </c>
      <c r="D4695" s="4" t="str">
        <f>_xlfn.XLOOKUP(A4695,[1]!DadosGHD[CD_GEOCMU],[1]!DadosGHD[uf])</f>
        <v>RS</v>
      </c>
      <c r="E4695" s="5" t="str">
        <f>_xlfn.XLOOKUP(A4695,[1]!DadosGHD[CD_GEOCMU],[1]!DadosGHD[MUNICIPIO])</f>
        <v>CARAZINHO</v>
      </c>
      <c r="F4695" s="6">
        <v>53.649845123291001</v>
      </c>
      <c r="G4695" s="6">
        <v>53.7541694641113</v>
      </c>
      <c r="H4695" s="6">
        <v>53.9020385742188</v>
      </c>
      <c r="I4695" s="6">
        <v>53.829933166503899</v>
      </c>
      <c r="J4695" s="6">
        <v>53.812808990478501</v>
      </c>
      <c r="K4695" s="6">
        <v>53.816719055175803</v>
      </c>
      <c r="L4695" s="6">
        <v>52.985847473144503</v>
      </c>
    </row>
    <row r="4696" spans="1:12" x14ac:dyDescent="0.25">
      <c r="A4696">
        <v>3520400</v>
      </c>
      <c r="B4696" t="str">
        <f t="shared" si="73"/>
        <v>ILHABELA, SP, Brasil</v>
      </c>
      <c r="C4696" s="4" t="str">
        <f>_xlfn.XLOOKUP(A4696,[1]!DadosGHD[CD_GEOCMU],[1]!DadosGHD[Região])</f>
        <v>SD</v>
      </c>
      <c r="D4696" s="4" t="str">
        <f>_xlfn.XLOOKUP(A4696,[1]!DadosGHD[CD_GEOCMU],[1]!DadosGHD[uf])</f>
        <v>SP</v>
      </c>
      <c r="E4696" s="5" t="str">
        <f>_xlfn.XLOOKUP(A4696,[1]!DadosGHD[CD_GEOCMU],[1]!DadosGHD[MUNICIPIO])</f>
        <v>ILHABELA</v>
      </c>
      <c r="F4696" s="6">
        <v>53.650032043457003</v>
      </c>
      <c r="G4696" s="6">
        <v>48.756362915039098</v>
      </c>
      <c r="H4696" s="6">
        <v>48.758541107177699</v>
      </c>
      <c r="I4696" s="6">
        <v>48.784553527832003</v>
      </c>
      <c r="J4696" s="6">
        <v>48.697059631347699</v>
      </c>
      <c r="K4696" s="6">
        <v>48.799236297607401</v>
      </c>
      <c r="L4696" s="6">
        <v>57.550247192382798</v>
      </c>
    </row>
    <row r="4697" spans="1:12" x14ac:dyDescent="0.25">
      <c r="A4697">
        <v>4100707</v>
      </c>
      <c r="B4697" t="str">
        <f t="shared" si="73"/>
        <v>ALTO PIQUIRI, PR, Brasil</v>
      </c>
      <c r="C4697" s="4" t="str">
        <f>_xlfn.XLOOKUP(A4697,[1]!DadosGHD[CD_GEOCMU],[1]!DadosGHD[Região])</f>
        <v>SL</v>
      </c>
      <c r="D4697" s="4" t="str">
        <f>_xlfn.XLOOKUP(A4697,[1]!DadosGHD[CD_GEOCMU],[1]!DadosGHD[uf])</f>
        <v>PR</v>
      </c>
      <c r="E4697" s="5" t="str">
        <f>_xlfn.XLOOKUP(A4697,[1]!DadosGHD[CD_GEOCMU],[1]!DadosGHD[MUNICIPIO])</f>
        <v>ALTO PIQUIRI</v>
      </c>
      <c r="F4697" s="6">
        <v>53.650337219238303</v>
      </c>
      <c r="G4697" s="6">
        <v>53.6967163085938</v>
      </c>
      <c r="H4697" s="6">
        <v>48.734294891357401</v>
      </c>
      <c r="I4697" s="6">
        <v>48.731002807617202</v>
      </c>
      <c r="J4697" s="6">
        <v>48.7131538391113</v>
      </c>
      <c r="K4697" s="6">
        <v>43.874526977539098</v>
      </c>
      <c r="L4697" s="6">
        <v>35.147838592529297</v>
      </c>
    </row>
    <row r="4698" spans="1:12" x14ac:dyDescent="0.25">
      <c r="A4698">
        <v>4103909</v>
      </c>
      <c r="B4698" t="str">
        <f t="shared" si="73"/>
        <v>CAMPINA DA LAGOA, PR, Brasil</v>
      </c>
      <c r="C4698" s="4" t="str">
        <f>_xlfn.XLOOKUP(A4698,[1]!DadosGHD[CD_GEOCMU],[1]!DadosGHD[Região])</f>
        <v>SL</v>
      </c>
      <c r="D4698" s="4" t="str">
        <f>_xlfn.XLOOKUP(A4698,[1]!DadosGHD[CD_GEOCMU],[1]!DadosGHD[uf])</f>
        <v>PR</v>
      </c>
      <c r="E4698" s="5" t="str">
        <f>_xlfn.XLOOKUP(A4698,[1]!DadosGHD[CD_GEOCMU],[1]!DadosGHD[MUNICIPIO])</f>
        <v>CAMPINA DA LAGOA</v>
      </c>
      <c r="F4698" s="6">
        <v>53.650535583496101</v>
      </c>
      <c r="G4698" s="6">
        <v>53.7261772155762</v>
      </c>
      <c r="H4698" s="6">
        <v>48.837078094482401</v>
      </c>
      <c r="I4698" s="6">
        <v>48.8097953796387</v>
      </c>
      <c r="J4698" s="6">
        <v>48.745609283447301</v>
      </c>
      <c r="K4698" s="6">
        <v>43.838344573974602</v>
      </c>
      <c r="L4698" s="6">
        <v>39.606594085693402</v>
      </c>
    </row>
    <row r="4699" spans="1:12" x14ac:dyDescent="0.25">
      <c r="A4699">
        <v>4206652</v>
      </c>
      <c r="B4699" t="str">
        <f t="shared" si="73"/>
        <v>GUATAMBU, SC, Brasil</v>
      </c>
      <c r="C4699" s="4" t="str">
        <f>_xlfn.XLOOKUP(A4699,[1]!DadosGHD[CD_GEOCMU],[1]!DadosGHD[Região])</f>
        <v>SL</v>
      </c>
      <c r="D4699" s="4" t="str">
        <f>_xlfn.XLOOKUP(A4699,[1]!DadosGHD[CD_GEOCMU],[1]!DadosGHD[uf])</f>
        <v>SC</v>
      </c>
      <c r="E4699" s="5" t="str">
        <f>_xlfn.XLOOKUP(A4699,[1]!DadosGHD[CD_GEOCMU],[1]!DadosGHD[MUNICIPIO])</f>
        <v>GUATAMBU</v>
      </c>
      <c r="F4699" s="6">
        <v>53.650989532470703</v>
      </c>
      <c r="G4699" s="6">
        <v>53.777919769287102</v>
      </c>
      <c r="H4699" s="6">
        <v>53.846126556396499</v>
      </c>
      <c r="I4699" s="6">
        <v>53.708251953125</v>
      </c>
      <c r="J4699" s="6">
        <v>48.7447509765625</v>
      </c>
      <c r="K4699" s="6">
        <v>48.8677368164063</v>
      </c>
      <c r="L4699" s="6">
        <v>35.143016815185597</v>
      </c>
    </row>
    <row r="4700" spans="1:12" x14ac:dyDescent="0.25">
      <c r="A4700">
        <v>4105300</v>
      </c>
      <c r="B4700" t="str">
        <f t="shared" si="73"/>
        <v>CEU AZUL, PR, Brasil</v>
      </c>
      <c r="C4700" s="4" t="str">
        <f>_xlfn.XLOOKUP(A4700,[1]!DadosGHD[CD_GEOCMU],[1]!DadosGHD[Região])</f>
        <v>SL</v>
      </c>
      <c r="D4700" s="4" t="str">
        <f>_xlfn.XLOOKUP(A4700,[1]!DadosGHD[CD_GEOCMU],[1]!DadosGHD[uf])</f>
        <v>PR</v>
      </c>
      <c r="E4700" s="5" t="str">
        <f>_xlfn.XLOOKUP(A4700,[1]!DadosGHD[CD_GEOCMU],[1]!DadosGHD[MUNICIPIO])</f>
        <v>CEU AZUL</v>
      </c>
      <c r="F4700" s="6">
        <v>53.652130126953097</v>
      </c>
      <c r="G4700" s="6">
        <v>53.821540832519503</v>
      </c>
      <c r="H4700" s="6">
        <v>58.843971252441399</v>
      </c>
      <c r="I4700" s="6">
        <v>58.864303588867202</v>
      </c>
      <c r="J4700" s="6">
        <v>58.803459167480497</v>
      </c>
      <c r="K4700" s="6">
        <v>53.931312561035199</v>
      </c>
      <c r="L4700" s="6">
        <v>53.047821044921903</v>
      </c>
    </row>
    <row r="4701" spans="1:12" x14ac:dyDescent="0.25">
      <c r="A4701">
        <v>3130606</v>
      </c>
      <c r="B4701" t="str">
        <f t="shared" si="73"/>
        <v>INCONFIDENTES, MG, Brasil</v>
      </c>
      <c r="C4701" s="4" t="str">
        <f>_xlfn.XLOOKUP(A4701,[1]!DadosGHD[CD_GEOCMU],[1]!DadosGHD[Região])</f>
        <v>SD</v>
      </c>
      <c r="D4701" s="4" t="str">
        <f>_xlfn.XLOOKUP(A4701,[1]!DadosGHD[CD_GEOCMU],[1]!DadosGHD[uf])</f>
        <v>MG</v>
      </c>
      <c r="E4701" s="5" t="str">
        <f>_xlfn.XLOOKUP(A4701,[1]!DadosGHD[CD_GEOCMU],[1]!DadosGHD[MUNICIPIO])</f>
        <v>INCONFIDENTES</v>
      </c>
      <c r="F4701" s="6">
        <v>53.6530570983887</v>
      </c>
      <c r="G4701" s="6">
        <v>48.762596130371101</v>
      </c>
      <c r="H4701" s="6">
        <v>48.855766296386697</v>
      </c>
      <c r="I4701" s="6">
        <v>53.747486114502003</v>
      </c>
      <c r="J4701" s="6">
        <v>48.766502380371101</v>
      </c>
      <c r="K4701" s="6">
        <v>38.859584808349602</v>
      </c>
      <c r="L4701" s="6">
        <v>39.593147277832003</v>
      </c>
    </row>
    <row r="4702" spans="1:12" x14ac:dyDescent="0.25">
      <c r="A4702">
        <v>2919959</v>
      </c>
      <c r="B4702" t="str">
        <f t="shared" si="73"/>
        <v>MAETINGA, BA, Brasil</v>
      </c>
      <c r="C4702" s="4" t="str">
        <f>_xlfn.XLOOKUP(A4702,[1]!DadosGHD[CD_GEOCMU],[1]!DadosGHD[Região])</f>
        <v>NE</v>
      </c>
      <c r="D4702" s="4" t="str">
        <f>_xlfn.XLOOKUP(A4702,[1]!DadosGHD[CD_GEOCMU],[1]!DadosGHD[uf])</f>
        <v>BA</v>
      </c>
      <c r="E4702" s="5" t="str">
        <f>_xlfn.XLOOKUP(A4702,[1]!DadosGHD[CD_GEOCMU],[1]!DadosGHD[MUNICIPIO])</f>
        <v>MAETINGA</v>
      </c>
      <c r="F4702" s="6">
        <v>53.653144836425803</v>
      </c>
      <c r="G4702" s="6">
        <v>43.762180328369098</v>
      </c>
      <c r="H4702" s="6">
        <v>48.807987213134801</v>
      </c>
      <c r="I4702" s="6">
        <v>53.790462493896499</v>
      </c>
      <c r="J4702" s="6">
        <v>53.794830322265597</v>
      </c>
      <c r="K4702" s="6">
        <v>53.850959777832003</v>
      </c>
      <c r="L4702" s="6">
        <v>30.694608688354499</v>
      </c>
    </row>
    <row r="4703" spans="1:12" x14ac:dyDescent="0.25">
      <c r="A4703">
        <v>3544004</v>
      </c>
      <c r="B4703" t="str">
        <f t="shared" si="73"/>
        <v>RIO DAS PEDRAS, SP, Brasil</v>
      </c>
      <c r="C4703" s="4" t="str">
        <f>_xlfn.XLOOKUP(A4703,[1]!DadosGHD[CD_GEOCMU],[1]!DadosGHD[Região])</f>
        <v>SD</v>
      </c>
      <c r="D4703" s="4" t="str">
        <f>_xlfn.XLOOKUP(A4703,[1]!DadosGHD[CD_GEOCMU],[1]!DadosGHD[uf])</f>
        <v>SP</v>
      </c>
      <c r="E4703" s="5" t="str">
        <f>_xlfn.XLOOKUP(A4703,[1]!DadosGHD[CD_GEOCMU],[1]!DadosGHD[MUNICIPIO])</f>
        <v>RIO DAS PEDRAS</v>
      </c>
      <c r="F4703" s="6">
        <v>53.653835296630902</v>
      </c>
      <c r="G4703" s="6">
        <v>48.763248443603501</v>
      </c>
      <c r="H4703" s="6">
        <v>48.742244720458999</v>
      </c>
      <c r="I4703" s="6">
        <v>43.794712066650398</v>
      </c>
      <c r="J4703" s="6">
        <v>43.771961212158203</v>
      </c>
      <c r="K4703" s="6">
        <v>43.810718536377003</v>
      </c>
      <c r="L4703" s="6">
        <v>44.068367004394503</v>
      </c>
    </row>
    <row r="4704" spans="1:12" x14ac:dyDescent="0.25">
      <c r="A4704">
        <v>4205001</v>
      </c>
      <c r="B4704" t="str">
        <f t="shared" si="73"/>
        <v>DIONISIO CERQUEIRA, SC, Brasil</v>
      </c>
      <c r="C4704" s="4" t="str">
        <f>_xlfn.XLOOKUP(A4704,[1]!DadosGHD[CD_GEOCMU],[1]!DadosGHD[Região])</f>
        <v>SL</v>
      </c>
      <c r="D4704" s="4" t="str">
        <f>_xlfn.XLOOKUP(A4704,[1]!DadosGHD[CD_GEOCMU],[1]!DadosGHD[uf])</f>
        <v>SC</v>
      </c>
      <c r="E4704" s="5" t="str">
        <f>_xlfn.XLOOKUP(A4704,[1]!DadosGHD[CD_GEOCMU],[1]!DadosGHD[MUNICIPIO])</f>
        <v>DIONISIO CERQUEIRA</v>
      </c>
      <c r="F4704" s="6">
        <v>53.653854370117202</v>
      </c>
      <c r="G4704" s="6">
        <v>53.734630584716797</v>
      </c>
      <c r="H4704" s="6">
        <v>53.807949066162102</v>
      </c>
      <c r="I4704" s="6">
        <v>53.819038391113303</v>
      </c>
      <c r="J4704" s="6">
        <v>63.932033538818402</v>
      </c>
      <c r="K4704" s="6">
        <v>59.027862548828097</v>
      </c>
      <c r="L4704" s="6">
        <v>57.555583953857401</v>
      </c>
    </row>
    <row r="4705" spans="1:12" x14ac:dyDescent="0.25">
      <c r="A4705">
        <v>4111308</v>
      </c>
      <c r="B4705" t="str">
        <f t="shared" si="73"/>
        <v>ITAUNA DO SUL, PR, Brasil</v>
      </c>
      <c r="C4705" s="4" t="str">
        <f>_xlfn.XLOOKUP(A4705,[1]!DadosGHD[CD_GEOCMU],[1]!DadosGHD[Região])</f>
        <v>SL</v>
      </c>
      <c r="D4705" s="4" t="str">
        <f>_xlfn.XLOOKUP(A4705,[1]!DadosGHD[CD_GEOCMU],[1]!DadosGHD[uf])</f>
        <v>PR</v>
      </c>
      <c r="E4705" s="5" t="str">
        <f>_xlfn.XLOOKUP(A4705,[1]!DadosGHD[CD_GEOCMU],[1]!DadosGHD[MUNICIPIO])</f>
        <v>ITAUNA DO SUL</v>
      </c>
      <c r="F4705" s="6">
        <v>53.654247283935597</v>
      </c>
      <c r="G4705" s="6">
        <v>53.680740356445298</v>
      </c>
      <c r="H4705" s="6">
        <v>53.803192138671903</v>
      </c>
      <c r="I4705" s="6">
        <v>53.772163391113303</v>
      </c>
      <c r="J4705" s="6">
        <v>53.876152038574197</v>
      </c>
      <c r="K4705" s="6">
        <v>53.948581695556598</v>
      </c>
      <c r="L4705" s="6">
        <v>39.568424224853501</v>
      </c>
    </row>
    <row r="4706" spans="1:12" x14ac:dyDescent="0.25">
      <c r="A4706">
        <v>3542404</v>
      </c>
      <c r="B4706" t="str">
        <f t="shared" si="73"/>
        <v>REGENTE FEIJO, SP, Brasil</v>
      </c>
      <c r="C4706" s="4" t="str">
        <f>_xlfn.XLOOKUP(A4706,[1]!DadosGHD[CD_GEOCMU],[1]!DadosGHD[Região])</f>
        <v>SD</v>
      </c>
      <c r="D4706" s="4" t="str">
        <f>_xlfn.XLOOKUP(A4706,[1]!DadosGHD[CD_GEOCMU],[1]!DadosGHD[uf])</f>
        <v>SP</v>
      </c>
      <c r="E4706" s="5" t="str">
        <f>_xlfn.XLOOKUP(A4706,[1]!DadosGHD[CD_GEOCMU],[1]!DadosGHD[MUNICIPIO])</f>
        <v>REGENTE FEIJO</v>
      </c>
      <c r="F4706" s="6">
        <v>53.654327392578097</v>
      </c>
      <c r="G4706" s="6">
        <v>53.7166557312012</v>
      </c>
      <c r="H4706" s="6">
        <v>48.826400756835902</v>
      </c>
      <c r="I4706" s="6">
        <v>48.737464904785199</v>
      </c>
      <c r="J4706" s="6">
        <v>48.808719635009801</v>
      </c>
      <c r="K4706" s="6">
        <v>48.899135589599602</v>
      </c>
      <c r="L4706" s="6">
        <v>48.513927459716797</v>
      </c>
    </row>
    <row r="4707" spans="1:12" x14ac:dyDescent="0.25">
      <c r="A4707">
        <v>4212106</v>
      </c>
      <c r="B4707" t="str">
        <f t="shared" si="73"/>
        <v>PALMITOS, SC, Brasil</v>
      </c>
      <c r="C4707" s="4" t="str">
        <f>_xlfn.XLOOKUP(A4707,[1]!DadosGHD[CD_GEOCMU],[1]!DadosGHD[Região])</f>
        <v>SL</v>
      </c>
      <c r="D4707" s="4" t="str">
        <f>_xlfn.XLOOKUP(A4707,[1]!DadosGHD[CD_GEOCMU],[1]!DadosGHD[uf])</f>
        <v>SC</v>
      </c>
      <c r="E4707" s="5" t="str">
        <f>_xlfn.XLOOKUP(A4707,[1]!DadosGHD[CD_GEOCMU],[1]!DadosGHD[MUNICIPIO])</f>
        <v>PALMITOS</v>
      </c>
      <c r="F4707" s="6">
        <v>53.654365539550803</v>
      </c>
      <c r="G4707" s="6">
        <v>53.7545166015625</v>
      </c>
      <c r="H4707" s="6">
        <v>53.822929382324197</v>
      </c>
      <c r="I4707" s="6">
        <v>53.791709899902301</v>
      </c>
      <c r="J4707" s="6">
        <v>63.921051025390597</v>
      </c>
      <c r="K4707" s="6">
        <v>64.13623046875</v>
      </c>
      <c r="L4707" s="6">
        <v>57.589881896972699</v>
      </c>
    </row>
    <row r="4708" spans="1:12" x14ac:dyDescent="0.25">
      <c r="A4708">
        <v>4301800</v>
      </c>
      <c r="B4708" t="str">
        <f t="shared" si="73"/>
        <v>BARRACAO, RS, Brasil</v>
      </c>
      <c r="C4708" s="4" t="str">
        <f>_xlfn.XLOOKUP(A4708,[1]!DadosGHD[CD_GEOCMU],[1]!DadosGHD[Região])</f>
        <v>SL</v>
      </c>
      <c r="D4708" s="4" t="str">
        <f>_xlfn.XLOOKUP(A4708,[1]!DadosGHD[CD_GEOCMU],[1]!DadosGHD[uf])</f>
        <v>RS</v>
      </c>
      <c r="E4708" s="5" t="str">
        <f>_xlfn.XLOOKUP(A4708,[1]!DadosGHD[CD_GEOCMU],[1]!DadosGHD[MUNICIPIO])</f>
        <v>BARRACAO</v>
      </c>
      <c r="F4708" s="6">
        <v>53.654487609863303</v>
      </c>
      <c r="G4708" s="6">
        <v>53.716423034667997</v>
      </c>
      <c r="H4708" s="6">
        <v>48.761173248291001</v>
      </c>
      <c r="I4708" s="6">
        <v>53.836273193359403</v>
      </c>
      <c r="J4708" s="6">
        <v>58.864669799804702</v>
      </c>
      <c r="K4708" s="6">
        <v>48.8539009094238</v>
      </c>
      <c r="L4708" s="6">
        <v>48.506477355957003</v>
      </c>
    </row>
    <row r="4709" spans="1:12" x14ac:dyDescent="0.25">
      <c r="A4709">
        <v>3510005</v>
      </c>
      <c r="B4709" t="str">
        <f t="shared" si="73"/>
        <v>CANDIDO MOTA, SP, Brasil</v>
      </c>
      <c r="C4709" s="4" t="str">
        <f>_xlfn.XLOOKUP(A4709,[1]!DadosGHD[CD_GEOCMU],[1]!DadosGHD[Região])</f>
        <v>SD</v>
      </c>
      <c r="D4709" s="4" t="str">
        <f>_xlfn.XLOOKUP(A4709,[1]!DadosGHD[CD_GEOCMU],[1]!DadosGHD[uf])</f>
        <v>SP</v>
      </c>
      <c r="E4709" s="5" t="str">
        <f>_xlfn.XLOOKUP(A4709,[1]!DadosGHD[CD_GEOCMU],[1]!DadosGHD[MUNICIPIO])</f>
        <v>CANDIDO MOTA</v>
      </c>
      <c r="F4709" s="6">
        <v>53.655174255371101</v>
      </c>
      <c r="G4709" s="6">
        <v>58.778888702392599</v>
      </c>
      <c r="H4709" s="6">
        <v>53.895034790039098</v>
      </c>
      <c r="I4709" s="6">
        <v>53.841926574707003</v>
      </c>
      <c r="J4709" s="6">
        <v>53.860286712646499</v>
      </c>
      <c r="K4709" s="6">
        <v>53.862785339355497</v>
      </c>
      <c r="L4709" s="6">
        <v>53.003372192382798</v>
      </c>
    </row>
    <row r="4710" spans="1:12" x14ac:dyDescent="0.25">
      <c r="A4710">
        <v>3101508</v>
      </c>
      <c r="B4710" t="str">
        <f t="shared" si="73"/>
        <v>ALEM PARAIBA, MG, Brasil</v>
      </c>
      <c r="C4710" s="4" t="str">
        <f>_xlfn.XLOOKUP(A4710,[1]!DadosGHD[CD_GEOCMU],[1]!DadosGHD[Região])</f>
        <v>SD</v>
      </c>
      <c r="D4710" s="4" t="str">
        <f>_xlfn.XLOOKUP(A4710,[1]!DadosGHD[CD_GEOCMU],[1]!DadosGHD[uf])</f>
        <v>MG</v>
      </c>
      <c r="E4710" s="5" t="str">
        <f>_xlfn.XLOOKUP(A4710,[1]!DadosGHD[CD_GEOCMU],[1]!DadosGHD[MUNICIPIO])</f>
        <v>ALEM PARAIBA</v>
      </c>
      <c r="F4710" s="6">
        <v>53.655830383300803</v>
      </c>
      <c r="G4710" s="6">
        <v>48.714603424072301</v>
      </c>
      <c r="H4710" s="6">
        <v>53.755531311035199</v>
      </c>
      <c r="I4710" s="6">
        <v>53.778652191162102</v>
      </c>
      <c r="J4710" s="6">
        <v>53.810539245605497</v>
      </c>
      <c r="K4710" s="6">
        <v>53.823654174804702</v>
      </c>
      <c r="L4710" s="6">
        <v>57.527385711669901</v>
      </c>
    </row>
    <row r="4711" spans="1:12" x14ac:dyDescent="0.25">
      <c r="A4711">
        <v>3526902</v>
      </c>
      <c r="B4711" t="str">
        <f t="shared" si="73"/>
        <v>LIMEIRA, SP, Brasil</v>
      </c>
      <c r="C4711" s="4" t="str">
        <f>_xlfn.XLOOKUP(A4711,[1]!DadosGHD[CD_GEOCMU],[1]!DadosGHD[Região])</f>
        <v>SD</v>
      </c>
      <c r="D4711" s="4" t="str">
        <f>_xlfn.XLOOKUP(A4711,[1]!DadosGHD[CD_GEOCMU],[1]!DadosGHD[uf])</f>
        <v>SP</v>
      </c>
      <c r="E4711" s="5" t="str">
        <f>_xlfn.XLOOKUP(A4711,[1]!DadosGHD[CD_GEOCMU],[1]!DadosGHD[MUNICIPIO])</f>
        <v>LIMEIRA</v>
      </c>
      <c r="F4711" s="6">
        <v>53.656051635742202</v>
      </c>
      <c r="G4711" s="6">
        <v>53.765609741210902</v>
      </c>
      <c r="H4711" s="6">
        <v>53.831981658935597</v>
      </c>
      <c r="I4711" s="6">
        <v>53.789104461669901</v>
      </c>
      <c r="J4711" s="6">
        <v>53.8052978515625</v>
      </c>
      <c r="K4711" s="6">
        <v>53.833953857421903</v>
      </c>
      <c r="L4711" s="6">
        <v>52.9972534179688</v>
      </c>
    </row>
    <row r="4712" spans="1:12" x14ac:dyDescent="0.25">
      <c r="A4712">
        <v>3527207</v>
      </c>
      <c r="B4712" t="str">
        <f t="shared" si="73"/>
        <v>LORENA, SP, Brasil</v>
      </c>
      <c r="C4712" s="4" t="str">
        <f>_xlfn.XLOOKUP(A4712,[1]!DadosGHD[CD_GEOCMU],[1]!DadosGHD[Região])</f>
        <v>SD</v>
      </c>
      <c r="D4712" s="4" t="str">
        <f>_xlfn.XLOOKUP(A4712,[1]!DadosGHD[CD_GEOCMU],[1]!DadosGHD[uf])</f>
        <v>SP</v>
      </c>
      <c r="E4712" s="5" t="str">
        <f>_xlfn.XLOOKUP(A4712,[1]!DadosGHD[CD_GEOCMU],[1]!DadosGHD[MUNICIPIO])</f>
        <v>LORENA</v>
      </c>
      <c r="F4712" s="6">
        <v>53.657508850097699</v>
      </c>
      <c r="G4712" s="6">
        <v>53.720996856689503</v>
      </c>
      <c r="H4712" s="6">
        <v>48.852790832519503</v>
      </c>
      <c r="I4712" s="6">
        <v>48.803291320800803</v>
      </c>
      <c r="J4712" s="6">
        <v>48.746047973632798</v>
      </c>
      <c r="K4712" s="6">
        <v>48.829029083252003</v>
      </c>
      <c r="L4712" s="6">
        <v>53.055225372314503</v>
      </c>
    </row>
    <row r="4713" spans="1:12" x14ac:dyDescent="0.25">
      <c r="A4713">
        <v>3547304</v>
      </c>
      <c r="B4713" t="str">
        <f t="shared" si="73"/>
        <v>SANTANA DE PARNAIBA, SP, Brasil</v>
      </c>
      <c r="C4713" s="4" t="str">
        <f>_xlfn.XLOOKUP(A4713,[1]!DadosGHD[CD_GEOCMU],[1]!DadosGHD[Região])</f>
        <v>SD</v>
      </c>
      <c r="D4713" s="4" t="str">
        <f>_xlfn.XLOOKUP(A4713,[1]!DadosGHD[CD_GEOCMU],[1]!DadosGHD[uf])</f>
        <v>SP</v>
      </c>
      <c r="E4713" s="5" t="str">
        <f>_xlfn.XLOOKUP(A4713,[1]!DadosGHD[CD_GEOCMU],[1]!DadosGHD[MUNICIPIO])</f>
        <v>SANTANA DE PARNAIBA</v>
      </c>
      <c r="F4713" s="6">
        <v>53.657783508300803</v>
      </c>
      <c r="G4713" s="6">
        <v>53.711235046386697</v>
      </c>
      <c r="H4713" s="6">
        <v>53.828090667724602</v>
      </c>
      <c r="I4713" s="6">
        <v>53.768417358398402</v>
      </c>
      <c r="J4713" s="6">
        <v>53.772789001464801</v>
      </c>
      <c r="K4713" s="6">
        <v>48.863094329833999</v>
      </c>
      <c r="L4713" s="6">
        <v>52.9782905578613</v>
      </c>
    </row>
    <row r="4714" spans="1:12" x14ac:dyDescent="0.25">
      <c r="A4714">
        <v>3145901</v>
      </c>
      <c r="B4714" t="str">
        <f t="shared" si="73"/>
        <v>OURO BRANCO, MG, Brasil</v>
      </c>
      <c r="C4714" s="4" t="str">
        <f>_xlfn.XLOOKUP(A4714,[1]!DadosGHD[CD_GEOCMU],[1]!DadosGHD[Região])</f>
        <v>SD</v>
      </c>
      <c r="D4714" s="4" t="str">
        <f>_xlfn.XLOOKUP(A4714,[1]!DadosGHD[CD_GEOCMU],[1]!DadosGHD[uf])</f>
        <v>MG</v>
      </c>
      <c r="E4714" s="5" t="str">
        <f>_xlfn.XLOOKUP(A4714,[1]!DadosGHD[CD_GEOCMU],[1]!DadosGHD[MUNICIPIO])</f>
        <v>OURO BRANCO</v>
      </c>
      <c r="F4714" s="6">
        <v>53.658241271972699</v>
      </c>
      <c r="G4714" s="6">
        <v>53.659980773925803</v>
      </c>
      <c r="H4714" s="6">
        <v>48.823348999023402</v>
      </c>
      <c r="I4714" s="6">
        <v>58.786407470703097</v>
      </c>
      <c r="J4714" s="6">
        <v>58.904777526855497</v>
      </c>
      <c r="K4714" s="6">
        <v>53.9778022766113</v>
      </c>
      <c r="L4714" s="6">
        <v>57.520420074462898</v>
      </c>
    </row>
    <row r="4715" spans="1:12" x14ac:dyDescent="0.25">
      <c r="A4715">
        <v>3149507</v>
      </c>
      <c r="B4715" t="str">
        <f t="shared" si="73"/>
        <v>PEQUERI, MG, Brasil</v>
      </c>
      <c r="C4715" s="4" t="str">
        <f>_xlfn.XLOOKUP(A4715,[1]!DadosGHD[CD_GEOCMU],[1]!DadosGHD[Região])</f>
        <v>SD</v>
      </c>
      <c r="D4715" s="4" t="str">
        <f>_xlfn.XLOOKUP(A4715,[1]!DadosGHD[CD_GEOCMU],[1]!DadosGHD[uf])</f>
        <v>MG</v>
      </c>
      <c r="E4715" s="5" t="str">
        <f>_xlfn.XLOOKUP(A4715,[1]!DadosGHD[CD_GEOCMU],[1]!DadosGHD[MUNICIPIO])</f>
        <v>PEQUERI</v>
      </c>
      <c r="F4715" s="6">
        <v>53.658248901367202</v>
      </c>
      <c r="G4715" s="6">
        <v>48.635715484619098</v>
      </c>
      <c r="H4715" s="6">
        <v>43.808486938476598</v>
      </c>
      <c r="I4715" s="6">
        <v>48.697917938232401</v>
      </c>
      <c r="J4715" s="6">
        <v>43.804737091064503</v>
      </c>
      <c r="K4715" s="6">
        <v>38.847969055175803</v>
      </c>
      <c r="L4715" s="6">
        <v>48.491783142089801</v>
      </c>
    </row>
    <row r="4716" spans="1:12" x14ac:dyDescent="0.25">
      <c r="A4716">
        <v>4208500</v>
      </c>
      <c r="B4716" t="str">
        <f t="shared" si="73"/>
        <v>ITUPORANGA, SC, Brasil</v>
      </c>
      <c r="C4716" s="4" t="str">
        <f>_xlfn.XLOOKUP(A4716,[1]!DadosGHD[CD_GEOCMU],[1]!DadosGHD[Região])</f>
        <v>SL</v>
      </c>
      <c r="D4716" s="4" t="str">
        <f>_xlfn.XLOOKUP(A4716,[1]!DadosGHD[CD_GEOCMU],[1]!DadosGHD[uf])</f>
        <v>SC</v>
      </c>
      <c r="E4716" s="5" t="str">
        <f>_xlfn.XLOOKUP(A4716,[1]!DadosGHD[CD_GEOCMU],[1]!DadosGHD[MUNICIPIO])</f>
        <v>ITUPORANGA</v>
      </c>
      <c r="F4716" s="6">
        <v>53.658390045166001</v>
      </c>
      <c r="G4716" s="6">
        <v>53.816963195800803</v>
      </c>
      <c r="H4716" s="6">
        <v>63.993675231933601</v>
      </c>
      <c r="I4716" s="6">
        <v>63.920299530029297</v>
      </c>
      <c r="J4716" s="6">
        <v>64.032424926757798</v>
      </c>
      <c r="K4716" s="6">
        <v>64.131362915039105</v>
      </c>
      <c r="L4716" s="6">
        <v>57.559700012207003</v>
      </c>
    </row>
    <row r="4717" spans="1:12" x14ac:dyDescent="0.25">
      <c r="A4717">
        <v>4305975</v>
      </c>
      <c r="B4717" t="str">
        <f t="shared" si="73"/>
        <v>COXILHA, RS, Brasil</v>
      </c>
      <c r="C4717" s="4" t="str">
        <f>_xlfn.XLOOKUP(A4717,[1]!DadosGHD[CD_GEOCMU],[1]!DadosGHD[Região])</f>
        <v>SL</v>
      </c>
      <c r="D4717" s="4" t="str">
        <f>_xlfn.XLOOKUP(A4717,[1]!DadosGHD[CD_GEOCMU],[1]!DadosGHD[uf])</f>
        <v>RS</v>
      </c>
      <c r="E4717" s="5" t="str">
        <f>_xlfn.XLOOKUP(A4717,[1]!DadosGHD[CD_GEOCMU],[1]!DadosGHD[MUNICIPIO])</f>
        <v>COXILHA</v>
      </c>
      <c r="F4717" s="6">
        <v>53.6588134765625</v>
      </c>
      <c r="G4717" s="6">
        <v>48.641201019287102</v>
      </c>
      <c r="H4717" s="6">
        <v>48.713947296142599</v>
      </c>
      <c r="I4717" s="6">
        <v>48.682807922363303</v>
      </c>
      <c r="J4717" s="6">
        <v>48.714160919189503</v>
      </c>
      <c r="K4717" s="6">
        <v>48.827178955078097</v>
      </c>
      <c r="L4717" s="6">
        <v>39.5664253234863</v>
      </c>
    </row>
    <row r="4718" spans="1:12" x14ac:dyDescent="0.25">
      <c r="A4718">
        <v>4204558</v>
      </c>
      <c r="B4718" t="str">
        <f t="shared" si="73"/>
        <v>CORREIA PINTO, SC, Brasil</v>
      </c>
      <c r="C4718" s="4" t="str">
        <f>_xlfn.XLOOKUP(A4718,[1]!DadosGHD[CD_GEOCMU],[1]!DadosGHD[Região])</f>
        <v>SL</v>
      </c>
      <c r="D4718" s="4" t="str">
        <f>_xlfn.XLOOKUP(A4718,[1]!DadosGHD[CD_GEOCMU],[1]!DadosGHD[uf])</f>
        <v>SC</v>
      </c>
      <c r="E4718" s="5" t="str">
        <f>_xlfn.XLOOKUP(A4718,[1]!DadosGHD[CD_GEOCMU],[1]!DadosGHD[MUNICIPIO])</f>
        <v>CORREIA PINTO</v>
      </c>
      <c r="F4718" s="6">
        <v>53.6594047546387</v>
      </c>
      <c r="G4718" s="6">
        <v>53.684116363525398</v>
      </c>
      <c r="H4718" s="6">
        <v>53.820407867431598</v>
      </c>
      <c r="I4718" s="6">
        <v>53.873039245605497</v>
      </c>
      <c r="J4718" s="6">
        <v>58.889137268066399</v>
      </c>
      <c r="K4718" s="6">
        <v>59.060619354248097</v>
      </c>
      <c r="L4718" s="6">
        <v>53.032516479492202</v>
      </c>
    </row>
    <row r="4719" spans="1:12" x14ac:dyDescent="0.25">
      <c r="A4719">
        <v>4219705</v>
      </c>
      <c r="B4719" t="str">
        <f t="shared" si="73"/>
        <v>XAXIM, SC, Brasil</v>
      </c>
      <c r="C4719" s="4" t="str">
        <f>_xlfn.XLOOKUP(A4719,[1]!DadosGHD[CD_GEOCMU],[1]!DadosGHD[Região])</f>
        <v>SL</v>
      </c>
      <c r="D4719" s="4" t="str">
        <f>_xlfn.XLOOKUP(A4719,[1]!DadosGHD[CD_GEOCMU],[1]!DadosGHD[uf])</f>
        <v>SC</v>
      </c>
      <c r="E4719" s="5" t="str">
        <f>_xlfn.XLOOKUP(A4719,[1]!DadosGHD[CD_GEOCMU],[1]!DadosGHD[MUNICIPIO])</f>
        <v>XAXIM</v>
      </c>
      <c r="F4719" s="6">
        <v>53.659652709960902</v>
      </c>
      <c r="G4719" s="6">
        <v>53.734718322753899</v>
      </c>
      <c r="H4719" s="6">
        <v>48.831249237060597</v>
      </c>
      <c r="I4719" s="6">
        <v>53.708450317382798</v>
      </c>
      <c r="J4719" s="6">
        <v>48.840988159179702</v>
      </c>
      <c r="K4719" s="6">
        <v>53.8535346984863</v>
      </c>
      <c r="L4719" s="6">
        <v>39.595169067382798</v>
      </c>
    </row>
    <row r="4720" spans="1:12" x14ac:dyDescent="0.25">
      <c r="A4720">
        <v>4109302</v>
      </c>
      <c r="B4720" t="str">
        <f t="shared" si="73"/>
        <v>GUARANIACU, PR, Brasil</v>
      </c>
      <c r="C4720" s="4" t="str">
        <f>_xlfn.XLOOKUP(A4720,[1]!DadosGHD[CD_GEOCMU],[1]!DadosGHD[Região])</f>
        <v>SL</v>
      </c>
      <c r="D4720" s="4" t="str">
        <f>_xlfn.XLOOKUP(A4720,[1]!DadosGHD[CD_GEOCMU],[1]!DadosGHD[uf])</f>
        <v>PR</v>
      </c>
      <c r="E4720" s="5" t="str">
        <f>_xlfn.XLOOKUP(A4720,[1]!DadosGHD[CD_GEOCMU],[1]!DadosGHD[MUNICIPIO])</f>
        <v>GUARANIACU</v>
      </c>
      <c r="F4720" s="6">
        <v>53.659816741943402</v>
      </c>
      <c r="G4720" s="6">
        <v>53.763420104980497</v>
      </c>
      <c r="H4720" s="6">
        <v>53.839920043945298</v>
      </c>
      <c r="I4720" s="6">
        <v>53.871940612792997</v>
      </c>
      <c r="J4720" s="6">
        <v>58.894153594970703</v>
      </c>
      <c r="K4720" s="6">
        <v>53.870643615722699</v>
      </c>
      <c r="L4720" s="6">
        <v>48.501045227050803</v>
      </c>
    </row>
    <row r="4721" spans="1:12" x14ac:dyDescent="0.25">
      <c r="A4721">
        <v>3532108</v>
      </c>
      <c r="B4721" t="str">
        <f t="shared" si="73"/>
        <v>MURUTINGA DO SUL, SP, Brasil</v>
      </c>
      <c r="C4721" s="4" t="str">
        <f>_xlfn.XLOOKUP(A4721,[1]!DadosGHD[CD_GEOCMU],[1]!DadosGHD[Região])</f>
        <v>SD</v>
      </c>
      <c r="D4721" s="4" t="str">
        <f>_xlfn.XLOOKUP(A4721,[1]!DadosGHD[CD_GEOCMU],[1]!DadosGHD[uf])</f>
        <v>SP</v>
      </c>
      <c r="E4721" s="5" t="str">
        <f>_xlfn.XLOOKUP(A4721,[1]!DadosGHD[CD_GEOCMU],[1]!DadosGHD[MUNICIPIO])</f>
        <v>MURUTINGA DO SUL</v>
      </c>
      <c r="F4721" s="6">
        <v>53.660358428955099</v>
      </c>
      <c r="G4721" s="6">
        <v>53.726032257080099</v>
      </c>
      <c r="H4721" s="6">
        <v>53.882080078125</v>
      </c>
      <c r="I4721" s="6">
        <v>58.827705383300803</v>
      </c>
      <c r="J4721" s="6">
        <v>48.778648376464801</v>
      </c>
      <c r="K4721" s="6">
        <v>48.856544494628899</v>
      </c>
      <c r="L4721" s="6">
        <v>53.0518608093262</v>
      </c>
    </row>
    <row r="4722" spans="1:12" x14ac:dyDescent="0.25">
      <c r="A4722">
        <v>5108055</v>
      </c>
      <c r="B4722" t="str">
        <f t="shared" si="73"/>
        <v>TERRA NOVA DO NORTE, MT, Brasil</v>
      </c>
      <c r="C4722" s="4" t="str">
        <f>_xlfn.XLOOKUP(A4722,[1]!DadosGHD[CD_GEOCMU],[1]!DadosGHD[Região])</f>
        <v>CO</v>
      </c>
      <c r="D4722" s="4" t="str">
        <f>_xlfn.XLOOKUP(A4722,[1]!DadosGHD[CD_GEOCMU],[1]!DadosGHD[uf])</f>
        <v>MT</v>
      </c>
      <c r="E4722" s="5" t="str">
        <f>_xlfn.XLOOKUP(A4722,[1]!DadosGHD[CD_GEOCMU],[1]!DadosGHD[MUNICIPIO])</f>
        <v>TERRA NOVA DO NORTE</v>
      </c>
      <c r="F4722" s="6">
        <v>53.660377502441399</v>
      </c>
      <c r="G4722" s="6">
        <v>53.800098419189503</v>
      </c>
      <c r="H4722" s="6">
        <v>53.847507476806598</v>
      </c>
      <c r="I4722" s="6">
        <v>53.882053375244098</v>
      </c>
      <c r="J4722" s="6">
        <v>58.982315063476598</v>
      </c>
      <c r="K4722" s="6">
        <v>59.131210327148402</v>
      </c>
      <c r="L4722" s="6">
        <v>44.065135955810597</v>
      </c>
    </row>
    <row r="4723" spans="1:12" x14ac:dyDescent="0.25">
      <c r="A4723">
        <v>3512308</v>
      </c>
      <c r="B4723" t="str">
        <f t="shared" si="73"/>
        <v>CONCHAS, SP, Brasil</v>
      </c>
      <c r="C4723" s="4" t="str">
        <f>_xlfn.XLOOKUP(A4723,[1]!DadosGHD[CD_GEOCMU],[1]!DadosGHD[Região])</f>
        <v>SD</v>
      </c>
      <c r="D4723" s="4" t="str">
        <f>_xlfn.XLOOKUP(A4723,[1]!DadosGHD[CD_GEOCMU],[1]!DadosGHD[uf])</f>
        <v>SP</v>
      </c>
      <c r="E4723" s="5" t="str">
        <f>_xlfn.XLOOKUP(A4723,[1]!DadosGHD[CD_GEOCMU],[1]!DadosGHD[MUNICIPIO])</f>
        <v>CONCHAS</v>
      </c>
      <c r="F4723" s="6">
        <v>53.660453796386697</v>
      </c>
      <c r="G4723" s="6">
        <v>48.739082336425803</v>
      </c>
      <c r="H4723" s="6">
        <v>48.721168518066399</v>
      </c>
      <c r="I4723" s="6">
        <v>48.749755859375</v>
      </c>
      <c r="J4723" s="6">
        <v>48.7700386047363</v>
      </c>
      <c r="K4723" s="6">
        <v>48.8212699890137</v>
      </c>
      <c r="L4723" s="6">
        <v>57.523303985595703</v>
      </c>
    </row>
    <row r="4724" spans="1:12" x14ac:dyDescent="0.25">
      <c r="A4724">
        <v>4128005</v>
      </c>
      <c r="B4724" t="str">
        <f t="shared" si="73"/>
        <v>UBIRATA, PR, Brasil</v>
      </c>
      <c r="C4724" s="4" t="str">
        <f>_xlfn.XLOOKUP(A4724,[1]!DadosGHD[CD_GEOCMU],[1]!DadosGHD[Região])</f>
        <v>SL</v>
      </c>
      <c r="D4724" s="4" t="str">
        <f>_xlfn.XLOOKUP(A4724,[1]!DadosGHD[CD_GEOCMU],[1]!DadosGHD[uf])</f>
        <v>PR</v>
      </c>
      <c r="E4724" s="5" t="str">
        <f>_xlfn.XLOOKUP(A4724,[1]!DadosGHD[CD_GEOCMU],[1]!DadosGHD[MUNICIPIO])</f>
        <v>UBIRATA</v>
      </c>
      <c r="F4724" s="6">
        <v>53.660804748535199</v>
      </c>
      <c r="G4724" s="6">
        <v>53.810722351074197</v>
      </c>
      <c r="H4724" s="6">
        <v>58.8397026062012</v>
      </c>
      <c r="I4724" s="6">
        <v>58.834724426269503</v>
      </c>
      <c r="J4724" s="6">
        <v>58.934730529785199</v>
      </c>
      <c r="K4724" s="6">
        <v>58.919662475585902</v>
      </c>
      <c r="L4724" s="6">
        <v>53.0204467773438</v>
      </c>
    </row>
    <row r="4725" spans="1:12" x14ac:dyDescent="0.25">
      <c r="A4725">
        <v>5106851</v>
      </c>
      <c r="B4725" t="str">
        <f t="shared" si="73"/>
        <v>PORTO ESTRELA, MT, Brasil</v>
      </c>
      <c r="C4725" s="4" t="str">
        <f>_xlfn.XLOOKUP(A4725,[1]!DadosGHD[CD_GEOCMU],[1]!DadosGHD[Região])</f>
        <v>CO</v>
      </c>
      <c r="D4725" s="4" t="str">
        <f>_xlfn.XLOOKUP(A4725,[1]!DadosGHD[CD_GEOCMU],[1]!DadosGHD[uf])</f>
        <v>MT</v>
      </c>
      <c r="E4725" s="5" t="str">
        <f>_xlfn.XLOOKUP(A4725,[1]!DadosGHD[CD_GEOCMU],[1]!DadosGHD[MUNICIPIO])</f>
        <v>PORTO ESTRELA</v>
      </c>
      <c r="F4725" s="6">
        <v>53.661491394042997</v>
      </c>
      <c r="G4725" s="6">
        <v>48.673439025878899</v>
      </c>
      <c r="H4725" s="6">
        <v>48.716606140136697</v>
      </c>
      <c r="I4725" s="6">
        <v>48.717372894287102</v>
      </c>
      <c r="J4725" s="6">
        <v>48.774143218994098</v>
      </c>
      <c r="K4725" s="6">
        <v>53.891525268554702</v>
      </c>
      <c r="L4725" s="6">
        <v>44.031589508056598</v>
      </c>
    </row>
    <row r="4726" spans="1:12" x14ac:dyDescent="0.25">
      <c r="A4726">
        <v>4309001</v>
      </c>
      <c r="B4726" t="str">
        <f t="shared" si="73"/>
        <v>GIRUA, RS, Brasil</v>
      </c>
      <c r="C4726" s="4" t="str">
        <f>_xlfn.XLOOKUP(A4726,[1]!DadosGHD[CD_GEOCMU],[1]!DadosGHD[Região])</f>
        <v>SL</v>
      </c>
      <c r="D4726" s="4" t="str">
        <f>_xlfn.XLOOKUP(A4726,[1]!DadosGHD[CD_GEOCMU],[1]!DadosGHD[uf])</f>
        <v>RS</v>
      </c>
      <c r="E4726" s="5" t="str">
        <f>_xlfn.XLOOKUP(A4726,[1]!DadosGHD[CD_GEOCMU],[1]!DadosGHD[MUNICIPIO])</f>
        <v>GIRUA</v>
      </c>
      <c r="F4726" s="6">
        <v>53.661586761474602</v>
      </c>
      <c r="G4726" s="6">
        <v>53.7387886047363</v>
      </c>
      <c r="H4726" s="6">
        <v>53.8466796875</v>
      </c>
      <c r="I4726" s="6">
        <v>58.859848022460902</v>
      </c>
      <c r="J4726" s="6">
        <v>58.958248138427699</v>
      </c>
      <c r="K4726" s="6">
        <v>64.10205078125</v>
      </c>
      <c r="L4726" s="6">
        <v>53.063831329345703</v>
      </c>
    </row>
    <row r="4727" spans="1:12" x14ac:dyDescent="0.25">
      <c r="A4727">
        <v>4106506</v>
      </c>
      <c r="B4727" t="str">
        <f t="shared" si="73"/>
        <v>CORONEL VIVIDA, PR, Brasil</v>
      </c>
      <c r="C4727" s="4" t="str">
        <f>_xlfn.XLOOKUP(A4727,[1]!DadosGHD[CD_GEOCMU],[1]!DadosGHD[Região])</f>
        <v>SL</v>
      </c>
      <c r="D4727" s="4" t="str">
        <f>_xlfn.XLOOKUP(A4727,[1]!DadosGHD[CD_GEOCMU],[1]!DadosGHD[uf])</f>
        <v>PR</v>
      </c>
      <c r="E4727" s="5" t="str">
        <f>_xlfn.XLOOKUP(A4727,[1]!DadosGHD[CD_GEOCMU],[1]!DadosGHD[MUNICIPIO])</f>
        <v>CORONEL VIVIDA</v>
      </c>
      <c r="F4727" s="6">
        <v>53.661994934082003</v>
      </c>
      <c r="G4727" s="6">
        <v>58.730636596679702</v>
      </c>
      <c r="H4727" s="6">
        <v>58.890235900878899</v>
      </c>
      <c r="I4727" s="6">
        <v>58.875076293945298</v>
      </c>
      <c r="J4727" s="6">
        <v>63.954105377197301</v>
      </c>
      <c r="K4727" s="6">
        <v>64.13623046875</v>
      </c>
      <c r="L4727" s="6">
        <v>48.536849975585902</v>
      </c>
    </row>
    <row r="4728" spans="1:12" x14ac:dyDescent="0.25">
      <c r="A4728">
        <v>3143500</v>
      </c>
      <c r="B4728" t="str">
        <f t="shared" si="73"/>
        <v>MORADA NOVA DE MINAS, MG, Brasil</v>
      </c>
      <c r="C4728" s="4" t="str">
        <f>_xlfn.XLOOKUP(A4728,[1]!DadosGHD[CD_GEOCMU],[1]!DadosGHD[Região])</f>
        <v>SD</v>
      </c>
      <c r="D4728" s="4" t="str">
        <f>_xlfn.XLOOKUP(A4728,[1]!DadosGHD[CD_GEOCMU],[1]!DadosGHD[uf])</f>
        <v>MG</v>
      </c>
      <c r="E4728" s="5" t="str">
        <f>_xlfn.XLOOKUP(A4728,[1]!DadosGHD[CD_GEOCMU],[1]!DadosGHD[MUNICIPIO])</f>
        <v>MORADA NOVA DE MINAS</v>
      </c>
      <c r="F4728" s="6">
        <v>53.662067413330099</v>
      </c>
      <c r="G4728" s="6">
        <v>53.743209838867202</v>
      </c>
      <c r="H4728" s="6">
        <v>53.835891723632798</v>
      </c>
      <c r="I4728" s="6">
        <v>53.770839691162102</v>
      </c>
      <c r="J4728" s="6">
        <v>53.726387023925803</v>
      </c>
      <c r="K4728" s="6">
        <v>53.858985900878899</v>
      </c>
      <c r="L4728" s="6">
        <v>53.0162963867188</v>
      </c>
    </row>
    <row r="4729" spans="1:12" x14ac:dyDescent="0.25">
      <c r="A4729">
        <v>5210802</v>
      </c>
      <c r="B4729" t="str">
        <f t="shared" si="73"/>
        <v>ITAJA, GO, Brasil</v>
      </c>
      <c r="C4729" s="4" t="str">
        <f>_xlfn.XLOOKUP(A4729,[1]!DadosGHD[CD_GEOCMU],[1]!DadosGHD[Região])</f>
        <v>CO</v>
      </c>
      <c r="D4729" s="4" t="str">
        <f>_xlfn.XLOOKUP(A4729,[1]!DadosGHD[CD_GEOCMU],[1]!DadosGHD[uf])</f>
        <v>GO</v>
      </c>
      <c r="E4729" s="5" t="str">
        <f>_xlfn.XLOOKUP(A4729,[1]!DadosGHD[CD_GEOCMU],[1]!DadosGHD[MUNICIPIO])</f>
        <v>ITAJA</v>
      </c>
      <c r="F4729" s="6">
        <v>53.662696838378899</v>
      </c>
      <c r="G4729" s="6">
        <v>53.6775932312012</v>
      </c>
      <c r="H4729" s="6">
        <v>43.8078804016113</v>
      </c>
      <c r="I4729" s="6">
        <v>53.711017608642599</v>
      </c>
      <c r="J4729" s="6">
        <v>48.726184844970703</v>
      </c>
      <c r="K4729" s="6">
        <v>43.884548187255902</v>
      </c>
      <c r="L4729" s="6">
        <v>39.602867126464801</v>
      </c>
    </row>
    <row r="4730" spans="1:12" x14ac:dyDescent="0.25">
      <c r="A4730">
        <v>4107108</v>
      </c>
      <c r="B4730" t="str">
        <f t="shared" si="73"/>
        <v>DIAMANTE DO NORTE, PR, Brasil</v>
      </c>
      <c r="C4730" s="4" t="str">
        <f>_xlfn.XLOOKUP(A4730,[1]!DadosGHD[CD_GEOCMU],[1]!DadosGHD[Região])</f>
        <v>SL</v>
      </c>
      <c r="D4730" s="4" t="str">
        <f>_xlfn.XLOOKUP(A4730,[1]!DadosGHD[CD_GEOCMU],[1]!DadosGHD[uf])</f>
        <v>PR</v>
      </c>
      <c r="E4730" s="5" t="str">
        <f>_xlfn.XLOOKUP(A4730,[1]!DadosGHD[CD_GEOCMU],[1]!DadosGHD[MUNICIPIO])</f>
        <v>DIAMANTE DO NORTE</v>
      </c>
      <c r="F4730" s="6">
        <v>53.662918090820298</v>
      </c>
      <c r="G4730" s="6">
        <v>58.765640258789098</v>
      </c>
      <c r="H4730" s="6">
        <v>58.889991760253899</v>
      </c>
      <c r="I4730" s="6">
        <v>58.852005004882798</v>
      </c>
      <c r="J4730" s="6">
        <v>53.8209419250488</v>
      </c>
      <c r="K4730" s="6">
        <v>53.886032104492202</v>
      </c>
      <c r="L4730" s="6">
        <v>44.046951293945298</v>
      </c>
    </row>
    <row r="4731" spans="1:12" x14ac:dyDescent="0.25">
      <c r="A4731">
        <v>5107875</v>
      </c>
      <c r="B4731" t="str">
        <f t="shared" si="73"/>
        <v>SAPEZAL, MT, Brasil</v>
      </c>
      <c r="C4731" s="4" t="str">
        <f>_xlfn.XLOOKUP(A4731,[1]!DadosGHD[CD_GEOCMU],[1]!DadosGHD[Região])</f>
        <v>CO</v>
      </c>
      <c r="D4731" s="4" t="str">
        <f>_xlfn.XLOOKUP(A4731,[1]!DadosGHD[CD_GEOCMU],[1]!DadosGHD[uf])</f>
        <v>MT</v>
      </c>
      <c r="E4731" s="5" t="str">
        <f>_xlfn.XLOOKUP(A4731,[1]!DadosGHD[CD_GEOCMU],[1]!DadosGHD[MUNICIPIO])</f>
        <v>SAPEZAL</v>
      </c>
      <c r="F4731" s="6">
        <v>53.663291931152301</v>
      </c>
      <c r="G4731" s="6">
        <v>53.748184204101598</v>
      </c>
      <c r="H4731" s="6">
        <v>53.885303497314503</v>
      </c>
      <c r="I4731" s="6">
        <v>53.8806343078613</v>
      </c>
      <c r="J4731" s="6">
        <v>53.886661529541001</v>
      </c>
      <c r="K4731" s="6">
        <v>53.955432891845703</v>
      </c>
      <c r="L4731" s="6">
        <v>35.151542663574197</v>
      </c>
    </row>
    <row r="4732" spans="1:12" x14ac:dyDescent="0.25">
      <c r="A4732">
        <v>3146404</v>
      </c>
      <c r="B4732" t="str">
        <f t="shared" si="73"/>
        <v>PAINEIRAS, MG, Brasil</v>
      </c>
      <c r="C4732" s="4" t="str">
        <f>_xlfn.XLOOKUP(A4732,[1]!DadosGHD[CD_GEOCMU],[1]!DadosGHD[Região])</f>
        <v>SD</v>
      </c>
      <c r="D4732" s="4" t="str">
        <f>_xlfn.XLOOKUP(A4732,[1]!DadosGHD[CD_GEOCMU],[1]!DadosGHD[uf])</f>
        <v>MG</v>
      </c>
      <c r="E4732" s="5" t="str">
        <f>_xlfn.XLOOKUP(A4732,[1]!DadosGHD[CD_GEOCMU],[1]!DadosGHD[MUNICIPIO])</f>
        <v>PAINEIRAS</v>
      </c>
      <c r="F4732" s="6">
        <v>53.663501739502003</v>
      </c>
      <c r="G4732" s="6">
        <v>58.797367095947301</v>
      </c>
      <c r="H4732" s="6">
        <v>58.853591918945298</v>
      </c>
      <c r="I4732" s="6">
        <v>58.826850891113303</v>
      </c>
      <c r="J4732" s="6">
        <v>58.810882568359403</v>
      </c>
      <c r="K4732" s="6">
        <v>48.8235054016113</v>
      </c>
      <c r="L4732" s="6">
        <v>44.075332641601598</v>
      </c>
    </row>
    <row r="4733" spans="1:12" x14ac:dyDescent="0.25">
      <c r="A4733">
        <v>3101607</v>
      </c>
      <c r="B4733" t="str">
        <f t="shared" si="73"/>
        <v>ALFENAS, MG, Brasil</v>
      </c>
      <c r="C4733" s="4" t="str">
        <f>_xlfn.XLOOKUP(A4733,[1]!DadosGHD[CD_GEOCMU],[1]!DadosGHD[Região])</f>
        <v>SD</v>
      </c>
      <c r="D4733" s="4" t="str">
        <f>_xlfn.XLOOKUP(A4733,[1]!DadosGHD[CD_GEOCMU],[1]!DadosGHD[uf])</f>
        <v>MG</v>
      </c>
      <c r="E4733" s="5" t="str">
        <f>_xlfn.XLOOKUP(A4733,[1]!DadosGHD[CD_GEOCMU],[1]!DadosGHD[MUNICIPIO])</f>
        <v>ALFENAS</v>
      </c>
      <c r="F4733" s="6">
        <v>53.664093017578097</v>
      </c>
      <c r="G4733" s="6">
        <v>53.719352722167997</v>
      </c>
      <c r="H4733" s="6">
        <v>53.876735687255902</v>
      </c>
      <c r="I4733" s="6">
        <v>58.799674987792997</v>
      </c>
      <c r="J4733" s="6">
        <v>58.821857452392599</v>
      </c>
      <c r="K4733" s="6">
        <v>58.974021911621101</v>
      </c>
      <c r="L4733" s="6">
        <v>57.589881896972699</v>
      </c>
    </row>
    <row r="4734" spans="1:12" x14ac:dyDescent="0.25">
      <c r="A4734">
        <v>4114807</v>
      </c>
      <c r="B4734" t="str">
        <f t="shared" si="73"/>
        <v>MARIALVA, PR, Brasil</v>
      </c>
      <c r="C4734" s="4" t="str">
        <f>_xlfn.XLOOKUP(A4734,[1]!DadosGHD[CD_GEOCMU],[1]!DadosGHD[Região])</f>
        <v>SL</v>
      </c>
      <c r="D4734" s="4" t="str">
        <f>_xlfn.XLOOKUP(A4734,[1]!DadosGHD[CD_GEOCMU],[1]!DadosGHD[uf])</f>
        <v>PR</v>
      </c>
      <c r="E4734" s="5" t="str">
        <f>_xlfn.XLOOKUP(A4734,[1]!DadosGHD[CD_GEOCMU],[1]!DadosGHD[MUNICIPIO])</f>
        <v>MARIALVA</v>
      </c>
      <c r="F4734" s="6">
        <v>53.6647758483887</v>
      </c>
      <c r="G4734" s="6">
        <v>53.821788787841797</v>
      </c>
      <c r="H4734" s="6">
        <v>53.874752044677699</v>
      </c>
      <c r="I4734" s="6">
        <v>58.789585113525398</v>
      </c>
      <c r="J4734" s="6">
        <v>58.846321105957003</v>
      </c>
      <c r="K4734" s="6">
        <v>58.9343070983887</v>
      </c>
      <c r="L4734" s="6">
        <v>53.031482696533203</v>
      </c>
    </row>
    <row r="4735" spans="1:12" x14ac:dyDescent="0.25">
      <c r="A4735">
        <v>3546108</v>
      </c>
      <c r="B4735" t="str">
        <f t="shared" si="73"/>
        <v>SANTA CLARA D'OESTE, SP, Brasil</v>
      </c>
      <c r="C4735" s="4" t="str">
        <f>_xlfn.XLOOKUP(A4735,[1]!DadosGHD[CD_GEOCMU],[1]!DadosGHD[Região])</f>
        <v>SD</v>
      </c>
      <c r="D4735" s="4" t="str">
        <f>_xlfn.XLOOKUP(A4735,[1]!DadosGHD[CD_GEOCMU],[1]!DadosGHD[uf])</f>
        <v>SP</v>
      </c>
      <c r="E4735" s="5" t="str">
        <f>_xlfn.XLOOKUP(A4735,[1]!DadosGHD[CD_GEOCMU],[1]!DadosGHD[MUNICIPIO])</f>
        <v>SANTA CLARA D'OESTE</v>
      </c>
      <c r="F4735" s="6">
        <v>53.664848327636697</v>
      </c>
      <c r="G4735" s="6">
        <v>48.764797210693402</v>
      </c>
      <c r="H4735" s="6">
        <v>43.817028045654297</v>
      </c>
      <c r="I4735" s="6">
        <v>43.770549774169901</v>
      </c>
      <c r="J4735" s="6">
        <v>43.742420196533203</v>
      </c>
      <c r="K4735" s="6">
        <v>43.7679252624512</v>
      </c>
      <c r="L4735" s="6">
        <v>39.576725006103501</v>
      </c>
    </row>
    <row r="4736" spans="1:12" x14ac:dyDescent="0.25">
      <c r="A4736">
        <v>4212270</v>
      </c>
      <c r="B4736" t="str">
        <f t="shared" si="73"/>
        <v>PASSOS MAIA, SC, Brasil</v>
      </c>
      <c r="C4736" s="4" t="str">
        <f>_xlfn.XLOOKUP(A4736,[1]!DadosGHD[CD_GEOCMU],[1]!DadosGHD[Região])</f>
        <v>SL</v>
      </c>
      <c r="D4736" s="4" t="str">
        <f>_xlfn.XLOOKUP(A4736,[1]!DadosGHD[CD_GEOCMU],[1]!DadosGHD[uf])</f>
        <v>SC</v>
      </c>
      <c r="E4736" s="5" t="str">
        <f>_xlfn.XLOOKUP(A4736,[1]!DadosGHD[CD_GEOCMU],[1]!DadosGHD[MUNICIPIO])</f>
        <v>PASSOS MAIA</v>
      </c>
      <c r="F4736" s="6">
        <v>53.6649780273438</v>
      </c>
      <c r="G4736" s="6">
        <v>58.7856636047363</v>
      </c>
      <c r="H4736" s="6">
        <v>53.8477592468262</v>
      </c>
      <c r="I4736" s="6">
        <v>53.825809478759801</v>
      </c>
      <c r="J4736" s="6">
        <v>58.971229553222699</v>
      </c>
      <c r="K4736" s="6">
        <v>53.940818786621101</v>
      </c>
      <c r="L4736" s="6">
        <v>53.032020568847699</v>
      </c>
    </row>
    <row r="4737" spans="1:12" x14ac:dyDescent="0.25">
      <c r="A4737">
        <v>3527603</v>
      </c>
      <c r="B4737" t="str">
        <f t="shared" si="73"/>
        <v>LUIS ANTONIO, SP, Brasil</v>
      </c>
      <c r="C4737" s="4" t="str">
        <f>_xlfn.XLOOKUP(A4737,[1]!DadosGHD[CD_GEOCMU],[1]!DadosGHD[Região])</f>
        <v>SD</v>
      </c>
      <c r="D4737" s="4" t="str">
        <f>_xlfn.XLOOKUP(A4737,[1]!DadosGHD[CD_GEOCMU],[1]!DadosGHD[uf])</f>
        <v>SP</v>
      </c>
      <c r="E4737" s="5" t="str">
        <f>_xlfn.XLOOKUP(A4737,[1]!DadosGHD[CD_GEOCMU],[1]!DadosGHD[MUNICIPIO])</f>
        <v>LUIS ANTONIO</v>
      </c>
      <c r="F4737" s="6">
        <v>53.665138244628899</v>
      </c>
      <c r="G4737" s="6">
        <v>53.721725463867202</v>
      </c>
      <c r="H4737" s="6">
        <v>53.851268768310597</v>
      </c>
      <c r="I4737" s="6">
        <v>53.816085815429702</v>
      </c>
      <c r="J4737" s="6">
        <v>53.769859313964801</v>
      </c>
      <c r="K4737" s="6">
        <v>53.825706481933601</v>
      </c>
      <c r="L4737" s="6">
        <v>48.554012298583999</v>
      </c>
    </row>
    <row r="4738" spans="1:12" x14ac:dyDescent="0.25">
      <c r="A4738">
        <v>3545803</v>
      </c>
      <c r="B4738" t="str">
        <f t="shared" si="73"/>
        <v>SANTA BARBARA D'OESTE, SP, Brasil</v>
      </c>
      <c r="C4738" s="4" t="str">
        <f>_xlfn.XLOOKUP(A4738,[1]!DadosGHD[CD_GEOCMU],[1]!DadosGHD[Região])</f>
        <v>SD</v>
      </c>
      <c r="D4738" s="4" t="str">
        <f>_xlfn.XLOOKUP(A4738,[1]!DadosGHD[CD_GEOCMU],[1]!DadosGHD[uf])</f>
        <v>SP</v>
      </c>
      <c r="E4738" s="5" t="str">
        <f>_xlfn.XLOOKUP(A4738,[1]!DadosGHD[CD_GEOCMU],[1]!DadosGHD[MUNICIPIO])</f>
        <v>SANTA BARBARA D'OESTE</v>
      </c>
      <c r="F4738" s="6">
        <v>53.665283203125</v>
      </c>
      <c r="G4738" s="6">
        <v>53.763053894042997</v>
      </c>
      <c r="H4738" s="6">
        <v>53.812801361083999</v>
      </c>
      <c r="I4738" s="6">
        <v>53.771595001220703</v>
      </c>
      <c r="J4738" s="6">
        <v>53.7717475891113</v>
      </c>
      <c r="K4738" s="6">
        <v>48.9019165039063</v>
      </c>
      <c r="L4738" s="6">
        <v>57.515781402587898</v>
      </c>
    </row>
    <row r="4739" spans="1:12" x14ac:dyDescent="0.25">
      <c r="A4739">
        <v>4111209</v>
      </c>
      <c r="B4739" t="str">
        <f t="shared" si="73"/>
        <v>ITAPEJARA D'OESTE, PR, Brasil</v>
      </c>
      <c r="C4739" s="4" t="str">
        <f>_xlfn.XLOOKUP(A4739,[1]!DadosGHD[CD_GEOCMU],[1]!DadosGHD[Região])</f>
        <v>SL</v>
      </c>
      <c r="D4739" s="4" t="str">
        <f>_xlfn.XLOOKUP(A4739,[1]!DadosGHD[CD_GEOCMU],[1]!DadosGHD[uf])</f>
        <v>PR</v>
      </c>
      <c r="E4739" s="5" t="str">
        <f>_xlfn.XLOOKUP(A4739,[1]!DadosGHD[CD_GEOCMU],[1]!DadosGHD[MUNICIPIO])</f>
        <v>ITAPEJARA D'OESTE</v>
      </c>
      <c r="F4739" s="6">
        <v>53.665615081787102</v>
      </c>
      <c r="G4739" s="6">
        <v>53.754238128662102</v>
      </c>
      <c r="H4739" s="6">
        <v>53.755786895752003</v>
      </c>
      <c r="I4739" s="6">
        <v>53.725246429443402</v>
      </c>
      <c r="J4739" s="6">
        <v>53.800045013427699</v>
      </c>
      <c r="K4739" s="6">
        <v>53.861362457275398</v>
      </c>
      <c r="L4739" s="6">
        <v>44.040950775146499</v>
      </c>
    </row>
    <row r="4740" spans="1:12" x14ac:dyDescent="0.25">
      <c r="A4740">
        <v>3103603</v>
      </c>
      <c r="B4740" t="str">
        <f t="shared" ref="B4740:B4803" si="74">_xlfn.CONCAT(E4740, ", ", D4740, ", Brasil")</f>
        <v>ARANTINA, MG, Brasil</v>
      </c>
      <c r="C4740" s="4" t="str">
        <f>_xlfn.XLOOKUP(A4740,[1]!DadosGHD[CD_GEOCMU],[1]!DadosGHD[Região])</f>
        <v>SD</v>
      </c>
      <c r="D4740" s="4" t="str">
        <f>_xlfn.XLOOKUP(A4740,[1]!DadosGHD[CD_GEOCMU],[1]!DadosGHD[uf])</f>
        <v>MG</v>
      </c>
      <c r="E4740" s="5" t="str">
        <f>_xlfn.XLOOKUP(A4740,[1]!DadosGHD[CD_GEOCMU],[1]!DadosGHD[MUNICIPIO])</f>
        <v>ARANTINA</v>
      </c>
      <c r="F4740" s="6">
        <v>53.665870666503899</v>
      </c>
      <c r="G4740" s="6">
        <v>53.674148559570298</v>
      </c>
      <c r="H4740" s="6">
        <v>48.840560913085902</v>
      </c>
      <c r="I4740" s="6">
        <v>48.799278259277301</v>
      </c>
      <c r="J4740" s="6">
        <v>48.8048095703125</v>
      </c>
      <c r="K4740" s="6">
        <v>48.908454895019503</v>
      </c>
      <c r="L4740" s="6">
        <v>57.521957397460902</v>
      </c>
    </row>
    <row r="4741" spans="1:12" x14ac:dyDescent="0.25">
      <c r="A4741">
        <v>5104526</v>
      </c>
      <c r="B4741" t="str">
        <f t="shared" si="74"/>
        <v>IPIRANGA DO NORTE, MT, Brasil</v>
      </c>
      <c r="C4741" s="4" t="str">
        <f>_xlfn.XLOOKUP(A4741,[1]!DadosGHD[CD_GEOCMU],[1]!DadosGHD[Região])</f>
        <v>CO</v>
      </c>
      <c r="D4741" s="4" t="str">
        <f>_xlfn.XLOOKUP(A4741,[1]!DadosGHD[CD_GEOCMU],[1]!DadosGHD[uf])</f>
        <v>MT</v>
      </c>
      <c r="E4741" s="5" t="str">
        <f>_xlfn.XLOOKUP(A4741,[1]!DadosGHD[CD_GEOCMU],[1]!DadosGHD[MUNICIPIO])</f>
        <v>IPIRANGA DO NORTE</v>
      </c>
      <c r="F4741" s="6">
        <v>53.665992736816399</v>
      </c>
      <c r="G4741" s="6">
        <v>58.793285369873097</v>
      </c>
      <c r="H4741" s="6">
        <v>58.853115081787102</v>
      </c>
      <c r="I4741" s="6">
        <v>58.903236389160199</v>
      </c>
      <c r="J4741" s="6">
        <v>63.945587158203097</v>
      </c>
      <c r="K4741" s="6">
        <v>58.964118957519503</v>
      </c>
      <c r="L4741" s="6">
        <v>44.070964813232401</v>
      </c>
    </row>
    <row r="4742" spans="1:12" x14ac:dyDescent="0.25">
      <c r="A4742">
        <v>3504008</v>
      </c>
      <c r="B4742" t="str">
        <f t="shared" si="74"/>
        <v>ASSIS, SP, Brasil</v>
      </c>
      <c r="C4742" s="4" t="str">
        <f>_xlfn.XLOOKUP(A4742,[1]!DadosGHD[CD_GEOCMU],[1]!DadosGHD[Região])</f>
        <v>SD</v>
      </c>
      <c r="D4742" s="4" t="str">
        <f>_xlfn.XLOOKUP(A4742,[1]!DadosGHD[CD_GEOCMU],[1]!DadosGHD[uf])</f>
        <v>SP</v>
      </c>
      <c r="E4742" s="5" t="str">
        <f>_xlfn.XLOOKUP(A4742,[1]!DadosGHD[CD_GEOCMU],[1]!DadosGHD[MUNICIPIO])</f>
        <v>ASSIS</v>
      </c>
      <c r="F4742" s="6">
        <v>53.666030883789098</v>
      </c>
      <c r="G4742" s="6">
        <v>53.780601501464801</v>
      </c>
      <c r="H4742" s="6">
        <v>53.889930725097699</v>
      </c>
      <c r="I4742" s="6">
        <v>53.842311859130902</v>
      </c>
      <c r="J4742" s="6">
        <v>53.892490386962898</v>
      </c>
      <c r="K4742" s="6">
        <v>53.8885307312012</v>
      </c>
      <c r="L4742" s="6">
        <v>48.535118103027301</v>
      </c>
    </row>
    <row r="4743" spans="1:12" x14ac:dyDescent="0.25">
      <c r="A4743">
        <v>3519907</v>
      </c>
      <c r="B4743" t="str">
        <f t="shared" si="74"/>
        <v>IEPE, SP, Brasil</v>
      </c>
      <c r="C4743" s="4" t="str">
        <f>_xlfn.XLOOKUP(A4743,[1]!DadosGHD[CD_GEOCMU],[1]!DadosGHD[Região])</f>
        <v>SD</v>
      </c>
      <c r="D4743" s="4" t="str">
        <f>_xlfn.XLOOKUP(A4743,[1]!DadosGHD[CD_GEOCMU],[1]!DadosGHD[uf])</f>
        <v>SP</v>
      </c>
      <c r="E4743" s="5" t="str">
        <f>_xlfn.XLOOKUP(A4743,[1]!DadosGHD[CD_GEOCMU],[1]!DadosGHD[MUNICIPIO])</f>
        <v>IEPE</v>
      </c>
      <c r="F4743" s="6">
        <v>53.6660346984863</v>
      </c>
      <c r="G4743" s="6">
        <v>58.719322204589801</v>
      </c>
      <c r="H4743" s="6">
        <v>53.827388763427699</v>
      </c>
      <c r="I4743" s="6">
        <v>53.80712890625</v>
      </c>
      <c r="J4743" s="6">
        <v>53.806613922119098</v>
      </c>
      <c r="K4743" s="6">
        <v>53.831005096435597</v>
      </c>
      <c r="L4743" s="6">
        <v>44.050102233886697</v>
      </c>
    </row>
    <row r="4744" spans="1:12" x14ac:dyDescent="0.25">
      <c r="A4744">
        <v>4312708</v>
      </c>
      <c r="B4744" t="str">
        <f t="shared" si="74"/>
        <v>NONOAI, RS, Brasil</v>
      </c>
      <c r="C4744" s="4" t="str">
        <f>_xlfn.XLOOKUP(A4744,[1]!DadosGHD[CD_GEOCMU],[1]!DadosGHD[Região])</f>
        <v>SL</v>
      </c>
      <c r="D4744" s="4" t="str">
        <f>_xlfn.XLOOKUP(A4744,[1]!DadosGHD[CD_GEOCMU],[1]!DadosGHD[uf])</f>
        <v>RS</v>
      </c>
      <c r="E4744" s="5" t="str">
        <f>_xlfn.XLOOKUP(A4744,[1]!DadosGHD[CD_GEOCMU],[1]!DadosGHD[MUNICIPIO])</f>
        <v>NONOAI</v>
      </c>
      <c r="F4744" s="6">
        <v>53.666301727294901</v>
      </c>
      <c r="G4744" s="6">
        <v>58.726341247558601</v>
      </c>
      <c r="H4744" s="6">
        <v>58.942844390869098</v>
      </c>
      <c r="I4744" s="6">
        <v>63.945346832275398</v>
      </c>
      <c r="J4744" s="6">
        <v>63.989715576171903</v>
      </c>
      <c r="K4744" s="6">
        <v>64.131843566894503</v>
      </c>
      <c r="L4744" s="6">
        <v>57.499759674072301</v>
      </c>
    </row>
    <row r="4745" spans="1:12" x14ac:dyDescent="0.25">
      <c r="A4745">
        <v>5005004</v>
      </c>
      <c r="B4745" t="str">
        <f t="shared" si="74"/>
        <v>JARDIM, MS, Brasil</v>
      </c>
      <c r="C4745" s="4" t="str">
        <f>_xlfn.XLOOKUP(A4745,[1]!DadosGHD[CD_GEOCMU],[1]!DadosGHD[Região])</f>
        <v>CO</v>
      </c>
      <c r="D4745" s="4" t="str">
        <f>_xlfn.XLOOKUP(A4745,[1]!DadosGHD[CD_GEOCMU],[1]!DadosGHD[uf])</f>
        <v>MS</v>
      </c>
      <c r="E4745" s="5" t="str">
        <f>_xlfn.XLOOKUP(A4745,[1]!DadosGHD[CD_GEOCMU],[1]!DadosGHD[MUNICIPIO])</f>
        <v>JARDIM</v>
      </c>
      <c r="F4745" s="6">
        <v>53.666553497314503</v>
      </c>
      <c r="G4745" s="6">
        <v>53.6795845031738</v>
      </c>
      <c r="H4745" s="6">
        <v>48.846553802490199</v>
      </c>
      <c r="I4745" s="6">
        <v>53.7195014953613</v>
      </c>
      <c r="J4745" s="6">
        <v>48.8298149108887</v>
      </c>
      <c r="K4745" s="6">
        <v>48.846965789794901</v>
      </c>
      <c r="L4745" s="6">
        <v>39.562911987304702</v>
      </c>
    </row>
    <row r="4746" spans="1:12" x14ac:dyDescent="0.25">
      <c r="A4746">
        <v>3518602</v>
      </c>
      <c r="B4746" t="str">
        <f t="shared" si="74"/>
        <v>GUARIBA, SP, Brasil</v>
      </c>
      <c r="C4746" s="4" t="str">
        <f>_xlfn.XLOOKUP(A4746,[1]!DadosGHD[CD_GEOCMU],[1]!DadosGHD[Região])</f>
        <v>SD</v>
      </c>
      <c r="D4746" s="4" t="str">
        <f>_xlfn.XLOOKUP(A4746,[1]!DadosGHD[CD_GEOCMU],[1]!DadosGHD[uf])</f>
        <v>SP</v>
      </c>
      <c r="E4746" s="5" t="str">
        <f>_xlfn.XLOOKUP(A4746,[1]!DadosGHD[CD_GEOCMU],[1]!DadosGHD[MUNICIPIO])</f>
        <v>GUARIBA</v>
      </c>
      <c r="F4746" s="6">
        <v>53.667938232421903</v>
      </c>
      <c r="G4746" s="6">
        <v>53.665012359619098</v>
      </c>
      <c r="H4746" s="6">
        <v>48.766143798828097</v>
      </c>
      <c r="I4746" s="6">
        <v>43.792034149169901</v>
      </c>
      <c r="J4746" s="6">
        <v>43.773735046386697</v>
      </c>
      <c r="K4746" s="6">
        <v>43.804737091064503</v>
      </c>
      <c r="L4746" s="6">
        <v>39.585342407226598</v>
      </c>
    </row>
    <row r="4747" spans="1:12" x14ac:dyDescent="0.25">
      <c r="A4747">
        <v>3508504</v>
      </c>
      <c r="B4747" t="str">
        <f t="shared" si="74"/>
        <v>CACAPAVA, SP, Brasil</v>
      </c>
      <c r="C4747" s="4" t="str">
        <f>_xlfn.XLOOKUP(A4747,[1]!DadosGHD[CD_GEOCMU],[1]!DadosGHD[Região])</f>
        <v>SD</v>
      </c>
      <c r="D4747" s="4" t="str">
        <f>_xlfn.XLOOKUP(A4747,[1]!DadosGHD[CD_GEOCMU],[1]!DadosGHD[uf])</f>
        <v>SP</v>
      </c>
      <c r="E4747" s="5" t="str">
        <f>_xlfn.XLOOKUP(A4747,[1]!DadosGHD[CD_GEOCMU],[1]!DadosGHD[MUNICIPIO])</f>
        <v>CACAPAVA</v>
      </c>
      <c r="F4747" s="6">
        <v>53.668041229248097</v>
      </c>
      <c r="G4747" s="6">
        <v>53.741901397705099</v>
      </c>
      <c r="H4747" s="6">
        <v>53.774421691894503</v>
      </c>
      <c r="I4747" s="6">
        <v>53.720905303955099</v>
      </c>
      <c r="J4747" s="6">
        <v>48.8037300109863</v>
      </c>
      <c r="K4747" s="6">
        <v>48.8277587890625</v>
      </c>
      <c r="L4747" s="6">
        <v>48.533367156982401</v>
      </c>
    </row>
    <row r="4748" spans="1:12" x14ac:dyDescent="0.25">
      <c r="A4748">
        <v>5203906</v>
      </c>
      <c r="B4748" t="str">
        <f t="shared" si="74"/>
        <v>BURITI ALEGRE, GO, Brasil</v>
      </c>
      <c r="C4748" s="4" t="str">
        <f>_xlfn.XLOOKUP(A4748,[1]!DadosGHD[CD_GEOCMU],[1]!DadosGHD[Região])</f>
        <v>CO</v>
      </c>
      <c r="D4748" s="4" t="str">
        <f>_xlfn.XLOOKUP(A4748,[1]!DadosGHD[CD_GEOCMU],[1]!DadosGHD[uf])</f>
        <v>GO</v>
      </c>
      <c r="E4748" s="5" t="str">
        <f>_xlfn.XLOOKUP(A4748,[1]!DadosGHD[CD_GEOCMU],[1]!DadosGHD[MUNICIPIO])</f>
        <v>BURITI ALEGRE</v>
      </c>
      <c r="F4748" s="6">
        <v>53.668205261230497</v>
      </c>
      <c r="G4748" s="6">
        <v>53.720409393310597</v>
      </c>
      <c r="H4748" s="6">
        <v>53.847629547119098</v>
      </c>
      <c r="I4748" s="6">
        <v>53.731788635253899</v>
      </c>
      <c r="J4748" s="6">
        <v>48.840335845947301</v>
      </c>
      <c r="K4748" s="6">
        <v>48.872310638427699</v>
      </c>
      <c r="L4748" s="6">
        <v>39.58837890625</v>
      </c>
    </row>
    <row r="4749" spans="1:12" x14ac:dyDescent="0.25">
      <c r="A4749">
        <v>3535507</v>
      </c>
      <c r="B4749" t="str">
        <f t="shared" si="74"/>
        <v>PARAGUACU PAULISTA, SP, Brasil</v>
      </c>
      <c r="C4749" s="4" t="str">
        <f>_xlfn.XLOOKUP(A4749,[1]!DadosGHD[CD_GEOCMU],[1]!DadosGHD[Região])</f>
        <v>SD</v>
      </c>
      <c r="D4749" s="4" t="str">
        <f>_xlfn.XLOOKUP(A4749,[1]!DadosGHD[CD_GEOCMU],[1]!DadosGHD[uf])</f>
        <v>SP</v>
      </c>
      <c r="E4749" s="5" t="str">
        <f>_xlfn.XLOOKUP(A4749,[1]!DadosGHD[CD_GEOCMU],[1]!DadosGHD[MUNICIPIO])</f>
        <v>PARAGUACU PAULISTA</v>
      </c>
      <c r="F4749" s="6">
        <v>53.668308258056598</v>
      </c>
      <c r="G4749" s="6">
        <v>53.758007049560597</v>
      </c>
      <c r="H4749" s="6">
        <v>48.767642974853501</v>
      </c>
      <c r="I4749" s="6">
        <v>48.680309295654297</v>
      </c>
      <c r="J4749" s="6">
        <v>43.781154632568402</v>
      </c>
      <c r="K4749" s="6">
        <v>43.792171478271499</v>
      </c>
      <c r="L4749" s="6">
        <v>39.560619354248097</v>
      </c>
    </row>
    <row r="4750" spans="1:12" x14ac:dyDescent="0.25">
      <c r="A4750">
        <v>3126109</v>
      </c>
      <c r="B4750" t="str">
        <f t="shared" si="74"/>
        <v>FORMIGA, MG, Brasil</v>
      </c>
      <c r="C4750" s="4" t="str">
        <f>_xlfn.XLOOKUP(A4750,[1]!DadosGHD[CD_GEOCMU],[1]!DadosGHD[Região])</f>
        <v>SD</v>
      </c>
      <c r="D4750" s="4" t="str">
        <f>_xlfn.XLOOKUP(A4750,[1]!DadosGHD[CD_GEOCMU],[1]!DadosGHD[uf])</f>
        <v>MG</v>
      </c>
      <c r="E4750" s="5" t="str">
        <f>_xlfn.XLOOKUP(A4750,[1]!DadosGHD[CD_GEOCMU],[1]!DadosGHD[MUNICIPIO])</f>
        <v>FORMIGA</v>
      </c>
      <c r="F4750" s="6">
        <v>53.668373107910199</v>
      </c>
      <c r="G4750" s="6">
        <v>53.746070861816399</v>
      </c>
      <c r="H4750" s="6">
        <v>53.837272644042997</v>
      </c>
      <c r="I4750" s="6">
        <v>53.8726196289063</v>
      </c>
      <c r="J4750" s="6">
        <v>53.755638122558601</v>
      </c>
      <c r="K4750" s="6">
        <v>48.885475158691399</v>
      </c>
      <c r="L4750" s="6">
        <v>53.052547454833999</v>
      </c>
    </row>
    <row r="4751" spans="1:12" x14ac:dyDescent="0.25">
      <c r="A4751">
        <v>4310603</v>
      </c>
      <c r="B4751" t="str">
        <f t="shared" si="74"/>
        <v>ITAQUI, RS, Brasil</v>
      </c>
      <c r="C4751" s="4" t="str">
        <f>_xlfn.XLOOKUP(A4751,[1]!DadosGHD[CD_GEOCMU],[1]!DadosGHD[Região])</f>
        <v>SL</v>
      </c>
      <c r="D4751" s="4" t="str">
        <f>_xlfn.XLOOKUP(A4751,[1]!DadosGHD[CD_GEOCMU],[1]!DadosGHD[uf])</f>
        <v>RS</v>
      </c>
      <c r="E4751" s="5" t="str">
        <f>_xlfn.XLOOKUP(A4751,[1]!DadosGHD[CD_GEOCMU],[1]!DadosGHD[MUNICIPIO])</f>
        <v>ITAQUI</v>
      </c>
      <c r="F4751" s="6">
        <v>53.669429779052699</v>
      </c>
      <c r="G4751" s="6">
        <v>53.732326507568402</v>
      </c>
      <c r="H4751" s="6">
        <v>53.815921783447301</v>
      </c>
      <c r="I4751" s="6">
        <v>53.845230102539098</v>
      </c>
      <c r="J4751" s="6">
        <v>53.880680084228501</v>
      </c>
      <c r="K4751" s="6">
        <v>53.894912719726598</v>
      </c>
      <c r="L4751" s="6">
        <v>48.488971710205099</v>
      </c>
    </row>
    <row r="4752" spans="1:12" x14ac:dyDescent="0.25">
      <c r="A4752">
        <v>3547601</v>
      </c>
      <c r="B4752" t="str">
        <f t="shared" si="74"/>
        <v>SANTA ROSA DE VITERBO, SP, Brasil</v>
      </c>
      <c r="C4752" s="4" t="str">
        <f>_xlfn.XLOOKUP(A4752,[1]!DadosGHD[CD_GEOCMU],[1]!DadosGHD[Região])</f>
        <v>SD</v>
      </c>
      <c r="D4752" s="4" t="str">
        <f>_xlfn.XLOOKUP(A4752,[1]!DadosGHD[CD_GEOCMU],[1]!DadosGHD[uf])</f>
        <v>SP</v>
      </c>
      <c r="E4752" s="5" t="str">
        <f>_xlfn.XLOOKUP(A4752,[1]!DadosGHD[CD_GEOCMU],[1]!DadosGHD[MUNICIPIO])</f>
        <v>SANTA ROSA DE VITERBO</v>
      </c>
      <c r="F4752" s="6">
        <v>53.669563293457003</v>
      </c>
      <c r="G4752" s="6">
        <v>53.708553314208999</v>
      </c>
      <c r="H4752" s="6">
        <v>48.825363159179702</v>
      </c>
      <c r="I4752" s="6">
        <v>53.856578826904297</v>
      </c>
      <c r="J4752" s="6">
        <v>53.866661071777301</v>
      </c>
      <c r="K4752" s="6">
        <v>43.813159942627003</v>
      </c>
      <c r="L4752" s="6">
        <v>44.025089263916001</v>
      </c>
    </row>
    <row r="4753" spans="1:12" x14ac:dyDescent="0.25">
      <c r="A4753">
        <v>3553203</v>
      </c>
      <c r="B4753" t="str">
        <f t="shared" si="74"/>
        <v>TAIUVA, SP, Brasil</v>
      </c>
      <c r="C4753" s="4" t="str">
        <f>_xlfn.XLOOKUP(A4753,[1]!DadosGHD[CD_GEOCMU],[1]!DadosGHD[Região])</f>
        <v>SD</v>
      </c>
      <c r="D4753" s="4" t="str">
        <f>_xlfn.XLOOKUP(A4753,[1]!DadosGHD[CD_GEOCMU],[1]!DadosGHD[uf])</f>
        <v>SP</v>
      </c>
      <c r="E4753" s="5" t="str">
        <f>_xlfn.XLOOKUP(A4753,[1]!DadosGHD[CD_GEOCMU],[1]!DadosGHD[MUNICIPIO])</f>
        <v>TAIUVA</v>
      </c>
      <c r="F4753" s="6">
        <v>53.669570922851598</v>
      </c>
      <c r="G4753" s="6">
        <v>53.8082275390625</v>
      </c>
      <c r="H4753" s="6">
        <v>53.857028961181598</v>
      </c>
      <c r="I4753" s="6">
        <v>53.768394470214801</v>
      </c>
      <c r="J4753" s="6">
        <v>48.791099548339801</v>
      </c>
      <c r="K4753" s="6">
        <v>43.796913146972699</v>
      </c>
      <c r="L4753" s="6">
        <v>30.7123317718506</v>
      </c>
    </row>
    <row r="4754" spans="1:12" x14ac:dyDescent="0.25">
      <c r="A4754">
        <v>4322509</v>
      </c>
      <c r="B4754" t="str">
        <f t="shared" si="74"/>
        <v>VACARIA, RS, Brasil</v>
      </c>
      <c r="C4754" s="4" t="str">
        <f>_xlfn.XLOOKUP(A4754,[1]!DadosGHD[CD_GEOCMU],[1]!DadosGHD[Região])</f>
        <v>SL</v>
      </c>
      <c r="D4754" s="4" t="str">
        <f>_xlfn.XLOOKUP(A4754,[1]!DadosGHD[CD_GEOCMU],[1]!DadosGHD[uf])</f>
        <v>RS</v>
      </c>
      <c r="E4754" s="5" t="str">
        <f>_xlfn.XLOOKUP(A4754,[1]!DadosGHD[CD_GEOCMU],[1]!DadosGHD[MUNICIPIO])</f>
        <v>VACARIA</v>
      </c>
      <c r="F4754" s="6">
        <v>53.669670104980497</v>
      </c>
      <c r="G4754" s="6">
        <v>53.808334350585902</v>
      </c>
      <c r="H4754" s="6">
        <v>58.841808319091797</v>
      </c>
      <c r="I4754" s="6">
        <v>58.925460815429702</v>
      </c>
      <c r="J4754" s="6">
        <v>58.868732452392599</v>
      </c>
      <c r="K4754" s="6">
        <v>58.923748016357401</v>
      </c>
      <c r="L4754" s="6">
        <v>57.521820068359403</v>
      </c>
    </row>
    <row r="4755" spans="1:12" x14ac:dyDescent="0.25">
      <c r="A4755">
        <v>3530706</v>
      </c>
      <c r="B4755" t="str">
        <f t="shared" si="74"/>
        <v>MOGI GUACU, SP, Brasil</v>
      </c>
      <c r="C4755" s="4" t="str">
        <f>_xlfn.XLOOKUP(A4755,[1]!DadosGHD[CD_GEOCMU],[1]!DadosGHD[Região])</f>
        <v>SD</v>
      </c>
      <c r="D4755" s="4" t="str">
        <f>_xlfn.XLOOKUP(A4755,[1]!DadosGHD[CD_GEOCMU],[1]!DadosGHD[uf])</f>
        <v>SP</v>
      </c>
      <c r="E4755" s="5" t="str">
        <f>_xlfn.XLOOKUP(A4755,[1]!DadosGHD[CD_GEOCMU],[1]!DadosGHD[MUNICIPIO])</f>
        <v>MOGI GUACU</v>
      </c>
      <c r="F4755" s="6">
        <v>53.669692993164098</v>
      </c>
      <c r="G4755" s="6">
        <v>53.74853515625</v>
      </c>
      <c r="H4755" s="6">
        <v>53.800708770752003</v>
      </c>
      <c r="I4755" s="6">
        <v>53.777107238769503</v>
      </c>
      <c r="J4755" s="6">
        <v>53.801227569580099</v>
      </c>
      <c r="K4755" s="6">
        <v>53.828655242919901</v>
      </c>
      <c r="L4755" s="6">
        <v>53.017005920410199</v>
      </c>
    </row>
    <row r="4756" spans="1:12" x14ac:dyDescent="0.25">
      <c r="A4756">
        <v>4211454</v>
      </c>
      <c r="B4756" t="str">
        <f t="shared" si="74"/>
        <v>NOVA ITABERABA, SC, Brasil</v>
      </c>
      <c r="C4756" s="4" t="str">
        <f>_xlfn.XLOOKUP(A4756,[1]!DadosGHD[CD_GEOCMU],[1]!DadosGHD[Região])</f>
        <v>SL</v>
      </c>
      <c r="D4756" s="4" t="str">
        <f>_xlfn.XLOOKUP(A4756,[1]!DadosGHD[CD_GEOCMU],[1]!DadosGHD[uf])</f>
        <v>SC</v>
      </c>
      <c r="E4756" s="5" t="str">
        <f>_xlfn.XLOOKUP(A4756,[1]!DadosGHD[CD_GEOCMU],[1]!DadosGHD[MUNICIPIO])</f>
        <v>NOVA ITABERABA</v>
      </c>
      <c r="F4756" s="6">
        <v>53.670097351074197</v>
      </c>
      <c r="G4756" s="6">
        <v>53.792259216308601</v>
      </c>
      <c r="H4756" s="6">
        <v>48.853946685791001</v>
      </c>
      <c r="I4756" s="6">
        <v>53.819297790527301</v>
      </c>
      <c r="J4756" s="6">
        <v>53.801109313964801</v>
      </c>
      <c r="K4756" s="6">
        <v>53.868221282958999</v>
      </c>
      <c r="L4756" s="6">
        <v>44.041614532470703</v>
      </c>
    </row>
    <row r="4757" spans="1:12" x14ac:dyDescent="0.25">
      <c r="A4757">
        <v>3549409</v>
      </c>
      <c r="B4757" t="str">
        <f t="shared" si="74"/>
        <v>SAO JOAQUIM DA BARRA, SP, Brasil</v>
      </c>
      <c r="C4757" s="4" t="str">
        <f>_xlfn.XLOOKUP(A4757,[1]!DadosGHD[CD_GEOCMU],[1]!DadosGHD[Região])</f>
        <v>SD</v>
      </c>
      <c r="D4757" s="4" t="str">
        <f>_xlfn.XLOOKUP(A4757,[1]!DadosGHD[CD_GEOCMU],[1]!DadosGHD[uf])</f>
        <v>SP</v>
      </c>
      <c r="E4757" s="5" t="str">
        <f>_xlfn.XLOOKUP(A4757,[1]!DadosGHD[CD_GEOCMU],[1]!DadosGHD[MUNICIPIO])</f>
        <v>SAO JOAQUIM DA BARRA</v>
      </c>
      <c r="F4757" s="6">
        <v>53.670394897460902</v>
      </c>
      <c r="G4757" s="6">
        <v>53.755275726318402</v>
      </c>
      <c r="H4757" s="6">
        <v>53.775039672851598</v>
      </c>
      <c r="I4757" s="6">
        <v>53.743976593017599</v>
      </c>
      <c r="J4757" s="6">
        <v>53.825096130371101</v>
      </c>
      <c r="K4757" s="6">
        <v>53.847042083740199</v>
      </c>
      <c r="L4757" s="6">
        <v>57.557056427002003</v>
      </c>
    </row>
    <row r="4758" spans="1:12" x14ac:dyDescent="0.25">
      <c r="A4758">
        <v>4315453</v>
      </c>
      <c r="B4758" t="str">
        <f t="shared" si="74"/>
        <v>RELVADO, RS, Brasil</v>
      </c>
      <c r="C4758" s="4" t="str">
        <f>_xlfn.XLOOKUP(A4758,[1]!DadosGHD[CD_GEOCMU],[1]!DadosGHD[Região])</f>
        <v>SL</v>
      </c>
      <c r="D4758" s="4" t="str">
        <f>_xlfn.XLOOKUP(A4758,[1]!DadosGHD[CD_GEOCMU],[1]!DadosGHD[uf])</f>
        <v>RS</v>
      </c>
      <c r="E4758" s="5" t="str">
        <f>_xlfn.XLOOKUP(A4758,[1]!DadosGHD[CD_GEOCMU],[1]!DadosGHD[MUNICIPIO])</f>
        <v>RELVADO</v>
      </c>
      <c r="F4758" s="6">
        <v>53.670661926269503</v>
      </c>
      <c r="G4758" s="6">
        <v>53.7883911132813</v>
      </c>
      <c r="H4758" s="6">
        <v>53.849315643310597</v>
      </c>
      <c r="I4758" s="6">
        <v>53.862728118896499</v>
      </c>
      <c r="J4758" s="6">
        <v>64.039611816406307</v>
      </c>
      <c r="K4758" s="6">
        <v>48.907562255859403</v>
      </c>
      <c r="L4758" s="6">
        <v>39.5978393554688</v>
      </c>
    </row>
    <row r="4759" spans="1:12" x14ac:dyDescent="0.25">
      <c r="A4759">
        <v>3537305</v>
      </c>
      <c r="B4759" t="str">
        <f t="shared" si="74"/>
        <v>PENAPOLIS, SP, Brasil</v>
      </c>
      <c r="C4759" s="4" t="str">
        <f>_xlfn.XLOOKUP(A4759,[1]!DadosGHD[CD_GEOCMU],[1]!DadosGHD[Região])</f>
        <v>SD</v>
      </c>
      <c r="D4759" s="4" t="str">
        <f>_xlfn.XLOOKUP(A4759,[1]!DadosGHD[CD_GEOCMU],[1]!DadosGHD[uf])</f>
        <v>SP</v>
      </c>
      <c r="E4759" s="5" t="str">
        <f>_xlfn.XLOOKUP(A4759,[1]!DadosGHD[CD_GEOCMU],[1]!DadosGHD[MUNICIPIO])</f>
        <v>PENAPOLIS</v>
      </c>
      <c r="F4759" s="6">
        <v>53.670974731445298</v>
      </c>
      <c r="G4759" s="6">
        <v>53.762516021728501</v>
      </c>
      <c r="H4759" s="6">
        <v>48.821132659912102</v>
      </c>
      <c r="I4759" s="6">
        <v>48.745262145996101</v>
      </c>
      <c r="J4759" s="6">
        <v>48.732639312744098</v>
      </c>
      <c r="K4759" s="6">
        <v>48.826774597167997</v>
      </c>
      <c r="L4759" s="6">
        <v>44.057640075683601</v>
      </c>
    </row>
    <row r="4760" spans="1:12" x14ac:dyDescent="0.25">
      <c r="A4760">
        <v>3144102</v>
      </c>
      <c r="B4760" t="str">
        <f t="shared" si="74"/>
        <v>MUZAMBINHO, MG, Brasil</v>
      </c>
      <c r="C4760" s="4" t="str">
        <f>_xlfn.XLOOKUP(A4760,[1]!DadosGHD[CD_GEOCMU],[1]!DadosGHD[Região])</f>
        <v>SD</v>
      </c>
      <c r="D4760" s="4" t="str">
        <f>_xlfn.XLOOKUP(A4760,[1]!DadosGHD[CD_GEOCMU],[1]!DadosGHD[uf])</f>
        <v>MG</v>
      </c>
      <c r="E4760" s="5" t="str">
        <f>_xlfn.XLOOKUP(A4760,[1]!DadosGHD[CD_GEOCMU],[1]!DadosGHD[MUNICIPIO])</f>
        <v>MUZAMBINHO</v>
      </c>
      <c r="F4760" s="6">
        <v>53.671146392822301</v>
      </c>
      <c r="G4760" s="6">
        <v>53.735103607177699</v>
      </c>
      <c r="H4760" s="6">
        <v>53.8262748718262</v>
      </c>
      <c r="I4760" s="6">
        <v>53.817089080810597</v>
      </c>
      <c r="J4760" s="6">
        <v>58.8096923828125</v>
      </c>
      <c r="K4760" s="6">
        <v>59.010002136230497</v>
      </c>
      <c r="L4760" s="6">
        <v>44.068565368652301</v>
      </c>
    </row>
    <row r="4761" spans="1:12" x14ac:dyDescent="0.25">
      <c r="A4761">
        <v>3555604</v>
      </c>
      <c r="B4761" t="str">
        <f t="shared" si="74"/>
        <v>UCHOA, SP, Brasil</v>
      </c>
      <c r="C4761" s="4" t="str">
        <f>_xlfn.XLOOKUP(A4761,[1]!DadosGHD[CD_GEOCMU],[1]!DadosGHD[Região])</f>
        <v>SD</v>
      </c>
      <c r="D4761" s="4" t="str">
        <f>_xlfn.XLOOKUP(A4761,[1]!DadosGHD[CD_GEOCMU],[1]!DadosGHD[uf])</f>
        <v>SP</v>
      </c>
      <c r="E4761" s="5" t="str">
        <f>_xlfn.XLOOKUP(A4761,[1]!DadosGHD[CD_GEOCMU],[1]!DadosGHD[MUNICIPIO])</f>
        <v>UCHOA</v>
      </c>
      <c r="F4761" s="6">
        <v>53.671237945556598</v>
      </c>
      <c r="G4761" s="6">
        <v>53.703048706054702</v>
      </c>
      <c r="H4761" s="6">
        <v>48.788314819335902</v>
      </c>
      <c r="I4761" s="6">
        <v>48.696372985839801</v>
      </c>
      <c r="J4761" s="6">
        <v>48.738475799560597</v>
      </c>
      <c r="K4761" s="6">
        <v>43.863578796386697</v>
      </c>
      <c r="L4761" s="6">
        <v>44.020767211914098</v>
      </c>
    </row>
    <row r="4762" spans="1:12" x14ac:dyDescent="0.25">
      <c r="A4762">
        <v>5104807</v>
      </c>
      <c r="B4762" t="str">
        <f t="shared" si="74"/>
        <v>JACIARA, MT, Brasil</v>
      </c>
      <c r="C4762" s="4" t="str">
        <f>_xlfn.XLOOKUP(A4762,[1]!DadosGHD[CD_GEOCMU],[1]!DadosGHD[Região])</f>
        <v>CO</v>
      </c>
      <c r="D4762" s="4" t="str">
        <f>_xlfn.XLOOKUP(A4762,[1]!DadosGHD[CD_GEOCMU],[1]!DadosGHD[uf])</f>
        <v>MT</v>
      </c>
      <c r="E4762" s="5" t="str">
        <f>_xlfn.XLOOKUP(A4762,[1]!DadosGHD[CD_GEOCMU],[1]!DadosGHD[MUNICIPIO])</f>
        <v>JACIARA</v>
      </c>
      <c r="F4762" s="6">
        <v>53.671360015869098</v>
      </c>
      <c r="G4762" s="6">
        <v>53.706348419189503</v>
      </c>
      <c r="H4762" s="6">
        <v>48.759902954101598</v>
      </c>
      <c r="I4762" s="6">
        <v>48.780364990234403</v>
      </c>
      <c r="J4762" s="6">
        <v>48.785079956054702</v>
      </c>
      <c r="K4762" s="6">
        <v>48.846439361572301</v>
      </c>
      <c r="L4762" s="6">
        <v>48.560947418212898</v>
      </c>
    </row>
    <row r="4763" spans="1:12" x14ac:dyDescent="0.25">
      <c r="A4763">
        <v>3303401</v>
      </c>
      <c r="B4763" t="str">
        <f t="shared" si="74"/>
        <v>NOVA FRIBURGO, RJ, Brasil</v>
      </c>
      <c r="C4763" s="4" t="str">
        <f>_xlfn.XLOOKUP(A4763,[1]!DadosGHD[CD_GEOCMU],[1]!DadosGHD[Região])</f>
        <v>SD</v>
      </c>
      <c r="D4763" s="4" t="str">
        <f>_xlfn.XLOOKUP(A4763,[1]!DadosGHD[CD_GEOCMU],[1]!DadosGHD[uf])</f>
        <v>RJ</v>
      </c>
      <c r="E4763" s="5" t="str">
        <f>_xlfn.XLOOKUP(A4763,[1]!DadosGHD[CD_GEOCMU],[1]!DadosGHD[MUNICIPIO])</f>
        <v>NOVA FRIBURGO</v>
      </c>
      <c r="F4763" s="6">
        <v>53.671882629394503</v>
      </c>
      <c r="G4763" s="6">
        <v>53.776557922363303</v>
      </c>
      <c r="H4763" s="6">
        <v>53.780143737792997</v>
      </c>
      <c r="I4763" s="6">
        <v>53.780559539794901</v>
      </c>
      <c r="J4763" s="6">
        <v>53.8167915344238</v>
      </c>
      <c r="K4763" s="6">
        <v>53.834190368652301</v>
      </c>
      <c r="L4763" s="6">
        <v>52.987525939941399</v>
      </c>
    </row>
    <row r="4764" spans="1:12" x14ac:dyDescent="0.25">
      <c r="A4764">
        <v>4110003</v>
      </c>
      <c r="B4764" t="str">
        <f t="shared" si="74"/>
        <v>IGUARACU, PR, Brasil</v>
      </c>
      <c r="C4764" s="4" t="str">
        <f>_xlfn.XLOOKUP(A4764,[1]!DadosGHD[CD_GEOCMU],[1]!DadosGHD[Região])</f>
        <v>SL</v>
      </c>
      <c r="D4764" s="4" t="str">
        <f>_xlfn.XLOOKUP(A4764,[1]!DadosGHD[CD_GEOCMU],[1]!DadosGHD[uf])</f>
        <v>PR</v>
      </c>
      <c r="E4764" s="5" t="str">
        <f>_xlfn.XLOOKUP(A4764,[1]!DadosGHD[CD_GEOCMU],[1]!DadosGHD[MUNICIPIO])</f>
        <v>IGUARACU</v>
      </c>
      <c r="F4764" s="6">
        <v>53.672069549560597</v>
      </c>
      <c r="G4764" s="6">
        <v>43.694084167480497</v>
      </c>
      <c r="H4764" s="6">
        <v>43.728946685791001</v>
      </c>
      <c r="I4764" s="6">
        <v>48.726230621337898</v>
      </c>
      <c r="J4764" s="6">
        <v>43.813270568847699</v>
      </c>
      <c r="K4764" s="6">
        <v>53.880538940429702</v>
      </c>
      <c r="L4764" s="6">
        <v>44.022014617919901</v>
      </c>
    </row>
    <row r="4765" spans="1:12" x14ac:dyDescent="0.25">
      <c r="A4765">
        <v>5222054</v>
      </c>
      <c r="B4765" t="str">
        <f t="shared" si="74"/>
        <v>VICENTINOPOLIS, GO, Brasil</v>
      </c>
      <c r="C4765" s="4" t="str">
        <f>_xlfn.XLOOKUP(A4765,[1]!DadosGHD[CD_GEOCMU],[1]!DadosGHD[Região])</f>
        <v>CO</v>
      </c>
      <c r="D4765" s="4" t="str">
        <f>_xlfn.XLOOKUP(A4765,[1]!DadosGHD[CD_GEOCMU],[1]!DadosGHD[uf])</f>
        <v>GO</v>
      </c>
      <c r="E4765" s="5" t="str">
        <f>_xlfn.XLOOKUP(A4765,[1]!DadosGHD[CD_GEOCMU],[1]!DadosGHD[MUNICIPIO])</f>
        <v>VICENTINOPOLIS</v>
      </c>
      <c r="F4765" s="6">
        <v>53.672969818115199</v>
      </c>
      <c r="G4765" s="6">
        <v>53.762012481689503</v>
      </c>
      <c r="H4765" s="6">
        <v>53.752292633056598</v>
      </c>
      <c r="I4765" s="6">
        <v>53.748405456542997</v>
      </c>
      <c r="J4765" s="6">
        <v>53.826419830322301</v>
      </c>
      <c r="K4765" s="6">
        <v>53.853389739990199</v>
      </c>
      <c r="L4765" s="6">
        <v>39.584789276123097</v>
      </c>
    </row>
    <row r="4766" spans="1:12" x14ac:dyDescent="0.25">
      <c r="A4766">
        <v>4114401</v>
      </c>
      <c r="B4766" t="str">
        <f t="shared" si="74"/>
        <v>MANGUEIRINHA, PR, Brasil</v>
      </c>
      <c r="C4766" s="4" t="str">
        <f>_xlfn.XLOOKUP(A4766,[1]!DadosGHD[CD_GEOCMU],[1]!DadosGHD[Região])</f>
        <v>SL</v>
      </c>
      <c r="D4766" s="4" t="str">
        <f>_xlfn.XLOOKUP(A4766,[1]!DadosGHD[CD_GEOCMU],[1]!DadosGHD[uf])</f>
        <v>PR</v>
      </c>
      <c r="E4766" s="5" t="str">
        <f>_xlfn.XLOOKUP(A4766,[1]!DadosGHD[CD_GEOCMU],[1]!DadosGHD[MUNICIPIO])</f>
        <v>MANGUEIRINHA</v>
      </c>
      <c r="F4766" s="6">
        <v>53.673038482666001</v>
      </c>
      <c r="G4766" s="6">
        <v>58.73046875</v>
      </c>
      <c r="H4766" s="6">
        <v>58.905036926269503</v>
      </c>
      <c r="I4766" s="6">
        <v>58.9754028320313</v>
      </c>
      <c r="J4766" s="6">
        <v>63.9122314453125</v>
      </c>
      <c r="K4766" s="6">
        <v>64.13623046875</v>
      </c>
      <c r="L4766" s="6">
        <v>53.010208129882798</v>
      </c>
    </row>
    <row r="4767" spans="1:12" x14ac:dyDescent="0.25">
      <c r="A4767">
        <v>4305900</v>
      </c>
      <c r="B4767" t="str">
        <f t="shared" si="74"/>
        <v>CORONEL BICACO, RS, Brasil</v>
      </c>
      <c r="C4767" s="4" t="str">
        <f>_xlfn.XLOOKUP(A4767,[1]!DadosGHD[CD_GEOCMU],[1]!DadosGHD[Região])</f>
        <v>SL</v>
      </c>
      <c r="D4767" s="4" t="str">
        <f>_xlfn.XLOOKUP(A4767,[1]!DadosGHD[CD_GEOCMU],[1]!DadosGHD[uf])</f>
        <v>RS</v>
      </c>
      <c r="E4767" s="5" t="str">
        <f>_xlfn.XLOOKUP(A4767,[1]!DadosGHD[CD_GEOCMU],[1]!DadosGHD[MUNICIPIO])</f>
        <v>CORONEL BICACO</v>
      </c>
      <c r="F4767" s="6">
        <v>53.673385620117202</v>
      </c>
      <c r="G4767" s="6">
        <v>53.787868499755902</v>
      </c>
      <c r="H4767" s="6">
        <v>53.805049896240199</v>
      </c>
      <c r="I4767" s="6">
        <v>53.728858947753899</v>
      </c>
      <c r="J4767" s="6">
        <v>48.834438323974602</v>
      </c>
      <c r="K4767" s="6">
        <v>48.88427734375</v>
      </c>
      <c r="L4767" s="6">
        <v>35.143478393554702</v>
      </c>
    </row>
    <row r="4768" spans="1:12" x14ac:dyDescent="0.25">
      <c r="A4768">
        <v>4212601</v>
      </c>
      <c r="B4768" t="str">
        <f t="shared" si="74"/>
        <v>PERITIBA, SC, Brasil</v>
      </c>
      <c r="C4768" s="4" t="str">
        <f>_xlfn.XLOOKUP(A4768,[1]!DadosGHD[CD_GEOCMU],[1]!DadosGHD[Região])</f>
        <v>SL</v>
      </c>
      <c r="D4768" s="4" t="str">
        <f>_xlfn.XLOOKUP(A4768,[1]!DadosGHD[CD_GEOCMU],[1]!DadosGHD[uf])</f>
        <v>SC</v>
      </c>
      <c r="E4768" s="5" t="str">
        <f>_xlfn.XLOOKUP(A4768,[1]!DadosGHD[CD_GEOCMU],[1]!DadosGHD[MUNICIPIO])</f>
        <v>PERITIBA</v>
      </c>
      <c r="F4768" s="6">
        <v>53.673500061035199</v>
      </c>
      <c r="G4768" s="6">
        <v>63.966358184814503</v>
      </c>
      <c r="H4768" s="6">
        <v>63.936305999755902</v>
      </c>
      <c r="I4768" s="6">
        <v>64.000221252441406</v>
      </c>
      <c r="J4768" s="6">
        <v>64.039611816406307</v>
      </c>
      <c r="K4768" s="6">
        <v>64.13623046875</v>
      </c>
      <c r="L4768" s="6">
        <v>57.589881896972699</v>
      </c>
    </row>
    <row r="4769" spans="1:12" x14ac:dyDescent="0.25">
      <c r="A4769">
        <v>4310306</v>
      </c>
      <c r="B4769" t="str">
        <f t="shared" si="74"/>
        <v>ILOPOLIS, RS, Brasil</v>
      </c>
      <c r="C4769" s="4" t="str">
        <f>_xlfn.XLOOKUP(A4769,[1]!DadosGHD[CD_GEOCMU],[1]!DadosGHD[Região])</f>
        <v>SL</v>
      </c>
      <c r="D4769" s="4" t="str">
        <f>_xlfn.XLOOKUP(A4769,[1]!DadosGHD[CD_GEOCMU],[1]!DadosGHD[uf])</f>
        <v>RS</v>
      </c>
      <c r="E4769" s="5" t="str">
        <f>_xlfn.XLOOKUP(A4769,[1]!DadosGHD[CD_GEOCMU],[1]!DadosGHD[MUNICIPIO])</f>
        <v>ILOPOLIS</v>
      </c>
      <c r="F4769" s="6">
        <v>53.673561096191399</v>
      </c>
      <c r="G4769" s="6">
        <v>63.924350738525398</v>
      </c>
      <c r="H4769" s="6">
        <v>63.993827819824197</v>
      </c>
      <c r="I4769" s="6">
        <v>63.926067352294901</v>
      </c>
      <c r="J4769" s="6">
        <v>63.917770385742202</v>
      </c>
      <c r="K4769" s="6">
        <v>59.031890869140597</v>
      </c>
      <c r="L4769" s="6">
        <v>44.017845153808601</v>
      </c>
    </row>
    <row r="4770" spans="1:12" x14ac:dyDescent="0.25">
      <c r="A4770">
        <v>3154903</v>
      </c>
      <c r="B4770" t="str">
        <f t="shared" si="74"/>
        <v>RIO CASCA, MG, Brasil</v>
      </c>
      <c r="C4770" s="4" t="str">
        <f>_xlfn.XLOOKUP(A4770,[1]!DadosGHD[CD_GEOCMU],[1]!DadosGHD[Região])</f>
        <v>SD</v>
      </c>
      <c r="D4770" s="4" t="str">
        <f>_xlfn.XLOOKUP(A4770,[1]!DadosGHD[CD_GEOCMU],[1]!DadosGHD[uf])</f>
        <v>MG</v>
      </c>
      <c r="E4770" s="5" t="str">
        <f>_xlfn.XLOOKUP(A4770,[1]!DadosGHD[CD_GEOCMU],[1]!DadosGHD[MUNICIPIO])</f>
        <v>RIO CASCA</v>
      </c>
      <c r="F4770" s="6">
        <v>53.673580169677699</v>
      </c>
      <c r="G4770" s="6">
        <v>53.6567192077637</v>
      </c>
      <c r="H4770" s="6">
        <v>48.805721282958999</v>
      </c>
      <c r="I4770" s="6">
        <v>48.763790130615199</v>
      </c>
      <c r="J4770" s="6">
        <v>48.773452758789098</v>
      </c>
      <c r="K4770" s="6">
        <v>48.862911224365199</v>
      </c>
      <c r="L4770" s="6">
        <v>48.530021667480497</v>
      </c>
    </row>
    <row r="4771" spans="1:12" x14ac:dyDescent="0.25">
      <c r="A4771">
        <v>3505500</v>
      </c>
      <c r="B4771" t="str">
        <f t="shared" si="74"/>
        <v>BARRETOS, SP, Brasil</v>
      </c>
      <c r="C4771" s="4" t="str">
        <f>_xlfn.XLOOKUP(A4771,[1]!DadosGHD[CD_GEOCMU],[1]!DadosGHD[Região])</f>
        <v>SD</v>
      </c>
      <c r="D4771" s="4" t="str">
        <f>_xlfn.XLOOKUP(A4771,[1]!DadosGHD[CD_GEOCMU],[1]!DadosGHD[uf])</f>
        <v>SP</v>
      </c>
      <c r="E4771" s="5" t="str">
        <f>_xlfn.XLOOKUP(A4771,[1]!DadosGHD[CD_GEOCMU],[1]!DadosGHD[MUNICIPIO])</f>
        <v>BARRETOS</v>
      </c>
      <c r="F4771" s="6">
        <v>53.673954010009801</v>
      </c>
      <c r="G4771" s="6">
        <v>53.692237854003899</v>
      </c>
      <c r="H4771" s="6">
        <v>53.812408447265597</v>
      </c>
      <c r="I4771" s="6">
        <v>53.811386108398402</v>
      </c>
      <c r="J4771" s="6">
        <v>58.822715759277301</v>
      </c>
      <c r="K4771" s="6">
        <v>53.9793701171875</v>
      </c>
      <c r="L4771" s="6">
        <v>57.589881896972699</v>
      </c>
    </row>
    <row r="4772" spans="1:12" x14ac:dyDescent="0.25">
      <c r="A4772">
        <v>4128559</v>
      </c>
      <c r="B4772" t="str">
        <f t="shared" si="74"/>
        <v>VERA CRUZ DO OESTE, PR, Brasil</v>
      </c>
      <c r="C4772" s="4" t="str">
        <f>_xlfn.XLOOKUP(A4772,[1]!DadosGHD[CD_GEOCMU],[1]!DadosGHD[Região])</f>
        <v>SL</v>
      </c>
      <c r="D4772" s="4" t="str">
        <f>_xlfn.XLOOKUP(A4772,[1]!DadosGHD[CD_GEOCMU],[1]!DadosGHD[uf])</f>
        <v>PR</v>
      </c>
      <c r="E4772" s="5" t="str">
        <f>_xlfn.XLOOKUP(A4772,[1]!DadosGHD[CD_GEOCMU],[1]!DadosGHD[MUNICIPIO])</f>
        <v>VERA CRUZ DO OESTE</v>
      </c>
      <c r="F4772" s="6">
        <v>53.674148559570298</v>
      </c>
      <c r="G4772" s="6">
        <v>63.860324859619098</v>
      </c>
      <c r="H4772" s="6">
        <v>63.930850982666001</v>
      </c>
      <c r="I4772" s="6">
        <v>58.940784454345703</v>
      </c>
      <c r="J4772" s="6">
        <v>58.914138793945298</v>
      </c>
      <c r="K4772" s="6">
        <v>53.958057403564503</v>
      </c>
      <c r="L4772" s="6">
        <v>39.598552703857401</v>
      </c>
    </row>
    <row r="4773" spans="1:12" x14ac:dyDescent="0.25">
      <c r="A4773">
        <v>4202057</v>
      </c>
      <c r="B4773" t="str">
        <f t="shared" si="74"/>
        <v>BALNEARIO BARRA DO SUL, SC, Brasil</v>
      </c>
      <c r="C4773" s="4" t="str">
        <f>_xlfn.XLOOKUP(A4773,[1]!DadosGHD[CD_GEOCMU],[1]!DadosGHD[Região])</f>
        <v>SL</v>
      </c>
      <c r="D4773" s="4" t="str">
        <f>_xlfn.XLOOKUP(A4773,[1]!DadosGHD[CD_GEOCMU],[1]!DadosGHD[uf])</f>
        <v>SC</v>
      </c>
      <c r="E4773" s="5" t="str">
        <f>_xlfn.XLOOKUP(A4773,[1]!DadosGHD[CD_GEOCMU],[1]!DadosGHD[MUNICIPIO])</f>
        <v>BALNEARIO BARRA DO SUL</v>
      </c>
      <c r="F4773" s="6">
        <v>53.6744575500488</v>
      </c>
      <c r="G4773" s="6">
        <v>53.720161437988303</v>
      </c>
      <c r="H4773" s="6">
        <v>48.818897247314503</v>
      </c>
      <c r="I4773" s="6">
        <v>48.786361694335902</v>
      </c>
      <c r="J4773" s="6">
        <v>48.742271423339801</v>
      </c>
      <c r="K4773" s="6">
        <v>53.838985443115199</v>
      </c>
      <c r="L4773" s="6">
        <v>57.574535369873097</v>
      </c>
    </row>
    <row r="4774" spans="1:12" x14ac:dyDescent="0.25">
      <c r="A4774">
        <v>3541703</v>
      </c>
      <c r="B4774" t="str">
        <f t="shared" si="74"/>
        <v>QUATA, SP, Brasil</v>
      </c>
      <c r="C4774" s="4" t="str">
        <f>_xlfn.XLOOKUP(A4774,[1]!DadosGHD[CD_GEOCMU],[1]!DadosGHD[Região])</f>
        <v>SD</v>
      </c>
      <c r="D4774" s="4" t="str">
        <f>_xlfn.XLOOKUP(A4774,[1]!DadosGHD[CD_GEOCMU],[1]!DadosGHD[uf])</f>
        <v>SP</v>
      </c>
      <c r="E4774" s="5" t="str">
        <f>_xlfn.XLOOKUP(A4774,[1]!DadosGHD[CD_GEOCMU],[1]!DadosGHD[MUNICIPIO])</f>
        <v>QUATA</v>
      </c>
      <c r="F4774" s="6">
        <v>53.674697875976598</v>
      </c>
      <c r="G4774" s="6">
        <v>53.7429389953613</v>
      </c>
      <c r="H4774" s="6">
        <v>53.778129577636697</v>
      </c>
      <c r="I4774" s="6">
        <v>48.7663764953613</v>
      </c>
      <c r="J4774" s="6">
        <v>48.739715576171903</v>
      </c>
      <c r="K4774" s="6">
        <v>43.874584197998097</v>
      </c>
      <c r="L4774" s="6">
        <v>39.572578430175803</v>
      </c>
    </row>
    <row r="4775" spans="1:12" x14ac:dyDescent="0.25">
      <c r="A4775">
        <v>4107207</v>
      </c>
      <c r="B4775" t="str">
        <f t="shared" si="74"/>
        <v>DOIS VIZINHOS, PR, Brasil</v>
      </c>
      <c r="C4775" s="4" t="str">
        <f>_xlfn.XLOOKUP(A4775,[1]!DadosGHD[CD_GEOCMU],[1]!DadosGHD[Região])</f>
        <v>SL</v>
      </c>
      <c r="D4775" s="4" t="str">
        <f>_xlfn.XLOOKUP(A4775,[1]!DadosGHD[CD_GEOCMU],[1]!DadosGHD[uf])</f>
        <v>PR</v>
      </c>
      <c r="E4775" s="5" t="str">
        <f>_xlfn.XLOOKUP(A4775,[1]!DadosGHD[CD_GEOCMU],[1]!DadosGHD[MUNICIPIO])</f>
        <v>DOIS VIZINHOS</v>
      </c>
      <c r="F4775" s="6">
        <v>53.674766540527301</v>
      </c>
      <c r="G4775" s="6">
        <v>53.798538208007798</v>
      </c>
      <c r="H4775" s="6">
        <v>63.940105438232401</v>
      </c>
      <c r="I4775" s="6">
        <v>58.959671020507798</v>
      </c>
      <c r="J4775" s="6">
        <v>63.935398101806598</v>
      </c>
      <c r="K4775" s="6">
        <v>59.053489685058601</v>
      </c>
      <c r="L4775" s="6">
        <v>53.0458374023438</v>
      </c>
    </row>
    <row r="4776" spans="1:12" x14ac:dyDescent="0.25">
      <c r="A4776">
        <v>4113304</v>
      </c>
      <c r="B4776" t="str">
        <f t="shared" si="74"/>
        <v>LARANJEIRAS DO SUL, PR, Brasil</v>
      </c>
      <c r="C4776" s="4" t="str">
        <f>_xlfn.XLOOKUP(A4776,[1]!DadosGHD[CD_GEOCMU],[1]!DadosGHD[Região])</f>
        <v>SL</v>
      </c>
      <c r="D4776" s="4" t="str">
        <f>_xlfn.XLOOKUP(A4776,[1]!DadosGHD[CD_GEOCMU],[1]!DadosGHD[uf])</f>
        <v>PR</v>
      </c>
      <c r="E4776" s="5" t="str">
        <f>_xlfn.XLOOKUP(A4776,[1]!DadosGHD[CD_GEOCMU],[1]!DadosGHD[MUNICIPIO])</f>
        <v>LARANJEIRAS DO SUL</v>
      </c>
      <c r="F4776" s="6">
        <v>53.675018310546903</v>
      </c>
      <c r="G4776" s="6">
        <v>53.7788696289063</v>
      </c>
      <c r="H4776" s="6">
        <v>53.824123382568402</v>
      </c>
      <c r="I4776" s="6">
        <v>53.779327392578097</v>
      </c>
      <c r="J4776" s="6">
        <v>53.808883666992202</v>
      </c>
      <c r="K4776" s="6">
        <v>53.928474426269503</v>
      </c>
      <c r="L4776" s="6">
        <v>48.514678955078097</v>
      </c>
    </row>
    <row r="4777" spans="1:12" x14ac:dyDescent="0.25">
      <c r="A4777">
        <v>4102406</v>
      </c>
      <c r="B4777" t="str">
        <f t="shared" si="74"/>
        <v>BANDEIRANTES, PR, Brasil</v>
      </c>
      <c r="C4777" s="4" t="str">
        <f>_xlfn.XLOOKUP(A4777,[1]!DadosGHD[CD_GEOCMU],[1]!DadosGHD[Região])</f>
        <v>SL</v>
      </c>
      <c r="D4777" s="4" t="str">
        <f>_xlfn.XLOOKUP(A4777,[1]!DadosGHD[CD_GEOCMU],[1]!DadosGHD[uf])</f>
        <v>PR</v>
      </c>
      <c r="E4777" s="5" t="str">
        <f>_xlfn.XLOOKUP(A4777,[1]!DadosGHD[CD_GEOCMU],[1]!DadosGHD[MUNICIPIO])</f>
        <v>BANDEIRANTES</v>
      </c>
      <c r="F4777" s="6">
        <v>53.675521850585902</v>
      </c>
      <c r="G4777" s="6">
        <v>53.746299743652301</v>
      </c>
      <c r="H4777" s="6">
        <v>53.795986175537102</v>
      </c>
      <c r="I4777" s="6">
        <v>53.722438812255902</v>
      </c>
      <c r="J4777" s="6">
        <v>53.764980316162102</v>
      </c>
      <c r="K4777" s="6">
        <v>58.922409057617202</v>
      </c>
      <c r="L4777" s="6">
        <v>57.538341522216797</v>
      </c>
    </row>
    <row r="4778" spans="1:12" x14ac:dyDescent="0.25">
      <c r="A4778">
        <v>4115358</v>
      </c>
      <c r="B4778" t="str">
        <f t="shared" si="74"/>
        <v>MARIPA, PR, Brasil</v>
      </c>
      <c r="C4778" s="4" t="str">
        <f>_xlfn.XLOOKUP(A4778,[1]!DadosGHD[CD_GEOCMU],[1]!DadosGHD[Região])</f>
        <v>SL</v>
      </c>
      <c r="D4778" s="4" t="str">
        <f>_xlfn.XLOOKUP(A4778,[1]!DadosGHD[CD_GEOCMU],[1]!DadosGHD[uf])</f>
        <v>PR</v>
      </c>
      <c r="E4778" s="5" t="str">
        <f>_xlfn.XLOOKUP(A4778,[1]!DadosGHD[CD_GEOCMU],[1]!DadosGHD[MUNICIPIO])</f>
        <v>MARIPA</v>
      </c>
      <c r="F4778" s="6">
        <v>53.676074981689503</v>
      </c>
      <c r="G4778" s="6">
        <v>63.893840789794901</v>
      </c>
      <c r="H4778" s="6">
        <v>64.026092529296903</v>
      </c>
      <c r="I4778" s="6">
        <v>63.937068939208999</v>
      </c>
      <c r="J4778" s="6">
        <v>58.952041625976598</v>
      </c>
      <c r="K4778" s="6">
        <v>59.076869964599602</v>
      </c>
      <c r="L4778" s="6">
        <v>52.985496520996101</v>
      </c>
    </row>
    <row r="4779" spans="1:12" x14ac:dyDescent="0.25">
      <c r="A4779">
        <v>4123303</v>
      </c>
      <c r="B4779" t="str">
        <f t="shared" si="74"/>
        <v>SANTA CRUZ DE MONTE CASTELO, PR, Brasil</v>
      </c>
      <c r="C4779" s="4" t="str">
        <f>_xlfn.XLOOKUP(A4779,[1]!DadosGHD[CD_GEOCMU],[1]!DadosGHD[Região])</f>
        <v>SL</v>
      </c>
      <c r="D4779" s="4" t="str">
        <f>_xlfn.XLOOKUP(A4779,[1]!DadosGHD[CD_GEOCMU],[1]!DadosGHD[uf])</f>
        <v>PR</v>
      </c>
      <c r="E4779" s="5" t="str">
        <f>_xlfn.XLOOKUP(A4779,[1]!DadosGHD[CD_GEOCMU],[1]!DadosGHD[MUNICIPIO])</f>
        <v>SANTA CRUZ DE MONTE CASTELO</v>
      </c>
      <c r="F4779" s="6">
        <v>53.676700592041001</v>
      </c>
      <c r="G4779" s="6">
        <v>53.794994354248097</v>
      </c>
      <c r="H4779" s="6">
        <v>58.998832702636697</v>
      </c>
      <c r="I4779" s="6">
        <v>58.9096069335938</v>
      </c>
      <c r="J4779" s="6">
        <v>58.977752685546903</v>
      </c>
      <c r="K4779" s="6">
        <v>58.995429992675803</v>
      </c>
      <c r="L4779" s="6">
        <v>44.038314819335902</v>
      </c>
    </row>
    <row r="4780" spans="1:12" x14ac:dyDescent="0.25">
      <c r="A4780">
        <v>3142403</v>
      </c>
      <c r="B4780" t="str">
        <f t="shared" si="74"/>
        <v>MOEMA, MG, Brasil</v>
      </c>
      <c r="C4780" s="4" t="str">
        <f>_xlfn.XLOOKUP(A4780,[1]!DadosGHD[CD_GEOCMU],[1]!DadosGHD[Região])</f>
        <v>SD</v>
      </c>
      <c r="D4780" s="4" t="str">
        <f>_xlfn.XLOOKUP(A4780,[1]!DadosGHD[CD_GEOCMU],[1]!DadosGHD[uf])</f>
        <v>MG</v>
      </c>
      <c r="E4780" s="5" t="str">
        <f>_xlfn.XLOOKUP(A4780,[1]!DadosGHD[CD_GEOCMU],[1]!DadosGHD[MUNICIPIO])</f>
        <v>MOEMA</v>
      </c>
      <c r="F4780" s="6">
        <v>53.676750183105497</v>
      </c>
      <c r="G4780" s="6">
        <v>53.7005004882813</v>
      </c>
      <c r="H4780" s="6">
        <v>48.855613708496101</v>
      </c>
      <c r="I4780" s="6">
        <v>53.720035552978501</v>
      </c>
      <c r="J4780" s="6">
        <v>53.795295715332003</v>
      </c>
      <c r="K4780" s="6">
        <v>58.917518615722699</v>
      </c>
      <c r="L4780" s="6">
        <v>57.534587860107401</v>
      </c>
    </row>
    <row r="4781" spans="1:12" x14ac:dyDescent="0.25">
      <c r="A4781">
        <v>3516606</v>
      </c>
      <c r="B4781" t="str">
        <f t="shared" si="74"/>
        <v>GALIA, SP, Brasil</v>
      </c>
      <c r="C4781" s="4" t="str">
        <f>_xlfn.XLOOKUP(A4781,[1]!DadosGHD[CD_GEOCMU],[1]!DadosGHD[Região])</f>
        <v>SD</v>
      </c>
      <c r="D4781" s="4" t="str">
        <f>_xlfn.XLOOKUP(A4781,[1]!DadosGHD[CD_GEOCMU],[1]!DadosGHD[uf])</f>
        <v>SP</v>
      </c>
      <c r="E4781" s="5" t="str">
        <f>_xlfn.XLOOKUP(A4781,[1]!DadosGHD[CD_GEOCMU],[1]!DadosGHD[MUNICIPIO])</f>
        <v>GALIA</v>
      </c>
      <c r="F4781" s="6">
        <v>53.6772651672363</v>
      </c>
      <c r="G4781" s="6">
        <v>53.6898384094238</v>
      </c>
      <c r="H4781" s="6">
        <v>53.7535209655762</v>
      </c>
      <c r="I4781" s="6">
        <v>53.824382781982401</v>
      </c>
      <c r="J4781" s="6">
        <v>58.822395324707003</v>
      </c>
      <c r="K4781" s="6">
        <v>53.907470703125</v>
      </c>
      <c r="L4781" s="6">
        <v>57.520706176757798</v>
      </c>
    </row>
    <row r="4782" spans="1:12" x14ac:dyDescent="0.25">
      <c r="A4782">
        <v>3165008</v>
      </c>
      <c r="B4782" t="str">
        <f t="shared" si="74"/>
        <v>SAO TIAGO, MG, Brasil</v>
      </c>
      <c r="C4782" s="4" t="str">
        <f>_xlfn.XLOOKUP(A4782,[1]!DadosGHD[CD_GEOCMU],[1]!DadosGHD[Região])</f>
        <v>SD</v>
      </c>
      <c r="D4782" s="4" t="str">
        <f>_xlfn.XLOOKUP(A4782,[1]!DadosGHD[CD_GEOCMU],[1]!DadosGHD[uf])</f>
        <v>MG</v>
      </c>
      <c r="E4782" s="5" t="str">
        <f>_xlfn.XLOOKUP(A4782,[1]!DadosGHD[CD_GEOCMU],[1]!DadosGHD[MUNICIPIO])</f>
        <v>SAO TIAGO</v>
      </c>
      <c r="F4782" s="6">
        <v>53.6785697937012</v>
      </c>
      <c r="G4782" s="6">
        <v>53.709800720214801</v>
      </c>
      <c r="H4782" s="6">
        <v>53.892379760742202</v>
      </c>
      <c r="I4782" s="6">
        <v>53.873897552490199</v>
      </c>
      <c r="J4782" s="6">
        <v>58.8031005859375</v>
      </c>
      <c r="K4782" s="6">
        <v>53.961147308349602</v>
      </c>
      <c r="L4782" s="6">
        <v>52.979602813720703</v>
      </c>
    </row>
    <row r="4783" spans="1:12" x14ac:dyDescent="0.25">
      <c r="A4783">
        <v>3100203</v>
      </c>
      <c r="B4783" t="str">
        <f t="shared" si="74"/>
        <v>ABAETE, MG, Brasil</v>
      </c>
      <c r="C4783" s="4" t="str">
        <f>_xlfn.XLOOKUP(A4783,[1]!DadosGHD[CD_GEOCMU],[1]!DadosGHD[Região])</f>
        <v>SD</v>
      </c>
      <c r="D4783" s="4" t="str">
        <f>_xlfn.XLOOKUP(A4783,[1]!DadosGHD[CD_GEOCMU],[1]!DadosGHD[uf])</f>
        <v>MG</v>
      </c>
      <c r="E4783" s="5" t="str">
        <f>_xlfn.XLOOKUP(A4783,[1]!DadosGHD[CD_GEOCMU],[1]!DadosGHD[MUNICIPIO])</f>
        <v>ABAETE</v>
      </c>
      <c r="F4783" s="6">
        <v>53.678787231445298</v>
      </c>
      <c r="G4783" s="6">
        <v>53.788093566894503</v>
      </c>
      <c r="H4783" s="6">
        <v>58.838668823242202</v>
      </c>
      <c r="I4783" s="6">
        <v>53.739963531494098</v>
      </c>
      <c r="J4783" s="6">
        <v>53.771232604980497</v>
      </c>
      <c r="K4783" s="6">
        <v>53.924819946289098</v>
      </c>
      <c r="L4783" s="6">
        <v>57.524177551269503</v>
      </c>
    </row>
    <row r="4784" spans="1:12" x14ac:dyDescent="0.25">
      <c r="A4784">
        <v>5001904</v>
      </c>
      <c r="B4784" t="str">
        <f t="shared" si="74"/>
        <v>BATAGUASSU, MS, Brasil</v>
      </c>
      <c r="C4784" s="4" t="str">
        <f>_xlfn.XLOOKUP(A4784,[1]!DadosGHD[CD_GEOCMU],[1]!DadosGHD[Região])</f>
        <v>CO</v>
      </c>
      <c r="D4784" s="4" t="str">
        <f>_xlfn.XLOOKUP(A4784,[1]!DadosGHD[CD_GEOCMU],[1]!DadosGHD[uf])</f>
        <v>MS</v>
      </c>
      <c r="E4784" s="5" t="str">
        <f>_xlfn.XLOOKUP(A4784,[1]!DadosGHD[CD_GEOCMU],[1]!DadosGHD[MUNICIPIO])</f>
        <v>BATAGUASSU</v>
      </c>
      <c r="F4784" s="6">
        <v>53.679069519042997</v>
      </c>
      <c r="G4784" s="6">
        <v>53.743988037109403</v>
      </c>
      <c r="H4784" s="6">
        <v>48.841499328613303</v>
      </c>
      <c r="I4784" s="6">
        <v>48.773422241210902</v>
      </c>
      <c r="J4784" s="6">
        <v>53.783538818359403</v>
      </c>
      <c r="K4784" s="6">
        <v>53.966201782226598</v>
      </c>
      <c r="L4784" s="6">
        <v>53.014736175537102</v>
      </c>
    </row>
    <row r="4785" spans="1:12" x14ac:dyDescent="0.25">
      <c r="A4785">
        <v>3302908</v>
      </c>
      <c r="B4785" t="str">
        <f t="shared" si="74"/>
        <v>MIGUEL PEREIRA, RJ, Brasil</v>
      </c>
      <c r="C4785" s="4" t="str">
        <f>_xlfn.XLOOKUP(A4785,[1]!DadosGHD[CD_GEOCMU],[1]!DadosGHD[Região])</f>
        <v>SD</v>
      </c>
      <c r="D4785" s="4" t="str">
        <f>_xlfn.XLOOKUP(A4785,[1]!DadosGHD[CD_GEOCMU],[1]!DadosGHD[uf])</f>
        <v>RJ</v>
      </c>
      <c r="E4785" s="5" t="str">
        <f>_xlfn.XLOOKUP(A4785,[1]!DadosGHD[CD_GEOCMU],[1]!DadosGHD[MUNICIPIO])</f>
        <v>MIGUEL PEREIRA</v>
      </c>
      <c r="F4785" s="6">
        <v>53.679283142089801</v>
      </c>
      <c r="G4785" s="6">
        <v>53.748924255371101</v>
      </c>
      <c r="H4785" s="6">
        <v>53.8575630187988</v>
      </c>
      <c r="I4785" s="6">
        <v>58.811367034912102</v>
      </c>
      <c r="J4785" s="6">
        <v>58.841850280761697</v>
      </c>
      <c r="K4785" s="6">
        <v>53.9819946289063</v>
      </c>
      <c r="L4785" s="6">
        <v>57.583038330078097</v>
      </c>
    </row>
    <row r="4786" spans="1:12" x14ac:dyDescent="0.25">
      <c r="A4786">
        <v>5204706</v>
      </c>
      <c r="B4786" t="str">
        <f t="shared" si="74"/>
        <v>CAMPINORTE, GO, Brasil</v>
      </c>
      <c r="C4786" s="4" t="str">
        <f>_xlfn.XLOOKUP(A4786,[1]!DadosGHD[CD_GEOCMU],[1]!DadosGHD[Região])</f>
        <v>CO</v>
      </c>
      <c r="D4786" s="4" t="str">
        <f>_xlfn.XLOOKUP(A4786,[1]!DadosGHD[CD_GEOCMU],[1]!DadosGHD[uf])</f>
        <v>GO</v>
      </c>
      <c r="E4786" s="5" t="str">
        <f>_xlfn.XLOOKUP(A4786,[1]!DadosGHD[CD_GEOCMU],[1]!DadosGHD[MUNICIPIO])</f>
        <v>CAMPINORTE</v>
      </c>
      <c r="F4786" s="6">
        <v>53.679557800292997</v>
      </c>
      <c r="G4786" s="6">
        <v>58.811595916748097</v>
      </c>
      <c r="H4786" s="6">
        <v>58.929264068603501</v>
      </c>
      <c r="I4786" s="6">
        <v>58.864017486572301</v>
      </c>
      <c r="J4786" s="6">
        <v>58.985969543457003</v>
      </c>
      <c r="K4786" s="6">
        <v>53.850383758544901</v>
      </c>
      <c r="L4786" s="6">
        <v>48.530738830566399</v>
      </c>
    </row>
    <row r="4787" spans="1:12" x14ac:dyDescent="0.25">
      <c r="A4787">
        <v>4307815</v>
      </c>
      <c r="B4787" t="str">
        <f t="shared" si="74"/>
        <v>ESTRELA VELHA, RS, Brasil</v>
      </c>
      <c r="C4787" s="4" t="str">
        <f>_xlfn.XLOOKUP(A4787,[1]!DadosGHD[CD_GEOCMU],[1]!DadosGHD[Região])</f>
        <v>SL</v>
      </c>
      <c r="D4787" s="4" t="str">
        <f>_xlfn.XLOOKUP(A4787,[1]!DadosGHD[CD_GEOCMU],[1]!DadosGHD[uf])</f>
        <v>RS</v>
      </c>
      <c r="E4787" s="5" t="str">
        <f>_xlfn.XLOOKUP(A4787,[1]!DadosGHD[CD_GEOCMU],[1]!DadosGHD[MUNICIPIO])</f>
        <v>ESTRELA VELHA</v>
      </c>
      <c r="F4787" s="6">
        <v>53.680484771728501</v>
      </c>
      <c r="G4787" s="6">
        <v>58.894187927246101</v>
      </c>
      <c r="H4787" s="6">
        <v>63.981678009033203</v>
      </c>
      <c r="I4787" s="6">
        <v>64.000221252441406</v>
      </c>
      <c r="J4787" s="6">
        <v>64.039611816406307</v>
      </c>
      <c r="K4787" s="6">
        <v>64.13623046875</v>
      </c>
      <c r="L4787" s="6">
        <v>53.0660209655762</v>
      </c>
    </row>
    <row r="4788" spans="1:12" x14ac:dyDescent="0.25">
      <c r="A4788">
        <v>3557303</v>
      </c>
      <c r="B4788" t="str">
        <f t="shared" si="74"/>
        <v>ESTIVA GERBI, SP, Brasil</v>
      </c>
      <c r="C4788" s="4" t="str">
        <f>_xlfn.XLOOKUP(A4788,[1]!DadosGHD[CD_GEOCMU],[1]!DadosGHD[Região])</f>
        <v>SD</v>
      </c>
      <c r="D4788" s="4" t="str">
        <f>_xlfn.XLOOKUP(A4788,[1]!DadosGHD[CD_GEOCMU],[1]!DadosGHD[uf])</f>
        <v>SP</v>
      </c>
      <c r="E4788" s="5" t="str">
        <f>_xlfn.XLOOKUP(A4788,[1]!DadosGHD[CD_GEOCMU],[1]!DadosGHD[MUNICIPIO])</f>
        <v>ESTIVA GERBI</v>
      </c>
      <c r="F4788" s="6">
        <v>53.680908203125</v>
      </c>
      <c r="G4788" s="6">
        <v>48.728187561035199</v>
      </c>
      <c r="H4788" s="6">
        <v>48.739780426025398</v>
      </c>
      <c r="I4788" s="6">
        <v>48.694522857666001</v>
      </c>
      <c r="J4788" s="6">
        <v>48.805130004882798</v>
      </c>
      <c r="K4788" s="6">
        <v>48.872932434082003</v>
      </c>
      <c r="L4788" s="6">
        <v>48.513603210449197</v>
      </c>
    </row>
    <row r="4789" spans="1:12" x14ac:dyDescent="0.25">
      <c r="A4789">
        <v>5006309</v>
      </c>
      <c r="B4789" t="str">
        <f t="shared" si="74"/>
        <v>PARANAIBA, MS, Brasil</v>
      </c>
      <c r="C4789" s="4" t="str">
        <f>_xlfn.XLOOKUP(A4789,[1]!DadosGHD[CD_GEOCMU],[1]!DadosGHD[Região])</f>
        <v>CO</v>
      </c>
      <c r="D4789" s="4" t="str">
        <f>_xlfn.XLOOKUP(A4789,[1]!DadosGHD[CD_GEOCMU],[1]!DadosGHD[uf])</f>
        <v>MS</v>
      </c>
      <c r="E4789" s="5" t="str">
        <f>_xlfn.XLOOKUP(A4789,[1]!DadosGHD[CD_GEOCMU],[1]!DadosGHD[MUNICIPIO])</f>
        <v>PARANAIBA</v>
      </c>
      <c r="F4789" s="6">
        <v>53.6809272766113</v>
      </c>
      <c r="G4789" s="6">
        <v>53.788681030273402</v>
      </c>
      <c r="H4789" s="6">
        <v>53.834121704101598</v>
      </c>
      <c r="I4789" s="6">
        <v>53.811531066894503</v>
      </c>
      <c r="J4789" s="6">
        <v>53.842624664306598</v>
      </c>
      <c r="K4789" s="6">
        <v>53.838401794433601</v>
      </c>
      <c r="L4789" s="6">
        <v>48.520877838134801</v>
      </c>
    </row>
    <row r="4790" spans="1:12" x14ac:dyDescent="0.25">
      <c r="A4790">
        <v>4101507</v>
      </c>
      <c r="B4790" t="str">
        <f t="shared" si="74"/>
        <v>ARAPONGAS, PR, Brasil</v>
      </c>
      <c r="C4790" s="4" t="str">
        <f>_xlfn.XLOOKUP(A4790,[1]!DadosGHD[CD_GEOCMU],[1]!DadosGHD[Região])</f>
        <v>SL</v>
      </c>
      <c r="D4790" s="4" t="str">
        <f>_xlfn.XLOOKUP(A4790,[1]!DadosGHD[CD_GEOCMU],[1]!DadosGHD[uf])</f>
        <v>PR</v>
      </c>
      <c r="E4790" s="5" t="str">
        <f>_xlfn.XLOOKUP(A4790,[1]!DadosGHD[CD_GEOCMU],[1]!DadosGHD[MUNICIPIO])</f>
        <v>ARAPONGAS</v>
      </c>
      <c r="F4790" s="6">
        <v>53.6812133789063</v>
      </c>
      <c r="G4790" s="6">
        <v>53.793952941894503</v>
      </c>
      <c r="H4790" s="6">
        <v>53.8255004882813</v>
      </c>
      <c r="I4790" s="6">
        <v>53.791839599609403</v>
      </c>
      <c r="J4790" s="6">
        <v>53.750343322753899</v>
      </c>
      <c r="K4790" s="6">
        <v>48.838550567627003</v>
      </c>
      <c r="L4790" s="6">
        <v>48.536079406738303</v>
      </c>
    </row>
    <row r="4791" spans="1:12" x14ac:dyDescent="0.25">
      <c r="A4791">
        <v>3526001</v>
      </c>
      <c r="B4791" t="str">
        <f t="shared" si="74"/>
        <v>JUNQUEIROPOLIS, SP, Brasil</v>
      </c>
      <c r="C4791" s="4" t="str">
        <f>_xlfn.XLOOKUP(A4791,[1]!DadosGHD[CD_GEOCMU],[1]!DadosGHD[Região])</f>
        <v>SD</v>
      </c>
      <c r="D4791" s="4" t="str">
        <f>_xlfn.XLOOKUP(A4791,[1]!DadosGHD[CD_GEOCMU],[1]!DadosGHD[uf])</f>
        <v>SP</v>
      </c>
      <c r="E4791" s="5" t="str">
        <f>_xlfn.XLOOKUP(A4791,[1]!DadosGHD[CD_GEOCMU],[1]!DadosGHD[MUNICIPIO])</f>
        <v>JUNQUEIROPOLIS</v>
      </c>
      <c r="F4791" s="6">
        <v>53.681831359863303</v>
      </c>
      <c r="G4791" s="6">
        <v>53.746650695800803</v>
      </c>
      <c r="H4791" s="6">
        <v>48.812370300292997</v>
      </c>
      <c r="I4791" s="6">
        <v>48.797603607177699</v>
      </c>
      <c r="J4791" s="6">
        <v>48.775852203369098</v>
      </c>
      <c r="K4791" s="6">
        <v>48.840896606445298</v>
      </c>
      <c r="L4791" s="6">
        <v>39.569129943847699</v>
      </c>
    </row>
    <row r="4792" spans="1:12" x14ac:dyDescent="0.25">
      <c r="A4792">
        <v>4322806</v>
      </c>
      <c r="B4792" t="str">
        <f t="shared" si="74"/>
        <v>VERANOPOLIS, RS, Brasil</v>
      </c>
      <c r="C4792" s="4" t="str">
        <f>_xlfn.XLOOKUP(A4792,[1]!DadosGHD[CD_GEOCMU],[1]!DadosGHD[Região])</f>
        <v>SL</v>
      </c>
      <c r="D4792" s="4" t="str">
        <f>_xlfn.XLOOKUP(A4792,[1]!DadosGHD[CD_GEOCMU],[1]!DadosGHD[uf])</f>
        <v>RS</v>
      </c>
      <c r="E4792" s="5" t="str">
        <f>_xlfn.XLOOKUP(A4792,[1]!DadosGHD[CD_GEOCMU],[1]!DadosGHD[MUNICIPIO])</f>
        <v>VERANOPOLIS</v>
      </c>
      <c r="F4792" s="6">
        <v>53.681999206542997</v>
      </c>
      <c r="G4792" s="6">
        <v>58.7264404296875</v>
      </c>
      <c r="H4792" s="6">
        <v>58.989219665527301</v>
      </c>
      <c r="I4792" s="6">
        <v>64.000221252441406</v>
      </c>
      <c r="J4792" s="6">
        <v>64.033775329589801</v>
      </c>
      <c r="K4792" s="6">
        <v>64.074234008789105</v>
      </c>
      <c r="L4792" s="6">
        <v>57.589881896972699</v>
      </c>
    </row>
    <row r="4793" spans="1:12" x14ac:dyDescent="0.25">
      <c r="A4793">
        <v>4323705</v>
      </c>
      <c r="B4793" t="str">
        <f t="shared" si="74"/>
        <v>VISTA GAUCHA, RS, Brasil</v>
      </c>
      <c r="C4793" s="4" t="str">
        <f>_xlfn.XLOOKUP(A4793,[1]!DadosGHD[CD_GEOCMU],[1]!DadosGHD[Região])</f>
        <v>SL</v>
      </c>
      <c r="D4793" s="4" t="str">
        <f>_xlfn.XLOOKUP(A4793,[1]!DadosGHD[CD_GEOCMU],[1]!DadosGHD[uf])</f>
        <v>RS</v>
      </c>
      <c r="E4793" s="5" t="str">
        <f>_xlfn.XLOOKUP(A4793,[1]!DadosGHD[CD_GEOCMU],[1]!DadosGHD[MUNICIPIO])</f>
        <v>VISTA GAUCHA</v>
      </c>
      <c r="F4793" s="6">
        <v>53.6821899414063</v>
      </c>
      <c r="G4793" s="6">
        <v>53.817054748535199</v>
      </c>
      <c r="H4793" s="6">
        <v>48.861316680908203</v>
      </c>
      <c r="I4793" s="6">
        <v>48.815147399902301</v>
      </c>
      <c r="J4793" s="6">
        <v>53.846202850341797</v>
      </c>
      <c r="K4793" s="6">
        <v>58.927085876464801</v>
      </c>
      <c r="L4793" s="6">
        <v>52.983085632324197</v>
      </c>
    </row>
    <row r="4794" spans="1:12" x14ac:dyDescent="0.25">
      <c r="A4794">
        <v>3506359</v>
      </c>
      <c r="B4794" t="str">
        <f t="shared" si="74"/>
        <v>BERTIOGA, SP, Brasil</v>
      </c>
      <c r="C4794" s="4" t="str">
        <f>_xlfn.XLOOKUP(A4794,[1]!DadosGHD[CD_GEOCMU],[1]!DadosGHD[Região])</f>
        <v>SD</v>
      </c>
      <c r="D4794" s="4" t="str">
        <f>_xlfn.XLOOKUP(A4794,[1]!DadosGHD[CD_GEOCMU],[1]!DadosGHD[uf])</f>
        <v>SP</v>
      </c>
      <c r="E4794" s="5" t="str">
        <f>_xlfn.XLOOKUP(A4794,[1]!DadosGHD[CD_GEOCMU],[1]!DadosGHD[MUNICIPIO])</f>
        <v>BERTIOGA</v>
      </c>
      <c r="F4794" s="6">
        <v>53.683517456054702</v>
      </c>
      <c r="G4794" s="6">
        <v>53.7509574890137</v>
      </c>
      <c r="H4794" s="6">
        <v>53.771930694580099</v>
      </c>
      <c r="I4794" s="6">
        <v>53.749824523925803</v>
      </c>
      <c r="J4794" s="6">
        <v>53.763740539550803</v>
      </c>
      <c r="K4794" s="6">
        <v>53.814052581787102</v>
      </c>
      <c r="L4794" s="6">
        <v>57.5462837219238</v>
      </c>
    </row>
    <row r="4795" spans="1:12" x14ac:dyDescent="0.25">
      <c r="A4795">
        <v>3525409</v>
      </c>
      <c r="B4795" t="str">
        <f t="shared" si="74"/>
        <v>JERIQUARA, SP, Brasil</v>
      </c>
      <c r="C4795" s="4" t="str">
        <f>_xlfn.XLOOKUP(A4795,[1]!DadosGHD[CD_GEOCMU],[1]!DadosGHD[Região])</f>
        <v>SD</v>
      </c>
      <c r="D4795" s="4" t="str">
        <f>_xlfn.XLOOKUP(A4795,[1]!DadosGHD[CD_GEOCMU],[1]!DadosGHD[uf])</f>
        <v>SP</v>
      </c>
      <c r="E4795" s="5" t="str">
        <f>_xlfn.XLOOKUP(A4795,[1]!DadosGHD[CD_GEOCMU],[1]!DadosGHD[MUNICIPIO])</f>
        <v>JERIQUARA</v>
      </c>
      <c r="F4795" s="6">
        <v>53.683570861816399</v>
      </c>
      <c r="G4795" s="6">
        <v>48.769180297851598</v>
      </c>
      <c r="H4795" s="6">
        <v>43.7531127929688</v>
      </c>
      <c r="I4795" s="6">
        <v>43.730316162109403</v>
      </c>
      <c r="J4795" s="6">
        <v>43.725772857666001</v>
      </c>
      <c r="K4795" s="6">
        <v>48.811195373535199</v>
      </c>
      <c r="L4795" s="6">
        <v>35.114742279052699</v>
      </c>
    </row>
    <row r="4796" spans="1:12" x14ac:dyDescent="0.25">
      <c r="A4796">
        <v>4316204</v>
      </c>
      <c r="B4796" t="str">
        <f t="shared" si="74"/>
        <v>RONDINHA, RS, Brasil</v>
      </c>
      <c r="C4796" s="4" t="str">
        <f>_xlfn.XLOOKUP(A4796,[1]!DadosGHD[CD_GEOCMU],[1]!DadosGHD[Região])</f>
        <v>SL</v>
      </c>
      <c r="D4796" s="4" t="str">
        <f>_xlfn.XLOOKUP(A4796,[1]!DadosGHD[CD_GEOCMU],[1]!DadosGHD[uf])</f>
        <v>RS</v>
      </c>
      <c r="E4796" s="5" t="str">
        <f>_xlfn.XLOOKUP(A4796,[1]!DadosGHD[CD_GEOCMU],[1]!DadosGHD[MUNICIPIO])</f>
        <v>RONDINHA</v>
      </c>
      <c r="F4796" s="6">
        <v>53.6836128234863</v>
      </c>
      <c r="G4796" s="6">
        <v>58.847072601318402</v>
      </c>
      <c r="H4796" s="6">
        <v>58.9819145202637</v>
      </c>
      <c r="I4796" s="6">
        <v>58.894577026367202</v>
      </c>
      <c r="J4796" s="6">
        <v>58.917346954345703</v>
      </c>
      <c r="K4796" s="6">
        <v>59.007316589355497</v>
      </c>
      <c r="L4796" s="6">
        <v>39.607990264892599</v>
      </c>
    </row>
    <row r="4797" spans="1:12" x14ac:dyDescent="0.25">
      <c r="A4797">
        <v>3512209</v>
      </c>
      <c r="B4797" t="str">
        <f t="shared" si="74"/>
        <v>CONCHAL, SP, Brasil</v>
      </c>
      <c r="C4797" s="4" t="str">
        <f>_xlfn.XLOOKUP(A4797,[1]!DadosGHD[CD_GEOCMU],[1]!DadosGHD[Região])</f>
        <v>SD</v>
      </c>
      <c r="D4797" s="4" t="str">
        <f>_xlfn.XLOOKUP(A4797,[1]!DadosGHD[CD_GEOCMU],[1]!DadosGHD[uf])</f>
        <v>SP</v>
      </c>
      <c r="E4797" s="5" t="str">
        <f>_xlfn.XLOOKUP(A4797,[1]!DadosGHD[CD_GEOCMU],[1]!DadosGHD[MUNICIPIO])</f>
        <v>CONCHAL</v>
      </c>
      <c r="F4797" s="6">
        <v>53.684261322021499</v>
      </c>
      <c r="G4797" s="6">
        <v>53.682662963867202</v>
      </c>
      <c r="H4797" s="6">
        <v>48.796054840087898</v>
      </c>
      <c r="I4797" s="6">
        <v>48.698703765869098</v>
      </c>
      <c r="J4797" s="6">
        <v>53.761760711669901</v>
      </c>
      <c r="K4797" s="6">
        <v>58.942882537841797</v>
      </c>
      <c r="L4797" s="6">
        <v>57.501396179199197</v>
      </c>
    </row>
    <row r="4798" spans="1:12" x14ac:dyDescent="0.25">
      <c r="A4798">
        <v>3200300</v>
      </c>
      <c r="B4798" t="str">
        <f t="shared" si="74"/>
        <v>ALFREDO CHAVES, ES, Brasil</v>
      </c>
      <c r="C4798" s="4" t="str">
        <f>_xlfn.XLOOKUP(A4798,[1]!DadosGHD[CD_GEOCMU],[1]!DadosGHD[Região])</f>
        <v>SD</v>
      </c>
      <c r="D4798" s="4" t="str">
        <f>_xlfn.XLOOKUP(A4798,[1]!DadosGHD[CD_GEOCMU],[1]!DadosGHD[uf])</f>
        <v>ES</v>
      </c>
      <c r="E4798" s="5" t="str">
        <f>_xlfn.XLOOKUP(A4798,[1]!DadosGHD[CD_GEOCMU],[1]!DadosGHD[MUNICIPIO])</f>
        <v>ALFREDO CHAVES</v>
      </c>
      <c r="F4798" s="6">
        <v>53.684417724609403</v>
      </c>
      <c r="G4798" s="6">
        <v>53.694446563720703</v>
      </c>
      <c r="H4798" s="6">
        <v>53.7908325195313</v>
      </c>
      <c r="I4798" s="6">
        <v>53.764644622802699</v>
      </c>
      <c r="J4798" s="6">
        <v>53.777431488037102</v>
      </c>
      <c r="K4798" s="6">
        <v>53.827278137207003</v>
      </c>
      <c r="L4798" s="6">
        <v>44.042594909667997</v>
      </c>
    </row>
    <row r="4799" spans="1:12" x14ac:dyDescent="0.25">
      <c r="A4799">
        <v>4214003</v>
      </c>
      <c r="B4799" t="str">
        <f t="shared" si="74"/>
        <v>PRESIDENTE GETULIO, SC, Brasil</v>
      </c>
      <c r="C4799" s="4" t="str">
        <f>_xlfn.XLOOKUP(A4799,[1]!DadosGHD[CD_GEOCMU],[1]!DadosGHD[Região])</f>
        <v>SL</v>
      </c>
      <c r="D4799" s="4" t="str">
        <f>_xlfn.XLOOKUP(A4799,[1]!DadosGHD[CD_GEOCMU],[1]!DadosGHD[uf])</f>
        <v>SC</v>
      </c>
      <c r="E4799" s="5" t="str">
        <f>_xlfn.XLOOKUP(A4799,[1]!DadosGHD[CD_GEOCMU],[1]!DadosGHD[MUNICIPIO])</f>
        <v>PRESIDENTE GETULIO</v>
      </c>
      <c r="F4799" s="6">
        <v>53.685070037841797</v>
      </c>
      <c r="G4799" s="6">
        <v>53.783515930175803</v>
      </c>
      <c r="H4799" s="6">
        <v>53.841724395752003</v>
      </c>
      <c r="I4799" s="6">
        <v>53.788597106933601</v>
      </c>
      <c r="J4799" s="6">
        <v>53.809764862060597</v>
      </c>
      <c r="K4799" s="6">
        <v>53.988059997558601</v>
      </c>
      <c r="L4799" s="6">
        <v>48.548545837402301</v>
      </c>
    </row>
    <row r="4800" spans="1:12" x14ac:dyDescent="0.25">
      <c r="A4800">
        <v>3125101</v>
      </c>
      <c r="B4800" t="str">
        <f t="shared" si="74"/>
        <v>EXTREMA, MG, Brasil</v>
      </c>
      <c r="C4800" s="4" t="str">
        <f>_xlfn.XLOOKUP(A4800,[1]!DadosGHD[CD_GEOCMU],[1]!DadosGHD[Região])</f>
        <v>SD</v>
      </c>
      <c r="D4800" s="4" t="str">
        <f>_xlfn.XLOOKUP(A4800,[1]!DadosGHD[CD_GEOCMU],[1]!DadosGHD[uf])</f>
        <v>MG</v>
      </c>
      <c r="E4800" s="5" t="str">
        <f>_xlfn.XLOOKUP(A4800,[1]!DadosGHD[CD_GEOCMU],[1]!DadosGHD[MUNICIPIO])</f>
        <v>EXTREMA</v>
      </c>
      <c r="F4800" s="6">
        <v>53.685375213623097</v>
      </c>
      <c r="G4800" s="6">
        <v>53.749626159667997</v>
      </c>
      <c r="H4800" s="6">
        <v>53.883556365966797</v>
      </c>
      <c r="I4800" s="6">
        <v>58.846138000488303</v>
      </c>
      <c r="J4800" s="6">
        <v>58.912509918212898</v>
      </c>
      <c r="K4800" s="6">
        <v>58.9773979187012</v>
      </c>
      <c r="L4800" s="6">
        <v>57.493667602539098</v>
      </c>
    </row>
    <row r="4801" spans="1:12" x14ac:dyDescent="0.25">
      <c r="A4801">
        <v>4204707</v>
      </c>
      <c r="B4801" t="str">
        <f t="shared" si="74"/>
        <v>CUNHA PORA, SC, Brasil</v>
      </c>
      <c r="C4801" s="4" t="str">
        <f>_xlfn.XLOOKUP(A4801,[1]!DadosGHD[CD_GEOCMU],[1]!DadosGHD[Região])</f>
        <v>SL</v>
      </c>
      <c r="D4801" s="4" t="str">
        <f>_xlfn.XLOOKUP(A4801,[1]!DadosGHD[CD_GEOCMU],[1]!DadosGHD[uf])</f>
        <v>SC</v>
      </c>
      <c r="E4801" s="5" t="str">
        <f>_xlfn.XLOOKUP(A4801,[1]!DadosGHD[CD_GEOCMU],[1]!DadosGHD[MUNICIPIO])</f>
        <v>CUNHA PORA</v>
      </c>
      <c r="F4801" s="6">
        <v>53.685531616210902</v>
      </c>
      <c r="G4801" s="6">
        <v>58.745399475097699</v>
      </c>
      <c r="H4801" s="6">
        <v>58.858222961425803</v>
      </c>
      <c r="I4801" s="6">
        <v>58.911693572998097</v>
      </c>
      <c r="J4801" s="6">
        <v>64.004364013671903</v>
      </c>
      <c r="K4801" s="6">
        <v>64.120193481445298</v>
      </c>
      <c r="L4801" s="6">
        <v>57.589881896972699</v>
      </c>
    </row>
    <row r="4802" spans="1:12" x14ac:dyDescent="0.25">
      <c r="A4802">
        <v>3513009</v>
      </c>
      <c r="B4802" t="str">
        <f t="shared" si="74"/>
        <v>COTIA, SP, Brasil</v>
      </c>
      <c r="C4802" s="4" t="str">
        <f>_xlfn.XLOOKUP(A4802,[1]!DadosGHD[CD_GEOCMU],[1]!DadosGHD[Região])</f>
        <v>SD</v>
      </c>
      <c r="D4802" s="4" t="str">
        <f>_xlfn.XLOOKUP(A4802,[1]!DadosGHD[CD_GEOCMU],[1]!DadosGHD[uf])</f>
        <v>SP</v>
      </c>
      <c r="E4802" s="5" t="str">
        <f>_xlfn.XLOOKUP(A4802,[1]!DadosGHD[CD_GEOCMU],[1]!DadosGHD[MUNICIPIO])</f>
        <v>COTIA</v>
      </c>
      <c r="F4802" s="6">
        <v>53.685878753662102</v>
      </c>
      <c r="G4802" s="6">
        <v>53.732433319091797</v>
      </c>
      <c r="H4802" s="6">
        <v>48.842082977294901</v>
      </c>
      <c r="I4802" s="6">
        <v>48.7783203125</v>
      </c>
      <c r="J4802" s="6">
        <v>48.808422088623097</v>
      </c>
      <c r="K4802" s="6">
        <v>48.907260894775398</v>
      </c>
      <c r="L4802" s="6">
        <v>53.041160583496101</v>
      </c>
    </row>
    <row r="4803" spans="1:12" x14ac:dyDescent="0.25">
      <c r="A4803">
        <v>3507803</v>
      </c>
      <c r="B4803" t="str">
        <f t="shared" si="74"/>
        <v>BRODOWSKI, SP, Brasil</v>
      </c>
      <c r="C4803" s="4" t="str">
        <f>_xlfn.XLOOKUP(A4803,[1]!DadosGHD[CD_GEOCMU],[1]!DadosGHD[Região])</f>
        <v>SD</v>
      </c>
      <c r="D4803" s="4" t="str">
        <f>_xlfn.XLOOKUP(A4803,[1]!DadosGHD[CD_GEOCMU],[1]!DadosGHD[uf])</f>
        <v>SP</v>
      </c>
      <c r="E4803" s="5" t="str">
        <f>_xlfn.XLOOKUP(A4803,[1]!DadosGHD[CD_GEOCMU],[1]!DadosGHD[MUNICIPIO])</f>
        <v>BRODOWSKI</v>
      </c>
      <c r="F4803" s="6">
        <v>53.686046600341797</v>
      </c>
      <c r="G4803" s="6">
        <v>53.73095703125</v>
      </c>
      <c r="H4803" s="6">
        <v>53.781482696533203</v>
      </c>
      <c r="I4803" s="6">
        <v>48.776336669921903</v>
      </c>
      <c r="J4803" s="6">
        <v>48.698612213134801</v>
      </c>
      <c r="K4803" s="6">
        <v>53.889884948730497</v>
      </c>
      <c r="L4803" s="6">
        <v>57.572181701660199</v>
      </c>
    </row>
    <row r="4804" spans="1:12" x14ac:dyDescent="0.25">
      <c r="A4804">
        <v>3503901</v>
      </c>
      <c r="B4804" t="str">
        <f t="shared" ref="B4804:B4867" si="75">_xlfn.CONCAT(E4804, ", ", D4804, ", Brasil")</f>
        <v>ARUJA, SP, Brasil</v>
      </c>
      <c r="C4804" s="4" t="str">
        <f>_xlfn.XLOOKUP(A4804,[1]!DadosGHD[CD_GEOCMU],[1]!DadosGHD[Região])</f>
        <v>SD</v>
      </c>
      <c r="D4804" s="4" t="str">
        <f>_xlfn.XLOOKUP(A4804,[1]!DadosGHD[CD_GEOCMU],[1]!DadosGHD[uf])</f>
        <v>SP</v>
      </c>
      <c r="E4804" s="5" t="str">
        <f>_xlfn.XLOOKUP(A4804,[1]!DadosGHD[CD_GEOCMU],[1]!DadosGHD[MUNICIPIO])</f>
        <v>ARUJA</v>
      </c>
      <c r="F4804" s="6">
        <v>53.686145782470703</v>
      </c>
      <c r="G4804" s="6">
        <v>53.705379486083999</v>
      </c>
      <c r="H4804" s="6">
        <v>48.8377494812012</v>
      </c>
      <c r="I4804" s="6">
        <v>53.787940979003899</v>
      </c>
      <c r="J4804" s="6">
        <v>53.790493011474602</v>
      </c>
      <c r="K4804" s="6">
        <v>53.814697265625</v>
      </c>
      <c r="L4804" s="6">
        <v>53.002975463867202</v>
      </c>
    </row>
    <row r="4805" spans="1:12" x14ac:dyDescent="0.25">
      <c r="A4805">
        <v>4111605</v>
      </c>
      <c r="B4805" t="str">
        <f t="shared" si="75"/>
        <v>IVATUBA, PR, Brasil</v>
      </c>
      <c r="C4805" s="4" t="str">
        <f>_xlfn.XLOOKUP(A4805,[1]!DadosGHD[CD_GEOCMU],[1]!DadosGHD[Região])</f>
        <v>SL</v>
      </c>
      <c r="D4805" s="4" t="str">
        <f>_xlfn.XLOOKUP(A4805,[1]!DadosGHD[CD_GEOCMU],[1]!DadosGHD[uf])</f>
        <v>PR</v>
      </c>
      <c r="E4805" s="5" t="str">
        <f>_xlfn.XLOOKUP(A4805,[1]!DadosGHD[CD_GEOCMU],[1]!DadosGHD[MUNICIPIO])</f>
        <v>IVATUBA</v>
      </c>
      <c r="F4805" s="6">
        <v>53.6862602233887</v>
      </c>
      <c r="G4805" s="6">
        <v>58.852916717529297</v>
      </c>
      <c r="H4805" s="6">
        <v>58.999988555908203</v>
      </c>
      <c r="I4805" s="6">
        <v>64.000221252441406</v>
      </c>
      <c r="J4805" s="6">
        <v>64.024307250976605</v>
      </c>
      <c r="K4805" s="6">
        <v>59.110015869140597</v>
      </c>
      <c r="L4805" s="6">
        <v>57.563179016113303</v>
      </c>
    </row>
    <row r="4806" spans="1:12" x14ac:dyDescent="0.25">
      <c r="A4806">
        <v>5220207</v>
      </c>
      <c r="B4806" t="str">
        <f t="shared" si="75"/>
        <v>SAO MIGUEL DO ARAGUAIA, GO, Brasil</v>
      </c>
      <c r="C4806" s="4" t="str">
        <f>_xlfn.XLOOKUP(A4806,[1]!DadosGHD[CD_GEOCMU],[1]!DadosGHD[Região])</f>
        <v>CO</v>
      </c>
      <c r="D4806" s="4" t="str">
        <f>_xlfn.XLOOKUP(A4806,[1]!DadosGHD[CD_GEOCMU],[1]!DadosGHD[uf])</f>
        <v>GO</v>
      </c>
      <c r="E4806" s="5" t="str">
        <f>_xlfn.XLOOKUP(A4806,[1]!DadosGHD[CD_GEOCMU],[1]!DadosGHD[MUNICIPIO])</f>
        <v>SAO MIGUEL DO ARAGUAIA</v>
      </c>
      <c r="F4806" s="6">
        <v>53.686351776123097</v>
      </c>
      <c r="G4806" s="6">
        <v>53.761264801025398</v>
      </c>
      <c r="H4806" s="6">
        <v>53.893630981445298</v>
      </c>
      <c r="I4806" s="6">
        <v>58.823024749755902</v>
      </c>
      <c r="J4806" s="6">
        <v>58.878734588623097</v>
      </c>
      <c r="K4806" s="6">
        <v>59.0174560546875</v>
      </c>
      <c r="L4806" s="6">
        <v>44.054557800292997</v>
      </c>
    </row>
    <row r="4807" spans="1:12" x14ac:dyDescent="0.25">
      <c r="A4807">
        <v>3534104</v>
      </c>
      <c r="B4807" t="str">
        <f t="shared" si="75"/>
        <v>ORIENTE, SP, Brasil</v>
      </c>
      <c r="C4807" s="4" t="str">
        <f>_xlfn.XLOOKUP(A4807,[1]!DadosGHD[CD_GEOCMU],[1]!DadosGHD[Região])</f>
        <v>SD</v>
      </c>
      <c r="D4807" s="4" t="str">
        <f>_xlfn.XLOOKUP(A4807,[1]!DadosGHD[CD_GEOCMU],[1]!DadosGHD[uf])</f>
        <v>SP</v>
      </c>
      <c r="E4807" s="5" t="str">
        <f>_xlfn.XLOOKUP(A4807,[1]!DadosGHD[CD_GEOCMU],[1]!DadosGHD[MUNICIPIO])</f>
        <v>ORIENTE</v>
      </c>
      <c r="F4807" s="6">
        <v>53.686466217041001</v>
      </c>
      <c r="G4807" s="6">
        <v>53.692893981933601</v>
      </c>
      <c r="H4807" s="6">
        <v>53.845390319824197</v>
      </c>
      <c r="I4807" s="6">
        <v>53.8681640625</v>
      </c>
      <c r="J4807" s="6">
        <v>53.885231018066399</v>
      </c>
      <c r="K4807" s="6">
        <v>53.884181976318402</v>
      </c>
      <c r="L4807" s="6">
        <v>53.016494750976598</v>
      </c>
    </row>
    <row r="4808" spans="1:12" x14ac:dyDescent="0.25">
      <c r="A4808">
        <v>1400100</v>
      </c>
      <c r="B4808" t="str">
        <f t="shared" si="75"/>
        <v>BOA VISTA, RR, Brasil</v>
      </c>
      <c r="C4808" s="4" t="str">
        <f>_xlfn.XLOOKUP(A4808,[1]!DadosGHD[CD_GEOCMU],[1]!DadosGHD[Região])</f>
        <v>NO</v>
      </c>
      <c r="D4808" s="4" t="str">
        <f>_xlfn.XLOOKUP(A4808,[1]!DadosGHD[CD_GEOCMU],[1]!DadosGHD[uf])</f>
        <v>RR</v>
      </c>
      <c r="E4808" s="5" t="str">
        <f>_xlfn.XLOOKUP(A4808,[1]!DadosGHD[CD_GEOCMU],[1]!DadosGHD[MUNICIPIO])</f>
        <v>BOA VISTA</v>
      </c>
      <c r="F4808" s="6">
        <v>53.686473846435597</v>
      </c>
      <c r="G4808" s="6">
        <v>53.666217803955099</v>
      </c>
      <c r="H4808" s="6">
        <v>48.741138458252003</v>
      </c>
      <c r="I4808" s="6">
        <v>43.791217803955099</v>
      </c>
      <c r="J4808" s="6">
        <v>43.794456481933601</v>
      </c>
      <c r="K4808" s="6">
        <v>43.854141235351598</v>
      </c>
      <c r="L4808" s="6">
        <v>44.0647163391113</v>
      </c>
    </row>
    <row r="4809" spans="1:12" x14ac:dyDescent="0.25">
      <c r="A4809">
        <v>3522703</v>
      </c>
      <c r="B4809" t="str">
        <f t="shared" si="75"/>
        <v>ITAPOLIS, SP, Brasil</v>
      </c>
      <c r="C4809" s="4" t="str">
        <f>_xlfn.XLOOKUP(A4809,[1]!DadosGHD[CD_GEOCMU],[1]!DadosGHD[Região])</f>
        <v>SD</v>
      </c>
      <c r="D4809" s="4" t="str">
        <f>_xlfn.XLOOKUP(A4809,[1]!DadosGHD[CD_GEOCMU],[1]!DadosGHD[uf])</f>
        <v>SP</v>
      </c>
      <c r="E4809" s="5" t="str">
        <f>_xlfn.XLOOKUP(A4809,[1]!DadosGHD[CD_GEOCMU],[1]!DadosGHD[MUNICIPIO])</f>
        <v>ITAPOLIS</v>
      </c>
      <c r="F4809" s="6">
        <v>53.687389373779297</v>
      </c>
      <c r="G4809" s="6">
        <v>53.724800109863303</v>
      </c>
      <c r="H4809" s="6">
        <v>48.845401763916001</v>
      </c>
      <c r="I4809" s="6">
        <v>48.757961273193402</v>
      </c>
      <c r="J4809" s="6">
        <v>43.789505004882798</v>
      </c>
      <c r="K4809" s="6">
        <v>43.8501586914063</v>
      </c>
      <c r="L4809" s="6">
        <v>39.557029724121101</v>
      </c>
    </row>
    <row r="4810" spans="1:12" x14ac:dyDescent="0.25">
      <c r="A4810">
        <v>4217808</v>
      </c>
      <c r="B4810" t="str">
        <f t="shared" si="75"/>
        <v>TAIO, SC, Brasil</v>
      </c>
      <c r="C4810" s="4" t="str">
        <f>_xlfn.XLOOKUP(A4810,[1]!DadosGHD[CD_GEOCMU],[1]!DadosGHD[Região])</f>
        <v>SL</v>
      </c>
      <c r="D4810" s="4" t="str">
        <f>_xlfn.XLOOKUP(A4810,[1]!DadosGHD[CD_GEOCMU],[1]!DadosGHD[uf])</f>
        <v>SC</v>
      </c>
      <c r="E4810" s="5" t="str">
        <f>_xlfn.XLOOKUP(A4810,[1]!DadosGHD[CD_GEOCMU],[1]!DadosGHD[MUNICIPIO])</f>
        <v>TAIO</v>
      </c>
      <c r="F4810" s="6">
        <v>53.687538146972699</v>
      </c>
      <c r="G4810" s="6">
        <v>53.762741088867202</v>
      </c>
      <c r="H4810" s="6">
        <v>53.823738098144503</v>
      </c>
      <c r="I4810" s="6">
        <v>53.747451782226598</v>
      </c>
      <c r="J4810" s="6">
        <v>53.827926635742202</v>
      </c>
      <c r="K4810" s="6">
        <v>59.0338745117188</v>
      </c>
      <c r="L4810" s="6">
        <v>48.523849487304702</v>
      </c>
    </row>
    <row r="4811" spans="1:12" x14ac:dyDescent="0.25">
      <c r="A4811">
        <v>3544251</v>
      </c>
      <c r="B4811" t="str">
        <f t="shared" si="75"/>
        <v>ROSANA, SP, Brasil</v>
      </c>
      <c r="C4811" s="4" t="str">
        <f>_xlfn.XLOOKUP(A4811,[1]!DadosGHD[CD_GEOCMU],[1]!DadosGHD[Região])</f>
        <v>SD</v>
      </c>
      <c r="D4811" s="4" t="str">
        <f>_xlfn.XLOOKUP(A4811,[1]!DadosGHD[CD_GEOCMU],[1]!DadosGHD[uf])</f>
        <v>SP</v>
      </c>
      <c r="E4811" s="5" t="str">
        <f>_xlfn.XLOOKUP(A4811,[1]!DadosGHD[CD_GEOCMU],[1]!DadosGHD[MUNICIPIO])</f>
        <v>ROSANA</v>
      </c>
      <c r="F4811" s="6">
        <v>53.687568664550803</v>
      </c>
      <c r="G4811" s="6">
        <v>53.8041381835938</v>
      </c>
      <c r="H4811" s="6">
        <v>53.811267852783203</v>
      </c>
      <c r="I4811" s="6">
        <v>53.739837646484403</v>
      </c>
      <c r="J4811" s="6">
        <v>53.800224304199197</v>
      </c>
      <c r="K4811" s="6">
        <v>53.862663269042997</v>
      </c>
      <c r="L4811" s="6">
        <v>44.035160064697301</v>
      </c>
    </row>
    <row r="4812" spans="1:12" x14ac:dyDescent="0.25">
      <c r="A4812">
        <v>3510708</v>
      </c>
      <c r="B4812" t="str">
        <f t="shared" si="75"/>
        <v>CARDOSO, SP, Brasil</v>
      </c>
      <c r="C4812" s="4" t="str">
        <f>_xlfn.XLOOKUP(A4812,[1]!DadosGHD[CD_GEOCMU],[1]!DadosGHD[Região])</f>
        <v>SD</v>
      </c>
      <c r="D4812" s="4" t="str">
        <f>_xlfn.XLOOKUP(A4812,[1]!DadosGHD[CD_GEOCMU],[1]!DadosGHD[uf])</f>
        <v>SP</v>
      </c>
      <c r="E4812" s="5" t="str">
        <f>_xlfn.XLOOKUP(A4812,[1]!DadosGHD[CD_GEOCMU],[1]!DadosGHD[MUNICIPIO])</f>
        <v>CARDOSO</v>
      </c>
      <c r="F4812" s="6">
        <v>53.688392639160199</v>
      </c>
      <c r="G4812" s="6">
        <v>53.735343933105497</v>
      </c>
      <c r="H4812" s="6">
        <v>48.853679656982401</v>
      </c>
      <c r="I4812" s="6">
        <v>48.814048767089801</v>
      </c>
      <c r="J4812" s="6">
        <v>48.744007110595703</v>
      </c>
      <c r="K4812" s="6">
        <v>43.880725860595703</v>
      </c>
      <c r="L4812" s="6">
        <v>39.609222412109403</v>
      </c>
    </row>
    <row r="4813" spans="1:12" x14ac:dyDescent="0.25">
      <c r="A4813">
        <v>4109401</v>
      </c>
      <c r="B4813" t="str">
        <f t="shared" si="75"/>
        <v>GUARAPUAVA, PR, Brasil</v>
      </c>
      <c r="C4813" s="4" t="str">
        <f>_xlfn.XLOOKUP(A4813,[1]!DadosGHD[CD_GEOCMU],[1]!DadosGHD[Região])</f>
        <v>SL</v>
      </c>
      <c r="D4813" s="4" t="str">
        <f>_xlfn.XLOOKUP(A4813,[1]!DadosGHD[CD_GEOCMU],[1]!DadosGHD[uf])</f>
        <v>PR</v>
      </c>
      <c r="E4813" s="5" t="str">
        <f>_xlfn.XLOOKUP(A4813,[1]!DadosGHD[CD_GEOCMU],[1]!DadosGHD[MUNICIPIO])</f>
        <v>GUARAPUAVA</v>
      </c>
      <c r="F4813" s="6">
        <v>53.688621520996101</v>
      </c>
      <c r="G4813" s="6">
        <v>53.780838012695298</v>
      </c>
      <c r="H4813" s="6">
        <v>53.8436470031738</v>
      </c>
      <c r="I4813" s="6">
        <v>53.848644256591797</v>
      </c>
      <c r="J4813" s="6">
        <v>53.859832763671903</v>
      </c>
      <c r="K4813" s="6">
        <v>53.905006408691399</v>
      </c>
      <c r="L4813" s="6">
        <v>52.994216918945298</v>
      </c>
    </row>
    <row r="4814" spans="1:12" x14ac:dyDescent="0.25">
      <c r="A4814">
        <v>4312385</v>
      </c>
      <c r="B4814" t="str">
        <f t="shared" si="75"/>
        <v>MONTE BELO DO SUL, RS, Brasil</v>
      </c>
      <c r="C4814" s="4" t="str">
        <f>_xlfn.XLOOKUP(A4814,[1]!DadosGHD[CD_GEOCMU],[1]!DadosGHD[Região])</f>
        <v>SL</v>
      </c>
      <c r="D4814" s="4" t="str">
        <f>_xlfn.XLOOKUP(A4814,[1]!DadosGHD[CD_GEOCMU],[1]!DadosGHD[uf])</f>
        <v>RS</v>
      </c>
      <c r="E4814" s="5" t="str">
        <f>_xlfn.XLOOKUP(A4814,[1]!DadosGHD[CD_GEOCMU],[1]!DadosGHD[MUNICIPIO])</f>
        <v>MONTE BELO DO SUL</v>
      </c>
      <c r="F4814" s="6">
        <v>53.688865661621101</v>
      </c>
      <c r="G4814" s="6">
        <v>58.828376770019503</v>
      </c>
      <c r="H4814" s="6">
        <v>53.806076049804702</v>
      </c>
      <c r="I4814" s="6">
        <v>58.879596710205099</v>
      </c>
      <c r="J4814" s="6">
        <v>58.967872619628899</v>
      </c>
      <c r="K4814" s="6">
        <v>64.13623046875</v>
      </c>
      <c r="L4814" s="6">
        <v>57.589881896972699</v>
      </c>
    </row>
    <row r="4815" spans="1:12" x14ac:dyDescent="0.25">
      <c r="A4815">
        <v>4123402</v>
      </c>
      <c r="B4815" t="str">
        <f t="shared" si="75"/>
        <v>SANTA FE, PR, Brasil</v>
      </c>
      <c r="C4815" s="4" t="str">
        <f>_xlfn.XLOOKUP(A4815,[1]!DadosGHD[CD_GEOCMU],[1]!DadosGHD[Região])</f>
        <v>SL</v>
      </c>
      <c r="D4815" s="4" t="str">
        <f>_xlfn.XLOOKUP(A4815,[1]!DadosGHD[CD_GEOCMU],[1]!DadosGHD[uf])</f>
        <v>PR</v>
      </c>
      <c r="E4815" s="5" t="str">
        <f>_xlfn.XLOOKUP(A4815,[1]!DadosGHD[CD_GEOCMU],[1]!DadosGHD[MUNICIPIO])</f>
        <v>SANTA FE</v>
      </c>
      <c r="F4815" s="6">
        <v>53.689159393310597</v>
      </c>
      <c r="G4815" s="6">
        <v>53.789958953857401</v>
      </c>
      <c r="H4815" s="6">
        <v>53.789306640625</v>
      </c>
      <c r="I4815" s="6">
        <v>48.811031341552699</v>
      </c>
      <c r="J4815" s="6">
        <v>48.835037231445298</v>
      </c>
      <c r="K4815" s="6">
        <v>53.922142028808601</v>
      </c>
      <c r="L4815" s="6">
        <v>57.528408050537102</v>
      </c>
    </row>
    <row r="4816" spans="1:12" x14ac:dyDescent="0.25">
      <c r="A4816">
        <v>4218905</v>
      </c>
      <c r="B4816" t="str">
        <f t="shared" si="75"/>
        <v>URUBICI, SC, Brasil</v>
      </c>
      <c r="C4816" s="4" t="str">
        <f>_xlfn.XLOOKUP(A4816,[1]!DadosGHD[CD_GEOCMU],[1]!DadosGHD[Região])</f>
        <v>SL</v>
      </c>
      <c r="D4816" s="4" t="str">
        <f>_xlfn.XLOOKUP(A4816,[1]!DadosGHD[CD_GEOCMU],[1]!DadosGHD[uf])</f>
        <v>SC</v>
      </c>
      <c r="E4816" s="5" t="str">
        <f>_xlfn.XLOOKUP(A4816,[1]!DadosGHD[CD_GEOCMU],[1]!DadosGHD[MUNICIPIO])</f>
        <v>URUBICI</v>
      </c>
      <c r="F4816" s="6">
        <v>53.689903259277301</v>
      </c>
      <c r="G4816" s="6">
        <v>58.886035919189503</v>
      </c>
      <c r="H4816" s="6">
        <v>64.026092529296903</v>
      </c>
      <c r="I4816" s="6">
        <v>63.911674499511697</v>
      </c>
      <c r="J4816" s="6">
        <v>58.890754699707003</v>
      </c>
      <c r="K4816" s="6">
        <v>59.063011169433601</v>
      </c>
      <c r="L4816" s="6">
        <v>57.589881896972699</v>
      </c>
    </row>
    <row r="4817" spans="1:12" x14ac:dyDescent="0.25">
      <c r="A4817">
        <v>4204756</v>
      </c>
      <c r="B4817" t="str">
        <f t="shared" si="75"/>
        <v>CUNHATAI, SC, Brasil</v>
      </c>
      <c r="C4817" s="4" t="str">
        <f>_xlfn.XLOOKUP(A4817,[1]!DadosGHD[CD_GEOCMU],[1]!DadosGHD[Região])</f>
        <v>SL</v>
      </c>
      <c r="D4817" s="4" t="str">
        <f>_xlfn.XLOOKUP(A4817,[1]!DadosGHD[CD_GEOCMU],[1]!DadosGHD[uf])</f>
        <v>SC</v>
      </c>
      <c r="E4817" s="5" t="str">
        <f>_xlfn.XLOOKUP(A4817,[1]!DadosGHD[CD_GEOCMU],[1]!DadosGHD[MUNICIPIO])</f>
        <v>CUNHATAI</v>
      </c>
      <c r="F4817" s="6">
        <v>53.690029144287102</v>
      </c>
      <c r="G4817" s="6">
        <v>53.821487426757798</v>
      </c>
      <c r="H4817" s="6">
        <v>53.893878936767599</v>
      </c>
      <c r="I4817" s="6">
        <v>58.800403594970703</v>
      </c>
      <c r="J4817" s="6">
        <v>58.899337768554702</v>
      </c>
      <c r="K4817" s="6">
        <v>59.082324981689503</v>
      </c>
      <c r="L4817" s="6">
        <v>57.540359497070298</v>
      </c>
    </row>
    <row r="4818" spans="1:12" x14ac:dyDescent="0.25">
      <c r="A4818">
        <v>4104501</v>
      </c>
      <c r="B4818" t="str">
        <f t="shared" si="75"/>
        <v>CAPANEMA, PR, Brasil</v>
      </c>
      <c r="C4818" s="4" t="str">
        <f>_xlfn.XLOOKUP(A4818,[1]!DadosGHD[CD_GEOCMU],[1]!DadosGHD[Região])</f>
        <v>SL</v>
      </c>
      <c r="D4818" s="4" t="str">
        <f>_xlfn.XLOOKUP(A4818,[1]!DadosGHD[CD_GEOCMU],[1]!DadosGHD[uf])</f>
        <v>PR</v>
      </c>
      <c r="E4818" s="5" t="str">
        <f>_xlfn.XLOOKUP(A4818,[1]!DadosGHD[CD_GEOCMU],[1]!DadosGHD[MUNICIPIO])</f>
        <v>CAPANEMA</v>
      </c>
      <c r="F4818" s="6">
        <v>53.690254211425803</v>
      </c>
      <c r="G4818" s="6">
        <v>53.816352844238303</v>
      </c>
      <c r="H4818" s="6">
        <v>53.890548706054702</v>
      </c>
      <c r="I4818" s="6">
        <v>53.842605590820298</v>
      </c>
      <c r="J4818" s="6">
        <v>58.811191558837898</v>
      </c>
      <c r="K4818" s="6">
        <v>53.968368530273402</v>
      </c>
      <c r="L4818" s="6">
        <v>48.549381256103501</v>
      </c>
    </row>
    <row r="4819" spans="1:12" x14ac:dyDescent="0.25">
      <c r="A4819">
        <v>1700251</v>
      </c>
      <c r="B4819" t="str">
        <f t="shared" si="75"/>
        <v>ABREULANDIA, TO, Brasil</v>
      </c>
      <c r="C4819" s="4" t="str">
        <f>_xlfn.XLOOKUP(A4819,[1]!DadosGHD[CD_GEOCMU],[1]!DadosGHD[Região])</f>
        <v>NO</v>
      </c>
      <c r="D4819" s="4" t="str">
        <f>_xlfn.XLOOKUP(A4819,[1]!DadosGHD[CD_GEOCMU],[1]!DadosGHD[uf])</f>
        <v>TO</v>
      </c>
      <c r="E4819" s="5" t="str">
        <f>_xlfn.XLOOKUP(A4819,[1]!DadosGHD[CD_GEOCMU],[1]!DadosGHD[MUNICIPIO])</f>
        <v>ABREULANDIA</v>
      </c>
      <c r="F4819" s="6">
        <v>53.690273284912102</v>
      </c>
      <c r="G4819" s="6">
        <v>43.679393768310597</v>
      </c>
      <c r="H4819" s="6">
        <v>43.738407135009801</v>
      </c>
      <c r="I4819" s="6">
        <v>43.710884094238303</v>
      </c>
      <c r="J4819" s="6">
        <v>43.726009368896499</v>
      </c>
      <c r="K4819" s="6">
        <v>33.859043121337898</v>
      </c>
      <c r="L4819" s="6">
        <v>26.2962341308594</v>
      </c>
    </row>
    <row r="4820" spans="1:12" x14ac:dyDescent="0.25">
      <c r="A4820">
        <v>4316105</v>
      </c>
      <c r="B4820" t="str">
        <f t="shared" si="75"/>
        <v>RONDA ALTA, RS, Brasil</v>
      </c>
      <c r="C4820" s="4" t="str">
        <f>_xlfn.XLOOKUP(A4820,[1]!DadosGHD[CD_GEOCMU],[1]!DadosGHD[Região])</f>
        <v>SL</v>
      </c>
      <c r="D4820" s="4" t="str">
        <f>_xlfn.XLOOKUP(A4820,[1]!DadosGHD[CD_GEOCMU],[1]!DadosGHD[uf])</f>
        <v>RS</v>
      </c>
      <c r="E4820" s="5" t="str">
        <f>_xlfn.XLOOKUP(A4820,[1]!DadosGHD[CD_GEOCMU],[1]!DadosGHD[MUNICIPIO])</f>
        <v>RONDA ALTA</v>
      </c>
      <c r="F4820" s="6">
        <v>53.6907348632813</v>
      </c>
      <c r="G4820" s="6">
        <v>53.795337677002003</v>
      </c>
      <c r="H4820" s="6">
        <v>53.847564697265597</v>
      </c>
      <c r="I4820" s="6">
        <v>53.746604919433601</v>
      </c>
      <c r="J4820" s="6">
        <v>48.833938598632798</v>
      </c>
      <c r="K4820" s="6">
        <v>53.8864135742188</v>
      </c>
      <c r="L4820" s="6">
        <v>39.5617485046387</v>
      </c>
    </row>
    <row r="4821" spans="1:12" x14ac:dyDescent="0.25">
      <c r="A4821">
        <v>3303906</v>
      </c>
      <c r="B4821" t="str">
        <f t="shared" si="75"/>
        <v>PETROPOLIS, RJ, Brasil</v>
      </c>
      <c r="C4821" s="4" t="str">
        <f>_xlfn.XLOOKUP(A4821,[1]!DadosGHD[CD_GEOCMU],[1]!DadosGHD[Região])</f>
        <v>SD</v>
      </c>
      <c r="D4821" s="4" t="str">
        <f>_xlfn.XLOOKUP(A4821,[1]!DadosGHD[CD_GEOCMU],[1]!DadosGHD[uf])</f>
        <v>RJ</v>
      </c>
      <c r="E4821" s="5" t="str">
        <f>_xlfn.XLOOKUP(A4821,[1]!DadosGHD[CD_GEOCMU],[1]!DadosGHD[MUNICIPIO])</f>
        <v>PETROPOLIS</v>
      </c>
      <c r="F4821" s="6">
        <v>53.691135406494098</v>
      </c>
      <c r="G4821" s="6">
        <v>53.767360687255902</v>
      </c>
      <c r="H4821" s="6">
        <v>53.810813903808601</v>
      </c>
      <c r="I4821" s="6">
        <v>53.824626922607401</v>
      </c>
      <c r="J4821" s="6">
        <v>53.848644256591797</v>
      </c>
      <c r="K4821" s="6">
        <v>53.877410888671903</v>
      </c>
      <c r="L4821" s="6">
        <v>57.526905059814503</v>
      </c>
    </row>
    <row r="4822" spans="1:12" x14ac:dyDescent="0.25">
      <c r="A4822">
        <v>4319109</v>
      </c>
      <c r="B4822" t="str">
        <f t="shared" si="75"/>
        <v>SAO MARTINHO, RS, Brasil</v>
      </c>
      <c r="C4822" s="4" t="str">
        <f>_xlfn.XLOOKUP(A4822,[1]!DadosGHD[CD_GEOCMU],[1]!DadosGHD[Região])</f>
        <v>SL</v>
      </c>
      <c r="D4822" s="4" t="str">
        <f>_xlfn.XLOOKUP(A4822,[1]!DadosGHD[CD_GEOCMU],[1]!DadosGHD[uf])</f>
        <v>RS</v>
      </c>
      <c r="E4822" s="5" t="str">
        <f>_xlfn.XLOOKUP(A4822,[1]!DadosGHD[CD_GEOCMU],[1]!DadosGHD[MUNICIPIO])</f>
        <v>SAO MARTINHO</v>
      </c>
      <c r="F4822" s="6">
        <v>53.6917915344238</v>
      </c>
      <c r="G4822" s="6">
        <v>58.796142578125</v>
      </c>
      <c r="H4822" s="6">
        <v>58.952239990234403</v>
      </c>
      <c r="I4822" s="6">
        <v>58.969863891601598</v>
      </c>
      <c r="J4822" s="6">
        <v>58.971721649169901</v>
      </c>
      <c r="K4822" s="6">
        <v>59.012584686279297</v>
      </c>
      <c r="L4822" s="6">
        <v>39.606956481933601</v>
      </c>
    </row>
    <row r="4823" spans="1:12" x14ac:dyDescent="0.25">
      <c r="A4823">
        <v>3532504</v>
      </c>
      <c r="B4823" t="str">
        <f t="shared" si="75"/>
        <v>NEVES PAULISTA, SP, Brasil</v>
      </c>
      <c r="C4823" s="4" t="str">
        <f>_xlfn.XLOOKUP(A4823,[1]!DadosGHD[CD_GEOCMU],[1]!DadosGHD[Região])</f>
        <v>SD</v>
      </c>
      <c r="D4823" s="4" t="str">
        <f>_xlfn.XLOOKUP(A4823,[1]!DadosGHD[CD_GEOCMU],[1]!DadosGHD[uf])</f>
        <v>SP</v>
      </c>
      <c r="E4823" s="5" t="str">
        <f>_xlfn.XLOOKUP(A4823,[1]!DadosGHD[CD_GEOCMU],[1]!DadosGHD[MUNICIPIO])</f>
        <v>NEVES PAULISTA</v>
      </c>
      <c r="F4823" s="6">
        <v>53.691837310791001</v>
      </c>
      <c r="G4823" s="6">
        <v>53.677200317382798</v>
      </c>
      <c r="H4823" s="6">
        <v>48.7871704101563</v>
      </c>
      <c r="I4823" s="6">
        <v>48.762287139892599</v>
      </c>
      <c r="J4823" s="6">
        <v>53.756858825683601</v>
      </c>
      <c r="K4823" s="6">
        <v>48.86181640625</v>
      </c>
      <c r="L4823" s="6">
        <v>44.074256896972699</v>
      </c>
    </row>
    <row r="4824" spans="1:12" x14ac:dyDescent="0.25">
      <c r="A4824">
        <v>3553302</v>
      </c>
      <c r="B4824" t="str">
        <f t="shared" si="75"/>
        <v>TAMBAU, SP, Brasil</v>
      </c>
      <c r="C4824" s="4" t="str">
        <f>_xlfn.XLOOKUP(A4824,[1]!DadosGHD[CD_GEOCMU],[1]!DadosGHD[Região])</f>
        <v>SD</v>
      </c>
      <c r="D4824" s="4" t="str">
        <f>_xlfn.XLOOKUP(A4824,[1]!DadosGHD[CD_GEOCMU],[1]!DadosGHD[uf])</f>
        <v>SP</v>
      </c>
      <c r="E4824" s="5" t="str">
        <f>_xlfn.XLOOKUP(A4824,[1]!DadosGHD[CD_GEOCMU],[1]!DadosGHD[MUNICIPIO])</f>
        <v>TAMBAU</v>
      </c>
      <c r="F4824" s="6">
        <v>53.691978454589801</v>
      </c>
      <c r="G4824" s="6">
        <v>53.735446929931598</v>
      </c>
      <c r="H4824" s="6">
        <v>53.871051788330099</v>
      </c>
      <c r="I4824" s="6">
        <v>53.881759643554702</v>
      </c>
      <c r="J4824" s="6">
        <v>58.836662292480497</v>
      </c>
      <c r="K4824" s="6">
        <v>59.045120239257798</v>
      </c>
      <c r="L4824" s="6">
        <v>57.589881896972699</v>
      </c>
    </row>
    <row r="4825" spans="1:12" x14ac:dyDescent="0.25">
      <c r="A4825">
        <v>4215604</v>
      </c>
      <c r="B4825" t="str">
        <f t="shared" si="75"/>
        <v>SANTA ROSA DE LIMA, SC, Brasil</v>
      </c>
      <c r="C4825" s="4" t="str">
        <f>_xlfn.XLOOKUP(A4825,[1]!DadosGHD[CD_GEOCMU],[1]!DadosGHD[Região])</f>
        <v>SL</v>
      </c>
      <c r="D4825" s="4" t="str">
        <f>_xlfn.XLOOKUP(A4825,[1]!DadosGHD[CD_GEOCMU],[1]!DadosGHD[uf])</f>
        <v>SC</v>
      </c>
      <c r="E4825" s="5" t="str">
        <f>_xlfn.XLOOKUP(A4825,[1]!DadosGHD[CD_GEOCMU],[1]!DadosGHD[MUNICIPIO])</f>
        <v>SANTA ROSA DE LIMA</v>
      </c>
      <c r="F4825" s="6">
        <v>53.692039489746101</v>
      </c>
      <c r="G4825" s="6">
        <v>53.6633911132813</v>
      </c>
      <c r="H4825" s="6">
        <v>48.753181457519503</v>
      </c>
      <c r="I4825" s="6">
        <v>53.715808868408203</v>
      </c>
      <c r="J4825" s="6">
        <v>48.822883605957003</v>
      </c>
      <c r="K4825" s="6">
        <v>53.8447074890137</v>
      </c>
      <c r="L4825" s="6">
        <v>48.539665222167997</v>
      </c>
    </row>
    <row r="4826" spans="1:12" x14ac:dyDescent="0.25">
      <c r="A4826">
        <v>3535408</v>
      </c>
      <c r="B4826" t="str">
        <f t="shared" si="75"/>
        <v>PANORAMA, SP, Brasil</v>
      </c>
      <c r="C4826" s="4" t="str">
        <f>_xlfn.XLOOKUP(A4826,[1]!DadosGHD[CD_GEOCMU],[1]!DadosGHD[Região])</f>
        <v>SD</v>
      </c>
      <c r="D4826" s="4" t="str">
        <f>_xlfn.XLOOKUP(A4826,[1]!DadosGHD[CD_GEOCMU],[1]!DadosGHD[uf])</f>
        <v>SP</v>
      </c>
      <c r="E4826" s="5" t="str">
        <f>_xlfn.XLOOKUP(A4826,[1]!DadosGHD[CD_GEOCMU],[1]!DadosGHD[MUNICIPIO])</f>
        <v>PANORAMA</v>
      </c>
      <c r="F4826" s="6">
        <v>53.692291259765597</v>
      </c>
      <c r="G4826" s="6">
        <v>53.787532806396499</v>
      </c>
      <c r="H4826" s="6">
        <v>48.857452392578097</v>
      </c>
      <c r="I4826" s="6">
        <v>48.795726776123097</v>
      </c>
      <c r="J4826" s="6">
        <v>48.7895698547363</v>
      </c>
      <c r="K4826" s="6">
        <v>48.830989837646499</v>
      </c>
      <c r="L4826" s="6">
        <v>44.015110015869098</v>
      </c>
    </row>
    <row r="4827" spans="1:12" x14ac:dyDescent="0.25">
      <c r="A4827">
        <v>3301702</v>
      </c>
      <c r="B4827" t="str">
        <f t="shared" si="75"/>
        <v>DUQUE DE CAXIAS, RJ, Brasil</v>
      </c>
      <c r="C4827" s="4" t="str">
        <f>_xlfn.XLOOKUP(A4827,[1]!DadosGHD[CD_GEOCMU],[1]!DadosGHD[Região])</f>
        <v>SD</v>
      </c>
      <c r="D4827" s="4" t="str">
        <f>_xlfn.XLOOKUP(A4827,[1]!DadosGHD[CD_GEOCMU],[1]!DadosGHD[uf])</f>
        <v>RJ</v>
      </c>
      <c r="E4827" s="5" t="str">
        <f>_xlfn.XLOOKUP(A4827,[1]!DadosGHD[CD_GEOCMU],[1]!DadosGHD[MUNICIPIO])</f>
        <v>DUQUE DE CAXIAS</v>
      </c>
      <c r="F4827" s="6">
        <v>53.692844390869098</v>
      </c>
      <c r="G4827" s="6">
        <v>53.759449005127003</v>
      </c>
      <c r="H4827" s="6">
        <v>53.794700622558601</v>
      </c>
      <c r="I4827" s="6">
        <v>53.758747100830099</v>
      </c>
      <c r="J4827" s="6">
        <v>53.7328071594238</v>
      </c>
      <c r="K4827" s="6">
        <v>48.838081359863303</v>
      </c>
      <c r="L4827" s="6">
        <v>44.057884216308601</v>
      </c>
    </row>
    <row r="4828" spans="1:12" x14ac:dyDescent="0.25">
      <c r="A4828">
        <v>4319158</v>
      </c>
      <c r="B4828" t="str">
        <f t="shared" si="75"/>
        <v>SAO MIGUEL DAS MISSOES, RS, Brasil</v>
      </c>
      <c r="C4828" s="4" t="str">
        <f>_xlfn.XLOOKUP(A4828,[1]!DadosGHD[CD_GEOCMU],[1]!DadosGHD[Região])</f>
        <v>SL</v>
      </c>
      <c r="D4828" s="4" t="str">
        <f>_xlfn.XLOOKUP(A4828,[1]!DadosGHD[CD_GEOCMU],[1]!DadosGHD[uf])</f>
        <v>RS</v>
      </c>
      <c r="E4828" s="5" t="str">
        <f>_xlfn.XLOOKUP(A4828,[1]!DadosGHD[CD_GEOCMU],[1]!DadosGHD[MUNICIPIO])</f>
        <v>SAO MIGUEL DAS MISSOES</v>
      </c>
      <c r="F4828" s="6">
        <v>53.694248199462898</v>
      </c>
      <c r="G4828" s="6">
        <v>58.755332946777301</v>
      </c>
      <c r="H4828" s="6">
        <v>53.902339935302699</v>
      </c>
      <c r="I4828" s="6">
        <v>53.873489379882798</v>
      </c>
      <c r="J4828" s="6">
        <v>58.848068237304702</v>
      </c>
      <c r="K4828" s="6">
        <v>64.098579406738295</v>
      </c>
      <c r="L4828" s="6">
        <v>52.998466491699197</v>
      </c>
    </row>
    <row r="4829" spans="1:12" x14ac:dyDescent="0.25">
      <c r="A4829">
        <v>3112604</v>
      </c>
      <c r="B4829" t="str">
        <f t="shared" si="75"/>
        <v>CAPINOPOLIS, MG, Brasil</v>
      </c>
      <c r="C4829" s="4" t="str">
        <f>_xlfn.XLOOKUP(A4829,[1]!DadosGHD[CD_GEOCMU],[1]!DadosGHD[Região])</f>
        <v>SD</v>
      </c>
      <c r="D4829" s="4" t="str">
        <f>_xlfn.XLOOKUP(A4829,[1]!DadosGHD[CD_GEOCMU],[1]!DadosGHD[uf])</f>
        <v>MG</v>
      </c>
      <c r="E4829" s="5" t="str">
        <f>_xlfn.XLOOKUP(A4829,[1]!DadosGHD[CD_GEOCMU],[1]!DadosGHD[MUNICIPIO])</f>
        <v>CAPINOPOLIS</v>
      </c>
      <c r="F4829" s="6">
        <v>53.694709777832003</v>
      </c>
      <c r="G4829" s="6">
        <v>53.7920112609863</v>
      </c>
      <c r="H4829" s="6">
        <v>53.843631744384801</v>
      </c>
      <c r="I4829" s="6">
        <v>53.820327758789098</v>
      </c>
      <c r="J4829" s="6">
        <v>53.885040283203097</v>
      </c>
      <c r="K4829" s="6">
        <v>53.9588012695313</v>
      </c>
      <c r="L4829" s="6">
        <v>48.544227600097699</v>
      </c>
    </row>
    <row r="4830" spans="1:12" x14ac:dyDescent="0.25">
      <c r="A4830">
        <v>3203502</v>
      </c>
      <c r="B4830" t="str">
        <f t="shared" si="75"/>
        <v>MONTANHA, ES, Brasil</v>
      </c>
      <c r="C4830" s="4" t="str">
        <f>_xlfn.XLOOKUP(A4830,[1]!DadosGHD[CD_GEOCMU],[1]!DadosGHD[Região])</f>
        <v>SD</v>
      </c>
      <c r="D4830" s="4" t="str">
        <f>_xlfn.XLOOKUP(A4830,[1]!DadosGHD[CD_GEOCMU],[1]!DadosGHD[uf])</f>
        <v>ES</v>
      </c>
      <c r="E4830" s="5" t="str">
        <f>_xlfn.XLOOKUP(A4830,[1]!DadosGHD[CD_GEOCMU],[1]!DadosGHD[MUNICIPIO])</f>
        <v>MONTANHA</v>
      </c>
      <c r="F4830" s="6">
        <v>53.694747924804702</v>
      </c>
      <c r="G4830" s="6">
        <v>53.807106018066399</v>
      </c>
      <c r="H4830" s="6">
        <v>58.849758148193402</v>
      </c>
      <c r="I4830" s="6">
        <v>58.812149047851598</v>
      </c>
      <c r="J4830" s="6">
        <v>58.810874938964801</v>
      </c>
      <c r="K4830" s="6">
        <v>53.920703887939503</v>
      </c>
      <c r="L4830" s="6">
        <v>39.581394195556598</v>
      </c>
    </row>
    <row r="4831" spans="1:12" x14ac:dyDescent="0.25">
      <c r="A4831">
        <v>5205406</v>
      </c>
      <c r="B4831" t="str">
        <f t="shared" si="75"/>
        <v>CERES, GO, Brasil</v>
      </c>
      <c r="C4831" s="4" t="str">
        <f>_xlfn.XLOOKUP(A4831,[1]!DadosGHD[CD_GEOCMU],[1]!DadosGHD[Região])</f>
        <v>CO</v>
      </c>
      <c r="D4831" s="4" t="str">
        <f>_xlfn.XLOOKUP(A4831,[1]!DadosGHD[CD_GEOCMU],[1]!DadosGHD[uf])</f>
        <v>GO</v>
      </c>
      <c r="E4831" s="5" t="str">
        <f>_xlfn.XLOOKUP(A4831,[1]!DadosGHD[CD_GEOCMU],[1]!DadosGHD[MUNICIPIO])</f>
        <v>CERES</v>
      </c>
      <c r="F4831" s="6">
        <v>53.6950073242188</v>
      </c>
      <c r="G4831" s="6">
        <v>58.811229705810597</v>
      </c>
      <c r="H4831" s="6">
        <v>58.896877288818402</v>
      </c>
      <c r="I4831" s="6">
        <v>58.860527038574197</v>
      </c>
      <c r="J4831" s="6">
        <v>58.956832885742202</v>
      </c>
      <c r="K4831" s="6">
        <v>64.070693969726605</v>
      </c>
      <c r="L4831" s="6">
        <v>48.548049926757798</v>
      </c>
    </row>
    <row r="4832" spans="1:12" x14ac:dyDescent="0.25">
      <c r="A4832">
        <v>5103502</v>
      </c>
      <c r="B4832" t="str">
        <f t="shared" si="75"/>
        <v>DIAMANTINO, MT, Brasil</v>
      </c>
      <c r="C4832" s="4" t="str">
        <f>_xlfn.XLOOKUP(A4832,[1]!DadosGHD[CD_GEOCMU],[1]!DadosGHD[Região])</f>
        <v>CO</v>
      </c>
      <c r="D4832" s="4" t="str">
        <f>_xlfn.XLOOKUP(A4832,[1]!DadosGHD[CD_GEOCMU],[1]!DadosGHD[uf])</f>
        <v>MT</v>
      </c>
      <c r="E4832" s="5" t="str">
        <f>_xlfn.XLOOKUP(A4832,[1]!DadosGHD[CD_GEOCMU],[1]!DadosGHD[MUNICIPIO])</f>
        <v>DIAMANTINO</v>
      </c>
      <c r="F4832" s="6">
        <v>53.6952095031738</v>
      </c>
      <c r="G4832" s="6">
        <v>53.7959175109863</v>
      </c>
      <c r="H4832" s="6">
        <v>53.849071502685597</v>
      </c>
      <c r="I4832" s="6">
        <v>53.877677917480497</v>
      </c>
      <c r="J4832" s="6">
        <v>58.805923461914098</v>
      </c>
      <c r="K4832" s="6">
        <v>59.020500183105497</v>
      </c>
      <c r="L4832" s="6">
        <v>53.011528015136697</v>
      </c>
    </row>
    <row r="4833" spans="1:12" x14ac:dyDescent="0.25">
      <c r="A4833">
        <v>4209508</v>
      </c>
      <c r="B4833" t="str">
        <f t="shared" si="75"/>
        <v>LAURENTINO, SC, Brasil</v>
      </c>
      <c r="C4833" s="4" t="str">
        <f>_xlfn.XLOOKUP(A4833,[1]!DadosGHD[CD_GEOCMU],[1]!DadosGHD[Região])</f>
        <v>SL</v>
      </c>
      <c r="D4833" s="4" t="str">
        <f>_xlfn.XLOOKUP(A4833,[1]!DadosGHD[CD_GEOCMU],[1]!DadosGHD[uf])</f>
        <v>SC</v>
      </c>
      <c r="E4833" s="5" t="str">
        <f>_xlfn.XLOOKUP(A4833,[1]!DadosGHD[CD_GEOCMU],[1]!DadosGHD[MUNICIPIO])</f>
        <v>LAURENTINO</v>
      </c>
      <c r="F4833" s="6">
        <v>53.695335388183601</v>
      </c>
      <c r="G4833" s="6">
        <v>58.755931854248097</v>
      </c>
      <c r="H4833" s="6">
        <v>58.887928009033203</v>
      </c>
      <c r="I4833" s="6">
        <v>63.953018188476598</v>
      </c>
      <c r="J4833" s="6">
        <v>64.039611816406307</v>
      </c>
      <c r="K4833" s="6">
        <v>59.105598449707003</v>
      </c>
      <c r="L4833" s="6">
        <v>53.039375305175803</v>
      </c>
    </row>
    <row r="4834" spans="1:12" x14ac:dyDescent="0.25">
      <c r="A4834">
        <v>4109906</v>
      </c>
      <c r="B4834" t="str">
        <f t="shared" si="75"/>
        <v>ICARAIMA, PR, Brasil</v>
      </c>
      <c r="C4834" s="4" t="str">
        <f>_xlfn.XLOOKUP(A4834,[1]!DadosGHD[CD_GEOCMU],[1]!DadosGHD[Região])</f>
        <v>SL</v>
      </c>
      <c r="D4834" s="4" t="str">
        <f>_xlfn.XLOOKUP(A4834,[1]!DadosGHD[CD_GEOCMU],[1]!DadosGHD[uf])</f>
        <v>PR</v>
      </c>
      <c r="E4834" s="5" t="str">
        <f>_xlfn.XLOOKUP(A4834,[1]!DadosGHD[CD_GEOCMU],[1]!DadosGHD[MUNICIPIO])</f>
        <v>ICARAIMA</v>
      </c>
      <c r="F4834" s="6">
        <v>53.695602416992202</v>
      </c>
      <c r="G4834" s="6">
        <v>63.915065765380902</v>
      </c>
      <c r="H4834" s="6">
        <v>64.026092529296903</v>
      </c>
      <c r="I4834" s="6">
        <v>58.872016906738303</v>
      </c>
      <c r="J4834" s="6">
        <v>63.94921875</v>
      </c>
      <c r="K4834" s="6">
        <v>58.995468139648402</v>
      </c>
      <c r="L4834" s="6">
        <v>48.513019561767599</v>
      </c>
    </row>
    <row r="4835" spans="1:12" x14ac:dyDescent="0.25">
      <c r="A4835">
        <v>3541307</v>
      </c>
      <c r="B4835" t="str">
        <f t="shared" si="75"/>
        <v>PRESIDENTE EPITACIO, SP, Brasil</v>
      </c>
      <c r="C4835" s="4" t="str">
        <f>_xlfn.XLOOKUP(A4835,[1]!DadosGHD[CD_GEOCMU],[1]!DadosGHD[Região])</f>
        <v>SD</v>
      </c>
      <c r="D4835" s="4" t="str">
        <f>_xlfn.XLOOKUP(A4835,[1]!DadosGHD[CD_GEOCMU],[1]!DadosGHD[uf])</f>
        <v>SP</v>
      </c>
      <c r="E4835" s="5" t="str">
        <f>_xlfn.XLOOKUP(A4835,[1]!DadosGHD[CD_GEOCMU],[1]!DadosGHD[MUNICIPIO])</f>
        <v>PRESIDENTE EPITACIO</v>
      </c>
      <c r="F4835" s="6">
        <v>53.695823669433601</v>
      </c>
      <c r="G4835" s="6">
        <v>53.705825805664098</v>
      </c>
      <c r="H4835" s="6">
        <v>48.767467498779297</v>
      </c>
      <c r="I4835" s="6">
        <v>48.700595855712898</v>
      </c>
      <c r="J4835" s="6">
        <v>48.770145416259801</v>
      </c>
      <c r="K4835" s="6">
        <v>48.837100982666001</v>
      </c>
      <c r="L4835" s="6">
        <v>52.989810943603501</v>
      </c>
    </row>
    <row r="4836" spans="1:12" x14ac:dyDescent="0.25">
      <c r="A4836">
        <v>3146107</v>
      </c>
      <c r="B4836" t="str">
        <f t="shared" si="75"/>
        <v>OURO PRETO, MG, Brasil</v>
      </c>
      <c r="C4836" s="4" t="str">
        <f>_xlfn.XLOOKUP(A4836,[1]!DadosGHD[CD_GEOCMU],[1]!DadosGHD[Região])</f>
        <v>SD</v>
      </c>
      <c r="D4836" s="4" t="str">
        <f>_xlfn.XLOOKUP(A4836,[1]!DadosGHD[CD_GEOCMU],[1]!DadosGHD[uf])</f>
        <v>MG</v>
      </c>
      <c r="E4836" s="5" t="str">
        <f>_xlfn.XLOOKUP(A4836,[1]!DadosGHD[CD_GEOCMU],[1]!DadosGHD[MUNICIPIO])</f>
        <v>OURO PRETO</v>
      </c>
      <c r="F4836" s="6">
        <v>53.6961479187012</v>
      </c>
      <c r="G4836" s="6">
        <v>53.757667541503899</v>
      </c>
      <c r="H4836" s="6">
        <v>53.827369689941399</v>
      </c>
      <c r="I4836" s="6">
        <v>53.777397155761697</v>
      </c>
      <c r="J4836" s="6">
        <v>53.848060607910199</v>
      </c>
      <c r="K4836" s="6">
        <v>53.8589897155762</v>
      </c>
      <c r="L4836" s="6">
        <v>57.511096954345703</v>
      </c>
    </row>
    <row r="4837" spans="1:12" x14ac:dyDescent="0.25">
      <c r="A4837">
        <v>3524402</v>
      </c>
      <c r="B4837" t="str">
        <f t="shared" si="75"/>
        <v>JACAREI, SP, Brasil</v>
      </c>
      <c r="C4837" s="4" t="str">
        <f>_xlfn.XLOOKUP(A4837,[1]!DadosGHD[CD_GEOCMU],[1]!DadosGHD[Região])</f>
        <v>SD</v>
      </c>
      <c r="D4837" s="4" t="str">
        <f>_xlfn.XLOOKUP(A4837,[1]!DadosGHD[CD_GEOCMU],[1]!DadosGHD[uf])</f>
        <v>SP</v>
      </c>
      <c r="E4837" s="5" t="str">
        <f>_xlfn.XLOOKUP(A4837,[1]!DadosGHD[CD_GEOCMU],[1]!DadosGHD[MUNICIPIO])</f>
        <v>JACAREI</v>
      </c>
      <c r="F4837" s="6">
        <v>53.696235656738303</v>
      </c>
      <c r="G4837" s="6">
        <v>53.7715873718262</v>
      </c>
      <c r="H4837" s="6">
        <v>53.806308746337898</v>
      </c>
      <c r="I4837" s="6">
        <v>53.731815338134801</v>
      </c>
      <c r="J4837" s="6">
        <v>53.753078460693402</v>
      </c>
      <c r="K4837" s="6">
        <v>53.8112602233887</v>
      </c>
      <c r="L4837" s="6">
        <v>53.001777648925803</v>
      </c>
    </row>
    <row r="4838" spans="1:12" x14ac:dyDescent="0.25">
      <c r="A4838">
        <v>3204807</v>
      </c>
      <c r="B4838" t="str">
        <f t="shared" si="75"/>
        <v>SAO JOSE DO CALCADO, ES, Brasil</v>
      </c>
      <c r="C4838" s="4" t="str">
        <f>_xlfn.XLOOKUP(A4838,[1]!DadosGHD[CD_GEOCMU],[1]!DadosGHD[Região])</f>
        <v>SD</v>
      </c>
      <c r="D4838" s="4" t="str">
        <f>_xlfn.XLOOKUP(A4838,[1]!DadosGHD[CD_GEOCMU],[1]!DadosGHD[uf])</f>
        <v>ES</v>
      </c>
      <c r="E4838" s="5" t="str">
        <f>_xlfn.XLOOKUP(A4838,[1]!DadosGHD[CD_GEOCMU],[1]!DadosGHD[MUNICIPIO])</f>
        <v>SAO JOSE DO CALCADO</v>
      </c>
      <c r="F4838" s="6">
        <v>53.696243286132798</v>
      </c>
      <c r="G4838" s="6">
        <v>53.734058380127003</v>
      </c>
      <c r="H4838" s="6">
        <v>53.814731597900398</v>
      </c>
      <c r="I4838" s="6">
        <v>53.771030426025398</v>
      </c>
      <c r="J4838" s="6">
        <v>58.851654052734403</v>
      </c>
      <c r="K4838" s="6">
        <v>58.973716735839801</v>
      </c>
      <c r="L4838" s="6">
        <v>48.553005218505902</v>
      </c>
    </row>
    <row r="4839" spans="1:12" x14ac:dyDescent="0.25">
      <c r="A4839">
        <v>3109600</v>
      </c>
      <c r="B4839" t="str">
        <f t="shared" si="75"/>
        <v>CACHOEIRA DA PRATA, MG, Brasil</v>
      </c>
      <c r="C4839" s="4" t="str">
        <f>_xlfn.XLOOKUP(A4839,[1]!DadosGHD[CD_GEOCMU],[1]!DadosGHD[Região])</f>
        <v>SD</v>
      </c>
      <c r="D4839" s="4" t="str">
        <f>_xlfn.XLOOKUP(A4839,[1]!DadosGHD[CD_GEOCMU],[1]!DadosGHD[uf])</f>
        <v>MG</v>
      </c>
      <c r="E4839" s="5" t="str">
        <f>_xlfn.XLOOKUP(A4839,[1]!DadosGHD[CD_GEOCMU],[1]!DadosGHD[MUNICIPIO])</f>
        <v>CACHOEIRA DA PRATA</v>
      </c>
      <c r="F4839" s="6">
        <v>53.696769714355497</v>
      </c>
      <c r="G4839" s="6">
        <v>53.768753051757798</v>
      </c>
      <c r="H4839" s="6">
        <v>53.882518768310597</v>
      </c>
      <c r="I4839" s="6">
        <v>53.8669624328613</v>
      </c>
      <c r="J4839" s="6">
        <v>53.866874694824197</v>
      </c>
      <c r="K4839" s="6">
        <v>48.818370819091797</v>
      </c>
      <c r="L4839" s="6">
        <v>35.146907806396499</v>
      </c>
    </row>
    <row r="4840" spans="1:12" x14ac:dyDescent="0.25">
      <c r="A4840">
        <v>3126000</v>
      </c>
      <c r="B4840" t="str">
        <f t="shared" si="75"/>
        <v>FLORESTAL, MG, Brasil</v>
      </c>
      <c r="C4840" s="4" t="str">
        <f>_xlfn.XLOOKUP(A4840,[1]!DadosGHD[CD_GEOCMU],[1]!DadosGHD[Região])</f>
        <v>SD</v>
      </c>
      <c r="D4840" s="4" t="str">
        <f>_xlfn.XLOOKUP(A4840,[1]!DadosGHD[CD_GEOCMU],[1]!DadosGHD[uf])</f>
        <v>MG</v>
      </c>
      <c r="E4840" s="5" t="str">
        <f>_xlfn.XLOOKUP(A4840,[1]!DadosGHD[CD_GEOCMU],[1]!DadosGHD[MUNICIPIO])</f>
        <v>FLORESTAL</v>
      </c>
      <c r="F4840" s="6">
        <v>53.697021484375</v>
      </c>
      <c r="G4840" s="6">
        <v>53.718471527099602</v>
      </c>
      <c r="H4840" s="6">
        <v>53.805721282958999</v>
      </c>
      <c r="I4840" s="6">
        <v>53.7587890625</v>
      </c>
      <c r="J4840" s="6">
        <v>53.751739501953097</v>
      </c>
      <c r="K4840" s="6">
        <v>48.8899536132813</v>
      </c>
      <c r="L4840" s="6">
        <v>53.008670806884801</v>
      </c>
    </row>
    <row r="4841" spans="1:12" x14ac:dyDescent="0.25">
      <c r="A4841">
        <v>3503307</v>
      </c>
      <c r="B4841" t="str">
        <f t="shared" si="75"/>
        <v>ARARAS, SP, Brasil</v>
      </c>
      <c r="C4841" s="4" t="str">
        <f>_xlfn.XLOOKUP(A4841,[1]!DadosGHD[CD_GEOCMU],[1]!DadosGHD[Região])</f>
        <v>SD</v>
      </c>
      <c r="D4841" s="4" t="str">
        <f>_xlfn.XLOOKUP(A4841,[1]!DadosGHD[CD_GEOCMU],[1]!DadosGHD[uf])</f>
        <v>SP</v>
      </c>
      <c r="E4841" s="5" t="str">
        <f>_xlfn.XLOOKUP(A4841,[1]!DadosGHD[CD_GEOCMU],[1]!DadosGHD[MUNICIPIO])</f>
        <v>ARARAS</v>
      </c>
      <c r="F4841" s="6">
        <v>53.697132110595703</v>
      </c>
      <c r="G4841" s="6">
        <v>53.800895690917997</v>
      </c>
      <c r="H4841" s="6">
        <v>53.852672576904297</v>
      </c>
      <c r="I4841" s="6">
        <v>53.775936126708999</v>
      </c>
      <c r="J4841" s="6">
        <v>53.866470336914098</v>
      </c>
      <c r="K4841" s="6">
        <v>53.945571899414098</v>
      </c>
      <c r="L4841" s="6">
        <v>57.565361022949197</v>
      </c>
    </row>
    <row r="4842" spans="1:12" x14ac:dyDescent="0.25">
      <c r="A4842">
        <v>3556404</v>
      </c>
      <c r="B4842" t="str">
        <f t="shared" si="75"/>
        <v>VARGEM GRANDE DO SUL, SP, Brasil</v>
      </c>
      <c r="C4842" s="4" t="str">
        <f>_xlfn.XLOOKUP(A4842,[1]!DadosGHD[CD_GEOCMU],[1]!DadosGHD[Região])</f>
        <v>SD</v>
      </c>
      <c r="D4842" s="4" t="str">
        <f>_xlfn.XLOOKUP(A4842,[1]!DadosGHD[CD_GEOCMU],[1]!DadosGHD[uf])</f>
        <v>SP</v>
      </c>
      <c r="E4842" s="5" t="str">
        <f>_xlfn.XLOOKUP(A4842,[1]!DadosGHD[CD_GEOCMU],[1]!DadosGHD[MUNICIPIO])</f>
        <v>VARGEM GRANDE DO SUL</v>
      </c>
      <c r="F4842" s="6">
        <v>53.697746276855497</v>
      </c>
      <c r="G4842" s="6">
        <v>53.798934936523402</v>
      </c>
      <c r="H4842" s="6">
        <v>53.865516662597699</v>
      </c>
      <c r="I4842" s="6">
        <v>53.799037933349602</v>
      </c>
      <c r="J4842" s="6">
        <v>53.824878692627003</v>
      </c>
      <c r="K4842" s="6">
        <v>53.910755157470703</v>
      </c>
      <c r="L4842" s="6">
        <v>53.041172027587898</v>
      </c>
    </row>
    <row r="4843" spans="1:12" x14ac:dyDescent="0.25">
      <c r="A4843">
        <v>5222005</v>
      </c>
      <c r="B4843" t="str">
        <f t="shared" si="75"/>
        <v>VIANOPOLIS, GO, Brasil</v>
      </c>
      <c r="C4843" s="4" t="str">
        <f>_xlfn.XLOOKUP(A4843,[1]!DadosGHD[CD_GEOCMU],[1]!DadosGHD[Região])</f>
        <v>CO</v>
      </c>
      <c r="D4843" s="4" t="str">
        <f>_xlfn.XLOOKUP(A4843,[1]!DadosGHD[CD_GEOCMU],[1]!DadosGHD[uf])</f>
        <v>GO</v>
      </c>
      <c r="E4843" s="5" t="str">
        <f>_xlfn.XLOOKUP(A4843,[1]!DadosGHD[CD_GEOCMU],[1]!DadosGHD[MUNICIPIO])</f>
        <v>VIANOPOLIS</v>
      </c>
      <c r="F4843" s="6">
        <v>53.697956085205099</v>
      </c>
      <c r="G4843" s="6">
        <v>58.747493743896499</v>
      </c>
      <c r="H4843" s="6">
        <v>58.917453765869098</v>
      </c>
      <c r="I4843" s="6">
        <v>58.8853950500488</v>
      </c>
      <c r="J4843" s="6">
        <v>53.8497123718262</v>
      </c>
      <c r="K4843" s="6">
        <v>58.995922088623097</v>
      </c>
      <c r="L4843" s="6">
        <v>48.554649353027301</v>
      </c>
    </row>
    <row r="4844" spans="1:12" x14ac:dyDescent="0.25">
      <c r="A4844">
        <v>3508603</v>
      </c>
      <c r="B4844" t="str">
        <f t="shared" si="75"/>
        <v>CACHOEIRA PAULISTA, SP, Brasil</v>
      </c>
      <c r="C4844" s="4" t="str">
        <f>_xlfn.XLOOKUP(A4844,[1]!DadosGHD[CD_GEOCMU],[1]!DadosGHD[Região])</f>
        <v>SD</v>
      </c>
      <c r="D4844" s="4" t="str">
        <f>_xlfn.XLOOKUP(A4844,[1]!DadosGHD[CD_GEOCMU],[1]!DadosGHD[uf])</f>
        <v>SP</v>
      </c>
      <c r="E4844" s="5" t="str">
        <f>_xlfn.XLOOKUP(A4844,[1]!DadosGHD[CD_GEOCMU],[1]!DadosGHD[MUNICIPIO])</f>
        <v>CACHOEIRA PAULISTA</v>
      </c>
      <c r="F4844" s="6">
        <v>53.698322296142599</v>
      </c>
      <c r="G4844" s="6">
        <v>53.783901214599602</v>
      </c>
      <c r="H4844" s="6">
        <v>53.827369689941399</v>
      </c>
      <c r="I4844" s="6">
        <v>53.788997650146499</v>
      </c>
      <c r="J4844" s="6">
        <v>53.797805786132798</v>
      </c>
      <c r="K4844" s="6">
        <v>48.904014587402301</v>
      </c>
      <c r="L4844" s="6">
        <v>53.042911529541001</v>
      </c>
    </row>
    <row r="4845" spans="1:12" x14ac:dyDescent="0.25">
      <c r="A4845">
        <v>4306205</v>
      </c>
      <c r="B4845" t="str">
        <f t="shared" si="75"/>
        <v>CRUZEIRO DO SUL, RS, Brasil</v>
      </c>
      <c r="C4845" s="4" t="str">
        <f>_xlfn.XLOOKUP(A4845,[1]!DadosGHD[CD_GEOCMU],[1]!DadosGHD[Região])</f>
        <v>SL</v>
      </c>
      <c r="D4845" s="4" t="str">
        <f>_xlfn.XLOOKUP(A4845,[1]!DadosGHD[CD_GEOCMU],[1]!DadosGHD[uf])</f>
        <v>RS</v>
      </c>
      <c r="E4845" s="5" t="str">
        <f>_xlfn.XLOOKUP(A4845,[1]!DadosGHD[CD_GEOCMU],[1]!DadosGHD[MUNICIPIO])</f>
        <v>CRUZEIRO DO SUL</v>
      </c>
      <c r="F4845" s="6">
        <v>53.698406219482401</v>
      </c>
      <c r="G4845" s="6">
        <v>53.762809753417997</v>
      </c>
      <c r="H4845" s="6">
        <v>53.831375122070298</v>
      </c>
      <c r="I4845" s="6">
        <v>53.818019866943402</v>
      </c>
      <c r="J4845" s="6">
        <v>53.792163848877003</v>
      </c>
      <c r="K4845" s="6">
        <v>58.979293823242202</v>
      </c>
      <c r="L4845" s="6">
        <v>53.011215209960902</v>
      </c>
    </row>
    <row r="4846" spans="1:12" x14ac:dyDescent="0.25">
      <c r="A4846">
        <v>3133006</v>
      </c>
      <c r="B4846" t="str">
        <f t="shared" si="75"/>
        <v>ITAMONTE, MG, Brasil</v>
      </c>
      <c r="C4846" s="4" t="str">
        <f>_xlfn.XLOOKUP(A4846,[1]!DadosGHD[CD_GEOCMU],[1]!DadosGHD[Região])</f>
        <v>SD</v>
      </c>
      <c r="D4846" s="4" t="str">
        <f>_xlfn.XLOOKUP(A4846,[1]!DadosGHD[CD_GEOCMU],[1]!DadosGHD[uf])</f>
        <v>MG</v>
      </c>
      <c r="E4846" s="5" t="str">
        <f>_xlfn.XLOOKUP(A4846,[1]!DadosGHD[CD_GEOCMU],[1]!DadosGHD[MUNICIPIO])</f>
        <v>ITAMONTE</v>
      </c>
      <c r="F4846" s="6">
        <v>53.698654174804702</v>
      </c>
      <c r="G4846" s="6">
        <v>58.725173950195298</v>
      </c>
      <c r="H4846" s="6">
        <v>58.861488342285199</v>
      </c>
      <c r="I4846" s="6">
        <v>58.841564178466797</v>
      </c>
      <c r="J4846" s="6">
        <v>58.942562103271499</v>
      </c>
      <c r="K4846" s="6">
        <v>53.980228424072301</v>
      </c>
      <c r="L4846" s="6">
        <v>57.589881896972699</v>
      </c>
    </row>
    <row r="4847" spans="1:12" x14ac:dyDescent="0.25">
      <c r="A4847">
        <v>3131505</v>
      </c>
      <c r="B4847" t="str">
        <f t="shared" si="75"/>
        <v>IPUIUNA, MG, Brasil</v>
      </c>
      <c r="C4847" s="4" t="str">
        <f>_xlfn.XLOOKUP(A4847,[1]!DadosGHD[CD_GEOCMU],[1]!DadosGHD[Região])</f>
        <v>SD</v>
      </c>
      <c r="D4847" s="4" t="str">
        <f>_xlfn.XLOOKUP(A4847,[1]!DadosGHD[CD_GEOCMU],[1]!DadosGHD[uf])</f>
        <v>MG</v>
      </c>
      <c r="E4847" s="5" t="str">
        <f>_xlfn.XLOOKUP(A4847,[1]!DadosGHD[CD_GEOCMU],[1]!DadosGHD[MUNICIPIO])</f>
        <v>IPUIUNA</v>
      </c>
      <c r="F4847" s="6">
        <v>53.699008941650398</v>
      </c>
      <c r="G4847" s="6">
        <v>53.729133605957003</v>
      </c>
      <c r="H4847" s="6">
        <v>53.817081451416001</v>
      </c>
      <c r="I4847" s="6">
        <v>53.744289398193402</v>
      </c>
      <c r="J4847" s="6">
        <v>53.786251068115199</v>
      </c>
      <c r="K4847" s="6">
        <v>53.842502593994098</v>
      </c>
      <c r="L4847" s="6">
        <v>48.536308288574197</v>
      </c>
    </row>
    <row r="4848" spans="1:12" x14ac:dyDescent="0.25">
      <c r="A4848">
        <v>3535200</v>
      </c>
      <c r="B4848" t="str">
        <f t="shared" si="75"/>
        <v>PALMEIRA D'OESTE, SP, Brasil</v>
      </c>
      <c r="C4848" s="4" t="str">
        <f>_xlfn.XLOOKUP(A4848,[1]!DadosGHD[CD_GEOCMU],[1]!DadosGHD[Região])</f>
        <v>SD</v>
      </c>
      <c r="D4848" s="4" t="str">
        <f>_xlfn.XLOOKUP(A4848,[1]!DadosGHD[CD_GEOCMU],[1]!DadosGHD[uf])</f>
        <v>SP</v>
      </c>
      <c r="E4848" s="5" t="str">
        <f>_xlfn.XLOOKUP(A4848,[1]!DadosGHD[CD_GEOCMU],[1]!DadosGHD[MUNICIPIO])</f>
        <v>PALMEIRA D'OESTE</v>
      </c>
      <c r="F4848" s="6">
        <v>53.699504852294901</v>
      </c>
      <c r="G4848" s="6">
        <v>53.736587524414098</v>
      </c>
      <c r="H4848" s="6">
        <v>53.818023681640597</v>
      </c>
      <c r="I4848" s="6">
        <v>53.803417205810597</v>
      </c>
      <c r="J4848" s="6">
        <v>53.843677520752003</v>
      </c>
      <c r="K4848" s="6">
        <v>53.920631408691399</v>
      </c>
      <c r="L4848" s="6">
        <v>48.515434265136697</v>
      </c>
    </row>
    <row r="4849" spans="1:12" x14ac:dyDescent="0.25">
      <c r="A4849">
        <v>4317202</v>
      </c>
      <c r="B4849" t="str">
        <f t="shared" si="75"/>
        <v>SANTA ROSA, RS, Brasil</v>
      </c>
      <c r="C4849" s="4" t="str">
        <f>_xlfn.XLOOKUP(A4849,[1]!DadosGHD[CD_GEOCMU],[1]!DadosGHD[Região])</f>
        <v>SL</v>
      </c>
      <c r="D4849" s="4" t="str">
        <f>_xlfn.XLOOKUP(A4849,[1]!DadosGHD[CD_GEOCMU],[1]!DadosGHD[uf])</f>
        <v>RS</v>
      </c>
      <c r="E4849" s="5" t="str">
        <f>_xlfn.XLOOKUP(A4849,[1]!DadosGHD[CD_GEOCMU],[1]!DadosGHD[MUNICIPIO])</f>
        <v>SANTA ROSA</v>
      </c>
      <c r="F4849" s="6">
        <v>53.699798583984403</v>
      </c>
      <c r="G4849" s="6">
        <v>53.757511138916001</v>
      </c>
      <c r="H4849" s="6">
        <v>53.829189300537102</v>
      </c>
      <c r="I4849" s="6">
        <v>53.850841522216797</v>
      </c>
      <c r="J4849" s="6">
        <v>53.888660430908203</v>
      </c>
      <c r="K4849" s="6">
        <v>59.0496215820313</v>
      </c>
      <c r="L4849" s="6">
        <v>57.589881896972699</v>
      </c>
    </row>
    <row r="4850" spans="1:12" x14ac:dyDescent="0.25">
      <c r="A4850">
        <v>3157708</v>
      </c>
      <c r="B4850" t="str">
        <f t="shared" si="75"/>
        <v>SANTA JULIANA, MG, Brasil</v>
      </c>
      <c r="C4850" s="4" t="str">
        <f>_xlfn.XLOOKUP(A4850,[1]!DadosGHD[CD_GEOCMU],[1]!DadosGHD[Região])</f>
        <v>SD</v>
      </c>
      <c r="D4850" s="4" t="str">
        <f>_xlfn.XLOOKUP(A4850,[1]!DadosGHD[CD_GEOCMU],[1]!DadosGHD[uf])</f>
        <v>MG</v>
      </c>
      <c r="E4850" s="5" t="str">
        <f>_xlfn.XLOOKUP(A4850,[1]!DadosGHD[CD_GEOCMU],[1]!DadosGHD[MUNICIPIO])</f>
        <v>SANTA JULIANA</v>
      </c>
      <c r="F4850" s="6">
        <v>53.699832916259801</v>
      </c>
      <c r="G4850" s="6">
        <v>58.7423706054688</v>
      </c>
      <c r="H4850" s="6">
        <v>53.893829345703097</v>
      </c>
      <c r="I4850" s="6">
        <v>58.7933540344238</v>
      </c>
      <c r="J4850" s="6">
        <v>58.899299621582003</v>
      </c>
      <c r="K4850" s="6">
        <v>59.126838684082003</v>
      </c>
      <c r="L4850" s="6">
        <v>57.513401031494098</v>
      </c>
    </row>
    <row r="4851" spans="1:12" x14ac:dyDescent="0.25">
      <c r="A4851">
        <v>5107958</v>
      </c>
      <c r="B4851" t="str">
        <f t="shared" si="75"/>
        <v>TANGARA DA SERRA, MT, Brasil</v>
      </c>
      <c r="C4851" s="4" t="str">
        <f>_xlfn.XLOOKUP(A4851,[1]!DadosGHD[CD_GEOCMU],[1]!DadosGHD[Região])</f>
        <v>CO</v>
      </c>
      <c r="D4851" s="4" t="str">
        <f>_xlfn.XLOOKUP(A4851,[1]!DadosGHD[CD_GEOCMU],[1]!DadosGHD[uf])</f>
        <v>MT</v>
      </c>
      <c r="E4851" s="5" t="str">
        <f>_xlfn.XLOOKUP(A4851,[1]!DadosGHD[CD_GEOCMU],[1]!DadosGHD[MUNICIPIO])</f>
        <v>TANGARA DA SERRA</v>
      </c>
      <c r="F4851" s="6">
        <v>53.700920104980497</v>
      </c>
      <c r="G4851" s="6">
        <v>58.7350883483887</v>
      </c>
      <c r="H4851" s="6">
        <v>58.870857238769503</v>
      </c>
      <c r="I4851" s="6">
        <v>58.879077911377003</v>
      </c>
      <c r="J4851" s="6">
        <v>63.9398384094238</v>
      </c>
      <c r="K4851" s="6">
        <v>64.121421813964801</v>
      </c>
      <c r="L4851" s="6">
        <v>57.589881896972699</v>
      </c>
    </row>
    <row r="4852" spans="1:12" x14ac:dyDescent="0.25">
      <c r="A4852">
        <v>4213807</v>
      </c>
      <c r="B4852" t="str">
        <f t="shared" si="75"/>
        <v>PRAIA GRANDE, SC, Brasil</v>
      </c>
      <c r="C4852" s="4" t="str">
        <f>_xlfn.XLOOKUP(A4852,[1]!DadosGHD[CD_GEOCMU],[1]!DadosGHD[Região])</f>
        <v>SL</v>
      </c>
      <c r="D4852" s="4" t="str">
        <f>_xlfn.XLOOKUP(A4852,[1]!DadosGHD[CD_GEOCMU],[1]!DadosGHD[uf])</f>
        <v>SC</v>
      </c>
      <c r="E4852" s="5" t="str">
        <f>_xlfn.XLOOKUP(A4852,[1]!DadosGHD[CD_GEOCMU],[1]!DadosGHD[MUNICIPIO])</f>
        <v>PRAIA GRANDE</v>
      </c>
      <c r="F4852" s="6">
        <v>53.701366424560597</v>
      </c>
      <c r="G4852" s="6">
        <v>58.897422790527301</v>
      </c>
      <c r="H4852" s="6">
        <v>64.026092529296903</v>
      </c>
      <c r="I4852" s="6">
        <v>63.9747314453125</v>
      </c>
      <c r="J4852" s="6">
        <v>64.039611816406307</v>
      </c>
      <c r="K4852" s="6">
        <v>64.080192565917997</v>
      </c>
      <c r="L4852" s="6">
        <v>53.020015716552699</v>
      </c>
    </row>
    <row r="4853" spans="1:12" x14ac:dyDescent="0.25">
      <c r="A4853">
        <v>3521408</v>
      </c>
      <c r="B4853" t="str">
        <f t="shared" si="75"/>
        <v>IRACEMAPOLIS, SP, Brasil</v>
      </c>
      <c r="C4853" s="4" t="str">
        <f>_xlfn.XLOOKUP(A4853,[1]!DadosGHD[CD_GEOCMU],[1]!DadosGHD[Região])</f>
        <v>SD</v>
      </c>
      <c r="D4853" s="4" t="str">
        <f>_xlfn.XLOOKUP(A4853,[1]!DadosGHD[CD_GEOCMU],[1]!DadosGHD[uf])</f>
        <v>SP</v>
      </c>
      <c r="E4853" s="5" t="str">
        <f>_xlfn.XLOOKUP(A4853,[1]!DadosGHD[CD_GEOCMU],[1]!DadosGHD[MUNICIPIO])</f>
        <v>IRACEMAPOLIS</v>
      </c>
      <c r="F4853" s="6">
        <v>53.7020874023438</v>
      </c>
      <c r="G4853" s="6">
        <v>53.7609672546387</v>
      </c>
      <c r="H4853" s="6">
        <v>53.900928497314503</v>
      </c>
      <c r="I4853" s="6">
        <v>58.794883728027301</v>
      </c>
      <c r="J4853" s="6">
        <v>53.838676452636697</v>
      </c>
      <c r="K4853" s="6">
        <v>48.878185272216797</v>
      </c>
      <c r="L4853" s="6">
        <v>48.543655395507798</v>
      </c>
    </row>
    <row r="4854" spans="1:12" x14ac:dyDescent="0.25">
      <c r="A4854">
        <v>4322400</v>
      </c>
      <c r="B4854" t="str">
        <f t="shared" si="75"/>
        <v>URUGUAIANA, RS, Brasil</v>
      </c>
      <c r="C4854" s="4" t="str">
        <f>_xlfn.XLOOKUP(A4854,[1]!DadosGHD[CD_GEOCMU],[1]!DadosGHD[Região])</f>
        <v>SL</v>
      </c>
      <c r="D4854" s="4" t="str">
        <f>_xlfn.XLOOKUP(A4854,[1]!DadosGHD[CD_GEOCMU],[1]!DadosGHD[uf])</f>
        <v>RS</v>
      </c>
      <c r="E4854" s="5" t="str">
        <f>_xlfn.XLOOKUP(A4854,[1]!DadosGHD[CD_GEOCMU],[1]!DadosGHD[MUNICIPIO])</f>
        <v>URUGUAIANA</v>
      </c>
      <c r="F4854" s="6">
        <v>53.703620910644503</v>
      </c>
      <c r="G4854" s="6">
        <v>53.745529174804702</v>
      </c>
      <c r="H4854" s="6">
        <v>53.8427734375</v>
      </c>
      <c r="I4854" s="6">
        <v>53.754165649414098</v>
      </c>
      <c r="J4854" s="6">
        <v>48.805797576904297</v>
      </c>
      <c r="K4854" s="6">
        <v>48.8446655273438</v>
      </c>
      <c r="L4854" s="6">
        <v>48.535335540771499</v>
      </c>
    </row>
    <row r="4855" spans="1:12" x14ac:dyDescent="0.25">
      <c r="A4855">
        <v>4112801</v>
      </c>
      <c r="B4855" t="str">
        <f t="shared" si="75"/>
        <v>JOAQUIM TAVORA, PR, Brasil</v>
      </c>
      <c r="C4855" s="4" t="str">
        <f>_xlfn.XLOOKUP(A4855,[1]!DadosGHD[CD_GEOCMU],[1]!DadosGHD[Região])</f>
        <v>SL</v>
      </c>
      <c r="D4855" s="4" t="str">
        <f>_xlfn.XLOOKUP(A4855,[1]!DadosGHD[CD_GEOCMU],[1]!DadosGHD[uf])</f>
        <v>PR</v>
      </c>
      <c r="E4855" s="5" t="str">
        <f>_xlfn.XLOOKUP(A4855,[1]!DadosGHD[CD_GEOCMU],[1]!DadosGHD[MUNICIPIO])</f>
        <v>JOAQUIM TAVORA</v>
      </c>
      <c r="F4855" s="6">
        <v>53.703704833984403</v>
      </c>
      <c r="G4855" s="6">
        <v>53.732669830322301</v>
      </c>
      <c r="H4855" s="6">
        <v>48.844276428222699</v>
      </c>
      <c r="I4855" s="6">
        <v>53.785198211669901</v>
      </c>
      <c r="J4855" s="6">
        <v>53.764732360839801</v>
      </c>
      <c r="K4855" s="6">
        <v>53.8932495117188</v>
      </c>
      <c r="L4855" s="6">
        <v>48.500606536865199</v>
      </c>
    </row>
    <row r="4856" spans="1:12" x14ac:dyDescent="0.25">
      <c r="A4856">
        <v>4204152</v>
      </c>
      <c r="B4856" t="str">
        <f t="shared" si="75"/>
        <v>CELSO RAMOS, SC, Brasil</v>
      </c>
      <c r="C4856" s="4" t="str">
        <f>_xlfn.XLOOKUP(A4856,[1]!DadosGHD[CD_GEOCMU],[1]!DadosGHD[Região])</f>
        <v>SL</v>
      </c>
      <c r="D4856" s="4" t="str">
        <f>_xlfn.XLOOKUP(A4856,[1]!DadosGHD[CD_GEOCMU],[1]!DadosGHD[uf])</f>
        <v>SC</v>
      </c>
      <c r="E4856" s="5" t="str">
        <f>_xlfn.XLOOKUP(A4856,[1]!DadosGHD[CD_GEOCMU],[1]!DadosGHD[MUNICIPIO])</f>
        <v>CELSO RAMOS</v>
      </c>
      <c r="F4856" s="6">
        <v>53.703956604003899</v>
      </c>
      <c r="G4856" s="6">
        <v>53.721023559570298</v>
      </c>
      <c r="H4856" s="6">
        <v>53.773933410644503</v>
      </c>
      <c r="I4856" s="6">
        <v>53.7247123718262</v>
      </c>
      <c r="J4856" s="6">
        <v>53.793312072753899</v>
      </c>
      <c r="K4856" s="6">
        <v>43.804145812988303</v>
      </c>
      <c r="L4856" s="6">
        <v>44.0194702148438</v>
      </c>
    </row>
    <row r="4857" spans="1:12" x14ac:dyDescent="0.25">
      <c r="A4857">
        <v>3513801</v>
      </c>
      <c r="B4857" t="str">
        <f t="shared" si="75"/>
        <v>DIADEMA, SP, Brasil</v>
      </c>
      <c r="C4857" s="4" t="str">
        <f>_xlfn.XLOOKUP(A4857,[1]!DadosGHD[CD_GEOCMU],[1]!DadosGHD[Região])</f>
        <v>SD</v>
      </c>
      <c r="D4857" s="4" t="str">
        <f>_xlfn.XLOOKUP(A4857,[1]!DadosGHD[CD_GEOCMU],[1]!DadosGHD[uf])</f>
        <v>SP</v>
      </c>
      <c r="E4857" s="5" t="str">
        <f>_xlfn.XLOOKUP(A4857,[1]!DadosGHD[CD_GEOCMU],[1]!DadosGHD[MUNICIPIO])</f>
        <v>DIADEMA</v>
      </c>
      <c r="F4857" s="6">
        <v>53.704090118408203</v>
      </c>
      <c r="G4857" s="6">
        <v>53.7583618164063</v>
      </c>
      <c r="H4857" s="6">
        <v>53.7631225585938</v>
      </c>
      <c r="I4857" s="6">
        <v>48.804866790771499</v>
      </c>
      <c r="J4857" s="6">
        <v>48.766410827636697</v>
      </c>
      <c r="K4857" s="6">
        <v>48.767482757568402</v>
      </c>
      <c r="L4857" s="6">
        <v>48.520835876464801</v>
      </c>
    </row>
    <row r="4858" spans="1:12" x14ac:dyDescent="0.25">
      <c r="A4858">
        <v>5213707</v>
      </c>
      <c r="B4858" t="str">
        <f t="shared" si="75"/>
        <v>MONTES CLAROS DE GOIAS, GO, Brasil</v>
      </c>
      <c r="C4858" s="4" t="str">
        <f>_xlfn.XLOOKUP(A4858,[1]!DadosGHD[CD_GEOCMU],[1]!DadosGHD[Região])</f>
        <v>CO</v>
      </c>
      <c r="D4858" s="4" t="str">
        <f>_xlfn.XLOOKUP(A4858,[1]!DadosGHD[CD_GEOCMU],[1]!DadosGHD[uf])</f>
        <v>GO</v>
      </c>
      <c r="E4858" s="5" t="str">
        <f>_xlfn.XLOOKUP(A4858,[1]!DadosGHD[CD_GEOCMU],[1]!DadosGHD[MUNICIPIO])</f>
        <v>MONTES CLAROS DE GOIAS</v>
      </c>
      <c r="F4858" s="6">
        <v>53.704330444335902</v>
      </c>
      <c r="G4858" s="6">
        <v>53.786140441894503</v>
      </c>
      <c r="H4858" s="6">
        <v>58.815765380859403</v>
      </c>
      <c r="I4858" s="6">
        <v>53.8729858398438</v>
      </c>
      <c r="J4858" s="6">
        <v>53.836017608642599</v>
      </c>
      <c r="K4858" s="6">
        <v>53.834938049316399</v>
      </c>
      <c r="L4858" s="6">
        <v>39.5706977844238</v>
      </c>
    </row>
    <row r="4859" spans="1:12" x14ac:dyDescent="0.25">
      <c r="A4859">
        <v>4216909</v>
      </c>
      <c r="B4859" t="str">
        <f t="shared" si="75"/>
        <v>SAO LOURENCO DO OESTE, SC, Brasil</v>
      </c>
      <c r="C4859" s="4" t="str">
        <f>_xlfn.XLOOKUP(A4859,[1]!DadosGHD[CD_GEOCMU],[1]!DadosGHD[Região])</f>
        <v>SL</v>
      </c>
      <c r="D4859" s="4" t="str">
        <f>_xlfn.XLOOKUP(A4859,[1]!DadosGHD[CD_GEOCMU],[1]!DadosGHD[uf])</f>
        <v>SC</v>
      </c>
      <c r="E4859" s="5" t="str">
        <f>_xlfn.XLOOKUP(A4859,[1]!DadosGHD[CD_GEOCMU],[1]!DadosGHD[MUNICIPIO])</f>
        <v>SAO LOURENCO DO OESTE</v>
      </c>
      <c r="F4859" s="6">
        <v>53.706241607666001</v>
      </c>
      <c r="G4859" s="6">
        <v>58.796707153320298</v>
      </c>
      <c r="H4859" s="6">
        <v>53.870216369628899</v>
      </c>
      <c r="I4859" s="6">
        <v>53.884067535400398</v>
      </c>
      <c r="J4859" s="6">
        <v>58.947723388671903</v>
      </c>
      <c r="K4859" s="6">
        <v>59.014663696289098</v>
      </c>
      <c r="L4859" s="6">
        <v>53.0627250671387</v>
      </c>
    </row>
    <row r="4860" spans="1:12" x14ac:dyDescent="0.25">
      <c r="A4860">
        <v>4218608</v>
      </c>
      <c r="B4860" t="str">
        <f t="shared" si="75"/>
        <v>TROMBUDO CENTRAL, SC, Brasil</v>
      </c>
      <c r="C4860" s="4" t="str">
        <f>_xlfn.XLOOKUP(A4860,[1]!DadosGHD[CD_GEOCMU],[1]!DadosGHD[Região])</f>
        <v>SL</v>
      </c>
      <c r="D4860" s="4" t="str">
        <f>_xlfn.XLOOKUP(A4860,[1]!DadosGHD[CD_GEOCMU],[1]!DadosGHD[uf])</f>
        <v>SC</v>
      </c>
      <c r="E4860" s="5" t="str">
        <f>_xlfn.XLOOKUP(A4860,[1]!DadosGHD[CD_GEOCMU],[1]!DadosGHD[MUNICIPIO])</f>
        <v>TROMBUDO CENTRAL</v>
      </c>
      <c r="F4860" s="6">
        <v>53.706291198730497</v>
      </c>
      <c r="G4860" s="6">
        <v>53.8190727233887</v>
      </c>
      <c r="H4860" s="6">
        <v>58.8450317382813</v>
      </c>
      <c r="I4860" s="6">
        <v>58.961021423339801</v>
      </c>
      <c r="J4860" s="6">
        <v>58.881710052490199</v>
      </c>
      <c r="K4860" s="6">
        <v>58.905296325683601</v>
      </c>
      <c r="L4860" s="6">
        <v>53.002143859863303</v>
      </c>
    </row>
    <row r="4861" spans="1:12" x14ac:dyDescent="0.25">
      <c r="A4861">
        <v>5002308</v>
      </c>
      <c r="B4861" t="str">
        <f t="shared" si="75"/>
        <v>BRASILANDIA, MS, Brasil</v>
      </c>
      <c r="C4861" s="4" t="str">
        <f>_xlfn.XLOOKUP(A4861,[1]!DadosGHD[CD_GEOCMU],[1]!DadosGHD[Região])</f>
        <v>CO</v>
      </c>
      <c r="D4861" s="4" t="str">
        <f>_xlfn.XLOOKUP(A4861,[1]!DadosGHD[CD_GEOCMU],[1]!DadosGHD[uf])</f>
        <v>MS</v>
      </c>
      <c r="E4861" s="5" t="str">
        <f>_xlfn.XLOOKUP(A4861,[1]!DadosGHD[CD_GEOCMU],[1]!DadosGHD[MUNICIPIO])</f>
        <v>BRASILANDIA</v>
      </c>
      <c r="F4861" s="6">
        <v>53.706600189208999</v>
      </c>
      <c r="G4861" s="6">
        <v>58.806770324707003</v>
      </c>
      <c r="H4861" s="6">
        <v>58.863765716552699</v>
      </c>
      <c r="I4861" s="6">
        <v>53.740318298339801</v>
      </c>
      <c r="J4861" s="6">
        <v>48.723060607910199</v>
      </c>
      <c r="K4861" s="6">
        <v>48.794448852539098</v>
      </c>
      <c r="L4861" s="6">
        <v>35.124416351318402</v>
      </c>
    </row>
    <row r="4862" spans="1:12" x14ac:dyDescent="0.25">
      <c r="A4862">
        <v>4211900</v>
      </c>
      <c r="B4862" t="str">
        <f t="shared" si="75"/>
        <v>PALHOCA, SC, Brasil</v>
      </c>
      <c r="C4862" s="4" t="str">
        <f>_xlfn.XLOOKUP(A4862,[1]!DadosGHD[CD_GEOCMU],[1]!DadosGHD[Região])</f>
        <v>SL</v>
      </c>
      <c r="D4862" s="4" t="str">
        <f>_xlfn.XLOOKUP(A4862,[1]!DadosGHD[CD_GEOCMU],[1]!DadosGHD[uf])</f>
        <v>SC</v>
      </c>
      <c r="E4862" s="5" t="str">
        <f>_xlfn.XLOOKUP(A4862,[1]!DadosGHD[CD_GEOCMU],[1]!DadosGHD[MUNICIPIO])</f>
        <v>PALHOCA</v>
      </c>
      <c r="F4862" s="6">
        <v>53.707118988037102</v>
      </c>
      <c r="G4862" s="6">
        <v>58.728370666503899</v>
      </c>
      <c r="H4862" s="6">
        <v>53.867839813232401</v>
      </c>
      <c r="I4862" s="6">
        <v>53.827964782714801</v>
      </c>
      <c r="J4862" s="6">
        <v>53.867671966552699</v>
      </c>
      <c r="K4862" s="6">
        <v>53.9259643554688</v>
      </c>
      <c r="L4862" s="6">
        <v>57.542064666748097</v>
      </c>
    </row>
    <row r="4863" spans="1:12" x14ac:dyDescent="0.25">
      <c r="A4863">
        <v>3205200</v>
      </c>
      <c r="B4863" t="str">
        <f t="shared" si="75"/>
        <v>VILA VELHA, ES, Brasil</v>
      </c>
      <c r="C4863" s="4" t="str">
        <f>_xlfn.XLOOKUP(A4863,[1]!DadosGHD[CD_GEOCMU],[1]!DadosGHD[Região])</f>
        <v>SD</v>
      </c>
      <c r="D4863" s="4" t="str">
        <f>_xlfn.XLOOKUP(A4863,[1]!DadosGHD[CD_GEOCMU],[1]!DadosGHD[uf])</f>
        <v>ES</v>
      </c>
      <c r="E4863" s="5" t="str">
        <f>_xlfn.XLOOKUP(A4863,[1]!DadosGHD[CD_GEOCMU],[1]!DadosGHD[MUNICIPIO])</f>
        <v>VILA VELHA</v>
      </c>
      <c r="F4863" s="6">
        <v>53.707489013671903</v>
      </c>
      <c r="G4863" s="6">
        <v>53.772125244140597</v>
      </c>
      <c r="H4863" s="6">
        <v>53.836765289306598</v>
      </c>
      <c r="I4863" s="6">
        <v>53.780448913574197</v>
      </c>
      <c r="J4863" s="6">
        <v>53.763236999511697</v>
      </c>
      <c r="K4863" s="6">
        <v>48.888389587402301</v>
      </c>
      <c r="L4863" s="6">
        <v>53.017410278320298</v>
      </c>
    </row>
    <row r="4864" spans="1:12" x14ac:dyDescent="0.25">
      <c r="A4864">
        <v>3526407</v>
      </c>
      <c r="B4864" t="str">
        <f t="shared" si="75"/>
        <v>LARANJAL PAULISTA, SP, Brasil</v>
      </c>
      <c r="C4864" s="4" t="str">
        <f>_xlfn.XLOOKUP(A4864,[1]!DadosGHD[CD_GEOCMU],[1]!DadosGHD[Região])</f>
        <v>SD</v>
      </c>
      <c r="D4864" s="4" t="str">
        <f>_xlfn.XLOOKUP(A4864,[1]!DadosGHD[CD_GEOCMU],[1]!DadosGHD[uf])</f>
        <v>SP</v>
      </c>
      <c r="E4864" s="5" t="str">
        <f>_xlfn.XLOOKUP(A4864,[1]!DadosGHD[CD_GEOCMU],[1]!DadosGHD[MUNICIPIO])</f>
        <v>LARANJAL PAULISTA</v>
      </c>
      <c r="F4864" s="6">
        <v>53.707786560058601</v>
      </c>
      <c r="G4864" s="6">
        <v>53.726081848144503</v>
      </c>
      <c r="H4864" s="6">
        <v>48.859573364257798</v>
      </c>
      <c r="I4864" s="6">
        <v>53.7665824890137</v>
      </c>
      <c r="J4864" s="6">
        <v>53.769397735595703</v>
      </c>
      <c r="K4864" s="6">
        <v>53.902965545654297</v>
      </c>
      <c r="L4864" s="6">
        <v>57.503955841064503</v>
      </c>
    </row>
    <row r="4865" spans="1:12" x14ac:dyDescent="0.25">
      <c r="A4865">
        <v>3128709</v>
      </c>
      <c r="B4865" t="str">
        <f t="shared" si="75"/>
        <v>GUAXUPE, MG, Brasil</v>
      </c>
      <c r="C4865" s="4" t="str">
        <f>_xlfn.XLOOKUP(A4865,[1]!DadosGHD[CD_GEOCMU],[1]!DadosGHD[Região])</f>
        <v>SD</v>
      </c>
      <c r="D4865" s="4" t="str">
        <f>_xlfn.XLOOKUP(A4865,[1]!DadosGHD[CD_GEOCMU],[1]!DadosGHD[uf])</f>
        <v>MG</v>
      </c>
      <c r="E4865" s="5" t="str">
        <f>_xlfn.XLOOKUP(A4865,[1]!DadosGHD[CD_GEOCMU],[1]!DadosGHD[MUNICIPIO])</f>
        <v>GUAXUPE</v>
      </c>
      <c r="F4865" s="6">
        <v>53.707828521728501</v>
      </c>
      <c r="G4865" s="6">
        <v>53.7838325500488</v>
      </c>
      <c r="H4865" s="6">
        <v>58.850669860839801</v>
      </c>
      <c r="I4865" s="6">
        <v>58.9206352233887</v>
      </c>
      <c r="J4865" s="6">
        <v>58.819149017333999</v>
      </c>
      <c r="K4865" s="6">
        <v>58.984916687011697</v>
      </c>
      <c r="L4865" s="6">
        <v>57.588966369628899</v>
      </c>
    </row>
    <row r="4866" spans="1:12" x14ac:dyDescent="0.25">
      <c r="A4866">
        <v>4115309</v>
      </c>
      <c r="B4866" t="str">
        <f t="shared" si="75"/>
        <v>MARIOPOLIS, PR, Brasil</v>
      </c>
      <c r="C4866" s="4" t="str">
        <f>_xlfn.XLOOKUP(A4866,[1]!DadosGHD[CD_GEOCMU],[1]!DadosGHD[Região])</f>
        <v>SL</v>
      </c>
      <c r="D4866" s="4" t="str">
        <f>_xlfn.XLOOKUP(A4866,[1]!DadosGHD[CD_GEOCMU],[1]!DadosGHD[uf])</f>
        <v>PR</v>
      </c>
      <c r="E4866" s="5" t="str">
        <f>_xlfn.XLOOKUP(A4866,[1]!DadosGHD[CD_GEOCMU],[1]!DadosGHD[MUNICIPIO])</f>
        <v>MARIOPOLIS</v>
      </c>
      <c r="F4866" s="6">
        <v>53.709178924560597</v>
      </c>
      <c r="G4866" s="6">
        <v>53.813526153564503</v>
      </c>
      <c r="H4866" s="6">
        <v>58.834743499755902</v>
      </c>
      <c r="I4866" s="6">
        <v>53.824813842773402</v>
      </c>
      <c r="J4866" s="6">
        <v>58.811241149902301</v>
      </c>
      <c r="K4866" s="6">
        <v>53.838676452636697</v>
      </c>
      <c r="L4866" s="6">
        <v>48.550346374511697</v>
      </c>
    </row>
    <row r="4867" spans="1:12" x14ac:dyDescent="0.25">
      <c r="A4867">
        <v>4201802</v>
      </c>
      <c r="B4867" t="str">
        <f t="shared" si="75"/>
        <v>ATALANTA, SC, Brasil</v>
      </c>
      <c r="C4867" s="4" t="str">
        <f>_xlfn.XLOOKUP(A4867,[1]!DadosGHD[CD_GEOCMU],[1]!DadosGHD[Região])</f>
        <v>SL</v>
      </c>
      <c r="D4867" s="4" t="str">
        <f>_xlfn.XLOOKUP(A4867,[1]!DadosGHD[CD_GEOCMU],[1]!DadosGHD[uf])</f>
        <v>SC</v>
      </c>
      <c r="E4867" s="5" t="str">
        <f>_xlfn.XLOOKUP(A4867,[1]!DadosGHD[CD_GEOCMU],[1]!DadosGHD[MUNICIPIO])</f>
        <v>ATALANTA</v>
      </c>
      <c r="F4867" s="6">
        <v>53.709304809570298</v>
      </c>
      <c r="G4867" s="6">
        <v>58.885467529296903</v>
      </c>
      <c r="H4867" s="6">
        <v>63.978107452392599</v>
      </c>
      <c r="I4867" s="6">
        <v>63.970916748046903</v>
      </c>
      <c r="J4867" s="6">
        <v>63.994724273681598</v>
      </c>
      <c r="K4867" s="6">
        <v>64.13623046875</v>
      </c>
      <c r="L4867" s="6">
        <v>53.022964477539098</v>
      </c>
    </row>
    <row r="4868" spans="1:12" x14ac:dyDescent="0.25">
      <c r="A4868">
        <v>4216008</v>
      </c>
      <c r="B4868" t="str">
        <f t="shared" ref="B4868:B4931" si="76">_xlfn.CONCAT(E4868, ", ", D4868, ", Brasil")</f>
        <v>SAO CARLOS, SC, Brasil</v>
      </c>
      <c r="C4868" s="4" t="str">
        <f>_xlfn.XLOOKUP(A4868,[1]!DadosGHD[CD_GEOCMU],[1]!DadosGHD[Região])</f>
        <v>SL</v>
      </c>
      <c r="D4868" s="4" t="str">
        <f>_xlfn.XLOOKUP(A4868,[1]!DadosGHD[CD_GEOCMU],[1]!DadosGHD[uf])</f>
        <v>SC</v>
      </c>
      <c r="E4868" s="5" t="str">
        <f>_xlfn.XLOOKUP(A4868,[1]!DadosGHD[CD_GEOCMU],[1]!DadosGHD[MUNICIPIO])</f>
        <v>SAO CARLOS</v>
      </c>
      <c r="F4868" s="6">
        <v>53.709342956542997</v>
      </c>
      <c r="G4868" s="6">
        <v>53.821094512939503</v>
      </c>
      <c r="H4868" s="6">
        <v>53.873817443847699</v>
      </c>
      <c r="I4868" s="6">
        <v>58.803413391113303</v>
      </c>
      <c r="J4868" s="6">
        <v>58.865245819091797</v>
      </c>
      <c r="K4868" s="6">
        <v>53.9962158203125</v>
      </c>
      <c r="L4868" s="6">
        <v>57.527614593505902</v>
      </c>
    </row>
    <row r="4869" spans="1:12" x14ac:dyDescent="0.25">
      <c r="A4869">
        <v>4319406</v>
      </c>
      <c r="B4869" t="str">
        <f t="shared" si="76"/>
        <v>SAO PEDRO DO SUL, RS, Brasil</v>
      </c>
      <c r="C4869" s="4" t="str">
        <f>_xlfn.XLOOKUP(A4869,[1]!DadosGHD[CD_GEOCMU],[1]!DadosGHD[Região])</f>
        <v>SL</v>
      </c>
      <c r="D4869" s="4" t="str">
        <f>_xlfn.XLOOKUP(A4869,[1]!DadosGHD[CD_GEOCMU],[1]!DadosGHD[uf])</f>
        <v>RS</v>
      </c>
      <c r="E4869" s="5" t="str">
        <f>_xlfn.XLOOKUP(A4869,[1]!DadosGHD[CD_GEOCMU],[1]!DadosGHD[MUNICIPIO])</f>
        <v>SAO PEDRO DO SUL</v>
      </c>
      <c r="F4869" s="6">
        <v>53.709671020507798</v>
      </c>
      <c r="G4869" s="6">
        <v>53.817520141601598</v>
      </c>
      <c r="H4869" s="6">
        <v>58.939884185791001</v>
      </c>
      <c r="I4869" s="6">
        <v>63.980304718017599</v>
      </c>
      <c r="J4869" s="6">
        <v>64.009269714355497</v>
      </c>
      <c r="K4869" s="6">
        <v>59.130313873291001</v>
      </c>
      <c r="L4869" s="6">
        <v>57.582237243652301</v>
      </c>
    </row>
    <row r="4870" spans="1:12" x14ac:dyDescent="0.25">
      <c r="A4870">
        <v>3138203</v>
      </c>
      <c r="B4870" t="str">
        <f t="shared" si="76"/>
        <v>LAVRAS, MG, Brasil</v>
      </c>
      <c r="C4870" s="4" t="str">
        <f>_xlfn.XLOOKUP(A4870,[1]!DadosGHD[CD_GEOCMU],[1]!DadosGHD[Região])</f>
        <v>SD</v>
      </c>
      <c r="D4870" s="4" t="str">
        <f>_xlfn.XLOOKUP(A4870,[1]!DadosGHD[CD_GEOCMU],[1]!DadosGHD[uf])</f>
        <v>MG</v>
      </c>
      <c r="E4870" s="5" t="str">
        <f>_xlfn.XLOOKUP(A4870,[1]!DadosGHD[CD_GEOCMU],[1]!DadosGHD[MUNICIPIO])</f>
        <v>LAVRAS</v>
      </c>
      <c r="F4870" s="6">
        <v>53.710556030273402</v>
      </c>
      <c r="G4870" s="6">
        <v>53.763614654541001</v>
      </c>
      <c r="H4870" s="6">
        <v>53.831951141357401</v>
      </c>
      <c r="I4870" s="6">
        <v>53.785552978515597</v>
      </c>
      <c r="J4870" s="6">
        <v>53.7520942687988</v>
      </c>
      <c r="K4870" s="6">
        <v>48.838680267333999</v>
      </c>
      <c r="L4870" s="6">
        <v>53.021511077880902</v>
      </c>
    </row>
    <row r="4871" spans="1:12" x14ac:dyDescent="0.25">
      <c r="A4871">
        <v>3510401</v>
      </c>
      <c r="B4871" t="str">
        <f t="shared" si="76"/>
        <v>CAPIVARI, SP, Brasil</v>
      </c>
      <c r="C4871" s="4" t="str">
        <f>_xlfn.XLOOKUP(A4871,[1]!DadosGHD[CD_GEOCMU],[1]!DadosGHD[Região])</f>
        <v>SD</v>
      </c>
      <c r="D4871" s="4" t="str">
        <f>_xlfn.XLOOKUP(A4871,[1]!DadosGHD[CD_GEOCMU],[1]!DadosGHD[uf])</f>
        <v>SP</v>
      </c>
      <c r="E4871" s="5" t="str">
        <f>_xlfn.XLOOKUP(A4871,[1]!DadosGHD[CD_GEOCMU],[1]!DadosGHD[MUNICIPIO])</f>
        <v>CAPIVARI</v>
      </c>
      <c r="F4871" s="6">
        <v>53.7110595703125</v>
      </c>
      <c r="G4871" s="6">
        <v>53.818477630615199</v>
      </c>
      <c r="H4871" s="6">
        <v>53.873016357421903</v>
      </c>
      <c r="I4871" s="6">
        <v>53.792160034179702</v>
      </c>
      <c r="J4871" s="6">
        <v>53.833309173583999</v>
      </c>
      <c r="K4871" s="6">
        <v>53.881534576416001</v>
      </c>
      <c r="L4871" s="6">
        <v>57.551120758056598</v>
      </c>
    </row>
    <row r="4872" spans="1:12" x14ac:dyDescent="0.25">
      <c r="A4872">
        <v>5100607</v>
      </c>
      <c r="B4872" t="str">
        <f t="shared" si="76"/>
        <v>ALTO TAQUARI, MT, Brasil</v>
      </c>
      <c r="C4872" s="4" t="str">
        <f>_xlfn.XLOOKUP(A4872,[1]!DadosGHD[CD_GEOCMU],[1]!DadosGHD[Região])</f>
        <v>CO</v>
      </c>
      <c r="D4872" s="4" t="str">
        <f>_xlfn.XLOOKUP(A4872,[1]!DadosGHD[CD_GEOCMU],[1]!DadosGHD[uf])</f>
        <v>MT</v>
      </c>
      <c r="E4872" s="5" t="str">
        <f>_xlfn.XLOOKUP(A4872,[1]!DadosGHD[CD_GEOCMU],[1]!DadosGHD[MUNICIPIO])</f>
        <v>ALTO TAQUARI</v>
      </c>
      <c r="F4872" s="6">
        <v>53.711112976074197</v>
      </c>
      <c r="G4872" s="6">
        <v>53.800327301025398</v>
      </c>
      <c r="H4872" s="6">
        <v>53.863265991210902</v>
      </c>
      <c r="I4872" s="6">
        <v>53.776077270507798</v>
      </c>
      <c r="J4872" s="6">
        <v>53.769866943359403</v>
      </c>
      <c r="K4872" s="6">
        <v>48.873001098632798</v>
      </c>
      <c r="L4872" s="6">
        <v>35.123504638671903</v>
      </c>
    </row>
    <row r="4873" spans="1:12" x14ac:dyDescent="0.25">
      <c r="A4873">
        <v>5008305</v>
      </c>
      <c r="B4873" t="str">
        <f t="shared" si="76"/>
        <v>TRES LAGOAS, MS, Brasil</v>
      </c>
      <c r="C4873" s="4" t="str">
        <f>_xlfn.XLOOKUP(A4873,[1]!DadosGHD[CD_GEOCMU],[1]!DadosGHD[Região])</f>
        <v>CO</v>
      </c>
      <c r="D4873" s="4" t="str">
        <f>_xlfn.XLOOKUP(A4873,[1]!DadosGHD[CD_GEOCMU],[1]!DadosGHD[uf])</f>
        <v>MS</v>
      </c>
      <c r="E4873" s="5" t="str">
        <f>_xlfn.XLOOKUP(A4873,[1]!DadosGHD[CD_GEOCMU],[1]!DadosGHD[MUNICIPIO])</f>
        <v>TRES LAGOAS</v>
      </c>
      <c r="F4873" s="6">
        <v>53.711399078369098</v>
      </c>
      <c r="G4873" s="6">
        <v>53.7326049804688</v>
      </c>
      <c r="H4873" s="6">
        <v>53.781562805175803</v>
      </c>
      <c r="I4873" s="6">
        <v>53.748851776123097</v>
      </c>
      <c r="J4873" s="6">
        <v>53.735389709472699</v>
      </c>
      <c r="K4873" s="6">
        <v>53.870113372802699</v>
      </c>
      <c r="L4873" s="6">
        <v>52.996349334716797</v>
      </c>
    </row>
    <row r="4874" spans="1:12" x14ac:dyDescent="0.25">
      <c r="A4874">
        <v>3511409</v>
      </c>
      <c r="B4874" t="str">
        <f t="shared" si="76"/>
        <v>CERQUEIRA CESAR, SP, Brasil</v>
      </c>
      <c r="C4874" s="4" t="str">
        <f>_xlfn.XLOOKUP(A4874,[1]!DadosGHD[CD_GEOCMU],[1]!DadosGHD[Região])</f>
        <v>SD</v>
      </c>
      <c r="D4874" s="4" t="str">
        <f>_xlfn.XLOOKUP(A4874,[1]!DadosGHD[CD_GEOCMU],[1]!DadosGHD[uf])</f>
        <v>SP</v>
      </c>
      <c r="E4874" s="5" t="str">
        <f>_xlfn.XLOOKUP(A4874,[1]!DadosGHD[CD_GEOCMU],[1]!DadosGHD[MUNICIPIO])</f>
        <v>CERQUEIRA CESAR</v>
      </c>
      <c r="F4874" s="6">
        <v>53.711463928222699</v>
      </c>
      <c r="G4874" s="6">
        <v>53.797782897949197</v>
      </c>
      <c r="H4874" s="6">
        <v>53.806873321533203</v>
      </c>
      <c r="I4874" s="6">
        <v>48.816574096679702</v>
      </c>
      <c r="J4874" s="6">
        <v>48.804500579833999</v>
      </c>
      <c r="K4874" s="6">
        <v>53.876113891601598</v>
      </c>
      <c r="L4874" s="6">
        <v>53.0057983398438</v>
      </c>
    </row>
    <row r="4875" spans="1:12" x14ac:dyDescent="0.25">
      <c r="A4875">
        <v>3141306</v>
      </c>
      <c r="B4875" t="str">
        <f t="shared" si="76"/>
        <v>MEDEIROS, MG, Brasil</v>
      </c>
      <c r="C4875" s="4" t="str">
        <f>_xlfn.XLOOKUP(A4875,[1]!DadosGHD[CD_GEOCMU],[1]!DadosGHD[Região])</f>
        <v>SD</v>
      </c>
      <c r="D4875" s="4" t="str">
        <f>_xlfn.XLOOKUP(A4875,[1]!DadosGHD[CD_GEOCMU],[1]!DadosGHD[uf])</f>
        <v>MG</v>
      </c>
      <c r="E4875" s="5" t="str">
        <f>_xlfn.XLOOKUP(A4875,[1]!DadosGHD[CD_GEOCMU],[1]!DadosGHD[MUNICIPIO])</f>
        <v>MEDEIROS</v>
      </c>
      <c r="F4875" s="6">
        <v>53.711517333984403</v>
      </c>
      <c r="G4875" s="6">
        <v>58.743370056152301</v>
      </c>
      <c r="H4875" s="6">
        <v>53.899208068847699</v>
      </c>
      <c r="I4875" s="6">
        <v>58.8714790344238</v>
      </c>
      <c r="J4875" s="6">
        <v>58.899360656738303</v>
      </c>
      <c r="K4875" s="6">
        <v>59.050891876220703</v>
      </c>
      <c r="L4875" s="6">
        <v>52.9891357421875</v>
      </c>
    </row>
    <row r="4876" spans="1:12" x14ac:dyDescent="0.25">
      <c r="A4876">
        <v>3152501</v>
      </c>
      <c r="B4876" t="str">
        <f t="shared" si="76"/>
        <v>POUSO ALEGRE, MG, Brasil</v>
      </c>
      <c r="C4876" s="4" t="str">
        <f>_xlfn.XLOOKUP(A4876,[1]!DadosGHD[CD_GEOCMU],[1]!DadosGHD[Região])</f>
        <v>SD</v>
      </c>
      <c r="D4876" s="4" t="str">
        <f>_xlfn.XLOOKUP(A4876,[1]!DadosGHD[CD_GEOCMU],[1]!DadosGHD[uf])</f>
        <v>MG</v>
      </c>
      <c r="E4876" s="5" t="str">
        <f>_xlfn.XLOOKUP(A4876,[1]!DadosGHD[CD_GEOCMU],[1]!DadosGHD[MUNICIPIO])</f>
        <v>POUSO ALEGRE</v>
      </c>
      <c r="F4876" s="6">
        <v>53.712028503417997</v>
      </c>
      <c r="G4876" s="6">
        <v>53.710960388183601</v>
      </c>
      <c r="H4876" s="6">
        <v>53.895606994628899</v>
      </c>
      <c r="I4876" s="6">
        <v>58.850807189941399</v>
      </c>
      <c r="J4876" s="6">
        <v>58.944873809814503</v>
      </c>
      <c r="K4876" s="6">
        <v>53.980064392089801</v>
      </c>
      <c r="L4876" s="6">
        <v>52.995937347412102</v>
      </c>
    </row>
    <row r="4877" spans="1:12" x14ac:dyDescent="0.25">
      <c r="A4877">
        <v>3501103</v>
      </c>
      <c r="B4877" t="str">
        <f t="shared" si="76"/>
        <v>ALTO ALEGRE, SP, Brasil</v>
      </c>
      <c r="C4877" s="4" t="str">
        <f>_xlfn.XLOOKUP(A4877,[1]!DadosGHD[CD_GEOCMU],[1]!DadosGHD[Região])</f>
        <v>SD</v>
      </c>
      <c r="D4877" s="4" t="str">
        <f>_xlfn.XLOOKUP(A4877,[1]!DadosGHD[CD_GEOCMU],[1]!DadosGHD[uf])</f>
        <v>SP</v>
      </c>
      <c r="E4877" s="5" t="str">
        <f>_xlfn.XLOOKUP(A4877,[1]!DadosGHD[CD_GEOCMU],[1]!DadosGHD[MUNICIPIO])</f>
        <v>ALTO ALEGRE</v>
      </c>
      <c r="F4877" s="6">
        <v>53.712409973144503</v>
      </c>
      <c r="G4877" s="6">
        <v>53.681827545166001</v>
      </c>
      <c r="H4877" s="6">
        <v>48.861522674560597</v>
      </c>
      <c r="I4877" s="6">
        <v>48.802921295166001</v>
      </c>
      <c r="J4877" s="6">
        <v>48.8023490905762</v>
      </c>
      <c r="K4877" s="6">
        <v>48.871646881103501</v>
      </c>
      <c r="L4877" s="6">
        <v>39.585044860839801</v>
      </c>
    </row>
    <row r="4878" spans="1:12" x14ac:dyDescent="0.25">
      <c r="A4878">
        <v>4219176</v>
      </c>
      <c r="B4878" t="str">
        <f t="shared" si="76"/>
        <v>VARGEM BONITA, SC, Brasil</v>
      </c>
      <c r="C4878" s="4" t="str">
        <f>_xlfn.XLOOKUP(A4878,[1]!DadosGHD[CD_GEOCMU],[1]!DadosGHD[Região])</f>
        <v>SL</v>
      </c>
      <c r="D4878" s="4" t="str">
        <f>_xlfn.XLOOKUP(A4878,[1]!DadosGHD[CD_GEOCMU],[1]!DadosGHD[uf])</f>
        <v>SC</v>
      </c>
      <c r="E4878" s="5" t="str">
        <f>_xlfn.XLOOKUP(A4878,[1]!DadosGHD[CD_GEOCMU],[1]!DadosGHD[MUNICIPIO])</f>
        <v>VARGEM BONITA</v>
      </c>
      <c r="F4878" s="6">
        <v>53.7129516601563</v>
      </c>
      <c r="G4878" s="6">
        <v>58.830898284912102</v>
      </c>
      <c r="H4878" s="6">
        <v>58.884574890136697</v>
      </c>
      <c r="I4878" s="6">
        <v>58.870552062988303</v>
      </c>
      <c r="J4878" s="6">
        <v>58.809787750244098</v>
      </c>
      <c r="K4878" s="6">
        <v>53.985103607177699</v>
      </c>
      <c r="L4878" s="6">
        <v>57.499881744384801</v>
      </c>
    </row>
    <row r="4879" spans="1:12" x14ac:dyDescent="0.25">
      <c r="A4879">
        <v>4301305</v>
      </c>
      <c r="B4879" t="str">
        <f t="shared" si="76"/>
        <v>ARROIO GRANDE, RS, Brasil</v>
      </c>
      <c r="C4879" s="4" t="str">
        <f>_xlfn.XLOOKUP(A4879,[1]!DadosGHD[CD_GEOCMU],[1]!DadosGHD[Região])</f>
        <v>SL</v>
      </c>
      <c r="D4879" s="4" t="str">
        <f>_xlfn.XLOOKUP(A4879,[1]!DadosGHD[CD_GEOCMU],[1]!DadosGHD[uf])</f>
        <v>RS</v>
      </c>
      <c r="E4879" s="5" t="str">
        <f>_xlfn.XLOOKUP(A4879,[1]!DadosGHD[CD_GEOCMU],[1]!DadosGHD[MUNICIPIO])</f>
        <v>ARROIO GRANDE</v>
      </c>
      <c r="F4879" s="6">
        <v>53.713218688964801</v>
      </c>
      <c r="G4879" s="6">
        <v>53.780525207519503</v>
      </c>
      <c r="H4879" s="6">
        <v>53.890682220458999</v>
      </c>
      <c r="I4879" s="6">
        <v>58.828582763671903</v>
      </c>
      <c r="J4879" s="6">
        <v>53.900081634521499</v>
      </c>
      <c r="K4879" s="6">
        <v>58.905227661132798</v>
      </c>
      <c r="L4879" s="6">
        <v>48.5353393554688</v>
      </c>
    </row>
    <row r="4880" spans="1:12" x14ac:dyDescent="0.25">
      <c r="A4880">
        <v>4102208</v>
      </c>
      <c r="B4880" t="str">
        <f t="shared" si="76"/>
        <v>ATALAIA, PR, Brasil</v>
      </c>
      <c r="C4880" s="4" t="str">
        <f>_xlfn.XLOOKUP(A4880,[1]!DadosGHD[CD_GEOCMU],[1]!DadosGHD[Região])</f>
        <v>SL</v>
      </c>
      <c r="D4880" s="4" t="str">
        <f>_xlfn.XLOOKUP(A4880,[1]!DadosGHD[CD_GEOCMU],[1]!DadosGHD[uf])</f>
        <v>PR</v>
      </c>
      <c r="E4880" s="5" t="str">
        <f>_xlfn.XLOOKUP(A4880,[1]!DadosGHD[CD_GEOCMU],[1]!DadosGHD[MUNICIPIO])</f>
        <v>ATALAIA</v>
      </c>
      <c r="F4880" s="6">
        <v>53.714515686035199</v>
      </c>
      <c r="G4880" s="6">
        <v>58.833824157714801</v>
      </c>
      <c r="H4880" s="6">
        <v>58.944877624511697</v>
      </c>
      <c r="I4880" s="6">
        <v>53.817798614502003</v>
      </c>
      <c r="J4880" s="6">
        <v>53.843441009521499</v>
      </c>
      <c r="K4880" s="6">
        <v>53.918132781982401</v>
      </c>
      <c r="L4880" s="6">
        <v>53.055397033691399</v>
      </c>
    </row>
    <row r="4881" spans="1:12" x14ac:dyDescent="0.25">
      <c r="A4881">
        <v>3151503</v>
      </c>
      <c r="B4881" t="str">
        <f t="shared" si="76"/>
        <v>PIUMHI, MG, Brasil</v>
      </c>
      <c r="C4881" s="4" t="str">
        <f>_xlfn.XLOOKUP(A4881,[1]!DadosGHD[CD_GEOCMU],[1]!DadosGHD[Região])</f>
        <v>SD</v>
      </c>
      <c r="D4881" s="4" t="str">
        <f>_xlfn.XLOOKUP(A4881,[1]!DadosGHD[CD_GEOCMU],[1]!DadosGHD[uf])</f>
        <v>MG</v>
      </c>
      <c r="E4881" s="5" t="str">
        <f>_xlfn.XLOOKUP(A4881,[1]!DadosGHD[CD_GEOCMU],[1]!DadosGHD[MUNICIPIO])</f>
        <v>PIUMHI</v>
      </c>
      <c r="F4881" s="6">
        <v>53.715000152587898</v>
      </c>
      <c r="G4881" s="6">
        <v>58.735061645507798</v>
      </c>
      <c r="H4881" s="6">
        <v>58.848930358886697</v>
      </c>
      <c r="I4881" s="6">
        <v>53.849040985107401</v>
      </c>
      <c r="J4881" s="6">
        <v>53.855827331542997</v>
      </c>
      <c r="K4881" s="6">
        <v>53.817081451416001</v>
      </c>
      <c r="L4881" s="6">
        <v>44.063724517822301</v>
      </c>
    </row>
    <row r="4882" spans="1:12" x14ac:dyDescent="0.25">
      <c r="A4882">
        <v>3555505</v>
      </c>
      <c r="B4882" t="str">
        <f t="shared" si="76"/>
        <v>UBIRAJARA, SP, Brasil</v>
      </c>
      <c r="C4882" s="4" t="str">
        <f>_xlfn.XLOOKUP(A4882,[1]!DadosGHD[CD_GEOCMU],[1]!DadosGHD[Região])</f>
        <v>SD</v>
      </c>
      <c r="D4882" s="4" t="str">
        <f>_xlfn.XLOOKUP(A4882,[1]!DadosGHD[CD_GEOCMU],[1]!DadosGHD[uf])</f>
        <v>SP</v>
      </c>
      <c r="E4882" s="5" t="str">
        <f>_xlfn.XLOOKUP(A4882,[1]!DadosGHD[CD_GEOCMU],[1]!DadosGHD[MUNICIPIO])</f>
        <v>UBIRAJARA</v>
      </c>
      <c r="F4882" s="6">
        <v>53.715118408203097</v>
      </c>
      <c r="G4882" s="6">
        <v>53.680015563964801</v>
      </c>
      <c r="H4882" s="6">
        <v>48.854385375976598</v>
      </c>
      <c r="I4882" s="6">
        <v>53.715484619140597</v>
      </c>
      <c r="J4882" s="6">
        <v>53.7884330749512</v>
      </c>
      <c r="K4882" s="6">
        <v>53.978012084960902</v>
      </c>
      <c r="L4882" s="6">
        <v>53.0179443359375</v>
      </c>
    </row>
    <row r="4883" spans="1:12" x14ac:dyDescent="0.25">
      <c r="A4883">
        <v>3545159</v>
      </c>
      <c r="B4883" t="str">
        <f t="shared" si="76"/>
        <v>SALTINHO, SP, Brasil</v>
      </c>
      <c r="C4883" s="4" t="str">
        <f>_xlfn.XLOOKUP(A4883,[1]!DadosGHD[CD_GEOCMU],[1]!DadosGHD[Região])</f>
        <v>SD</v>
      </c>
      <c r="D4883" s="4" t="str">
        <f>_xlfn.XLOOKUP(A4883,[1]!DadosGHD[CD_GEOCMU],[1]!DadosGHD[uf])</f>
        <v>SP</v>
      </c>
      <c r="E4883" s="5" t="str">
        <f>_xlfn.XLOOKUP(A4883,[1]!DadosGHD[CD_GEOCMU],[1]!DadosGHD[MUNICIPIO])</f>
        <v>SALTINHO</v>
      </c>
      <c r="F4883" s="6">
        <v>53.715259552002003</v>
      </c>
      <c r="G4883" s="6">
        <v>53.736934661865199</v>
      </c>
      <c r="H4883" s="6">
        <v>48.791675567627003</v>
      </c>
      <c r="I4883" s="6">
        <v>48.721702575683601</v>
      </c>
      <c r="J4883" s="6">
        <v>48.782016754150398</v>
      </c>
      <c r="K4883" s="6">
        <v>48.867904663085902</v>
      </c>
      <c r="L4883" s="6">
        <v>57.513500213623097</v>
      </c>
    </row>
    <row r="4884" spans="1:12" x14ac:dyDescent="0.25">
      <c r="A4884">
        <v>3530300</v>
      </c>
      <c r="B4884" t="str">
        <f t="shared" si="76"/>
        <v>MIRASSOL, SP, Brasil</v>
      </c>
      <c r="C4884" s="4" t="str">
        <f>_xlfn.XLOOKUP(A4884,[1]!DadosGHD[CD_GEOCMU],[1]!DadosGHD[Região])</f>
        <v>SD</v>
      </c>
      <c r="D4884" s="4" t="str">
        <f>_xlfn.XLOOKUP(A4884,[1]!DadosGHD[CD_GEOCMU],[1]!DadosGHD[uf])</f>
        <v>SP</v>
      </c>
      <c r="E4884" s="5" t="str">
        <f>_xlfn.XLOOKUP(A4884,[1]!DadosGHD[CD_GEOCMU],[1]!DadosGHD[MUNICIPIO])</f>
        <v>MIRASSOL</v>
      </c>
      <c r="F4884" s="6">
        <v>53.715370178222699</v>
      </c>
      <c r="G4884" s="6">
        <v>53.819618225097699</v>
      </c>
      <c r="H4884" s="6">
        <v>53.795875549316399</v>
      </c>
      <c r="I4884" s="6">
        <v>53.836055755615199</v>
      </c>
      <c r="J4884" s="6">
        <v>58.824985504150398</v>
      </c>
      <c r="K4884" s="6">
        <v>53.962314605712898</v>
      </c>
      <c r="L4884" s="6">
        <v>53.054519653320298</v>
      </c>
    </row>
    <row r="4885" spans="1:12" x14ac:dyDescent="0.25">
      <c r="A4885">
        <v>4128401</v>
      </c>
      <c r="B4885" t="str">
        <f t="shared" si="76"/>
        <v>URAI, PR, Brasil</v>
      </c>
      <c r="C4885" s="4" t="str">
        <f>_xlfn.XLOOKUP(A4885,[1]!DadosGHD[CD_GEOCMU],[1]!DadosGHD[Região])</f>
        <v>SL</v>
      </c>
      <c r="D4885" s="4" t="str">
        <f>_xlfn.XLOOKUP(A4885,[1]!DadosGHD[CD_GEOCMU],[1]!DadosGHD[uf])</f>
        <v>PR</v>
      </c>
      <c r="E4885" s="5" t="str">
        <f>_xlfn.XLOOKUP(A4885,[1]!DadosGHD[CD_GEOCMU],[1]!DadosGHD[MUNICIPIO])</f>
        <v>URAI</v>
      </c>
      <c r="F4885" s="6">
        <v>53.715984344482401</v>
      </c>
      <c r="G4885" s="6">
        <v>58.850399017333999</v>
      </c>
      <c r="H4885" s="6">
        <v>58.885662078857401</v>
      </c>
      <c r="I4885" s="6">
        <v>58.811454772949197</v>
      </c>
      <c r="J4885" s="6">
        <v>53.816398620605497</v>
      </c>
      <c r="K4885" s="6">
        <v>58.917678833007798</v>
      </c>
      <c r="L4885" s="6">
        <v>57.5050659179688</v>
      </c>
    </row>
    <row r="4886" spans="1:12" x14ac:dyDescent="0.25">
      <c r="A4886">
        <v>4201109</v>
      </c>
      <c r="B4886" t="str">
        <f t="shared" si="76"/>
        <v>ANITAPOLIS, SC, Brasil</v>
      </c>
      <c r="C4886" s="4" t="str">
        <f>_xlfn.XLOOKUP(A4886,[1]!DadosGHD[CD_GEOCMU],[1]!DadosGHD[Região])</f>
        <v>SL</v>
      </c>
      <c r="D4886" s="4" t="str">
        <f>_xlfn.XLOOKUP(A4886,[1]!DadosGHD[CD_GEOCMU],[1]!DadosGHD[uf])</f>
        <v>SC</v>
      </c>
      <c r="E4886" s="5" t="str">
        <f>_xlfn.XLOOKUP(A4886,[1]!DadosGHD[CD_GEOCMU],[1]!DadosGHD[MUNICIPIO])</f>
        <v>ANITAPOLIS</v>
      </c>
      <c r="F4886" s="6">
        <v>53.716438293457003</v>
      </c>
      <c r="G4886" s="6">
        <v>53.794486999511697</v>
      </c>
      <c r="H4886" s="6">
        <v>58.893627166748097</v>
      </c>
      <c r="I4886" s="6">
        <v>63.900848388671903</v>
      </c>
      <c r="J4886" s="6">
        <v>63.920516967773402</v>
      </c>
      <c r="K4886" s="6">
        <v>58.915035247802699</v>
      </c>
      <c r="L4886" s="6">
        <v>39.583511352539098</v>
      </c>
    </row>
    <row r="4887" spans="1:12" x14ac:dyDescent="0.25">
      <c r="A4887">
        <v>4112751</v>
      </c>
      <c r="B4887" t="str">
        <f t="shared" si="76"/>
        <v>JESUITAS, PR, Brasil</v>
      </c>
      <c r="C4887" s="4" t="str">
        <f>_xlfn.XLOOKUP(A4887,[1]!DadosGHD[CD_GEOCMU],[1]!DadosGHD[Região])</f>
        <v>SL</v>
      </c>
      <c r="D4887" s="4" t="str">
        <f>_xlfn.XLOOKUP(A4887,[1]!DadosGHD[CD_GEOCMU],[1]!DadosGHD[uf])</f>
        <v>PR</v>
      </c>
      <c r="E4887" s="5" t="str">
        <f>_xlfn.XLOOKUP(A4887,[1]!DadosGHD[CD_GEOCMU],[1]!DadosGHD[MUNICIPIO])</f>
        <v>JESUITAS</v>
      </c>
      <c r="F4887" s="6">
        <v>53.716438293457003</v>
      </c>
      <c r="G4887" s="6">
        <v>48.717960357666001</v>
      </c>
      <c r="H4887" s="6">
        <v>53.768440246582003</v>
      </c>
      <c r="I4887" s="6">
        <v>48.819717407226598</v>
      </c>
      <c r="J4887" s="6">
        <v>53.739341735839801</v>
      </c>
      <c r="K4887" s="6">
        <v>48.816352844238303</v>
      </c>
      <c r="L4887" s="6">
        <v>39.578071594238303</v>
      </c>
    </row>
    <row r="4888" spans="1:12" x14ac:dyDescent="0.25">
      <c r="A4888">
        <v>4313508</v>
      </c>
      <c r="B4888" t="str">
        <f t="shared" si="76"/>
        <v>OSORIO, RS, Brasil</v>
      </c>
      <c r="C4888" s="4" t="str">
        <f>_xlfn.XLOOKUP(A4888,[1]!DadosGHD[CD_GEOCMU],[1]!DadosGHD[Região])</f>
        <v>SL</v>
      </c>
      <c r="D4888" s="4" t="str">
        <f>_xlfn.XLOOKUP(A4888,[1]!DadosGHD[CD_GEOCMU],[1]!DadosGHD[uf])</f>
        <v>RS</v>
      </c>
      <c r="E4888" s="5" t="str">
        <f>_xlfn.XLOOKUP(A4888,[1]!DadosGHD[CD_GEOCMU],[1]!DadosGHD[MUNICIPIO])</f>
        <v>OSORIO</v>
      </c>
      <c r="F4888" s="6">
        <v>53.716625213623097</v>
      </c>
      <c r="G4888" s="6">
        <v>53.775585174560597</v>
      </c>
      <c r="H4888" s="6">
        <v>58.852127075195298</v>
      </c>
      <c r="I4888" s="6">
        <v>63.900161743164098</v>
      </c>
      <c r="J4888" s="6">
        <v>58.9879150390625</v>
      </c>
      <c r="K4888" s="6">
        <v>59.027500152587898</v>
      </c>
      <c r="L4888" s="6">
        <v>57.589881896972699</v>
      </c>
    </row>
    <row r="4889" spans="1:12" x14ac:dyDescent="0.25">
      <c r="A4889">
        <v>3538907</v>
      </c>
      <c r="B4889" t="str">
        <f t="shared" si="76"/>
        <v>PIRAJUI, SP, Brasil</v>
      </c>
      <c r="C4889" s="4" t="str">
        <f>_xlfn.XLOOKUP(A4889,[1]!DadosGHD[CD_GEOCMU],[1]!DadosGHD[Região])</f>
        <v>SD</v>
      </c>
      <c r="D4889" s="4" t="str">
        <f>_xlfn.XLOOKUP(A4889,[1]!DadosGHD[CD_GEOCMU],[1]!DadosGHD[uf])</f>
        <v>SP</v>
      </c>
      <c r="E4889" s="5" t="str">
        <f>_xlfn.XLOOKUP(A4889,[1]!DadosGHD[CD_GEOCMU],[1]!DadosGHD[MUNICIPIO])</f>
        <v>PIRAJUI</v>
      </c>
      <c r="F4889" s="6">
        <v>53.71728515625</v>
      </c>
      <c r="G4889" s="6">
        <v>53.724739074707003</v>
      </c>
      <c r="H4889" s="6">
        <v>48.8621826171875</v>
      </c>
      <c r="I4889" s="6">
        <v>48.7928657531738</v>
      </c>
      <c r="J4889" s="6">
        <v>53.866905212402301</v>
      </c>
      <c r="K4889" s="6">
        <v>53.861656188964801</v>
      </c>
      <c r="L4889" s="6">
        <v>53.045585632324197</v>
      </c>
    </row>
    <row r="4890" spans="1:12" x14ac:dyDescent="0.25">
      <c r="A4890">
        <v>3525805</v>
      </c>
      <c r="B4890" t="str">
        <f t="shared" si="76"/>
        <v>JULIO MESQUITA, SP, Brasil</v>
      </c>
      <c r="C4890" s="4" t="str">
        <f>_xlfn.XLOOKUP(A4890,[1]!DadosGHD[CD_GEOCMU],[1]!DadosGHD[Região])</f>
        <v>SD</v>
      </c>
      <c r="D4890" s="4" t="str">
        <f>_xlfn.XLOOKUP(A4890,[1]!DadosGHD[CD_GEOCMU],[1]!DadosGHD[uf])</f>
        <v>SP</v>
      </c>
      <c r="E4890" s="5" t="str">
        <f>_xlfn.XLOOKUP(A4890,[1]!DadosGHD[CD_GEOCMU],[1]!DadosGHD[MUNICIPIO])</f>
        <v>JULIO MESQUITA</v>
      </c>
      <c r="F4890" s="6">
        <v>53.7179565429688</v>
      </c>
      <c r="G4890" s="6">
        <v>48.7368774414063</v>
      </c>
      <c r="H4890" s="6">
        <v>48.802982330322301</v>
      </c>
      <c r="I4890" s="6">
        <v>48.804958343505902</v>
      </c>
      <c r="J4890" s="6">
        <v>48.793270111083999</v>
      </c>
      <c r="K4890" s="6">
        <v>48.769001007080099</v>
      </c>
      <c r="L4890" s="6">
        <v>48.504501342773402</v>
      </c>
    </row>
    <row r="4891" spans="1:12" x14ac:dyDescent="0.25">
      <c r="A4891">
        <v>5216809</v>
      </c>
      <c r="B4891" t="str">
        <f t="shared" si="76"/>
        <v>PETROLINA DE GOIAS, GO, Brasil</v>
      </c>
      <c r="C4891" s="4" t="str">
        <f>_xlfn.XLOOKUP(A4891,[1]!DadosGHD[CD_GEOCMU],[1]!DadosGHD[Região])</f>
        <v>CO</v>
      </c>
      <c r="D4891" s="4" t="str">
        <f>_xlfn.XLOOKUP(A4891,[1]!DadosGHD[CD_GEOCMU],[1]!DadosGHD[uf])</f>
        <v>GO</v>
      </c>
      <c r="E4891" s="5" t="str">
        <f>_xlfn.XLOOKUP(A4891,[1]!DadosGHD[CD_GEOCMU],[1]!DadosGHD[MUNICIPIO])</f>
        <v>PETROLINA DE GOIAS</v>
      </c>
      <c r="F4891" s="6">
        <v>53.717960357666001</v>
      </c>
      <c r="G4891" s="6">
        <v>53.753402709960902</v>
      </c>
      <c r="H4891" s="6">
        <v>53.819004058837898</v>
      </c>
      <c r="I4891" s="6">
        <v>53.742210388183601</v>
      </c>
      <c r="J4891" s="6">
        <v>43.823070526123097</v>
      </c>
      <c r="K4891" s="6">
        <v>43.811939239502003</v>
      </c>
      <c r="L4891" s="6">
        <v>39.5827827453613</v>
      </c>
    </row>
    <row r="4892" spans="1:12" x14ac:dyDescent="0.25">
      <c r="A4892">
        <v>4119152</v>
      </c>
      <c r="B4892" t="str">
        <f t="shared" si="76"/>
        <v>PINHAIS, PR, Brasil</v>
      </c>
      <c r="C4892" s="4" t="str">
        <f>_xlfn.XLOOKUP(A4892,[1]!DadosGHD[CD_GEOCMU],[1]!DadosGHD[Região])</f>
        <v>SL</v>
      </c>
      <c r="D4892" s="4" t="str">
        <f>_xlfn.XLOOKUP(A4892,[1]!DadosGHD[CD_GEOCMU],[1]!DadosGHD[uf])</f>
        <v>PR</v>
      </c>
      <c r="E4892" s="5" t="str">
        <f>_xlfn.XLOOKUP(A4892,[1]!DadosGHD[CD_GEOCMU],[1]!DadosGHD[MUNICIPIO])</f>
        <v>PINHAIS</v>
      </c>
      <c r="F4892" s="6">
        <v>53.718345642089801</v>
      </c>
      <c r="G4892" s="6">
        <v>53.792137145996101</v>
      </c>
      <c r="H4892" s="6">
        <v>53.829395294189503</v>
      </c>
      <c r="I4892" s="6">
        <v>53.785552978515597</v>
      </c>
      <c r="J4892" s="6">
        <v>53.802864074707003</v>
      </c>
      <c r="K4892" s="6">
        <v>53.846729278564503</v>
      </c>
      <c r="L4892" s="6">
        <v>57.513874053955099</v>
      </c>
    </row>
    <row r="4893" spans="1:12" x14ac:dyDescent="0.25">
      <c r="A4893">
        <v>4314472</v>
      </c>
      <c r="B4893" t="str">
        <f t="shared" si="76"/>
        <v>PINHAL GRANDE, RS, Brasil</v>
      </c>
      <c r="C4893" s="4" t="str">
        <f>_xlfn.XLOOKUP(A4893,[1]!DadosGHD[CD_GEOCMU],[1]!DadosGHD[Região])</f>
        <v>SL</v>
      </c>
      <c r="D4893" s="4" t="str">
        <f>_xlfn.XLOOKUP(A4893,[1]!DadosGHD[CD_GEOCMU],[1]!DadosGHD[uf])</f>
        <v>RS</v>
      </c>
      <c r="E4893" s="5" t="str">
        <f>_xlfn.XLOOKUP(A4893,[1]!DadosGHD[CD_GEOCMU],[1]!DadosGHD[MUNICIPIO])</f>
        <v>PINHAL GRANDE</v>
      </c>
      <c r="F4893" s="6">
        <v>53.718616485595703</v>
      </c>
      <c r="G4893" s="6">
        <v>58.868381500244098</v>
      </c>
      <c r="H4893" s="6">
        <v>58.9656791687012</v>
      </c>
      <c r="I4893" s="6">
        <v>58.896266937255902</v>
      </c>
      <c r="J4893" s="6">
        <v>58.913127899169901</v>
      </c>
      <c r="K4893" s="6">
        <v>58.9546508789063</v>
      </c>
      <c r="L4893" s="6">
        <v>39.577400207519503</v>
      </c>
    </row>
    <row r="4894" spans="1:12" x14ac:dyDescent="0.25">
      <c r="A4894">
        <v>2211001</v>
      </c>
      <c r="B4894" t="str">
        <f t="shared" si="76"/>
        <v>TERESINA, PI, Brasil</v>
      </c>
      <c r="C4894" s="4" t="str">
        <f>_xlfn.XLOOKUP(A4894,[1]!DadosGHD[CD_GEOCMU],[1]!DadosGHD[Região])</f>
        <v>NE</v>
      </c>
      <c r="D4894" s="4" t="str">
        <f>_xlfn.XLOOKUP(A4894,[1]!DadosGHD[CD_GEOCMU],[1]!DadosGHD[uf])</f>
        <v>PI</v>
      </c>
      <c r="E4894" s="5" t="str">
        <f>_xlfn.XLOOKUP(A4894,[1]!DadosGHD[CD_GEOCMU],[1]!DadosGHD[MUNICIPIO])</f>
        <v>TERESINA</v>
      </c>
      <c r="F4894" s="6">
        <v>53.718898773193402</v>
      </c>
      <c r="G4894" s="6">
        <v>53.783699035644503</v>
      </c>
      <c r="H4894" s="6">
        <v>53.847801208496101</v>
      </c>
      <c r="I4894" s="6">
        <v>53.8330078125</v>
      </c>
      <c r="J4894" s="6">
        <v>53.864707946777301</v>
      </c>
      <c r="K4894" s="6">
        <v>53.9570503234863</v>
      </c>
      <c r="L4894" s="6">
        <v>53.029823303222699</v>
      </c>
    </row>
    <row r="4895" spans="1:12" x14ac:dyDescent="0.25">
      <c r="A4895">
        <v>3500709</v>
      </c>
      <c r="B4895" t="str">
        <f t="shared" si="76"/>
        <v>AGUDOS, SP, Brasil</v>
      </c>
      <c r="C4895" s="4" t="str">
        <f>_xlfn.XLOOKUP(A4895,[1]!DadosGHD[CD_GEOCMU],[1]!DadosGHD[Região])</f>
        <v>SD</v>
      </c>
      <c r="D4895" s="4" t="str">
        <f>_xlfn.XLOOKUP(A4895,[1]!DadosGHD[CD_GEOCMU],[1]!DadosGHD[uf])</f>
        <v>SP</v>
      </c>
      <c r="E4895" s="5" t="str">
        <f>_xlfn.XLOOKUP(A4895,[1]!DadosGHD[CD_GEOCMU],[1]!DadosGHD[MUNICIPIO])</f>
        <v>AGUDOS</v>
      </c>
      <c r="F4895" s="6">
        <v>53.719226837158203</v>
      </c>
      <c r="G4895" s="6">
        <v>53.7211303710938</v>
      </c>
      <c r="H4895" s="6">
        <v>53.799274444580099</v>
      </c>
      <c r="I4895" s="6">
        <v>53.742683410644503</v>
      </c>
      <c r="J4895" s="6">
        <v>58.810546875</v>
      </c>
      <c r="K4895" s="6">
        <v>53.918510437011697</v>
      </c>
      <c r="L4895" s="6">
        <v>57.528408050537102</v>
      </c>
    </row>
    <row r="4896" spans="1:12" x14ac:dyDescent="0.25">
      <c r="A4896">
        <v>3557105</v>
      </c>
      <c r="B4896" t="str">
        <f t="shared" si="76"/>
        <v>VOTUPORANGA, SP, Brasil</v>
      </c>
      <c r="C4896" s="4" t="str">
        <f>_xlfn.XLOOKUP(A4896,[1]!DadosGHD[CD_GEOCMU],[1]!DadosGHD[Região])</f>
        <v>SD</v>
      </c>
      <c r="D4896" s="4" t="str">
        <f>_xlfn.XLOOKUP(A4896,[1]!DadosGHD[CD_GEOCMU],[1]!DadosGHD[uf])</f>
        <v>SP</v>
      </c>
      <c r="E4896" s="5" t="str">
        <f>_xlfn.XLOOKUP(A4896,[1]!DadosGHD[CD_GEOCMU],[1]!DadosGHD[MUNICIPIO])</f>
        <v>VOTUPORANGA</v>
      </c>
      <c r="F4896" s="6">
        <v>53.719470977783203</v>
      </c>
      <c r="G4896" s="6">
        <v>53.7901000976563</v>
      </c>
      <c r="H4896" s="6">
        <v>53.796955108642599</v>
      </c>
      <c r="I4896" s="6">
        <v>53.760276794433601</v>
      </c>
      <c r="J4896" s="6">
        <v>48.799713134765597</v>
      </c>
      <c r="K4896" s="6">
        <v>48.830921173095703</v>
      </c>
      <c r="L4896" s="6">
        <v>39.584095001220703</v>
      </c>
    </row>
    <row r="4897" spans="1:12" x14ac:dyDescent="0.25">
      <c r="A4897">
        <v>4204251</v>
      </c>
      <c r="B4897" t="str">
        <f t="shared" si="76"/>
        <v>COCAL DO SUL, SC, Brasil</v>
      </c>
      <c r="C4897" s="4" t="str">
        <f>_xlfn.XLOOKUP(A4897,[1]!DadosGHD[CD_GEOCMU],[1]!DadosGHD[Região])</f>
        <v>SL</v>
      </c>
      <c r="D4897" s="4" t="str">
        <f>_xlfn.XLOOKUP(A4897,[1]!DadosGHD[CD_GEOCMU],[1]!DadosGHD[uf])</f>
        <v>SC</v>
      </c>
      <c r="E4897" s="5" t="str">
        <f>_xlfn.XLOOKUP(A4897,[1]!DadosGHD[CD_GEOCMU],[1]!DadosGHD[MUNICIPIO])</f>
        <v>COCAL DO SUL</v>
      </c>
      <c r="F4897" s="6">
        <v>53.720394134521499</v>
      </c>
      <c r="G4897" s="6">
        <v>53.753856658935597</v>
      </c>
      <c r="H4897" s="6">
        <v>53.801441192627003</v>
      </c>
      <c r="I4897" s="6">
        <v>58.822372436523402</v>
      </c>
      <c r="J4897" s="6">
        <v>58.8906860351563</v>
      </c>
      <c r="K4897" s="6">
        <v>53.955833435058601</v>
      </c>
      <c r="L4897" s="6">
        <v>57.512619018554702</v>
      </c>
    </row>
    <row r="4898" spans="1:12" x14ac:dyDescent="0.25">
      <c r="A4898">
        <v>4211850</v>
      </c>
      <c r="B4898" t="str">
        <f t="shared" si="76"/>
        <v>OURO VERDE, SC, Brasil</v>
      </c>
      <c r="C4898" s="4" t="str">
        <f>_xlfn.XLOOKUP(A4898,[1]!DadosGHD[CD_GEOCMU],[1]!DadosGHD[Região])</f>
        <v>SL</v>
      </c>
      <c r="D4898" s="4" t="str">
        <f>_xlfn.XLOOKUP(A4898,[1]!DadosGHD[CD_GEOCMU],[1]!DadosGHD[uf])</f>
        <v>SC</v>
      </c>
      <c r="E4898" s="5" t="str">
        <f>_xlfn.XLOOKUP(A4898,[1]!DadosGHD[CD_GEOCMU],[1]!DadosGHD[MUNICIPIO])</f>
        <v>OURO VERDE</v>
      </c>
      <c r="F4898" s="6">
        <v>53.7214546203613</v>
      </c>
      <c r="G4898" s="6">
        <v>63.966358184814503</v>
      </c>
      <c r="H4898" s="6">
        <v>64.026092529296903</v>
      </c>
      <c r="I4898" s="6">
        <v>64.000221252441406</v>
      </c>
      <c r="J4898" s="6">
        <v>64.039611816406307</v>
      </c>
      <c r="K4898" s="6">
        <v>64.13623046875</v>
      </c>
      <c r="L4898" s="6">
        <v>52.989295959472699</v>
      </c>
    </row>
    <row r="4899" spans="1:12" x14ac:dyDescent="0.25">
      <c r="A4899">
        <v>3118205</v>
      </c>
      <c r="B4899" t="str">
        <f t="shared" si="76"/>
        <v>CONQUISTA, MG, Brasil</v>
      </c>
      <c r="C4899" s="4" t="str">
        <f>_xlfn.XLOOKUP(A4899,[1]!DadosGHD[CD_GEOCMU],[1]!DadosGHD[Região])</f>
        <v>SD</v>
      </c>
      <c r="D4899" s="4" t="str">
        <f>_xlfn.XLOOKUP(A4899,[1]!DadosGHD[CD_GEOCMU],[1]!DadosGHD[uf])</f>
        <v>MG</v>
      </c>
      <c r="E4899" s="5" t="str">
        <f>_xlfn.XLOOKUP(A4899,[1]!DadosGHD[CD_GEOCMU],[1]!DadosGHD[MUNICIPIO])</f>
        <v>CONQUISTA</v>
      </c>
      <c r="F4899" s="6">
        <v>53.721630096435597</v>
      </c>
      <c r="G4899" s="6">
        <v>58.812419891357401</v>
      </c>
      <c r="H4899" s="6">
        <v>58.845996856689503</v>
      </c>
      <c r="I4899" s="6">
        <v>53.862190246582003</v>
      </c>
      <c r="J4899" s="6">
        <v>53.859989166259801</v>
      </c>
      <c r="K4899" s="6">
        <v>58.968269348144503</v>
      </c>
      <c r="L4899" s="6">
        <v>57.513347625732401</v>
      </c>
    </row>
    <row r="4900" spans="1:12" x14ac:dyDescent="0.25">
      <c r="A4900">
        <v>3509304</v>
      </c>
      <c r="B4900" t="str">
        <f t="shared" si="76"/>
        <v>CAJOBI, SP, Brasil</v>
      </c>
      <c r="C4900" s="4" t="str">
        <f>_xlfn.XLOOKUP(A4900,[1]!DadosGHD[CD_GEOCMU],[1]!DadosGHD[Região])</f>
        <v>SD</v>
      </c>
      <c r="D4900" s="4" t="str">
        <f>_xlfn.XLOOKUP(A4900,[1]!DadosGHD[CD_GEOCMU],[1]!DadosGHD[uf])</f>
        <v>SP</v>
      </c>
      <c r="E4900" s="5" t="str">
        <f>_xlfn.XLOOKUP(A4900,[1]!DadosGHD[CD_GEOCMU],[1]!DadosGHD[MUNICIPIO])</f>
        <v>CAJOBI</v>
      </c>
      <c r="F4900" s="6">
        <v>53.721958160400398</v>
      </c>
      <c r="G4900" s="6">
        <v>48.763332366943402</v>
      </c>
      <c r="H4900" s="6">
        <v>43.840476989746101</v>
      </c>
      <c r="I4900" s="6">
        <v>48.686885833740199</v>
      </c>
      <c r="J4900" s="6">
        <v>53.736270904541001</v>
      </c>
      <c r="K4900" s="6">
        <v>48.792312622070298</v>
      </c>
      <c r="L4900" s="6">
        <v>48.518234252929702</v>
      </c>
    </row>
    <row r="4901" spans="1:12" x14ac:dyDescent="0.25">
      <c r="A4901">
        <v>4105706</v>
      </c>
      <c r="B4901" t="str">
        <f t="shared" si="76"/>
        <v>CLEVELANDIA, PR, Brasil</v>
      </c>
      <c r="C4901" s="4" t="str">
        <f>_xlfn.XLOOKUP(A4901,[1]!DadosGHD[CD_GEOCMU],[1]!DadosGHD[Região])</f>
        <v>SL</v>
      </c>
      <c r="D4901" s="4" t="str">
        <f>_xlfn.XLOOKUP(A4901,[1]!DadosGHD[CD_GEOCMU],[1]!DadosGHD[uf])</f>
        <v>PR</v>
      </c>
      <c r="E4901" s="5" t="str">
        <f>_xlfn.XLOOKUP(A4901,[1]!DadosGHD[CD_GEOCMU],[1]!DadosGHD[MUNICIPIO])</f>
        <v>CLEVELANDIA</v>
      </c>
      <c r="F4901" s="6">
        <v>53.722236633300803</v>
      </c>
      <c r="G4901" s="6">
        <v>53.795574188232401</v>
      </c>
      <c r="H4901" s="6">
        <v>53.812118530273402</v>
      </c>
      <c r="I4901" s="6">
        <v>53.8262748718262</v>
      </c>
      <c r="J4901" s="6">
        <v>58.847400665283203</v>
      </c>
      <c r="K4901" s="6">
        <v>58.937877655029297</v>
      </c>
      <c r="L4901" s="6">
        <v>52.979705810546903</v>
      </c>
    </row>
    <row r="4902" spans="1:12" x14ac:dyDescent="0.25">
      <c r="A4902">
        <v>3126406</v>
      </c>
      <c r="B4902" t="str">
        <f t="shared" si="76"/>
        <v>FORTUNA DE MINAS, MG, Brasil</v>
      </c>
      <c r="C4902" s="4" t="str">
        <f>_xlfn.XLOOKUP(A4902,[1]!DadosGHD[CD_GEOCMU],[1]!DadosGHD[Região])</f>
        <v>SD</v>
      </c>
      <c r="D4902" s="4" t="str">
        <f>_xlfn.XLOOKUP(A4902,[1]!DadosGHD[CD_GEOCMU],[1]!DadosGHD[uf])</f>
        <v>MG</v>
      </c>
      <c r="E4902" s="5" t="str">
        <f>_xlfn.XLOOKUP(A4902,[1]!DadosGHD[CD_GEOCMU],[1]!DadosGHD[MUNICIPIO])</f>
        <v>FORTUNA DE MINAS</v>
      </c>
      <c r="F4902" s="6">
        <v>53.722343444824197</v>
      </c>
      <c r="G4902" s="6">
        <v>58.729290008544901</v>
      </c>
      <c r="H4902" s="6">
        <v>58.925071716308601</v>
      </c>
      <c r="I4902" s="6">
        <v>58.955295562744098</v>
      </c>
      <c r="J4902" s="6">
        <v>53.793525695800803</v>
      </c>
      <c r="K4902" s="6">
        <v>43.871307373046903</v>
      </c>
      <c r="L4902" s="6">
        <v>35.128013610839801</v>
      </c>
    </row>
    <row r="4903" spans="1:12" x14ac:dyDescent="0.25">
      <c r="A4903">
        <v>4214102</v>
      </c>
      <c r="B4903" t="str">
        <f t="shared" si="76"/>
        <v>PRESIDENTE NEREU, SC, Brasil</v>
      </c>
      <c r="C4903" s="4" t="str">
        <f>_xlfn.XLOOKUP(A4903,[1]!DadosGHD[CD_GEOCMU],[1]!DadosGHD[Região])</f>
        <v>SL</v>
      </c>
      <c r="D4903" s="4" t="str">
        <f>_xlfn.XLOOKUP(A4903,[1]!DadosGHD[CD_GEOCMU],[1]!DadosGHD[uf])</f>
        <v>SC</v>
      </c>
      <c r="E4903" s="5" t="str">
        <f>_xlfn.XLOOKUP(A4903,[1]!DadosGHD[CD_GEOCMU],[1]!DadosGHD[MUNICIPIO])</f>
        <v>PRESIDENTE NEREU</v>
      </c>
      <c r="F4903" s="6">
        <v>53.722499847412102</v>
      </c>
      <c r="G4903" s="6">
        <v>53.756908416748097</v>
      </c>
      <c r="H4903" s="6">
        <v>53.823951721191399</v>
      </c>
      <c r="I4903" s="6">
        <v>53.770702362060597</v>
      </c>
      <c r="J4903" s="6">
        <v>53.7620849609375</v>
      </c>
      <c r="K4903" s="6">
        <v>53.873046875</v>
      </c>
      <c r="L4903" s="6">
        <v>48.4920845031738</v>
      </c>
    </row>
    <row r="4904" spans="1:12" x14ac:dyDescent="0.25">
      <c r="A4904">
        <v>4310330</v>
      </c>
      <c r="B4904" t="str">
        <f t="shared" si="76"/>
        <v>IMBE, RS, Brasil</v>
      </c>
      <c r="C4904" s="4" t="str">
        <f>_xlfn.XLOOKUP(A4904,[1]!DadosGHD[CD_GEOCMU],[1]!DadosGHD[Região])</f>
        <v>SL</v>
      </c>
      <c r="D4904" s="4" t="str">
        <f>_xlfn.XLOOKUP(A4904,[1]!DadosGHD[CD_GEOCMU],[1]!DadosGHD[uf])</f>
        <v>RS</v>
      </c>
      <c r="E4904" s="5" t="str">
        <f>_xlfn.XLOOKUP(A4904,[1]!DadosGHD[CD_GEOCMU],[1]!DadosGHD[MUNICIPIO])</f>
        <v>IMBE</v>
      </c>
      <c r="F4904" s="6">
        <v>53.723682403564503</v>
      </c>
      <c r="G4904" s="6">
        <v>53.691761016845703</v>
      </c>
      <c r="H4904" s="6">
        <v>48.857730865478501</v>
      </c>
      <c r="I4904" s="6">
        <v>53.843105316162102</v>
      </c>
      <c r="J4904" s="6">
        <v>58.864334106445298</v>
      </c>
      <c r="K4904" s="6">
        <v>53.977813720703097</v>
      </c>
      <c r="L4904" s="6">
        <v>57.574989318847699</v>
      </c>
    </row>
    <row r="4905" spans="1:12" x14ac:dyDescent="0.25">
      <c r="A4905">
        <v>3541802</v>
      </c>
      <c r="B4905" t="str">
        <f t="shared" si="76"/>
        <v>QUEIROZ, SP, Brasil</v>
      </c>
      <c r="C4905" s="4" t="str">
        <f>_xlfn.XLOOKUP(A4905,[1]!DadosGHD[CD_GEOCMU],[1]!DadosGHD[Região])</f>
        <v>SD</v>
      </c>
      <c r="D4905" s="4" t="str">
        <f>_xlfn.XLOOKUP(A4905,[1]!DadosGHD[CD_GEOCMU],[1]!DadosGHD[uf])</f>
        <v>SP</v>
      </c>
      <c r="E4905" s="5" t="str">
        <f>_xlfn.XLOOKUP(A4905,[1]!DadosGHD[CD_GEOCMU],[1]!DadosGHD[MUNICIPIO])</f>
        <v>QUEIROZ</v>
      </c>
      <c r="F4905" s="6">
        <v>53.723758697509801</v>
      </c>
      <c r="G4905" s="6">
        <v>43.718650817871101</v>
      </c>
      <c r="H4905" s="6">
        <v>43.8356742858887</v>
      </c>
      <c r="I4905" s="6">
        <v>48.732799530029297</v>
      </c>
      <c r="J4905" s="6">
        <v>48.718448638916001</v>
      </c>
      <c r="K4905" s="6">
        <v>48.810646057128899</v>
      </c>
      <c r="L4905" s="6">
        <v>48.540676116943402</v>
      </c>
    </row>
    <row r="4906" spans="1:12" x14ac:dyDescent="0.25">
      <c r="A4906">
        <v>3555109</v>
      </c>
      <c r="B4906" t="str">
        <f t="shared" si="76"/>
        <v>TUPI PAULISTA, SP, Brasil</v>
      </c>
      <c r="C4906" s="4" t="str">
        <f>_xlfn.XLOOKUP(A4906,[1]!DadosGHD[CD_GEOCMU],[1]!DadosGHD[Região])</f>
        <v>SD</v>
      </c>
      <c r="D4906" s="4" t="str">
        <f>_xlfn.XLOOKUP(A4906,[1]!DadosGHD[CD_GEOCMU],[1]!DadosGHD[uf])</f>
        <v>SP</v>
      </c>
      <c r="E4906" s="5" t="str">
        <f>_xlfn.XLOOKUP(A4906,[1]!DadosGHD[CD_GEOCMU],[1]!DadosGHD[MUNICIPIO])</f>
        <v>TUPI PAULISTA</v>
      </c>
      <c r="F4906" s="6">
        <v>53.724067687988303</v>
      </c>
      <c r="G4906" s="6">
        <v>53.7282104492188</v>
      </c>
      <c r="H4906" s="6">
        <v>48.830314636230497</v>
      </c>
      <c r="I4906" s="6">
        <v>48.714550018310597</v>
      </c>
      <c r="J4906" s="6">
        <v>48.727058410644503</v>
      </c>
      <c r="K4906" s="6">
        <v>48.808280944824197</v>
      </c>
      <c r="L4906" s="6">
        <v>44.055824279785199</v>
      </c>
    </row>
    <row r="4907" spans="1:12" x14ac:dyDescent="0.25">
      <c r="A4907">
        <v>3110608</v>
      </c>
      <c r="B4907" t="str">
        <f t="shared" si="76"/>
        <v>CAMBUI, MG, Brasil</v>
      </c>
      <c r="C4907" s="4" t="str">
        <f>_xlfn.XLOOKUP(A4907,[1]!DadosGHD[CD_GEOCMU],[1]!DadosGHD[Região])</f>
        <v>SD</v>
      </c>
      <c r="D4907" s="4" t="str">
        <f>_xlfn.XLOOKUP(A4907,[1]!DadosGHD[CD_GEOCMU],[1]!DadosGHD[uf])</f>
        <v>MG</v>
      </c>
      <c r="E4907" s="5" t="str">
        <f>_xlfn.XLOOKUP(A4907,[1]!DadosGHD[CD_GEOCMU],[1]!DadosGHD[MUNICIPIO])</f>
        <v>CAMBUI</v>
      </c>
      <c r="F4907" s="6">
        <v>53.724452972412102</v>
      </c>
      <c r="G4907" s="6">
        <v>58.738246917724602</v>
      </c>
      <c r="H4907" s="6">
        <v>53.906867980957003</v>
      </c>
      <c r="I4907" s="6">
        <v>53.862922668457003</v>
      </c>
      <c r="J4907" s="6">
        <v>53.8924369812012</v>
      </c>
      <c r="K4907" s="6">
        <v>53.991737365722699</v>
      </c>
      <c r="L4907" s="6">
        <v>57.560714721679702</v>
      </c>
    </row>
    <row r="4908" spans="1:12" x14ac:dyDescent="0.25">
      <c r="A4908">
        <v>5206909</v>
      </c>
      <c r="B4908" t="str">
        <f t="shared" si="76"/>
        <v>DAVINOPOLIS, GO, Brasil</v>
      </c>
      <c r="C4908" s="4" t="str">
        <f>_xlfn.XLOOKUP(A4908,[1]!DadosGHD[CD_GEOCMU],[1]!DadosGHD[Região])</f>
        <v>CO</v>
      </c>
      <c r="D4908" s="4" t="str">
        <f>_xlfn.XLOOKUP(A4908,[1]!DadosGHD[CD_GEOCMU],[1]!DadosGHD[uf])</f>
        <v>GO</v>
      </c>
      <c r="E4908" s="5" t="str">
        <f>_xlfn.XLOOKUP(A4908,[1]!DadosGHD[CD_GEOCMU],[1]!DadosGHD[MUNICIPIO])</f>
        <v>DAVINOPOLIS</v>
      </c>
      <c r="F4908" s="6">
        <v>53.724514007568402</v>
      </c>
      <c r="G4908" s="6">
        <v>48.686931610107401</v>
      </c>
      <c r="H4908" s="6">
        <v>48.742256164550803</v>
      </c>
      <c r="I4908" s="6">
        <v>48.697799682617202</v>
      </c>
      <c r="J4908" s="6">
        <v>48.716281890869098</v>
      </c>
      <c r="K4908" s="6">
        <v>43.7679252624512</v>
      </c>
      <c r="L4908" s="6">
        <v>39.582347869873097</v>
      </c>
    </row>
    <row r="4909" spans="1:12" x14ac:dyDescent="0.25">
      <c r="A4909">
        <v>3533908</v>
      </c>
      <c r="B4909" t="str">
        <f t="shared" si="76"/>
        <v>OLIMPIA, SP, Brasil</v>
      </c>
      <c r="C4909" s="4" t="str">
        <f>_xlfn.XLOOKUP(A4909,[1]!DadosGHD[CD_GEOCMU],[1]!DadosGHD[Região])</f>
        <v>SD</v>
      </c>
      <c r="D4909" s="4" t="str">
        <f>_xlfn.XLOOKUP(A4909,[1]!DadosGHD[CD_GEOCMU],[1]!DadosGHD[uf])</f>
        <v>SP</v>
      </c>
      <c r="E4909" s="5" t="str">
        <f>_xlfn.XLOOKUP(A4909,[1]!DadosGHD[CD_GEOCMU],[1]!DadosGHD[MUNICIPIO])</f>
        <v>OLIMPIA</v>
      </c>
      <c r="F4909" s="6">
        <v>53.724903106689503</v>
      </c>
      <c r="G4909" s="6">
        <v>58.740829467773402</v>
      </c>
      <c r="H4909" s="6">
        <v>53.801055908203097</v>
      </c>
      <c r="I4909" s="6">
        <v>48.82275390625</v>
      </c>
      <c r="J4909" s="6">
        <v>53.727020263671903</v>
      </c>
      <c r="K4909" s="6">
        <v>48.877536773681598</v>
      </c>
      <c r="L4909" s="6">
        <v>44.043548583984403</v>
      </c>
    </row>
    <row r="4910" spans="1:12" x14ac:dyDescent="0.25">
      <c r="A4910">
        <v>5003801</v>
      </c>
      <c r="B4910" t="str">
        <f t="shared" si="76"/>
        <v>FATIMA DO SUL, MS, Brasil</v>
      </c>
      <c r="C4910" s="4" t="str">
        <f>_xlfn.XLOOKUP(A4910,[1]!DadosGHD[CD_GEOCMU],[1]!DadosGHD[Região])</f>
        <v>CO</v>
      </c>
      <c r="D4910" s="4" t="str">
        <f>_xlfn.XLOOKUP(A4910,[1]!DadosGHD[CD_GEOCMU],[1]!DadosGHD[uf])</f>
        <v>MS</v>
      </c>
      <c r="E4910" s="5" t="str">
        <f>_xlfn.XLOOKUP(A4910,[1]!DadosGHD[CD_GEOCMU],[1]!DadosGHD[MUNICIPIO])</f>
        <v>FATIMA DO SUL</v>
      </c>
      <c r="F4910" s="6">
        <v>53.724910736083999</v>
      </c>
      <c r="G4910" s="6">
        <v>58.715724945068402</v>
      </c>
      <c r="H4910" s="6">
        <v>58.8347778320313</v>
      </c>
      <c r="I4910" s="6">
        <v>58.810070037841797</v>
      </c>
      <c r="J4910" s="6">
        <v>53.887954711914098</v>
      </c>
      <c r="K4910" s="6">
        <v>53.994979858398402</v>
      </c>
      <c r="L4910" s="6">
        <v>48.487537384033203</v>
      </c>
    </row>
    <row r="4911" spans="1:12" x14ac:dyDescent="0.25">
      <c r="A4911">
        <v>3501152</v>
      </c>
      <c r="B4911" t="str">
        <f t="shared" si="76"/>
        <v>ALUMINIO, SP, Brasil</v>
      </c>
      <c r="C4911" s="4" t="str">
        <f>_xlfn.XLOOKUP(A4911,[1]!DadosGHD[CD_GEOCMU],[1]!DadosGHD[Região])</f>
        <v>SD</v>
      </c>
      <c r="D4911" s="4" t="str">
        <f>_xlfn.XLOOKUP(A4911,[1]!DadosGHD[CD_GEOCMU],[1]!DadosGHD[uf])</f>
        <v>SP</v>
      </c>
      <c r="E4911" s="5" t="str">
        <f>_xlfn.XLOOKUP(A4911,[1]!DadosGHD[CD_GEOCMU],[1]!DadosGHD[MUNICIPIO])</f>
        <v>ALUMINIO</v>
      </c>
      <c r="F4911" s="6">
        <v>53.725502014160199</v>
      </c>
      <c r="G4911" s="6">
        <v>53.684032440185597</v>
      </c>
      <c r="H4911" s="6">
        <v>48.7931098937988</v>
      </c>
      <c r="I4911" s="6">
        <v>48.688461303710902</v>
      </c>
      <c r="J4911" s="6">
        <v>43.777431488037102</v>
      </c>
      <c r="K4911" s="6">
        <v>43.754005432128899</v>
      </c>
      <c r="L4911" s="6">
        <v>39.572391510009801</v>
      </c>
    </row>
    <row r="4912" spans="1:12" x14ac:dyDescent="0.25">
      <c r="A4912">
        <v>4212056</v>
      </c>
      <c r="B4912" t="str">
        <f t="shared" si="76"/>
        <v>PALMEIRA, SC, Brasil</v>
      </c>
      <c r="C4912" s="4" t="str">
        <f>_xlfn.XLOOKUP(A4912,[1]!DadosGHD[CD_GEOCMU],[1]!DadosGHD[Região])</f>
        <v>SL</v>
      </c>
      <c r="D4912" s="4" t="str">
        <f>_xlfn.XLOOKUP(A4912,[1]!DadosGHD[CD_GEOCMU],[1]!DadosGHD[uf])</f>
        <v>SC</v>
      </c>
      <c r="E4912" s="5" t="str">
        <f>_xlfn.XLOOKUP(A4912,[1]!DadosGHD[CD_GEOCMU],[1]!DadosGHD[MUNICIPIO])</f>
        <v>PALMEIRA</v>
      </c>
      <c r="F4912" s="6">
        <v>53.725883483886697</v>
      </c>
      <c r="G4912" s="6">
        <v>48.709915161132798</v>
      </c>
      <c r="H4912" s="6">
        <v>58.8837280273438</v>
      </c>
      <c r="I4912" s="6">
        <v>58.839859008789098</v>
      </c>
      <c r="J4912" s="6">
        <v>58.895057678222699</v>
      </c>
      <c r="K4912" s="6">
        <v>43.864635467529297</v>
      </c>
      <c r="L4912" s="6">
        <v>39.589881896972699</v>
      </c>
    </row>
    <row r="4913" spans="1:12" x14ac:dyDescent="0.25">
      <c r="A4913">
        <v>3168903</v>
      </c>
      <c r="B4913" t="str">
        <f t="shared" si="76"/>
        <v>TIROS, MG, Brasil</v>
      </c>
      <c r="C4913" s="4" t="str">
        <f>_xlfn.XLOOKUP(A4913,[1]!DadosGHD[CD_GEOCMU],[1]!DadosGHD[Região])</f>
        <v>SD</v>
      </c>
      <c r="D4913" s="4" t="str">
        <f>_xlfn.XLOOKUP(A4913,[1]!DadosGHD[CD_GEOCMU],[1]!DadosGHD[uf])</f>
        <v>MG</v>
      </c>
      <c r="E4913" s="5" t="str">
        <f>_xlfn.XLOOKUP(A4913,[1]!DadosGHD[CD_GEOCMU],[1]!DadosGHD[MUNICIPIO])</f>
        <v>TIROS</v>
      </c>
      <c r="F4913" s="6">
        <v>53.726425170898402</v>
      </c>
      <c r="G4913" s="6">
        <v>53.703269958496101</v>
      </c>
      <c r="H4913" s="6">
        <v>53.800567626953097</v>
      </c>
      <c r="I4913" s="6">
        <v>53.778739929199197</v>
      </c>
      <c r="J4913" s="6">
        <v>53.827957153320298</v>
      </c>
      <c r="K4913" s="6">
        <v>53.877960205078097</v>
      </c>
      <c r="L4913" s="6">
        <v>44.048145294189503</v>
      </c>
    </row>
    <row r="4914" spans="1:12" x14ac:dyDescent="0.25">
      <c r="A4914">
        <v>3533007</v>
      </c>
      <c r="B4914" t="str">
        <f t="shared" si="76"/>
        <v>NOVA GRANADA, SP, Brasil</v>
      </c>
      <c r="C4914" s="4" t="str">
        <f>_xlfn.XLOOKUP(A4914,[1]!DadosGHD[CD_GEOCMU],[1]!DadosGHD[Região])</f>
        <v>SD</v>
      </c>
      <c r="D4914" s="4" t="str">
        <f>_xlfn.XLOOKUP(A4914,[1]!DadosGHD[CD_GEOCMU],[1]!DadosGHD[uf])</f>
        <v>SP</v>
      </c>
      <c r="E4914" s="5" t="str">
        <f>_xlfn.XLOOKUP(A4914,[1]!DadosGHD[CD_GEOCMU],[1]!DadosGHD[MUNICIPIO])</f>
        <v>NOVA GRANADA</v>
      </c>
      <c r="F4914" s="6">
        <v>53.726490020752003</v>
      </c>
      <c r="G4914" s="6">
        <v>53.691074371337898</v>
      </c>
      <c r="H4914" s="6">
        <v>48.797492980957003</v>
      </c>
      <c r="I4914" s="6">
        <v>48.713199615478501</v>
      </c>
      <c r="J4914" s="6">
        <v>43.824169158935597</v>
      </c>
      <c r="K4914" s="6">
        <v>43.882907867431598</v>
      </c>
      <c r="L4914" s="6">
        <v>48.490020751953097</v>
      </c>
    </row>
    <row r="4915" spans="1:12" x14ac:dyDescent="0.25">
      <c r="A4915">
        <v>4321808</v>
      </c>
      <c r="B4915" t="str">
        <f t="shared" si="76"/>
        <v>TRES DE MAIO, RS, Brasil</v>
      </c>
      <c r="C4915" s="4" t="str">
        <f>_xlfn.XLOOKUP(A4915,[1]!DadosGHD[CD_GEOCMU],[1]!DadosGHD[Região])</f>
        <v>SL</v>
      </c>
      <c r="D4915" s="4" t="str">
        <f>_xlfn.XLOOKUP(A4915,[1]!DadosGHD[CD_GEOCMU],[1]!DadosGHD[uf])</f>
        <v>RS</v>
      </c>
      <c r="E4915" s="5" t="str">
        <f>_xlfn.XLOOKUP(A4915,[1]!DadosGHD[CD_GEOCMU],[1]!DadosGHD[MUNICIPIO])</f>
        <v>TRES DE MAIO</v>
      </c>
      <c r="F4915" s="6">
        <v>53.726863861083999</v>
      </c>
      <c r="G4915" s="6">
        <v>58.785125732421903</v>
      </c>
      <c r="H4915" s="6">
        <v>58.927146911621101</v>
      </c>
      <c r="I4915" s="6">
        <v>58.875556945800803</v>
      </c>
      <c r="J4915" s="6">
        <v>58.828704833984403</v>
      </c>
      <c r="K4915" s="6">
        <v>59.075607299804702</v>
      </c>
      <c r="L4915" s="6">
        <v>53.062137603759801</v>
      </c>
    </row>
    <row r="4916" spans="1:12" x14ac:dyDescent="0.25">
      <c r="A4916">
        <v>3516705</v>
      </c>
      <c r="B4916" t="str">
        <f t="shared" si="76"/>
        <v>GARCA, SP, Brasil</v>
      </c>
      <c r="C4916" s="4" t="str">
        <f>_xlfn.XLOOKUP(A4916,[1]!DadosGHD[CD_GEOCMU],[1]!DadosGHD[Região])</f>
        <v>SD</v>
      </c>
      <c r="D4916" s="4" t="str">
        <f>_xlfn.XLOOKUP(A4916,[1]!DadosGHD[CD_GEOCMU],[1]!DadosGHD[uf])</f>
        <v>SP</v>
      </c>
      <c r="E4916" s="5" t="str">
        <f>_xlfn.XLOOKUP(A4916,[1]!DadosGHD[CD_GEOCMU],[1]!DadosGHD[MUNICIPIO])</f>
        <v>GARCA</v>
      </c>
      <c r="F4916" s="6">
        <v>53.726959228515597</v>
      </c>
      <c r="G4916" s="6">
        <v>53.735973358154297</v>
      </c>
      <c r="H4916" s="6">
        <v>53.841056823730497</v>
      </c>
      <c r="I4916" s="6">
        <v>53.835678100585902</v>
      </c>
      <c r="J4916" s="6">
        <v>53.860065460205099</v>
      </c>
      <c r="K4916" s="6">
        <v>53.906429290771499</v>
      </c>
      <c r="L4916" s="6">
        <v>57.492279052734403</v>
      </c>
    </row>
    <row r="4917" spans="1:12" x14ac:dyDescent="0.25">
      <c r="A4917">
        <v>4318903</v>
      </c>
      <c r="B4917" t="str">
        <f t="shared" si="76"/>
        <v>SAO LUIZ GONZAGA, RS, Brasil</v>
      </c>
      <c r="C4917" s="4" t="str">
        <f>_xlfn.XLOOKUP(A4917,[1]!DadosGHD[CD_GEOCMU],[1]!DadosGHD[Região])</f>
        <v>SL</v>
      </c>
      <c r="D4917" s="4" t="str">
        <f>_xlfn.XLOOKUP(A4917,[1]!DadosGHD[CD_GEOCMU],[1]!DadosGHD[uf])</f>
        <v>RS</v>
      </c>
      <c r="E4917" s="5" t="str">
        <f>_xlfn.XLOOKUP(A4917,[1]!DadosGHD[CD_GEOCMU],[1]!DadosGHD[MUNICIPIO])</f>
        <v>SAO LUIZ GONZAGA</v>
      </c>
      <c r="F4917" s="6">
        <v>53.7273139953613</v>
      </c>
      <c r="G4917" s="6">
        <v>58.760829925537102</v>
      </c>
      <c r="H4917" s="6">
        <v>58.867279052734403</v>
      </c>
      <c r="I4917" s="6">
        <v>58.8482475280762</v>
      </c>
      <c r="J4917" s="6">
        <v>58.855308532714801</v>
      </c>
      <c r="K4917" s="6">
        <v>58.941444396972699</v>
      </c>
      <c r="L4917" s="6">
        <v>53.046207427978501</v>
      </c>
    </row>
    <row r="4918" spans="1:12" x14ac:dyDescent="0.25">
      <c r="A4918">
        <v>3525607</v>
      </c>
      <c r="B4918" t="str">
        <f t="shared" si="76"/>
        <v>JOAO RAMALHO, SP, Brasil</v>
      </c>
      <c r="C4918" s="4" t="str">
        <f>_xlfn.XLOOKUP(A4918,[1]!DadosGHD[CD_GEOCMU],[1]!DadosGHD[Região])</f>
        <v>SD</v>
      </c>
      <c r="D4918" s="4" t="str">
        <f>_xlfn.XLOOKUP(A4918,[1]!DadosGHD[CD_GEOCMU],[1]!DadosGHD[uf])</f>
        <v>SP</v>
      </c>
      <c r="E4918" s="5" t="str">
        <f>_xlfn.XLOOKUP(A4918,[1]!DadosGHD[CD_GEOCMU],[1]!DadosGHD[MUNICIPIO])</f>
        <v>JOAO RAMALHO</v>
      </c>
      <c r="F4918" s="6">
        <v>53.7276611328125</v>
      </c>
      <c r="G4918" s="6">
        <v>53.745212554931598</v>
      </c>
      <c r="H4918" s="6">
        <v>53.825897216796903</v>
      </c>
      <c r="I4918" s="6">
        <v>53.751194000244098</v>
      </c>
      <c r="J4918" s="6">
        <v>48.824733734130902</v>
      </c>
      <c r="K4918" s="6">
        <v>48.908496856689503</v>
      </c>
      <c r="L4918" s="6">
        <v>44.022411346435597</v>
      </c>
    </row>
    <row r="4919" spans="1:12" x14ac:dyDescent="0.25">
      <c r="A4919">
        <v>3539004</v>
      </c>
      <c r="B4919" t="str">
        <f t="shared" si="76"/>
        <v>PIRANGI, SP, Brasil</v>
      </c>
      <c r="C4919" s="4" t="str">
        <f>_xlfn.XLOOKUP(A4919,[1]!DadosGHD[CD_GEOCMU],[1]!DadosGHD[Região])</f>
        <v>SD</v>
      </c>
      <c r="D4919" s="4" t="str">
        <f>_xlfn.XLOOKUP(A4919,[1]!DadosGHD[CD_GEOCMU],[1]!DadosGHD[uf])</f>
        <v>SP</v>
      </c>
      <c r="E4919" s="5" t="str">
        <f>_xlfn.XLOOKUP(A4919,[1]!DadosGHD[CD_GEOCMU],[1]!DadosGHD[MUNICIPIO])</f>
        <v>PIRANGI</v>
      </c>
      <c r="F4919" s="6">
        <v>53.727828979492202</v>
      </c>
      <c r="G4919" s="6">
        <v>53.799850463867202</v>
      </c>
      <c r="H4919" s="6">
        <v>48.828670501708999</v>
      </c>
      <c r="I4919" s="6">
        <v>48.725597381591797</v>
      </c>
      <c r="J4919" s="6">
        <v>48.697353363037102</v>
      </c>
      <c r="K4919" s="6">
        <v>43.836967468261697</v>
      </c>
      <c r="L4919" s="6">
        <v>35.153327941894503</v>
      </c>
    </row>
    <row r="4920" spans="1:12" x14ac:dyDescent="0.25">
      <c r="A4920">
        <v>5105002</v>
      </c>
      <c r="B4920" t="str">
        <f t="shared" si="76"/>
        <v>JAURU, MT, Brasil</v>
      </c>
      <c r="C4920" s="4" t="str">
        <f>_xlfn.XLOOKUP(A4920,[1]!DadosGHD[CD_GEOCMU],[1]!DadosGHD[Região])</f>
        <v>CO</v>
      </c>
      <c r="D4920" s="4" t="str">
        <f>_xlfn.XLOOKUP(A4920,[1]!DadosGHD[CD_GEOCMU],[1]!DadosGHD[uf])</f>
        <v>MT</v>
      </c>
      <c r="E4920" s="5" t="str">
        <f>_xlfn.XLOOKUP(A4920,[1]!DadosGHD[CD_GEOCMU],[1]!DadosGHD[MUNICIPIO])</f>
        <v>JAURU</v>
      </c>
      <c r="F4920" s="6">
        <v>53.728172302246101</v>
      </c>
      <c r="G4920" s="6">
        <v>58.784618377685597</v>
      </c>
      <c r="H4920" s="6">
        <v>58.887653350830099</v>
      </c>
      <c r="I4920" s="6">
        <v>58.8668212890625</v>
      </c>
      <c r="J4920" s="6">
        <v>58.898983001708999</v>
      </c>
      <c r="K4920" s="6">
        <v>58.905349731445298</v>
      </c>
      <c r="L4920" s="6">
        <v>39.605644226074197</v>
      </c>
    </row>
    <row r="4921" spans="1:12" x14ac:dyDescent="0.25">
      <c r="A4921">
        <v>4211207</v>
      </c>
      <c r="B4921" t="str">
        <f t="shared" si="76"/>
        <v>MORRO DA FUMACA, SC, Brasil</v>
      </c>
      <c r="C4921" s="4" t="str">
        <f>_xlfn.XLOOKUP(A4921,[1]!DadosGHD[CD_GEOCMU],[1]!DadosGHD[Região])</f>
        <v>SL</v>
      </c>
      <c r="D4921" s="4" t="str">
        <f>_xlfn.XLOOKUP(A4921,[1]!DadosGHD[CD_GEOCMU],[1]!DadosGHD[uf])</f>
        <v>SC</v>
      </c>
      <c r="E4921" s="5" t="str">
        <f>_xlfn.XLOOKUP(A4921,[1]!DadosGHD[CD_GEOCMU],[1]!DadosGHD[MUNICIPIO])</f>
        <v>MORRO DA FUMACA</v>
      </c>
      <c r="F4921" s="6">
        <v>53.728214263916001</v>
      </c>
      <c r="G4921" s="6">
        <v>58.753101348877003</v>
      </c>
      <c r="H4921" s="6">
        <v>58.824211120605497</v>
      </c>
      <c r="I4921" s="6">
        <v>58.934375762939503</v>
      </c>
      <c r="J4921" s="6">
        <v>63.949676513671903</v>
      </c>
      <c r="K4921" s="6">
        <v>59.033153533935597</v>
      </c>
      <c r="L4921" s="6">
        <v>57.537490844726598</v>
      </c>
    </row>
    <row r="4922" spans="1:12" x14ac:dyDescent="0.25">
      <c r="A4922">
        <v>3556305</v>
      </c>
      <c r="B4922" t="str">
        <f t="shared" si="76"/>
        <v>VALPARAISO, SP, Brasil</v>
      </c>
      <c r="C4922" s="4" t="str">
        <f>_xlfn.XLOOKUP(A4922,[1]!DadosGHD[CD_GEOCMU],[1]!DadosGHD[Região])</f>
        <v>SD</v>
      </c>
      <c r="D4922" s="4" t="str">
        <f>_xlfn.XLOOKUP(A4922,[1]!DadosGHD[CD_GEOCMU],[1]!DadosGHD[uf])</f>
        <v>SP</v>
      </c>
      <c r="E4922" s="5" t="str">
        <f>_xlfn.XLOOKUP(A4922,[1]!DadosGHD[CD_GEOCMU],[1]!DadosGHD[MUNICIPIO])</f>
        <v>VALPARAISO</v>
      </c>
      <c r="F4922" s="6">
        <v>53.728225708007798</v>
      </c>
      <c r="G4922" s="6">
        <v>58.726715087890597</v>
      </c>
      <c r="H4922" s="6">
        <v>53.764308929443402</v>
      </c>
      <c r="I4922" s="6">
        <v>48.713958740234403</v>
      </c>
      <c r="J4922" s="6">
        <v>48.704971313476598</v>
      </c>
      <c r="K4922" s="6">
        <v>43.854141235351598</v>
      </c>
      <c r="L4922" s="6">
        <v>44.014945983886697</v>
      </c>
    </row>
    <row r="4923" spans="1:12" x14ac:dyDescent="0.25">
      <c r="A4923">
        <v>3530102</v>
      </c>
      <c r="B4923" t="str">
        <f t="shared" si="76"/>
        <v>MIRANDOPOLIS, SP, Brasil</v>
      </c>
      <c r="C4923" s="4" t="str">
        <f>_xlfn.XLOOKUP(A4923,[1]!DadosGHD[CD_GEOCMU],[1]!DadosGHD[Região])</f>
        <v>SD</v>
      </c>
      <c r="D4923" s="4" t="str">
        <f>_xlfn.XLOOKUP(A4923,[1]!DadosGHD[CD_GEOCMU],[1]!DadosGHD[uf])</f>
        <v>SP</v>
      </c>
      <c r="E4923" s="5" t="str">
        <f>_xlfn.XLOOKUP(A4923,[1]!DadosGHD[CD_GEOCMU],[1]!DadosGHD[MUNICIPIO])</f>
        <v>MIRANDOPOLIS</v>
      </c>
      <c r="F4923" s="6">
        <v>53.728275299072301</v>
      </c>
      <c r="G4923" s="6">
        <v>53.705726623535199</v>
      </c>
      <c r="H4923" s="6">
        <v>48.7581176757813</v>
      </c>
      <c r="I4923" s="6">
        <v>48.8191947937012</v>
      </c>
      <c r="J4923" s="6">
        <v>53.756183624267599</v>
      </c>
      <c r="K4923" s="6">
        <v>48.892948150634801</v>
      </c>
      <c r="L4923" s="6">
        <v>48.511627197265597</v>
      </c>
    </row>
    <row r="4924" spans="1:12" x14ac:dyDescent="0.25">
      <c r="A4924">
        <v>4310363</v>
      </c>
      <c r="B4924" t="str">
        <f t="shared" si="76"/>
        <v>IMIGRANTE, RS, Brasil</v>
      </c>
      <c r="C4924" s="4" t="str">
        <f>_xlfn.XLOOKUP(A4924,[1]!DadosGHD[CD_GEOCMU],[1]!DadosGHD[Região])</f>
        <v>SL</v>
      </c>
      <c r="D4924" s="4" t="str">
        <f>_xlfn.XLOOKUP(A4924,[1]!DadosGHD[CD_GEOCMU],[1]!DadosGHD[uf])</f>
        <v>RS</v>
      </c>
      <c r="E4924" s="5" t="str">
        <f>_xlfn.XLOOKUP(A4924,[1]!DadosGHD[CD_GEOCMU],[1]!DadosGHD[MUNICIPIO])</f>
        <v>IMIGRANTE</v>
      </c>
      <c r="F4924" s="6">
        <v>53.728851318359403</v>
      </c>
      <c r="G4924" s="6">
        <v>63.920272827148402</v>
      </c>
      <c r="H4924" s="6">
        <v>64.026092529296903</v>
      </c>
      <c r="I4924" s="6">
        <v>64.000221252441406</v>
      </c>
      <c r="J4924" s="6">
        <v>64.039611816406307</v>
      </c>
      <c r="K4924" s="6">
        <v>64.13623046875</v>
      </c>
      <c r="L4924" s="6">
        <v>57.589881896972699</v>
      </c>
    </row>
    <row r="4925" spans="1:12" x14ac:dyDescent="0.25">
      <c r="A4925">
        <v>4103602</v>
      </c>
      <c r="B4925" t="str">
        <f t="shared" si="76"/>
        <v>CAMBARA, PR, Brasil</v>
      </c>
      <c r="C4925" s="4" t="str">
        <f>_xlfn.XLOOKUP(A4925,[1]!DadosGHD[CD_GEOCMU],[1]!DadosGHD[Região])</f>
        <v>SL</v>
      </c>
      <c r="D4925" s="4" t="str">
        <f>_xlfn.XLOOKUP(A4925,[1]!DadosGHD[CD_GEOCMU],[1]!DadosGHD[uf])</f>
        <v>PR</v>
      </c>
      <c r="E4925" s="5" t="str">
        <f>_xlfn.XLOOKUP(A4925,[1]!DadosGHD[CD_GEOCMU],[1]!DadosGHD[MUNICIPIO])</f>
        <v>CAMBARA</v>
      </c>
      <c r="F4925" s="6">
        <v>53.728919982910199</v>
      </c>
      <c r="G4925" s="6">
        <v>58.745655059814503</v>
      </c>
      <c r="H4925" s="6">
        <v>58.826011657714801</v>
      </c>
      <c r="I4925" s="6">
        <v>53.854133605957003</v>
      </c>
      <c r="J4925" s="6">
        <v>58.808151245117202</v>
      </c>
      <c r="K4925" s="6">
        <v>53.854259490966797</v>
      </c>
      <c r="L4925" s="6">
        <v>48.543018341064503</v>
      </c>
    </row>
    <row r="4926" spans="1:12" x14ac:dyDescent="0.25">
      <c r="A4926">
        <v>3531704</v>
      </c>
      <c r="B4926" t="str">
        <f t="shared" si="76"/>
        <v>MONTEIRO LOBATO, SP, Brasil</v>
      </c>
      <c r="C4926" s="4" t="str">
        <f>_xlfn.XLOOKUP(A4926,[1]!DadosGHD[CD_GEOCMU],[1]!DadosGHD[Região])</f>
        <v>SD</v>
      </c>
      <c r="D4926" s="4" t="str">
        <f>_xlfn.XLOOKUP(A4926,[1]!DadosGHD[CD_GEOCMU],[1]!DadosGHD[uf])</f>
        <v>SP</v>
      </c>
      <c r="E4926" s="5" t="str">
        <f>_xlfn.XLOOKUP(A4926,[1]!DadosGHD[CD_GEOCMU],[1]!DadosGHD[MUNICIPIO])</f>
        <v>MONTEIRO LOBATO</v>
      </c>
      <c r="F4926" s="6">
        <v>53.728939056396499</v>
      </c>
      <c r="G4926" s="6">
        <v>53.6620483398438</v>
      </c>
      <c r="H4926" s="6">
        <v>48.808883666992202</v>
      </c>
      <c r="I4926" s="6">
        <v>48.757930755615199</v>
      </c>
      <c r="J4926" s="6">
        <v>43.767414093017599</v>
      </c>
      <c r="K4926" s="6">
        <v>43.802543640136697</v>
      </c>
      <c r="L4926" s="6">
        <v>35.152774810791001</v>
      </c>
    </row>
    <row r="4927" spans="1:12" x14ac:dyDescent="0.25">
      <c r="A4927">
        <v>4213906</v>
      </c>
      <c r="B4927" t="str">
        <f t="shared" si="76"/>
        <v>PRESIDENTE CASTELLO BRANCO, SC, Brasil</v>
      </c>
      <c r="C4927" s="4" t="str">
        <f>_xlfn.XLOOKUP(A4927,[1]!DadosGHD[CD_GEOCMU],[1]!DadosGHD[Região])</f>
        <v>SL</v>
      </c>
      <c r="D4927" s="4" t="str">
        <f>_xlfn.XLOOKUP(A4927,[1]!DadosGHD[CD_GEOCMU],[1]!DadosGHD[uf])</f>
        <v>SC</v>
      </c>
      <c r="E4927" s="5" t="str">
        <f>_xlfn.XLOOKUP(A4927,[1]!DadosGHD[CD_GEOCMU],[1]!DadosGHD[MUNICIPIO])</f>
        <v>PRESIDENTE CASTELLO BRANCO</v>
      </c>
      <c r="F4927" s="6">
        <v>53.729045867919901</v>
      </c>
      <c r="G4927" s="6">
        <v>53.7966117858887</v>
      </c>
      <c r="H4927" s="6">
        <v>53.849884033203097</v>
      </c>
      <c r="I4927" s="6">
        <v>53.821826934814503</v>
      </c>
      <c r="J4927" s="6">
        <v>53.858089447021499</v>
      </c>
      <c r="K4927" s="6">
        <v>53.892494201660199</v>
      </c>
      <c r="L4927" s="6">
        <v>39.583866119384801</v>
      </c>
    </row>
    <row r="4928" spans="1:12" x14ac:dyDescent="0.25">
      <c r="A4928">
        <v>3145505</v>
      </c>
      <c r="B4928" t="str">
        <f t="shared" si="76"/>
        <v>OLIMPIO NORONHA, MG, Brasil</v>
      </c>
      <c r="C4928" s="4" t="str">
        <f>_xlfn.XLOOKUP(A4928,[1]!DadosGHD[CD_GEOCMU],[1]!DadosGHD[Região])</f>
        <v>SD</v>
      </c>
      <c r="D4928" s="4" t="str">
        <f>_xlfn.XLOOKUP(A4928,[1]!DadosGHD[CD_GEOCMU],[1]!DadosGHD[uf])</f>
        <v>MG</v>
      </c>
      <c r="E4928" s="5" t="str">
        <f>_xlfn.XLOOKUP(A4928,[1]!DadosGHD[CD_GEOCMU],[1]!DadosGHD[MUNICIPIO])</f>
        <v>OLIMPIO NORONHA</v>
      </c>
      <c r="F4928" s="6">
        <v>53.729324340820298</v>
      </c>
      <c r="G4928" s="6">
        <v>53.685096740722699</v>
      </c>
      <c r="H4928" s="6">
        <v>43.782634735107401</v>
      </c>
      <c r="I4928" s="6">
        <v>43.739967346191399</v>
      </c>
      <c r="J4928" s="6">
        <v>43.753467559814503</v>
      </c>
      <c r="K4928" s="6">
        <v>43.770587921142599</v>
      </c>
      <c r="L4928" s="6">
        <v>35.1243705749512</v>
      </c>
    </row>
    <row r="4929" spans="1:12" x14ac:dyDescent="0.25">
      <c r="A4929">
        <v>4101804</v>
      </c>
      <c r="B4929" t="str">
        <f t="shared" si="76"/>
        <v>ARAUCARIA, PR, Brasil</v>
      </c>
      <c r="C4929" s="4" t="str">
        <f>_xlfn.XLOOKUP(A4929,[1]!DadosGHD[CD_GEOCMU],[1]!DadosGHD[Região])</f>
        <v>SL</v>
      </c>
      <c r="D4929" s="4" t="str">
        <f>_xlfn.XLOOKUP(A4929,[1]!DadosGHD[CD_GEOCMU],[1]!DadosGHD[uf])</f>
        <v>PR</v>
      </c>
      <c r="E4929" s="5" t="str">
        <f>_xlfn.XLOOKUP(A4929,[1]!DadosGHD[CD_GEOCMU],[1]!DadosGHD[MUNICIPIO])</f>
        <v>ARAUCARIA</v>
      </c>
      <c r="F4929" s="6">
        <v>53.7295112609863</v>
      </c>
      <c r="G4929" s="6">
        <v>53.818527221679702</v>
      </c>
      <c r="H4929" s="6">
        <v>53.869411468505902</v>
      </c>
      <c r="I4929" s="6">
        <v>53.813198089599602</v>
      </c>
      <c r="J4929" s="6">
        <v>53.784519195556598</v>
      </c>
      <c r="K4929" s="6">
        <v>48.902694702148402</v>
      </c>
      <c r="L4929" s="6">
        <v>48.493202209472699</v>
      </c>
    </row>
    <row r="4930" spans="1:12" x14ac:dyDescent="0.25">
      <c r="A4930">
        <v>5201108</v>
      </c>
      <c r="B4930" t="str">
        <f t="shared" si="76"/>
        <v>ANAPOLIS, GO, Brasil</v>
      </c>
      <c r="C4930" s="4" t="str">
        <f>_xlfn.XLOOKUP(A4930,[1]!DadosGHD[CD_GEOCMU],[1]!DadosGHD[Região])</f>
        <v>CO</v>
      </c>
      <c r="D4930" s="4" t="str">
        <f>_xlfn.XLOOKUP(A4930,[1]!DadosGHD[CD_GEOCMU],[1]!DadosGHD[uf])</f>
        <v>GO</v>
      </c>
      <c r="E4930" s="5" t="str">
        <f>_xlfn.XLOOKUP(A4930,[1]!DadosGHD[CD_GEOCMU],[1]!DadosGHD[MUNICIPIO])</f>
        <v>ANAPOLIS</v>
      </c>
      <c r="F4930" s="6">
        <v>53.730072021484403</v>
      </c>
      <c r="G4930" s="6">
        <v>53.781238555908203</v>
      </c>
      <c r="H4930" s="6">
        <v>53.808933258056598</v>
      </c>
      <c r="I4930" s="6">
        <v>53.753746032714801</v>
      </c>
      <c r="J4930" s="6">
        <v>53.727851867675803</v>
      </c>
      <c r="K4930" s="6">
        <v>48.879650115966797</v>
      </c>
      <c r="L4930" s="6">
        <v>44.051990509033203</v>
      </c>
    </row>
    <row r="4931" spans="1:12" x14ac:dyDescent="0.25">
      <c r="A4931">
        <v>4204509</v>
      </c>
      <c r="B4931" t="str">
        <f t="shared" si="76"/>
        <v>CORUPA, SC, Brasil</v>
      </c>
      <c r="C4931" s="4" t="str">
        <f>_xlfn.XLOOKUP(A4931,[1]!DadosGHD[CD_GEOCMU],[1]!DadosGHD[Região])</f>
        <v>SL</v>
      </c>
      <c r="D4931" s="4" t="str">
        <f>_xlfn.XLOOKUP(A4931,[1]!DadosGHD[CD_GEOCMU],[1]!DadosGHD[uf])</f>
        <v>SC</v>
      </c>
      <c r="E4931" s="5" t="str">
        <f>_xlfn.XLOOKUP(A4931,[1]!DadosGHD[CD_GEOCMU],[1]!DadosGHD[MUNICIPIO])</f>
        <v>CORUPA</v>
      </c>
      <c r="F4931" s="6">
        <v>53.730430603027301</v>
      </c>
      <c r="G4931" s="6">
        <v>53.807746887207003</v>
      </c>
      <c r="H4931" s="6">
        <v>58.831443786621101</v>
      </c>
      <c r="I4931" s="6">
        <v>53.818386077880902</v>
      </c>
      <c r="J4931" s="6">
        <v>53.763130187988303</v>
      </c>
      <c r="K4931" s="6">
        <v>48.822025299072301</v>
      </c>
      <c r="L4931" s="6">
        <v>48.561031341552699</v>
      </c>
    </row>
    <row r="4932" spans="1:12" x14ac:dyDescent="0.25">
      <c r="A4932">
        <v>3513108</v>
      </c>
      <c r="B4932" t="str">
        <f t="shared" ref="B4932:B4995" si="77">_xlfn.CONCAT(E4932, ", ", D4932, ", Brasil")</f>
        <v>CRAVINHOS, SP, Brasil</v>
      </c>
      <c r="C4932" s="4" t="str">
        <f>_xlfn.XLOOKUP(A4932,[1]!DadosGHD[CD_GEOCMU],[1]!DadosGHD[Região])</f>
        <v>SD</v>
      </c>
      <c r="D4932" s="4" t="str">
        <f>_xlfn.XLOOKUP(A4932,[1]!DadosGHD[CD_GEOCMU],[1]!DadosGHD[uf])</f>
        <v>SP</v>
      </c>
      <c r="E4932" s="5" t="str">
        <f>_xlfn.XLOOKUP(A4932,[1]!DadosGHD[CD_GEOCMU],[1]!DadosGHD[MUNICIPIO])</f>
        <v>CRAVINHOS</v>
      </c>
      <c r="F4932" s="6">
        <v>53.7319526672363</v>
      </c>
      <c r="G4932" s="6">
        <v>53.730045318603501</v>
      </c>
      <c r="H4932" s="6">
        <v>48.818302154541001</v>
      </c>
      <c r="I4932" s="6">
        <v>43.805377960205099</v>
      </c>
      <c r="J4932" s="6">
        <v>43.797981262207003</v>
      </c>
      <c r="K4932" s="6">
        <v>53.835914611816399</v>
      </c>
      <c r="L4932" s="6">
        <v>57.514060974121101</v>
      </c>
    </row>
    <row r="4933" spans="1:12" x14ac:dyDescent="0.25">
      <c r="A4933">
        <v>3525706</v>
      </c>
      <c r="B4933" t="str">
        <f t="shared" si="77"/>
        <v>JOSE BONIFACIO, SP, Brasil</v>
      </c>
      <c r="C4933" s="4" t="str">
        <f>_xlfn.XLOOKUP(A4933,[1]!DadosGHD[CD_GEOCMU],[1]!DadosGHD[Região])</f>
        <v>SD</v>
      </c>
      <c r="D4933" s="4" t="str">
        <f>_xlfn.XLOOKUP(A4933,[1]!DadosGHD[CD_GEOCMU],[1]!DadosGHD[uf])</f>
        <v>SP</v>
      </c>
      <c r="E4933" s="5" t="str">
        <f>_xlfn.XLOOKUP(A4933,[1]!DadosGHD[CD_GEOCMU],[1]!DadosGHD[MUNICIPIO])</f>
        <v>JOSE BONIFACIO</v>
      </c>
      <c r="F4933" s="6">
        <v>53.732185363769503</v>
      </c>
      <c r="G4933" s="6">
        <v>53.821205139160199</v>
      </c>
      <c r="H4933" s="6">
        <v>53.883277893066399</v>
      </c>
      <c r="I4933" s="6">
        <v>53.876087188720703</v>
      </c>
      <c r="J4933" s="6">
        <v>58.824947357177699</v>
      </c>
      <c r="K4933" s="6">
        <v>53.819488525390597</v>
      </c>
      <c r="L4933" s="6">
        <v>52.989673614502003</v>
      </c>
    </row>
    <row r="4934" spans="1:12" x14ac:dyDescent="0.25">
      <c r="A4934">
        <v>4204905</v>
      </c>
      <c r="B4934" t="str">
        <f t="shared" si="77"/>
        <v>DESCANSO, SC, Brasil</v>
      </c>
      <c r="C4934" s="4" t="str">
        <f>_xlfn.XLOOKUP(A4934,[1]!DadosGHD[CD_GEOCMU],[1]!DadosGHD[Região])</f>
        <v>SL</v>
      </c>
      <c r="D4934" s="4" t="str">
        <f>_xlfn.XLOOKUP(A4934,[1]!DadosGHD[CD_GEOCMU],[1]!DadosGHD[uf])</f>
        <v>SC</v>
      </c>
      <c r="E4934" s="5" t="str">
        <f>_xlfn.XLOOKUP(A4934,[1]!DadosGHD[CD_GEOCMU],[1]!DadosGHD[MUNICIPIO])</f>
        <v>DESCANSO</v>
      </c>
      <c r="F4934" s="6">
        <v>53.732383728027301</v>
      </c>
      <c r="G4934" s="6">
        <v>58.878395080566399</v>
      </c>
      <c r="H4934" s="6">
        <v>58.9799613952637</v>
      </c>
      <c r="I4934" s="6">
        <v>64.000221252441406</v>
      </c>
      <c r="J4934" s="6">
        <v>64.039611816406307</v>
      </c>
      <c r="K4934" s="6">
        <v>64.13623046875</v>
      </c>
      <c r="L4934" s="6">
        <v>57.551105499267599</v>
      </c>
    </row>
    <row r="4935" spans="1:12" x14ac:dyDescent="0.25">
      <c r="A4935">
        <v>4314704</v>
      </c>
      <c r="B4935" t="str">
        <f t="shared" si="77"/>
        <v>PLANALTO, RS, Brasil</v>
      </c>
      <c r="C4935" s="4" t="str">
        <f>_xlfn.XLOOKUP(A4935,[1]!DadosGHD[CD_GEOCMU],[1]!DadosGHD[Região])</f>
        <v>SL</v>
      </c>
      <c r="D4935" s="4" t="str">
        <f>_xlfn.XLOOKUP(A4935,[1]!DadosGHD[CD_GEOCMU],[1]!DadosGHD[uf])</f>
        <v>RS</v>
      </c>
      <c r="E4935" s="5" t="str">
        <f>_xlfn.XLOOKUP(A4935,[1]!DadosGHD[CD_GEOCMU],[1]!DadosGHD[MUNICIPIO])</f>
        <v>PLANALTO</v>
      </c>
      <c r="F4935" s="6">
        <v>53.732875823974602</v>
      </c>
      <c r="G4935" s="6">
        <v>58.8072319030762</v>
      </c>
      <c r="H4935" s="6">
        <v>58.902641296386697</v>
      </c>
      <c r="I4935" s="6">
        <v>58.839935302734403</v>
      </c>
      <c r="J4935" s="6">
        <v>58.830024719238303</v>
      </c>
      <c r="K4935" s="6">
        <v>59.055950164794901</v>
      </c>
      <c r="L4935" s="6">
        <v>53.042201995849602</v>
      </c>
    </row>
    <row r="4936" spans="1:12" x14ac:dyDescent="0.25">
      <c r="A4936">
        <v>3547502</v>
      </c>
      <c r="B4936" t="str">
        <f t="shared" si="77"/>
        <v>SANTA RITA DO PASSA QUATRO, SP, Brasil</v>
      </c>
      <c r="C4936" s="4" t="str">
        <f>_xlfn.XLOOKUP(A4936,[1]!DadosGHD[CD_GEOCMU],[1]!DadosGHD[Região])</f>
        <v>SD</v>
      </c>
      <c r="D4936" s="4" t="str">
        <f>_xlfn.XLOOKUP(A4936,[1]!DadosGHD[CD_GEOCMU],[1]!DadosGHD[uf])</f>
        <v>SP</v>
      </c>
      <c r="E4936" s="5" t="str">
        <f>_xlfn.XLOOKUP(A4936,[1]!DadosGHD[CD_GEOCMU],[1]!DadosGHD[MUNICIPIO])</f>
        <v>SANTA RITA DO PASSA QUATRO</v>
      </c>
      <c r="F4936" s="6">
        <v>53.733245849609403</v>
      </c>
      <c r="G4936" s="6">
        <v>53.774314880371101</v>
      </c>
      <c r="H4936" s="6">
        <v>53.785114288330099</v>
      </c>
      <c r="I4936" s="6">
        <v>53.731277465820298</v>
      </c>
      <c r="J4936" s="6">
        <v>48.797374725341797</v>
      </c>
      <c r="K4936" s="6">
        <v>48.828041076660199</v>
      </c>
      <c r="L4936" s="6">
        <v>57.582443237304702</v>
      </c>
    </row>
    <row r="4937" spans="1:12" x14ac:dyDescent="0.25">
      <c r="A4937">
        <v>3539707</v>
      </c>
      <c r="B4937" t="str">
        <f t="shared" si="77"/>
        <v>PLATINA, SP, Brasil</v>
      </c>
      <c r="C4937" s="4" t="str">
        <f>_xlfn.XLOOKUP(A4937,[1]!DadosGHD[CD_GEOCMU],[1]!DadosGHD[Região])</f>
        <v>SD</v>
      </c>
      <c r="D4937" s="4" t="str">
        <f>_xlfn.XLOOKUP(A4937,[1]!DadosGHD[CD_GEOCMU],[1]!DadosGHD[uf])</f>
        <v>SP</v>
      </c>
      <c r="E4937" s="5" t="str">
        <f>_xlfn.XLOOKUP(A4937,[1]!DadosGHD[CD_GEOCMU],[1]!DadosGHD[MUNICIPIO])</f>
        <v>PLATINA</v>
      </c>
      <c r="F4937" s="6">
        <v>53.733787536621101</v>
      </c>
      <c r="G4937" s="6">
        <v>48.642143249511697</v>
      </c>
      <c r="H4937" s="6">
        <v>43.826118469238303</v>
      </c>
      <c r="I4937" s="6">
        <v>43.756698608398402</v>
      </c>
      <c r="J4937" s="6">
        <v>43.816905975341797</v>
      </c>
      <c r="K4937" s="6">
        <v>38.856143951416001</v>
      </c>
      <c r="L4937" s="6">
        <v>48.507015228271499</v>
      </c>
    </row>
    <row r="4938" spans="1:12" x14ac:dyDescent="0.25">
      <c r="A4938">
        <v>4207759</v>
      </c>
      <c r="B4938" t="str">
        <f t="shared" si="77"/>
        <v>IRACEMINHA, SC, Brasil</v>
      </c>
      <c r="C4938" s="4" t="str">
        <f>_xlfn.XLOOKUP(A4938,[1]!DadosGHD[CD_GEOCMU],[1]!DadosGHD[Região])</f>
        <v>SL</v>
      </c>
      <c r="D4938" s="4" t="str">
        <f>_xlfn.XLOOKUP(A4938,[1]!DadosGHD[CD_GEOCMU],[1]!DadosGHD[uf])</f>
        <v>SC</v>
      </c>
      <c r="E4938" s="5" t="str">
        <f>_xlfn.XLOOKUP(A4938,[1]!DadosGHD[CD_GEOCMU],[1]!DadosGHD[MUNICIPIO])</f>
        <v>IRACEMINHA</v>
      </c>
      <c r="F4938" s="6">
        <v>53.733810424804702</v>
      </c>
      <c r="G4938" s="6">
        <v>58.885772705078097</v>
      </c>
      <c r="H4938" s="6">
        <v>53.773715972900398</v>
      </c>
      <c r="I4938" s="6">
        <v>58.848064422607401</v>
      </c>
      <c r="J4938" s="6">
        <v>64.039611816406307</v>
      </c>
      <c r="K4938" s="6">
        <v>64.13623046875</v>
      </c>
      <c r="L4938" s="6">
        <v>57.589881896972699</v>
      </c>
    </row>
    <row r="4939" spans="1:12" x14ac:dyDescent="0.25">
      <c r="A4939">
        <v>5003256</v>
      </c>
      <c r="B4939" t="str">
        <f t="shared" si="77"/>
        <v>COSTA RICA, MS, Brasil</v>
      </c>
      <c r="C4939" s="4" t="str">
        <f>_xlfn.XLOOKUP(A4939,[1]!DadosGHD[CD_GEOCMU],[1]!DadosGHD[Região])</f>
        <v>CO</v>
      </c>
      <c r="D4939" s="4" t="str">
        <f>_xlfn.XLOOKUP(A4939,[1]!DadosGHD[CD_GEOCMU],[1]!DadosGHD[uf])</f>
        <v>MS</v>
      </c>
      <c r="E4939" s="5" t="str">
        <f>_xlfn.XLOOKUP(A4939,[1]!DadosGHD[CD_GEOCMU],[1]!DadosGHD[MUNICIPIO])</f>
        <v>COSTA RICA</v>
      </c>
      <c r="F4939" s="6">
        <v>53.733844757080099</v>
      </c>
      <c r="G4939" s="6">
        <v>58.731563568115199</v>
      </c>
      <c r="H4939" s="6">
        <v>53.86767578125</v>
      </c>
      <c r="I4939" s="6">
        <v>53.726505279541001</v>
      </c>
      <c r="J4939" s="6">
        <v>53.756717681884801</v>
      </c>
      <c r="K4939" s="6">
        <v>48.908565521240199</v>
      </c>
      <c r="L4939" s="6">
        <v>35.158321380615199</v>
      </c>
    </row>
    <row r="4940" spans="1:12" x14ac:dyDescent="0.25">
      <c r="A4940">
        <v>3171709</v>
      </c>
      <c r="B4940" t="str">
        <f t="shared" si="77"/>
        <v>VIRGINIA, MG, Brasil</v>
      </c>
      <c r="C4940" s="4" t="str">
        <f>_xlfn.XLOOKUP(A4940,[1]!DadosGHD[CD_GEOCMU],[1]!DadosGHD[Região])</f>
        <v>SD</v>
      </c>
      <c r="D4940" s="4" t="str">
        <f>_xlfn.XLOOKUP(A4940,[1]!DadosGHD[CD_GEOCMU],[1]!DadosGHD[uf])</f>
        <v>MG</v>
      </c>
      <c r="E4940" s="5" t="str">
        <f>_xlfn.XLOOKUP(A4940,[1]!DadosGHD[CD_GEOCMU],[1]!DadosGHD[MUNICIPIO])</f>
        <v>VIRGINIA</v>
      </c>
      <c r="F4940" s="6">
        <v>53.733848571777301</v>
      </c>
      <c r="G4940" s="6">
        <v>58.795284271240199</v>
      </c>
      <c r="H4940" s="6">
        <v>53.784778594970703</v>
      </c>
      <c r="I4940" s="6">
        <v>48.786613464355497</v>
      </c>
      <c r="J4940" s="6">
        <v>48.794647216796903</v>
      </c>
      <c r="K4940" s="6">
        <v>48.844673156738303</v>
      </c>
      <c r="L4940" s="6">
        <v>44.061370849609403</v>
      </c>
    </row>
    <row r="4941" spans="1:12" x14ac:dyDescent="0.25">
      <c r="A4941">
        <v>3535309</v>
      </c>
      <c r="B4941" t="str">
        <f t="shared" si="77"/>
        <v>PALMITAL, SP, Brasil</v>
      </c>
      <c r="C4941" s="4" t="str">
        <f>_xlfn.XLOOKUP(A4941,[1]!DadosGHD[CD_GEOCMU],[1]!DadosGHD[Região])</f>
        <v>SD</v>
      </c>
      <c r="D4941" s="4" t="str">
        <f>_xlfn.XLOOKUP(A4941,[1]!DadosGHD[CD_GEOCMU],[1]!DadosGHD[uf])</f>
        <v>SP</v>
      </c>
      <c r="E4941" s="5" t="str">
        <f>_xlfn.XLOOKUP(A4941,[1]!DadosGHD[CD_GEOCMU],[1]!DadosGHD[MUNICIPIO])</f>
        <v>PALMITAL</v>
      </c>
      <c r="F4941" s="6">
        <v>53.7342529296875</v>
      </c>
      <c r="G4941" s="6">
        <v>58.730480194091797</v>
      </c>
      <c r="H4941" s="6">
        <v>53.828933715820298</v>
      </c>
      <c r="I4941" s="6">
        <v>53.840579986572301</v>
      </c>
      <c r="J4941" s="6">
        <v>53.893165588378899</v>
      </c>
      <c r="K4941" s="6">
        <v>53.834304809570298</v>
      </c>
      <c r="L4941" s="6">
        <v>48.493461608886697</v>
      </c>
    </row>
    <row r="4942" spans="1:12" x14ac:dyDescent="0.25">
      <c r="A4942">
        <v>4319307</v>
      </c>
      <c r="B4942" t="str">
        <f t="shared" si="77"/>
        <v>SAO PAULO DAS MISSOES, RS, Brasil</v>
      </c>
      <c r="C4942" s="4" t="str">
        <f>_xlfn.XLOOKUP(A4942,[1]!DadosGHD[CD_GEOCMU],[1]!DadosGHD[Região])</f>
        <v>SL</v>
      </c>
      <c r="D4942" s="4" t="str">
        <f>_xlfn.XLOOKUP(A4942,[1]!DadosGHD[CD_GEOCMU],[1]!DadosGHD[uf])</f>
        <v>RS</v>
      </c>
      <c r="E4942" s="5" t="str">
        <f>_xlfn.XLOOKUP(A4942,[1]!DadosGHD[CD_GEOCMU],[1]!DadosGHD[MUNICIPIO])</f>
        <v>SAO PAULO DAS MISSOES</v>
      </c>
      <c r="F4942" s="6">
        <v>53.734565734863303</v>
      </c>
      <c r="G4942" s="6">
        <v>58.848659515380902</v>
      </c>
      <c r="H4942" s="6">
        <v>58.970172882080099</v>
      </c>
      <c r="I4942" s="6">
        <v>58.953250885009801</v>
      </c>
      <c r="J4942" s="6">
        <v>63.931728363037102</v>
      </c>
      <c r="K4942" s="6">
        <v>64.103004455566406</v>
      </c>
      <c r="L4942" s="6">
        <v>48.493026733398402</v>
      </c>
    </row>
    <row r="4943" spans="1:12" x14ac:dyDescent="0.25">
      <c r="A4943">
        <v>3551603</v>
      </c>
      <c r="B4943" t="str">
        <f t="shared" si="77"/>
        <v>SERRA NEGRA, SP, Brasil</v>
      </c>
      <c r="C4943" s="4" t="str">
        <f>_xlfn.XLOOKUP(A4943,[1]!DadosGHD[CD_GEOCMU],[1]!DadosGHD[Região])</f>
        <v>SD</v>
      </c>
      <c r="D4943" s="4" t="str">
        <f>_xlfn.XLOOKUP(A4943,[1]!DadosGHD[CD_GEOCMU],[1]!DadosGHD[uf])</f>
        <v>SP</v>
      </c>
      <c r="E4943" s="5" t="str">
        <f>_xlfn.XLOOKUP(A4943,[1]!DadosGHD[CD_GEOCMU],[1]!DadosGHD[MUNICIPIO])</f>
        <v>SERRA NEGRA</v>
      </c>
      <c r="F4943" s="6">
        <v>53.734817504882798</v>
      </c>
      <c r="G4943" s="6">
        <v>53.7813110351563</v>
      </c>
      <c r="H4943" s="6">
        <v>48.848587036132798</v>
      </c>
      <c r="I4943" s="6">
        <v>48.751873016357401</v>
      </c>
      <c r="J4943" s="6">
        <v>48.819046020507798</v>
      </c>
      <c r="K4943" s="6">
        <v>48.843273162841797</v>
      </c>
      <c r="L4943" s="6">
        <v>48.493980407714801</v>
      </c>
    </row>
    <row r="4944" spans="1:12" x14ac:dyDescent="0.25">
      <c r="A4944">
        <v>3504107</v>
      </c>
      <c r="B4944" t="str">
        <f t="shared" si="77"/>
        <v>ATIBAIA, SP, Brasil</v>
      </c>
      <c r="C4944" s="4" t="str">
        <f>_xlfn.XLOOKUP(A4944,[1]!DadosGHD[CD_GEOCMU],[1]!DadosGHD[Região])</f>
        <v>SD</v>
      </c>
      <c r="D4944" s="4" t="str">
        <f>_xlfn.XLOOKUP(A4944,[1]!DadosGHD[CD_GEOCMU],[1]!DadosGHD[uf])</f>
        <v>SP</v>
      </c>
      <c r="E4944" s="5" t="str">
        <f>_xlfn.XLOOKUP(A4944,[1]!DadosGHD[CD_GEOCMU],[1]!DadosGHD[MUNICIPIO])</f>
        <v>ATIBAIA</v>
      </c>
      <c r="F4944" s="6">
        <v>53.736141204833999</v>
      </c>
      <c r="G4944" s="6">
        <v>53.8070678710938</v>
      </c>
      <c r="H4944" s="6">
        <v>53.837997436523402</v>
      </c>
      <c r="I4944" s="6">
        <v>53.8559379577637</v>
      </c>
      <c r="J4944" s="6">
        <v>58.803825378417997</v>
      </c>
      <c r="K4944" s="6">
        <v>53.948448181152301</v>
      </c>
      <c r="L4944" s="6">
        <v>57.535579681396499</v>
      </c>
    </row>
    <row r="4945" spans="1:12" x14ac:dyDescent="0.25">
      <c r="A4945">
        <v>3118304</v>
      </c>
      <c r="B4945" t="str">
        <f t="shared" si="77"/>
        <v>CONSELHEIRO LAFAIETE, MG, Brasil</v>
      </c>
      <c r="C4945" s="4" t="str">
        <f>_xlfn.XLOOKUP(A4945,[1]!DadosGHD[CD_GEOCMU],[1]!DadosGHD[Região])</f>
        <v>SD</v>
      </c>
      <c r="D4945" s="4" t="str">
        <f>_xlfn.XLOOKUP(A4945,[1]!DadosGHD[CD_GEOCMU],[1]!DadosGHD[uf])</f>
        <v>MG</v>
      </c>
      <c r="E4945" s="5" t="str">
        <f>_xlfn.XLOOKUP(A4945,[1]!DadosGHD[CD_GEOCMU],[1]!DadosGHD[MUNICIPIO])</f>
        <v>CONSELHEIRO LAFAIETE</v>
      </c>
      <c r="F4945" s="6">
        <v>53.736354827880902</v>
      </c>
      <c r="G4945" s="6">
        <v>53.819667816162102</v>
      </c>
      <c r="H4945" s="6">
        <v>53.861782073974602</v>
      </c>
      <c r="I4945" s="6">
        <v>53.815414428710902</v>
      </c>
      <c r="J4945" s="6">
        <v>53.840610504150398</v>
      </c>
      <c r="K4945" s="6">
        <v>53.857852935791001</v>
      </c>
      <c r="L4945" s="6">
        <v>57.500461578369098</v>
      </c>
    </row>
    <row r="4946" spans="1:12" x14ac:dyDescent="0.25">
      <c r="A4946">
        <v>3520103</v>
      </c>
      <c r="B4946" t="str">
        <f t="shared" si="77"/>
        <v>IGARAPAVA, SP, Brasil</v>
      </c>
      <c r="C4946" s="4" t="str">
        <f>_xlfn.XLOOKUP(A4946,[1]!DadosGHD[CD_GEOCMU],[1]!DadosGHD[Região])</f>
        <v>SD</v>
      </c>
      <c r="D4946" s="4" t="str">
        <f>_xlfn.XLOOKUP(A4946,[1]!DadosGHD[CD_GEOCMU],[1]!DadosGHD[uf])</f>
        <v>SP</v>
      </c>
      <c r="E4946" s="5" t="str">
        <f>_xlfn.XLOOKUP(A4946,[1]!DadosGHD[CD_GEOCMU],[1]!DadosGHD[MUNICIPIO])</f>
        <v>IGARAPAVA</v>
      </c>
      <c r="F4946" s="6">
        <v>53.736495971679702</v>
      </c>
      <c r="G4946" s="6">
        <v>53.754245758056598</v>
      </c>
      <c r="H4946" s="6">
        <v>48.822521209716797</v>
      </c>
      <c r="I4946" s="6">
        <v>48.730167388916001</v>
      </c>
      <c r="J4946" s="6">
        <v>48.710239410400398</v>
      </c>
      <c r="K4946" s="6">
        <v>48.7657661437988</v>
      </c>
      <c r="L4946" s="6">
        <v>39.605175018310597</v>
      </c>
    </row>
    <row r="4947" spans="1:12" x14ac:dyDescent="0.25">
      <c r="A4947">
        <v>4104600</v>
      </c>
      <c r="B4947" t="str">
        <f t="shared" si="77"/>
        <v>CAPITAO LEONIDAS MARQUES, PR, Brasil</v>
      </c>
      <c r="C4947" s="4" t="str">
        <f>_xlfn.XLOOKUP(A4947,[1]!DadosGHD[CD_GEOCMU],[1]!DadosGHD[Região])</f>
        <v>SL</v>
      </c>
      <c r="D4947" s="4" t="str">
        <f>_xlfn.XLOOKUP(A4947,[1]!DadosGHD[CD_GEOCMU],[1]!DadosGHD[uf])</f>
        <v>PR</v>
      </c>
      <c r="E4947" s="5" t="str">
        <f>_xlfn.XLOOKUP(A4947,[1]!DadosGHD[CD_GEOCMU],[1]!DadosGHD[MUNICIPIO])</f>
        <v>CAPITAO LEONIDAS MARQUES</v>
      </c>
      <c r="F4947" s="6">
        <v>53.736522674560597</v>
      </c>
      <c r="G4947" s="6">
        <v>53.780475616455099</v>
      </c>
      <c r="H4947" s="6">
        <v>53.8477172851563</v>
      </c>
      <c r="I4947" s="6">
        <v>53.842891693115199</v>
      </c>
      <c r="J4947" s="6">
        <v>58.813140869140597</v>
      </c>
      <c r="K4947" s="6">
        <v>53.966060638427699</v>
      </c>
      <c r="L4947" s="6">
        <v>53.007965087890597</v>
      </c>
    </row>
    <row r="4948" spans="1:12" x14ac:dyDescent="0.25">
      <c r="A4948">
        <v>4303673</v>
      </c>
      <c r="B4948" t="str">
        <f t="shared" si="77"/>
        <v>CAMPESTRE DA SERRA, RS, Brasil</v>
      </c>
      <c r="C4948" s="4" t="str">
        <f>_xlfn.XLOOKUP(A4948,[1]!DadosGHD[CD_GEOCMU],[1]!DadosGHD[Região])</f>
        <v>SL</v>
      </c>
      <c r="D4948" s="4" t="str">
        <f>_xlfn.XLOOKUP(A4948,[1]!DadosGHD[CD_GEOCMU],[1]!DadosGHD[uf])</f>
        <v>RS</v>
      </c>
      <c r="E4948" s="5" t="str">
        <f>_xlfn.XLOOKUP(A4948,[1]!DadosGHD[CD_GEOCMU],[1]!DadosGHD[MUNICIPIO])</f>
        <v>CAMPESTRE DA SERRA</v>
      </c>
      <c r="F4948" s="6">
        <v>53.736640930175803</v>
      </c>
      <c r="G4948" s="6">
        <v>58.841156005859403</v>
      </c>
      <c r="H4948" s="6">
        <v>53.808280944824197</v>
      </c>
      <c r="I4948" s="6">
        <v>43.794193267822301</v>
      </c>
      <c r="J4948" s="6">
        <v>43.816490173339801</v>
      </c>
      <c r="K4948" s="6">
        <v>43.874946594238303</v>
      </c>
      <c r="L4948" s="6">
        <v>52.981609344482401</v>
      </c>
    </row>
    <row r="4949" spans="1:12" x14ac:dyDescent="0.25">
      <c r="A4949">
        <v>4102307</v>
      </c>
      <c r="B4949" t="str">
        <f t="shared" si="77"/>
        <v>BALSA NOVA, PR, Brasil</v>
      </c>
      <c r="C4949" s="4" t="str">
        <f>_xlfn.XLOOKUP(A4949,[1]!DadosGHD[CD_GEOCMU],[1]!DadosGHD[Região])</f>
        <v>SL</v>
      </c>
      <c r="D4949" s="4" t="str">
        <f>_xlfn.XLOOKUP(A4949,[1]!DadosGHD[CD_GEOCMU],[1]!DadosGHD[uf])</f>
        <v>PR</v>
      </c>
      <c r="E4949" s="5" t="str">
        <f>_xlfn.XLOOKUP(A4949,[1]!DadosGHD[CD_GEOCMU],[1]!DadosGHD[MUNICIPIO])</f>
        <v>BALSA NOVA</v>
      </c>
      <c r="F4949" s="6">
        <v>53.736789703369098</v>
      </c>
      <c r="G4949" s="6">
        <v>58.782276153564503</v>
      </c>
      <c r="H4949" s="6">
        <v>58.818992614746101</v>
      </c>
      <c r="I4949" s="6">
        <v>58.812557220458999</v>
      </c>
      <c r="J4949" s="6">
        <v>58.867401123046903</v>
      </c>
      <c r="K4949" s="6">
        <v>53.969070434570298</v>
      </c>
      <c r="L4949" s="6">
        <v>52.986152648925803</v>
      </c>
    </row>
    <row r="4950" spans="1:12" x14ac:dyDescent="0.25">
      <c r="A4950">
        <v>4209300</v>
      </c>
      <c r="B4950" t="str">
        <f t="shared" si="77"/>
        <v>LAGES, SC, Brasil</v>
      </c>
      <c r="C4950" s="4" t="str">
        <f>_xlfn.XLOOKUP(A4950,[1]!DadosGHD[CD_GEOCMU],[1]!DadosGHD[Região])</f>
        <v>SL</v>
      </c>
      <c r="D4950" s="4" t="str">
        <f>_xlfn.XLOOKUP(A4950,[1]!DadosGHD[CD_GEOCMU],[1]!DadosGHD[uf])</f>
        <v>SC</v>
      </c>
      <c r="E4950" s="5" t="str">
        <f>_xlfn.XLOOKUP(A4950,[1]!DadosGHD[CD_GEOCMU],[1]!DadosGHD[MUNICIPIO])</f>
        <v>LAGES</v>
      </c>
      <c r="F4950" s="6">
        <v>53.737480163574197</v>
      </c>
      <c r="G4950" s="6">
        <v>58.7463989257813</v>
      </c>
      <c r="H4950" s="6">
        <v>58.830051422119098</v>
      </c>
      <c r="I4950" s="6">
        <v>53.855480194091797</v>
      </c>
      <c r="J4950" s="6">
        <v>58.824325561523402</v>
      </c>
      <c r="K4950" s="6">
        <v>58.989212036132798</v>
      </c>
      <c r="L4950" s="6">
        <v>57.514827728271499</v>
      </c>
    </row>
    <row r="4951" spans="1:12" x14ac:dyDescent="0.25">
      <c r="A4951">
        <v>3115359</v>
      </c>
      <c r="B4951" t="str">
        <f t="shared" si="77"/>
        <v>CATAS ALTAS, MG, Brasil</v>
      </c>
      <c r="C4951" s="4" t="str">
        <f>_xlfn.XLOOKUP(A4951,[1]!DadosGHD[CD_GEOCMU],[1]!DadosGHD[Região])</f>
        <v>SD</v>
      </c>
      <c r="D4951" s="4" t="str">
        <f>_xlfn.XLOOKUP(A4951,[1]!DadosGHD[CD_GEOCMU],[1]!DadosGHD[uf])</f>
        <v>MG</v>
      </c>
      <c r="E4951" s="5" t="str">
        <f>_xlfn.XLOOKUP(A4951,[1]!DadosGHD[CD_GEOCMU],[1]!DadosGHD[MUNICIPIO])</f>
        <v>CATAS ALTAS</v>
      </c>
      <c r="F4951" s="6">
        <v>53.7375679016113</v>
      </c>
      <c r="G4951" s="6">
        <v>53.673721313476598</v>
      </c>
      <c r="H4951" s="6">
        <v>53.864341735839801</v>
      </c>
      <c r="I4951" s="6">
        <v>53.807533264160199</v>
      </c>
      <c r="J4951" s="6">
        <v>53.813995361328097</v>
      </c>
      <c r="K4951" s="6">
        <v>53.868167877197301</v>
      </c>
      <c r="L4951" s="6">
        <v>57.513065338134801</v>
      </c>
    </row>
    <row r="4952" spans="1:12" x14ac:dyDescent="0.25">
      <c r="A4952">
        <v>4301602</v>
      </c>
      <c r="B4952" t="str">
        <f t="shared" si="77"/>
        <v>BAGE, RS, Brasil</v>
      </c>
      <c r="C4952" s="4" t="str">
        <f>_xlfn.XLOOKUP(A4952,[1]!DadosGHD[CD_GEOCMU],[1]!DadosGHD[Região])</f>
        <v>SL</v>
      </c>
      <c r="D4952" s="4" t="str">
        <f>_xlfn.XLOOKUP(A4952,[1]!DadosGHD[CD_GEOCMU],[1]!DadosGHD[uf])</f>
        <v>RS</v>
      </c>
      <c r="E4952" s="5" t="str">
        <f>_xlfn.XLOOKUP(A4952,[1]!DadosGHD[CD_GEOCMU],[1]!DadosGHD[MUNICIPIO])</f>
        <v>BAGE</v>
      </c>
      <c r="F4952" s="6">
        <v>53.737682342529297</v>
      </c>
      <c r="G4952" s="6">
        <v>53.738201141357401</v>
      </c>
      <c r="H4952" s="6">
        <v>53.847728729248097</v>
      </c>
      <c r="I4952" s="6">
        <v>53.796524047851598</v>
      </c>
      <c r="J4952" s="6">
        <v>53.757137298583999</v>
      </c>
      <c r="K4952" s="6">
        <v>48.853134155273402</v>
      </c>
      <c r="L4952" s="6">
        <v>48.48974609375</v>
      </c>
    </row>
    <row r="4953" spans="1:12" x14ac:dyDescent="0.25">
      <c r="A4953">
        <v>5004007</v>
      </c>
      <c r="B4953" t="str">
        <f t="shared" si="77"/>
        <v>GLORIA DE DOURADOS, MS, Brasil</v>
      </c>
      <c r="C4953" s="4" t="str">
        <f>_xlfn.XLOOKUP(A4953,[1]!DadosGHD[CD_GEOCMU],[1]!DadosGHD[Região])</f>
        <v>CO</v>
      </c>
      <c r="D4953" s="4" t="str">
        <f>_xlfn.XLOOKUP(A4953,[1]!DadosGHD[CD_GEOCMU],[1]!DadosGHD[uf])</f>
        <v>MS</v>
      </c>
      <c r="E4953" s="5" t="str">
        <f>_xlfn.XLOOKUP(A4953,[1]!DadosGHD[CD_GEOCMU],[1]!DadosGHD[MUNICIPIO])</f>
        <v>GLORIA DE DOURADOS</v>
      </c>
      <c r="F4953" s="6">
        <v>53.739292144775398</v>
      </c>
      <c r="G4953" s="6">
        <v>53.811073303222699</v>
      </c>
      <c r="H4953" s="6">
        <v>53.905403137207003</v>
      </c>
      <c r="I4953" s="6">
        <v>53.7826538085938</v>
      </c>
      <c r="J4953" s="6">
        <v>48.831790924072301</v>
      </c>
      <c r="K4953" s="6">
        <v>59.033676147460902</v>
      </c>
      <c r="L4953" s="6">
        <v>48.535911560058601</v>
      </c>
    </row>
    <row r="4954" spans="1:12" x14ac:dyDescent="0.25">
      <c r="A4954">
        <v>3524105</v>
      </c>
      <c r="B4954" t="str">
        <f t="shared" si="77"/>
        <v>ITUVERAVA, SP, Brasil</v>
      </c>
      <c r="C4954" s="4" t="str">
        <f>_xlfn.XLOOKUP(A4954,[1]!DadosGHD[CD_GEOCMU],[1]!DadosGHD[Região])</f>
        <v>SD</v>
      </c>
      <c r="D4954" s="4" t="str">
        <f>_xlfn.XLOOKUP(A4954,[1]!DadosGHD[CD_GEOCMU],[1]!DadosGHD[uf])</f>
        <v>SP</v>
      </c>
      <c r="E4954" s="5" t="str">
        <f>_xlfn.XLOOKUP(A4954,[1]!DadosGHD[CD_GEOCMU],[1]!DadosGHD[MUNICIPIO])</f>
        <v>ITUVERAVA</v>
      </c>
      <c r="F4954" s="6">
        <v>53.739395141601598</v>
      </c>
      <c r="G4954" s="6">
        <v>53.8141899108887</v>
      </c>
      <c r="H4954" s="6">
        <v>53.906257629394503</v>
      </c>
      <c r="I4954" s="6">
        <v>53.873989105224602</v>
      </c>
      <c r="J4954" s="6">
        <v>53.873020172119098</v>
      </c>
      <c r="K4954" s="6">
        <v>53.873527526855497</v>
      </c>
      <c r="L4954" s="6">
        <v>53.033462524414098</v>
      </c>
    </row>
    <row r="4955" spans="1:12" x14ac:dyDescent="0.25">
      <c r="A4955">
        <v>4108403</v>
      </c>
      <c r="B4955" t="str">
        <f t="shared" si="77"/>
        <v>FRANCISCO BELTRAO, PR, Brasil</v>
      </c>
      <c r="C4955" s="4" t="str">
        <f>_xlfn.XLOOKUP(A4955,[1]!DadosGHD[CD_GEOCMU],[1]!DadosGHD[Região])</f>
        <v>SL</v>
      </c>
      <c r="D4955" s="4" t="str">
        <f>_xlfn.XLOOKUP(A4955,[1]!DadosGHD[CD_GEOCMU],[1]!DadosGHD[uf])</f>
        <v>PR</v>
      </c>
      <c r="E4955" s="5" t="str">
        <f>_xlfn.XLOOKUP(A4955,[1]!DadosGHD[CD_GEOCMU],[1]!DadosGHD[MUNICIPIO])</f>
        <v>FRANCISCO BELTRAO</v>
      </c>
      <c r="F4955" s="6">
        <v>58.626075744628899</v>
      </c>
      <c r="G4955" s="6">
        <v>58.748397827148402</v>
      </c>
      <c r="H4955" s="6">
        <v>58.876487731933601</v>
      </c>
      <c r="I4955" s="6">
        <v>58.824230194091797</v>
      </c>
      <c r="J4955" s="6">
        <v>58.899429321289098</v>
      </c>
      <c r="K4955" s="6">
        <v>59.005973815917997</v>
      </c>
      <c r="L4955" s="6">
        <v>57.557651519775398</v>
      </c>
    </row>
    <row r="4956" spans="1:12" x14ac:dyDescent="0.25">
      <c r="A4956">
        <v>3156908</v>
      </c>
      <c r="B4956" t="str">
        <f t="shared" si="77"/>
        <v>SACRAMENTO, MG, Brasil</v>
      </c>
      <c r="C4956" s="4" t="str">
        <f>_xlfn.XLOOKUP(A4956,[1]!DadosGHD[CD_GEOCMU],[1]!DadosGHD[Região])</f>
        <v>SD</v>
      </c>
      <c r="D4956" s="4" t="str">
        <f>_xlfn.XLOOKUP(A4956,[1]!DadosGHD[CD_GEOCMU],[1]!DadosGHD[uf])</f>
        <v>MG</v>
      </c>
      <c r="E4956" s="5" t="str">
        <f>_xlfn.XLOOKUP(A4956,[1]!DadosGHD[CD_GEOCMU],[1]!DadosGHD[MUNICIPIO])</f>
        <v>SACRAMENTO</v>
      </c>
      <c r="F4956" s="6">
        <v>58.626724243164098</v>
      </c>
      <c r="G4956" s="6">
        <v>53.807319641113303</v>
      </c>
      <c r="H4956" s="6">
        <v>53.876224517822301</v>
      </c>
      <c r="I4956" s="6">
        <v>58.804039001464801</v>
      </c>
      <c r="J4956" s="6">
        <v>63.912864685058601</v>
      </c>
      <c r="K4956" s="6">
        <v>59.021865844726598</v>
      </c>
      <c r="L4956" s="6">
        <v>57.5215454101563</v>
      </c>
    </row>
    <row r="4957" spans="1:12" x14ac:dyDescent="0.25">
      <c r="A4957">
        <v>3110905</v>
      </c>
      <c r="B4957" t="str">
        <f t="shared" si="77"/>
        <v>CAMPANHA, MG, Brasil</v>
      </c>
      <c r="C4957" s="4" t="str">
        <f>_xlfn.XLOOKUP(A4957,[1]!DadosGHD[CD_GEOCMU],[1]!DadosGHD[Região])</f>
        <v>SD</v>
      </c>
      <c r="D4957" s="4" t="str">
        <f>_xlfn.XLOOKUP(A4957,[1]!DadosGHD[CD_GEOCMU],[1]!DadosGHD[uf])</f>
        <v>MG</v>
      </c>
      <c r="E4957" s="5" t="str">
        <f>_xlfn.XLOOKUP(A4957,[1]!DadosGHD[CD_GEOCMU],[1]!DadosGHD[MUNICIPIO])</f>
        <v>CAMPANHA</v>
      </c>
      <c r="F4957" s="6">
        <v>58.626976013183601</v>
      </c>
      <c r="G4957" s="6">
        <v>58.717041015625</v>
      </c>
      <c r="H4957" s="6">
        <v>58.833133697509801</v>
      </c>
      <c r="I4957" s="6">
        <v>58.808021545410199</v>
      </c>
      <c r="J4957" s="6">
        <v>58.853755950927699</v>
      </c>
      <c r="K4957" s="6">
        <v>53.903278350830099</v>
      </c>
      <c r="L4957" s="6">
        <v>48.527164459228501</v>
      </c>
    </row>
    <row r="4958" spans="1:12" x14ac:dyDescent="0.25">
      <c r="A4958">
        <v>3522604</v>
      </c>
      <c r="B4958" t="str">
        <f t="shared" si="77"/>
        <v>ITAPIRA, SP, Brasil</v>
      </c>
      <c r="C4958" s="4" t="str">
        <f>_xlfn.XLOOKUP(A4958,[1]!DadosGHD[CD_GEOCMU],[1]!DadosGHD[Região])</f>
        <v>SD</v>
      </c>
      <c r="D4958" s="4" t="str">
        <f>_xlfn.XLOOKUP(A4958,[1]!DadosGHD[CD_GEOCMU],[1]!DadosGHD[uf])</f>
        <v>SP</v>
      </c>
      <c r="E4958" s="5" t="str">
        <f>_xlfn.XLOOKUP(A4958,[1]!DadosGHD[CD_GEOCMU],[1]!DadosGHD[MUNICIPIO])</f>
        <v>ITAPIRA</v>
      </c>
      <c r="F4958" s="6">
        <v>58.627334594726598</v>
      </c>
      <c r="G4958" s="6">
        <v>53.727260589599602</v>
      </c>
      <c r="H4958" s="6">
        <v>48.848136901855497</v>
      </c>
      <c r="I4958" s="6">
        <v>53.712020874023402</v>
      </c>
      <c r="J4958" s="6">
        <v>48.755298614502003</v>
      </c>
      <c r="K4958" s="6">
        <v>43.874839782714801</v>
      </c>
      <c r="L4958" s="6">
        <v>53.015357971191399</v>
      </c>
    </row>
    <row r="4959" spans="1:12" x14ac:dyDescent="0.25">
      <c r="A4959">
        <v>4122404</v>
      </c>
      <c r="B4959" t="str">
        <f t="shared" si="77"/>
        <v>ROLANDIA, PR, Brasil</v>
      </c>
      <c r="C4959" s="4" t="str">
        <f>_xlfn.XLOOKUP(A4959,[1]!DadosGHD[CD_GEOCMU],[1]!DadosGHD[Região])</f>
        <v>SL</v>
      </c>
      <c r="D4959" s="4" t="str">
        <f>_xlfn.XLOOKUP(A4959,[1]!DadosGHD[CD_GEOCMU],[1]!DadosGHD[uf])</f>
        <v>PR</v>
      </c>
      <c r="E4959" s="5" t="str">
        <f>_xlfn.XLOOKUP(A4959,[1]!DadosGHD[CD_GEOCMU],[1]!DadosGHD[MUNICIPIO])</f>
        <v>ROLANDIA</v>
      </c>
      <c r="F4959" s="6">
        <v>58.627784729003899</v>
      </c>
      <c r="G4959" s="6">
        <v>58.730190277099602</v>
      </c>
      <c r="H4959" s="6">
        <v>53.868797302246101</v>
      </c>
      <c r="I4959" s="6">
        <v>53.838504791259801</v>
      </c>
      <c r="J4959" s="6">
        <v>53.836513519287102</v>
      </c>
      <c r="K4959" s="6">
        <v>53.875270843505902</v>
      </c>
      <c r="L4959" s="6">
        <v>53.033317565917997</v>
      </c>
    </row>
    <row r="4960" spans="1:12" x14ac:dyDescent="0.25">
      <c r="A4960">
        <v>3525300</v>
      </c>
      <c r="B4960" t="str">
        <f t="shared" si="77"/>
        <v>JAU, SP, Brasil</v>
      </c>
      <c r="C4960" s="4" t="str">
        <f>_xlfn.XLOOKUP(A4960,[1]!DadosGHD[CD_GEOCMU],[1]!DadosGHD[Região])</f>
        <v>SD</v>
      </c>
      <c r="D4960" s="4" t="str">
        <f>_xlfn.XLOOKUP(A4960,[1]!DadosGHD[CD_GEOCMU],[1]!DadosGHD[uf])</f>
        <v>SP</v>
      </c>
      <c r="E4960" s="5" t="str">
        <f>_xlfn.XLOOKUP(A4960,[1]!DadosGHD[CD_GEOCMU],[1]!DadosGHD[MUNICIPIO])</f>
        <v>JAU</v>
      </c>
      <c r="F4960" s="6">
        <v>58.6278686523438</v>
      </c>
      <c r="G4960" s="6">
        <v>58.738658905029297</v>
      </c>
      <c r="H4960" s="6">
        <v>53.894813537597699</v>
      </c>
      <c r="I4960" s="6">
        <v>53.8803100585938</v>
      </c>
      <c r="J4960" s="6">
        <v>53.886173248291001</v>
      </c>
      <c r="K4960" s="6">
        <v>53.910182952880902</v>
      </c>
      <c r="L4960" s="6">
        <v>57.573688507080099</v>
      </c>
    </row>
    <row r="4961" spans="1:12" x14ac:dyDescent="0.25">
      <c r="A4961">
        <v>3151107</v>
      </c>
      <c r="B4961" t="str">
        <f t="shared" si="77"/>
        <v>PIRAPETINGA, MG, Brasil</v>
      </c>
      <c r="C4961" s="4" t="str">
        <f>_xlfn.XLOOKUP(A4961,[1]!DadosGHD[CD_GEOCMU],[1]!DadosGHD[Região])</f>
        <v>SD</v>
      </c>
      <c r="D4961" s="4" t="str">
        <f>_xlfn.XLOOKUP(A4961,[1]!DadosGHD[CD_GEOCMU],[1]!DadosGHD[uf])</f>
        <v>MG</v>
      </c>
      <c r="E4961" s="5" t="str">
        <f>_xlfn.XLOOKUP(A4961,[1]!DadosGHD[CD_GEOCMU],[1]!DadosGHD[MUNICIPIO])</f>
        <v>PIRAPETINGA</v>
      </c>
      <c r="F4961" s="6">
        <v>58.6279907226563</v>
      </c>
      <c r="G4961" s="6">
        <v>48.710609436035199</v>
      </c>
      <c r="H4961" s="6">
        <v>43.804347991943402</v>
      </c>
      <c r="I4961" s="6">
        <v>43.7600708007813</v>
      </c>
      <c r="J4961" s="6">
        <v>43.785701751708999</v>
      </c>
      <c r="K4961" s="6">
        <v>43.795963287353501</v>
      </c>
      <c r="L4961" s="6">
        <v>30.698616027831999</v>
      </c>
    </row>
    <row r="4962" spans="1:12" x14ac:dyDescent="0.25">
      <c r="A4962">
        <v>4213302</v>
      </c>
      <c r="B4962" t="str">
        <f t="shared" si="77"/>
        <v>PONTE ALTA, SC, Brasil</v>
      </c>
      <c r="C4962" s="4" t="str">
        <f>_xlfn.XLOOKUP(A4962,[1]!DadosGHD[CD_GEOCMU],[1]!DadosGHD[Região])</f>
        <v>SL</v>
      </c>
      <c r="D4962" s="4" t="str">
        <f>_xlfn.XLOOKUP(A4962,[1]!DadosGHD[CD_GEOCMU],[1]!DadosGHD[uf])</f>
        <v>SC</v>
      </c>
      <c r="E4962" s="5" t="str">
        <f>_xlfn.XLOOKUP(A4962,[1]!DadosGHD[CD_GEOCMU],[1]!DadosGHD[MUNICIPIO])</f>
        <v>PONTE ALTA</v>
      </c>
      <c r="F4962" s="6">
        <v>58.628181457519503</v>
      </c>
      <c r="G4962" s="6">
        <v>53.7976264953613</v>
      </c>
      <c r="H4962" s="6">
        <v>48.837242126464801</v>
      </c>
      <c r="I4962" s="6">
        <v>48.788497924804702</v>
      </c>
      <c r="J4962" s="6">
        <v>48.806259155273402</v>
      </c>
      <c r="K4962" s="6">
        <v>48.843219757080099</v>
      </c>
      <c r="L4962" s="6">
        <v>35.1512260437012</v>
      </c>
    </row>
    <row r="4963" spans="1:12" x14ac:dyDescent="0.25">
      <c r="A4963">
        <v>3554508</v>
      </c>
      <c r="B4963" t="str">
        <f t="shared" si="77"/>
        <v>TIETE, SP, Brasil</v>
      </c>
      <c r="C4963" s="4" t="str">
        <f>_xlfn.XLOOKUP(A4963,[1]!DadosGHD[CD_GEOCMU],[1]!DadosGHD[Região])</f>
        <v>SD</v>
      </c>
      <c r="D4963" s="4" t="str">
        <f>_xlfn.XLOOKUP(A4963,[1]!DadosGHD[CD_GEOCMU],[1]!DadosGHD[uf])</f>
        <v>SP</v>
      </c>
      <c r="E4963" s="5" t="str">
        <f>_xlfn.XLOOKUP(A4963,[1]!DadosGHD[CD_GEOCMU],[1]!DadosGHD[MUNICIPIO])</f>
        <v>TIETE</v>
      </c>
      <c r="F4963" s="6">
        <v>58.6306762695313</v>
      </c>
      <c r="G4963" s="6">
        <v>53.813922882080099</v>
      </c>
      <c r="H4963" s="6">
        <v>53.8301391601563</v>
      </c>
      <c r="I4963" s="6">
        <v>58.803237915039098</v>
      </c>
      <c r="J4963" s="6">
        <v>58.80078125</v>
      </c>
      <c r="K4963" s="6">
        <v>53.951663970947301</v>
      </c>
      <c r="L4963" s="6">
        <v>57.540985107421903</v>
      </c>
    </row>
    <row r="4964" spans="1:12" x14ac:dyDescent="0.25">
      <c r="A4964">
        <v>4310207</v>
      </c>
      <c r="B4964" t="str">
        <f t="shared" si="77"/>
        <v>IJUI, RS, Brasil</v>
      </c>
      <c r="C4964" s="4" t="str">
        <f>_xlfn.XLOOKUP(A4964,[1]!DadosGHD[CD_GEOCMU],[1]!DadosGHD[Região])</f>
        <v>SL</v>
      </c>
      <c r="D4964" s="4" t="str">
        <f>_xlfn.XLOOKUP(A4964,[1]!DadosGHD[CD_GEOCMU],[1]!DadosGHD[uf])</f>
        <v>RS</v>
      </c>
      <c r="E4964" s="5" t="str">
        <f>_xlfn.XLOOKUP(A4964,[1]!DadosGHD[CD_GEOCMU],[1]!DadosGHD[MUNICIPIO])</f>
        <v>IJUI</v>
      </c>
      <c r="F4964" s="6">
        <v>58.6323432922363</v>
      </c>
      <c r="G4964" s="6">
        <v>53.792953491210902</v>
      </c>
      <c r="H4964" s="6">
        <v>53.900440216064503</v>
      </c>
      <c r="I4964" s="6">
        <v>58.830890655517599</v>
      </c>
      <c r="J4964" s="6">
        <v>63.9126167297363</v>
      </c>
      <c r="K4964" s="6">
        <v>64.099792480468807</v>
      </c>
      <c r="L4964" s="6">
        <v>57.573799133300803</v>
      </c>
    </row>
    <row r="4965" spans="1:12" x14ac:dyDescent="0.25">
      <c r="A4965">
        <v>3152105</v>
      </c>
      <c r="B4965" t="str">
        <f t="shared" si="77"/>
        <v>PONTE NOVA, MG, Brasil</v>
      </c>
      <c r="C4965" s="4" t="str">
        <f>_xlfn.XLOOKUP(A4965,[1]!DadosGHD[CD_GEOCMU],[1]!DadosGHD[Região])</f>
        <v>SD</v>
      </c>
      <c r="D4965" s="4" t="str">
        <f>_xlfn.XLOOKUP(A4965,[1]!DadosGHD[CD_GEOCMU],[1]!DadosGHD[uf])</f>
        <v>MG</v>
      </c>
      <c r="E4965" s="5" t="str">
        <f>_xlfn.XLOOKUP(A4965,[1]!DadosGHD[CD_GEOCMU],[1]!DadosGHD[MUNICIPIO])</f>
        <v>PONTE NOVA</v>
      </c>
      <c r="F4965" s="6">
        <v>58.632583618164098</v>
      </c>
      <c r="G4965" s="6">
        <v>58.770263671875</v>
      </c>
      <c r="H4965" s="6">
        <v>58.858268737792997</v>
      </c>
      <c r="I4965" s="6">
        <v>58.8687744140625</v>
      </c>
      <c r="J4965" s="6">
        <v>58.927749633789098</v>
      </c>
      <c r="K4965" s="6">
        <v>58.9093017578125</v>
      </c>
      <c r="L4965" s="6">
        <v>57.577804565429702</v>
      </c>
    </row>
    <row r="4966" spans="1:12" x14ac:dyDescent="0.25">
      <c r="A4966">
        <v>3122900</v>
      </c>
      <c r="B4966" t="str">
        <f t="shared" si="77"/>
        <v>DONA EUSEBIA, MG, Brasil</v>
      </c>
      <c r="C4966" s="4" t="str">
        <f>_xlfn.XLOOKUP(A4966,[1]!DadosGHD[CD_GEOCMU],[1]!DadosGHD[Região])</f>
        <v>SD</v>
      </c>
      <c r="D4966" s="4" t="str">
        <f>_xlfn.XLOOKUP(A4966,[1]!DadosGHD[CD_GEOCMU],[1]!DadosGHD[uf])</f>
        <v>MG</v>
      </c>
      <c r="E4966" s="5" t="str">
        <f>_xlfn.XLOOKUP(A4966,[1]!DadosGHD[CD_GEOCMU],[1]!DadosGHD[MUNICIPIO])</f>
        <v>DONA EUSEBIA</v>
      </c>
      <c r="F4966" s="6">
        <v>58.633071899414098</v>
      </c>
      <c r="G4966" s="6">
        <v>53.734451293945298</v>
      </c>
      <c r="H4966" s="6">
        <v>53.779998779296903</v>
      </c>
      <c r="I4966" s="6">
        <v>53.729515075683601</v>
      </c>
      <c r="J4966" s="6">
        <v>53.735813140869098</v>
      </c>
      <c r="K4966" s="6">
        <v>48.870048522949197</v>
      </c>
      <c r="L4966" s="6">
        <v>39.612186431884801</v>
      </c>
    </row>
    <row r="4967" spans="1:12" x14ac:dyDescent="0.25">
      <c r="A4967">
        <v>4216255</v>
      </c>
      <c r="B4967" t="str">
        <f t="shared" si="77"/>
        <v>SAO JOAO DO OESTE, SC, Brasil</v>
      </c>
      <c r="C4967" s="4" t="str">
        <f>_xlfn.XLOOKUP(A4967,[1]!DadosGHD[CD_GEOCMU],[1]!DadosGHD[Região])</f>
        <v>SL</v>
      </c>
      <c r="D4967" s="4" t="str">
        <f>_xlfn.XLOOKUP(A4967,[1]!DadosGHD[CD_GEOCMU],[1]!DadosGHD[uf])</f>
        <v>SC</v>
      </c>
      <c r="E4967" s="5" t="str">
        <f>_xlfn.XLOOKUP(A4967,[1]!DadosGHD[CD_GEOCMU],[1]!DadosGHD[MUNICIPIO])</f>
        <v>SAO JOAO DO OESTE</v>
      </c>
      <c r="F4967" s="6">
        <v>58.634120941162102</v>
      </c>
      <c r="G4967" s="6">
        <v>48.716770172119098</v>
      </c>
      <c r="H4967" s="6">
        <v>53.794811248779297</v>
      </c>
      <c r="I4967" s="6">
        <v>63.917652130127003</v>
      </c>
      <c r="J4967" s="6">
        <v>63.985183715820298</v>
      </c>
      <c r="K4967" s="6">
        <v>59.034938812255902</v>
      </c>
      <c r="L4967" s="6">
        <v>57.589881896972699</v>
      </c>
    </row>
    <row r="4968" spans="1:12" x14ac:dyDescent="0.25">
      <c r="A4968">
        <v>5005251</v>
      </c>
      <c r="B4968" t="str">
        <f t="shared" si="77"/>
        <v>LAGUNA CARAPA, MS, Brasil</v>
      </c>
      <c r="C4968" s="4" t="str">
        <f>_xlfn.XLOOKUP(A4968,[1]!DadosGHD[CD_GEOCMU],[1]!DadosGHD[Região])</f>
        <v>CO</v>
      </c>
      <c r="D4968" s="4" t="str">
        <f>_xlfn.XLOOKUP(A4968,[1]!DadosGHD[CD_GEOCMU],[1]!DadosGHD[uf])</f>
        <v>MS</v>
      </c>
      <c r="E4968" s="5" t="str">
        <f>_xlfn.XLOOKUP(A4968,[1]!DadosGHD[CD_GEOCMU],[1]!DadosGHD[MUNICIPIO])</f>
        <v>LAGUNA CARAPA</v>
      </c>
      <c r="F4968" s="6">
        <v>58.634651184082003</v>
      </c>
      <c r="G4968" s="6">
        <v>58.894752502441399</v>
      </c>
      <c r="H4968" s="6">
        <v>63.967494964599602</v>
      </c>
      <c r="I4968" s="6">
        <v>64.000221252441406</v>
      </c>
      <c r="J4968" s="6">
        <v>64.039611816406307</v>
      </c>
      <c r="K4968" s="6">
        <v>64.13623046875</v>
      </c>
      <c r="L4968" s="6">
        <v>35.157863616943402</v>
      </c>
    </row>
    <row r="4969" spans="1:12" x14ac:dyDescent="0.25">
      <c r="A4969">
        <v>4311700</v>
      </c>
      <c r="B4969" t="str">
        <f t="shared" si="77"/>
        <v>MACHADINHO, RS, Brasil</v>
      </c>
      <c r="C4969" s="4" t="str">
        <f>_xlfn.XLOOKUP(A4969,[1]!DadosGHD[CD_GEOCMU],[1]!DadosGHD[Região])</f>
        <v>SL</v>
      </c>
      <c r="D4969" s="4" t="str">
        <f>_xlfn.XLOOKUP(A4969,[1]!DadosGHD[CD_GEOCMU],[1]!DadosGHD[uf])</f>
        <v>RS</v>
      </c>
      <c r="E4969" s="5" t="str">
        <f>_xlfn.XLOOKUP(A4969,[1]!DadosGHD[CD_GEOCMU],[1]!DadosGHD[MUNICIPIO])</f>
        <v>MACHADINHO</v>
      </c>
      <c r="F4969" s="6">
        <v>58.634693145752003</v>
      </c>
      <c r="G4969" s="6">
        <v>58.846855163574197</v>
      </c>
      <c r="H4969" s="6">
        <v>58.860713958740199</v>
      </c>
      <c r="I4969" s="6">
        <v>53.843441009521499</v>
      </c>
      <c r="J4969" s="6">
        <v>53.826587677002003</v>
      </c>
      <c r="K4969" s="6">
        <v>53.947975158691399</v>
      </c>
      <c r="L4969" s="6">
        <v>39.586826324462898</v>
      </c>
    </row>
    <row r="4970" spans="1:12" x14ac:dyDescent="0.25">
      <c r="A4970">
        <v>3203353</v>
      </c>
      <c r="B4970" t="str">
        <f t="shared" si="77"/>
        <v>MARILANDIA, ES, Brasil</v>
      </c>
      <c r="C4970" s="4" t="str">
        <f>_xlfn.XLOOKUP(A4970,[1]!DadosGHD[CD_GEOCMU],[1]!DadosGHD[Região])</f>
        <v>SD</v>
      </c>
      <c r="D4970" s="4" t="str">
        <f>_xlfn.XLOOKUP(A4970,[1]!DadosGHD[CD_GEOCMU],[1]!DadosGHD[uf])</f>
        <v>ES</v>
      </c>
      <c r="E4970" s="5" t="str">
        <f>_xlfn.XLOOKUP(A4970,[1]!DadosGHD[CD_GEOCMU],[1]!DadosGHD[MUNICIPIO])</f>
        <v>MARILANDIA</v>
      </c>
      <c r="F4970" s="6">
        <v>58.634742736816399</v>
      </c>
      <c r="G4970" s="6">
        <v>58.739608764648402</v>
      </c>
      <c r="H4970" s="6">
        <v>58.826072692871101</v>
      </c>
      <c r="I4970" s="6">
        <v>58.819091796875</v>
      </c>
      <c r="J4970" s="6">
        <v>58.8574409484863</v>
      </c>
      <c r="K4970" s="6">
        <v>58.9299125671387</v>
      </c>
      <c r="L4970" s="6">
        <v>48.539840698242202</v>
      </c>
    </row>
    <row r="4971" spans="1:12" x14ac:dyDescent="0.25">
      <c r="A4971">
        <v>3543907</v>
      </c>
      <c r="B4971" t="str">
        <f t="shared" si="77"/>
        <v>RIO CLARO, SP, Brasil</v>
      </c>
      <c r="C4971" s="4" t="str">
        <f>_xlfn.XLOOKUP(A4971,[1]!DadosGHD[CD_GEOCMU],[1]!DadosGHD[Região])</f>
        <v>SD</v>
      </c>
      <c r="D4971" s="4" t="str">
        <f>_xlfn.XLOOKUP(A4971,[1]!DadosGHD[CD_GEOCMU],[1]!DadosGHD[uf])</f>
        <v>SP</v>
      </c>
      <c r="E4971" s="5" t="str">
        <f>_xlfn.XLOOKUP(A4971,[1]!DadosGHD[CD_GEOCMU],[1]!DadosGHD[MUNICIPIO])</f>
        <v>RIO CLARO</v>
      </c>
      <c r="F4971" s="6">
        <v>58.6357421875</v>
      </c>
      <c r="G4971" s="6">
        <v>58.724445343017599</v>
      </c>
      <c r="H4971" s="6">
        <v>53.903408050537102</v>
      </c>
      <c r="I4971" s="6">
        <v>53.8069458007813</v>
      </c>
      <c r="J4971" s="6">
        <v>53.803306579589801</v>
      </c>
      <c r="K4971" s="6">
        <v>53.848526000976598</v>
      </c>
      <c r="L4971" s="6">
        <v>57.554691314697301</v>
      </c>
    </row>
    <row r="4972" spans="1:12" x14ac:dyDescent="0.25">
      <c r="A4972">
        <v>4114609</v>
      </c>
      <c r="B4972" t="str">
        <f t="shared" si="77"/>
        <v>MARECHAL CANDIDO RONDON, PR, Brasil</v>
      </c>
      <c r="C4972" s="4" t="str">
        <f>_xlfn.XLOOKUP(A4972,[1]!DadosGHD[CD_GEOCMU],[1]!DadosGHD[Região])</f>
        <v>SL</v>
      </c>
      <c r="D4972" s="4" t="str">
        <f>_xlfn.XLOOKUP(A4972,[1]!DadosGHD[CD_GEOCMU],[1]!DadosGHD[uf])</f>
        <v>PR</v>
      </c>
      <c r="E4972" s="5" t="str">
        <f>_xlfn.XLOOKUP(A4972,[1]!DadosGHD[CD_GEOCMU],[1]!DadosGHD[MUNICIPIO])</f>
        <v>MARECHAL CANDIDO RONDON</v>
      </c>
      <c r="F4972" s="6">
        <v>58.636890411377003</v>
      </c>
      <c r="G4972" s="6">
        <v>58.806892395019503</v>
      </c>
      <c r="H4972" s="6">
        <v>58.853759765625</v>
      </c>
      <c r="I4972" s="6">
        <v>58.793167114257798</v>
      </c>
      <c r="J4972" s="6">
        <v>58.981666564941399</v>
      </c>
      <c r="K4972" s="6">
        <v>59.116302490234403</v>
      </c>
      <c r="L4972" s="6">
        <v>57.5408744812012</v>
      </c>
    </row>
    <row r="4973" spans="1:12" x14ac:dyDescent="0.25">
      <c r="A4973">
        <v>3528809</v>
      </c>
      <c r="B4973" t="str">
        <f t="shared" si="77"/>
        <v>MARACAI, SP, Brasil</v>
      </c>
      <c r="C4973" s="4" t="str">
        <f>_xlfn.XLOOKUP(A4973,[1]!DadosGHD[CD_GEOCMU],[1]!DadosGHD[Região])</f>
        <v>SD</v>
      </c>
      <c r="D4973" s="4" t="str">
        <f>_xlfn.XLOOKUP(A4973,[1]!DadosGHD[CD_GEOCMU],[1]!DadosGHD[uf])</f>
        <v>SP</v>
      </c>
      <c r="E4973" s="5" t="str">
        <f>_xlfn.XLOOKUP(A4973,[1]!DadosGHD[CD_GEOCMU],[1]!DadosGHD[MUNICIPIO])</f>
        <v>MARACAI</v>
      </c>
      <c r="F4973" s="6">
        <v>58.637214660644503</v>
      </c>
      <c r="G4973" s="6">
        <v>53.755565643310597</v>
      </c>
      <c r="H4973" s="6">
        <v>53.797874450683601</v>
      </c>
      <c r="I4973" s="6">
        <v>48.802661895752003</v>
      </c>
      <c r="J4973" s="6">
        <v>53.771263122558601</v>
      </c>
      <c r="K4973" s="6">
        <v>53.808116912841797</v>
      </c>
      <c r="L4973" s="6">
        <v>44.072231292724602</v>
      </c>
    </row>
    <row r="4974" spans="1:12" x14ac:dyDescent="0.25">
      <c r="A4974">
        <v>3537701</v>
      </c>
      <c r="B4974" t="str">
        <f t="shared" si="77"/>
        <v>PIACATU, SP, Brasil</v>
      </c>
      <c r="C4974" s="4" t="str">
        <f>_xlfn.XLOOKUP(A4974,[1]!DadosGHD[CD_GEOCMU],[1]!DadosGHD[Região])</f>
        <v>SD</v>
      </c>
      <c r="D4974" s="4" t="str">
        <f>_xlfn.XLOOKUP(A4974,[1]!DadosGHD[CD_GEOCMU],[1]!DadosGHD[uf])</f>
        <v>SP</v>
      </c>
      <c r="E4974" s="5" t="str">
        <f>_xlfn.XLOOKUP(A4974,[1]!DadosGHD[CD_GEOCMU],[1]!DadosGHD[MUNICIPIO])</f>
        <v>PIACATU</v>
      </c>
      <c r="F4974" s="6">
        <v>58.638092041015597</v>
      </c>
      <c r="G4974" s="6">
        <v>53.677726745605497</v>
      </c>
      <c r="H4974" s="6">
        <v>48.816177368164098</v>
      </c>
      <c r="I4974" s="6">
        <v>48.790317535400398</v>
      </c>
      <c r="J4974" s="6">
        <v>48.811855316162102</v>
      </c>
      <c r="K4974" s="6">
        <v>53.814704895019503</v>
      </c>
      <c r="L4974" s="6">
        <v>44.055496215820298</v>
      </c>
    </row>
    <row r="4975" spans="1:12" x14ac:dyDescent="0.25">
      <c r="A4975">
        <v>3539905</v>
      </c>
      <c r="B4975" t="str">
        <f t="shared" si="77"/>
        <v>POLONI, SP, Brasil</v>
      </c>
      <c r="C4975" s="4" t="str">
        <f>_xlfn.XLOOKUP(A4975,[1]!DadosGHD[CD_GEOCMU],[1]!DadosGHD[Região])</f>
        <v>SD</v>
      </c>
      <c r="D4975" s="4" t="str">
        <f>_xlfn.XLOOKUP(A4975,[1]!DadosGHD[CD_GEOCMU],[1]!DadosGHD[uf])</f>
        <v>SP</v>
      </c>
      <c r="E4975" s="5" t="str">
        <f>_xlfn.XLOOKUP(A4975,[1]!DadosGHD[CD_GEOCMU],[1]!DadosGHD[MUNICIPIO])</f>
        <v>POLONI</v>
      </c>
      <c r="F4975" s="6">
        <v>58.638385772705099</v>
      </c>
      <c r="G4975" s="6">
        <v>58.8772163391113</v>
      </c>
      <c r="H4975" s="6">
        <v>53.853702545166001</v>
      </c>
      <c r="I4975" s="6">
        <v>48.817317962646499</v>
      </c>
      <c r="J4975" s="6">
        <v>53.806526184082003</v>
      </c>
      <c r="K4975" s="6">
        <v>48.888236999511697</v>
      </c>
      <c r="L4975" s="6">
        <v>44.024173736572301</v>
      </c>
    </row>
    <row r="4976" spans="1:12" x14ac:dyDescent="0.25">
      <c r="A4976">
        <v>3110509</v>
      </c>
      <c r="B4976" t="str">
        <f t="shared" si="77"/>
        <v>CAMANDUCAIA, MG, Brasil</v>
      </c>
      <c r="C4976" s="4" t="str">
        <f>_xlfn.XLOOKUP(A4976,[1]!DadosGHD[CD_GEOCMU],[1]!DadosGHD[Região])</f>
        <v>SD</v>
      </c>
      <c r="D4976" s="4" t="str">
        <f>_xlfn.XLOOKUP(A4976,[1]!DadosGHD[CD_GEOCMU],[1]!DadosGHD[uf])</f>
        <v>MG</v>
      </c>
      <c r="E4976" s="5" t="str">
        <f>_xlfn.XLOOKUP(A4976,[1]!DadosGHD[CD_GEOCMU],[1]!DadosGHD[MUNICIPIO])</f>
        <v>CAMANDUCAIA</v>
      </c>
      <c r="F4976" s="6">
        <v>58.638931274414098</v>
      </c>
      <c r="G4976" s="6">
        <v>58.729518890380902</v>
      </c>
      <c r="H4976" s="6">
        <v>58.841842651367202</v>
      </c>
      <c r="I4976" s="6">
        <v>58.825714111328097</v>
      </c>
      <c r="J4976" s="6">
        <v>53.860828399658203</v>
      </c>
      <c r="K4976" s="6">
        <v>53.9064750671387</v>
      </c>
      <c r="L4976" s="6">
        <v>48.514850616455099</v>
      </c>
    </row>
    <row r="4977" spans="1:12" x14ac:dyDescent="0.25">
      <c r="A4977">
        <v>4200101</v>
      </c>
      <c r="B4977" t="str">
        <f t="shared" si="77"/>
        <v>ABELARDO LUZ, SC, Brasil</v>
      </c>
      <c r="C4977" s="4" t="str">
        <f>_xlfn.XLOOKUP(A4977,[1]!DadosGHD[CD_GEOCMU],[1]!DadosGHD[Região])</f>
        <v>SL</v>
      </c>
      <c r="D4977" s="4" t="str">
        <f>_xlfn.XLOOKUP(A4977,[1]!DadosGHD[CD_GEOCMU],[1]!DadosGHD[uf])</f>
        <v>SC</v>
      </c>
      <c r="E4977" s="5" t="str">
        <f>_xlfn.XLOOKUP(A4977,[1]!DadosGHD[CD_GEOCMU],[1]!DadosGHD[MUNICIPIO])</f>
        <v>ABELARDO LUZ</v>
      </c>
      <c r="F4977" s="6">
        <v>58.638961791992202</v>
      </c>
      <c r="G4977" s="6">
        <v>58.715957641601598</v>
      </c>
      <c r="H4977" s="6">
        <v>53.861289978027301</v>
      </c>
      <c r="I4977" s="6">
        <v>53.846843719482401</v>
      </c>
      <c r="J4977" s="6">
        <v>53.879249572753899</v>
      </c>
      <c r="K4977" s="6">
        <v>58.9163818359375</v>
      </c>
      <c r="L4977" s="6">
        <v>44.064571380615199</v>
      </c>
    </row>
    <row r="4978" spans="1:12" x14ac:dyDescent="0.25">
      <c r="A4978">
        <v>4125506</v>
      </c>
      <c r="B4978" t="str">
        <f t="shared" si="77"/>
        <v>SAO JOSE DOS PINHAIS, PR, Brasil</v>
      </c>
      <c r="C4978" s="4" t="str">
        <f>_xlfn.XLOOKUP(A4978,[1]!DadosGHD[CD_GEOCMU],[1]!DadosGHD[Região])</f>
        <v>SL</v>
      </c>
      <c r="D4978" s="4" t="str">
        <f>_xlfn.XLOOKUP(A4978,[1]!DadosGHD[CD_GEOCMU],[1]!DadosGHD[uf])</f>
        <v>PR</v>
      </c>
      <c r="E4978" s="5" t="str">
        <f>_xlfn.XLOOKUP(A4978,[1]!DadosGHD[CD_GEOCMU],[1]!DadosGHD[MUNICIPIO])</f>
        <v>SAO JOSE DOS PINHAIS</v>
      </c>
      <c r="F4978" s="6">
        <v>58.639965057373097</v>
      </c>
      <c r="G4978" s="6">
        <v>58.748218536377003</v>
      </c>
      <c r="H4978" s="6">
        <v>53.890083312988303</v>
      </c>
      <c r="I4978" s="6">
        <v>53.868911743164098</v>
      </c>
      <c r="J4978" s="6">
        <v>53.896366119384801</v>
      </c>
      <c r="K4978" s="6">
        <v>53.941555023193402</v>
      </c>
      <c r="L4978" s="6">
        <v>57.538398742675803</v>
      </c>
    </row>
    <row r="4979" spans="1:12" x14ac:dyDescent="0.25">
      <c r="A4979">
        <v>3131604</v>
      </c>
      <c r="B4979" t="str">
        <f t="shared" si="77"/>
        <v>IRAI DE MINAS, MG, Brasil</v>
      </c>
      <c r="C4979" s="4" t="str">
        <f>_xlfn.XLOOKUP(A4979,[1]!DadosGHD[CD_GEOCMU],[1]!DadosGHD[Região])</f>
        <v>SD</v>
      </c>
      <c r="D4979" s="4" t="str">
        <f>_xlfn.XLOOKUP(A4979,[1]!DadosGHD[CD_GEOCMU],[1]!DadosGHD[uf])</f>
        <v>MG</v>
      </c>
      <c r="E4979" s="5" t="str">
        <f>_xlfn.XLOOKUP(A4979,[1]!DadosGHD[CD_GEOCMU],[1]!DadosGHD[MUNICIPIO])</f>
        <v>IRAI DE MINAS</v>
      </c>
      <c r="F4979" s="6">
        <v>58.640308380127003</v>
      </c>
      <c r="G4979" s="6">
        <v>58.827259063720703</v>
      </c>
      <c r="H4979" s="6">
        <v>58.869350433349602</v>
      </c>
      <c r="I4979" s="6">
        <v>58.951972961425803</v>
      </c>
      <c r="J4979" s="6">
        <v>63.907550811767599</v>
      </c>
      <c r="K4979" s="6">
        <v>59.099193572998097</v>
      </c>
      <c r="L4979" s="6">
        <v>53.0262641906738</v>
      </c>
    </row>
    <row r="4980" spans="1:12" x14ac:dyDescent="0.25">
      <c r="A4980">
        <v>4308706</v>
      </c>
      <c r="B4980" t="str">
        <f t="shared" si="77"/>
        <v>GAURAMA, RS, Brasil</v>
      </c>
      <c r="C4980" s="4" t="str">
        <f>_xlfn.XLOOKUP(A4980,[1]!DadosGHD[CD_GEOCMU],[1]!DadosGHD[Região])</f>
        <v>SL</v>
      </c>
      <c r="D4980" s="4" t="str">
        <f>_xlfn.XLOOKUP(A4980,[1]!DadosGHD[CD_GEOCMU],[1]!DadosGHD[uf])</f>
        <v>RS</v>
      </c>
      <c r="E4980" s="5" t="str">
        <f>_xlfn.XLOOKUP(A4980,[1]!DadosGHD[CD_GEOCMU],[1]!DadosGHD[MUNICIPIO])</f>
        <v>GAURAMA</v>
      </c>
      <c r="F4980" s="6">
        <v>58.640556335449197</v>
      </c>
      <c r="G4980" s="6">
        <v>58.775978088378899</v>
      </c>
      <c r="H4980" s="6">
        <v>58.846588134765597</v>
      </c>
      <c r="I4980" s="6">
        <v>58.815093994140597</v>
      </c>
      <c r="J4980" s="6">
        <v>58.937984466552699</v>
      </c>
      <c r="K4980" s="6">
        <v>59.128379821777301</v>
      </c>
      <c r="L4980" s="6">
        <v>57.589881896972699</v>
      </c>
    </row>
    <row r="4981" spans="1:12" x14ac:dyDescent="0.25">
      <c r="A4981">
        <v>4212700</v>
      </c>
      <c r="B4981" t="str">
        <f t="shared" si="77"/>
        <v>PETROLANDIA, SC, Brasil</v>
      </c>
      <c r="C4981" s="4" t="str">
        <f>_xlfn.XLOOKUP(A4981,[1]!DadosGHD[CD_GEOCMU],[1]!DadosGHD[Região])</f>
        <v>SL</v>
      </c>
      <c r="D4981" s="4" t="str">
        <f>_xlfn.XLOOKUP(A4981,[1]!DadosGHD[CD_GEOCMU],[1]!DadosGHD[uf])</f>
        <v>SC</v>
      </c>
      <c r="E4981" s="5" t="str">
        <f>_xlfn.XLOOKUP(A4981,[1]!DadosGHD[CD_GEOCMU],[1]!DadosGHD[MUNICIPIO])</f>
        <v>PETROLANDIA</v>
      </c>
      <c r="F4981" s="6">
        <v>58.640560150146499</v>
      </c>
      <c r="G4981" s="6">
        <v>58.835098266601598</v>
      </c>
      <c r="H4981" s="6">
        <v>58.955081939697301</v>
      </c>
      <c r="I4981" s="6">
        <v>58.950649261474602</v>
      </c>
      <c r="J4981" s="6">
        <v>64.039611816406307</v>
      </c>
      <c r="K4981" s="6">
        <v>64.122245788574205</v>
      </c>
      <c r="L4981" s="6">
        <v>48.488410949707003</v>
      </c>
    </row>
    <row r="4982" spans="1:12" x14ac:dyDescent="0.25">
      <c r="A4982">
        <v>3508801</v>
      </c>
      <c r="B4982" t="str">
        <f t="shared" si="77"/>
        <v>CAFELANDIA, SP, Brasil</v>
      </c>
      <c r="C4982" s="4" t="str">
        <f>_xlfn.XLOOKUP(A4982,[1]!DadosGHD[CD_GEOCMU],[1]!DadosGHD[Região])</f>
        <v>SD</v>
      </c>
      <c r="D4982" s="4" t="str">
        <f>_xlfn.XLOOKUP(A4982,[1]!DadosGHD[CD_GEOCMU],[1]!DadosGHD[uf])</f>
        <v>SP</v>
      </c>
      <c r="E4982" s="5" t="str">
        <f>_xlfn.XLOOKUP(A4982,[1]!DadosGHD[CD_GEOCMU],[1]!DadosGHD[MUNICIPIO])</f>
        <v>CAFELANDIA</v>
      </c>
      <c r="F4982" s="6">
        <v>58.640579223632798</v>
      </c>
      <c r="G4982" s="6">
        <v>53.805896759033203</v>
      </c>
      <c r="H4982" s="6">
        <v>53.798664093017599</v>
      </c>
      <c r="I4982" s="6">
        <v>53.713943481445298</v>
      </c>
      <c r="J4982" s="6">
        <v>53.847202301025398</v>
      </c>
      <c r="K4982" s="6">
        <v>48.903896331787102</v>
      </c>
      <c r="L4982" s="6">
        <v>48.538730621337898</v>
      </c>
    </row>
    <row r="4983" spans="1:12" x14ac:dyDescent="0.25">
      <c r="A4983">
        <v>5003504</v>
      </c>
      <c r="B4983" t="str">
        <f t="shared" si="77"/>
        <v>DOURADINA, MS, Brasil</v>
      </c>
      <c r="C4983" s="4" t="str">
        <f>_xlfn.XLOOKUP(A4983,[1]!DadosGHD[CD_GEOCMU],[1]!DadosGHD[Região])</f>
        <v>CO</v>
      </c>
      <c r="D4983" s="4" t="str">
        <f>_xlfn.XLOOKUP(A4983,[1]!DadosGHD[CD_GEOCMU],[1]!DadosGHD[uf])</f>
        <v>MS</v>
      </c>
      <c r="E4983" s="5" t="str">
        <f>_xlfn.XLOOKUP(A4983,[1]!DadosGHD[CD_GEOCMU],[1]!DadosGHD[MUNICIPIO])</f>
        <v>DOURADINA</v>
      </c>
      <c r="F4983" s="6">
        <v>58.640739440917997</v>
      </c>
      <c r="G4983" s="6">
        <v>53.7970581054688</v>
      </c>
      <c r="H4983" s="6">
        <v>53.913063049316399</v>
      </c>
      <c r="I4983" s="6">
        <v>64.000221252441406</v>
      </c>
      <c r="J4983" s="6">
        <v>63.973426818847699</v>
      </c>
      <c r="K4983" s="6">
        <v>59.1220703125</v>
      </c>
      <c r="L4983" s="6">
        <v>44.075252532958999</v>
      </c>
    </row>
    <row r="4984" spans="1:12" x14ac:dyDescent="0.25">
      <c r="A4984">
        <v>3529104</v>
      </c>
      <c r="B4984" t="str">
        <f t="shared" si="77"/>
        <v>MARINOPOLIS, SP, Brasil</v>
      </c>
      <c r="C4984" s="4" t="str">
        <f>_xlfn.XLOOKUP(A4984,[1]!DadosGHD[CD_GEOCMU],[1]!DadosGHD[Região])</f>
        <v>SD</v>
      </c>
      <c r="D4984" s="4" t="str">
        <f>_xlfn.XLOOKUP(A4984,[1]!DadosGHD[CD_GEOCMU],[1]!DadosGHD[uf])</f>
        <v>SP</v>
      </c>
      <c r="E4984" s="5" t="str">
        <f>_xlfn.XLOOKUP(A4984,[1]!DadosGHD[CD_GEOCMU],[1]!DadosGHD[MUNICIPIO])</f>
        <v>MARINOPOLIS</v>
      </c>
      <c r="F4984" s="6">
        <v>58.641044616699197</v>
      </c>
      <c r="G4984" s="6">
        <v>53.696334838867202</v>
      </c>
      <c r="H4984" s="6">
        <v>53.759830474853501</v>
      </c>
      <c r="I4984" s="6">
        <v>53.714332580566399</v>
      </c>
      <c r="J4984" s="6">
        <v>53.732135772705099</v>
      </c>
      <c r="K4984" s="6">
        <v>43.7679252624512</v>
      </c>
      <c r="L4984" s="6">
        <v>48.488174438476598</v>
      </c>
    </row>
    <row r="4985" spans="1:12" x14ac:dyDescent="0.25">
      <c r="A4985">
        <v>3512001</v>
      </c>
      <c r="B4985" t="str">
        <f t="shared" si="77"/>
        <v>COLINA, SP, Brasil</v>
      </c>
      <c r="C4985" s="4" t="str">
        <f>_xlfn.XLOOKUP(A4985,[1]!DadosGHD[CD_GEOCMU],[1]!DadosGHD[Região])</f>
        <v>SD</v>
      </c>
      <c r="D4985" s="4" t="str">
        <f>_xlfn.XLOOKUP(A4985,[1]!DadosGHD[CD_GEOCMU],[1]!DadosGHD[uf])</f>
        <v>SP</v>
      </c>
      <c r="E4985" s="5" t="str">
        <f>_xlfn.XLOOKUP(A4985,[1]!DadosGHD[CD_GEOCMU],[1]!DadosGHD[MUNICIPIO])</f>
        <v>COLINA</v>
      </c>
      <c r="F4985" s="6">
        <v>58.641445159912102</v>
      </c>
      <c r="G4985" s="6">
        <v>53.759189605712898</v>
      </c>
      <c r="H4985" s="6">
        <v>53.7979125976563</v>
      </c>
      <c r="I4985" s="6">
        <v>53.721588134765597</v>
      </c>
      <c r="J4985" s="6">
        <v>53.782917022705099</v>
      </c>
      <c r="K4985" s="6">
        <v>48.863399505615199</v>
      </c>
      <c r="L4985" s="6">
        <v>48.501419067382798</v>
      </c>
    </row>
    <row r="4986" spans="1:12" x14ac:dyDescent="0.25">
      <c r="A4986">
        <v>4113601</v>
      </c>
      <c r="B4986" t="str">
        <f t="shared" si="77"/>
        <v>LOBATO, PR, Brasil</v>
      </c>
      <c r="C4986" s="4" t="str">
        <f>_xlfn.XLOOKUP(A4986,[1]!DadosGHD[CD_GEOCMU],[1]!DadosGHD[Região])</f>
        <v>SL</v>
      </c>
      <c r="D4986" s="4" t="str">
        <f>_xlfn.XLOOKUP(A4986,[1]!DadosGHD[CD_GEOCMU],[1]!DadosGHD[uf])</f>
        <v>PR</v>
      </c>
      <c r="E4986" s="5" t="str">
        <f>_xlfn.XLOOKUP(A4986,[1]!DadosGHD[CD_GEOCMU],[1]!DadosGHD[MUNICIPIO])</f>
        <v>LOBATO</v>
      </c>
      <c r="F4986" s="6">
        <v>58.641578674316399</v>
      </c>
      <c r="G4986" s="6">
        <v>53.728260040283203</v>
      </c>
      <c r="H4986" s="6">
        <v>48.858913421630902</v>
      </c>
      <c r="I4986" s="6">
        <v>48.821720123291001</v>
      </c>
      <c r="J4986" s="6">
        <v>48.832996368408203</v>
      </c>
      <c r="K4986" s="6">
        <v>53.847587585449197</v>
      </c>
      <c r="L4986" s="6">
        <v>53.034996032714801</v>
      </c>
    </row>
    <row r="4987" spans="1:12" x14ac:dyDescent="0.25">
      <c r="A4987">
        <v>4208302</v>
      </c>
      <c r="B4987" t="str">
        <f t="shared" si="77"/>
        <v>ITAPEMA, SC, Brasil</v>
      </c>
      <c r="C4987" s="4" t="str">
        <f>_xlfn.XLOOKUP(A4987,[1]!DadosGHD[CD_GEOCMU],[1]!DadosGHD[Região])</f>
        <v>SL</v>
      </c>
      <c r="D4987" s="4" t="str">
        <f>_xlfn.XLOOKUP(A4987,[1]!DadosGHD[CD_GEOCMU],[1]!DadosGHD[uf])</f>
        <v>SC</v>
      </c>
      <c r="E4987" s="5" t="str">
        <f>_xlfn.XLOOKUP(A4987,[1]!DadosGHD[CD_GEOCMU],[1]!DadosGHD[MUNICIPIO])</f>
        <v>ITAPEMA</v>
      </c>
      <c r="F4987" s="6">
        <v>58.641628265380902</v>
      </c>
      <c r="G4987" s="6">
        <v>58.7237548828125</v>
      </c>
      <c r="H4987" s="6">
        <v>53.854881286621101</v>
      </c>
      <c r="I4987" s="6">
        <v>53.810222625732401</v>
      </c>
      <c r="J4987" s="6">
        <v>53.836780548095703</v>
      </c>
      <c r="K4987" s="6">
        <v>53.885951995849602</v>
      </c>
      <c r="L4987" s="6">
        <v>57.554580688476598</v>
      </c>
    </row>
    <row r="4988" spans="1:12" x14ac:dyDescent="0.25">
      <c r="A4988">
        <v>4108601</v>
      </c>
      <c r="B4988" t="str">
        <f t="shared" si="77"/>
        <v>GOIOERE, PR, Brasil</v>
      </c>
      <c r="C4988" s="4" t="str">
        <f>_xlfn.XLOOKUP(A4988,[1]!DadosGHD[CD_GEOCMU],[1]!DadosGHD[Região])</f>
        <v>SL</v>
      </c>
      <c r="D4988" s="4" t="str">
        <f>_xlfn.XLOOKUP(A4988,[1]!DadosGHD[CD_GEOCMU],[1]!DadosGHD[uf])</f>
        <v>PR</v>
      </c>
      <c r="E4988" s="5" t="str">
        <f>_xlfn.XLOOKUP(A4988,[1]!DadosGHD[CD_GEOCMU],[1]!DadosGHD[MUNICIPIO])</f>
        <v>GOIOERE</v>
      </c>
      <c r="F4988" s="6">
        <v>58.642295837402301</v>
      </c>
      <c r="G4988" s="6">
        <v>58.723716735839801</v>
      </c>
      <c r="H4988" s="6">
        <v>53.845298767089801</v>
      </c>
      <c r="I4988" s="6">
        <v>53.763801574707003</v>
      </c>
      <c r="J4988" s="6">
        <v>53.781932830810597</v>
      </c>
      <c r="K4988" s="6">
        <v>53.942203521728501</v>
      </c>
      <c r="L4988" s="6">
        <v>52.9844970703125</v>
      </c>
    </row>
    <row r="4989" spans="1:12" x14ac:dyDescent="0.25">
      <c r="A4989">
        <v>3517802</v>
      </c>
      <c r="B4989" t="str">
        <f t="shared" si="77"/>
        <v>GUARACAI, SP, Brasil</v>
      </c>
      <c r="C4989" s="4" t="str">
        <f>_xlfn.XLOOKUP(A4989,[1]!DadosGHD[CD_GEOCMU],[1]!DadosGHD[Região])</f>
        <v>SD</v>
      </c>
      <c r="D4989" s="4" t="str">
        <f>_xlfn.XLOOKUP(A4989,[1]!DadosGHD[CD_GEOCMU],[1]!DadosGHD[uf])</f>
        <v>SP</v>
      </c>
      <c r="E4989" s="5" t="str">
        <f>_xlfn.XLOOKUP(A4989,[1]!DadosGHD[CD_GEOCMU],[1]!DadosGHD[MUNICIPIO])</f>
        <v>GUARACAI</v>
      </c>
      <c r="F4989" s="6">
        <v>58.642498016357401</v>
      </c>
      <c r="G4989" s="6">
        <v>58.741859436035199</v>
      </c>
      <c r="H4989" s="6">
        <v>58.869796752929702</v>
      </c>
      <c r="I4989" s="6">
        <v>58.951328277587898</v>
      </c>
      <c r="J4989" s="6">
        <v>58.937835693359403</v>
      </c>
      <c r="K4989" s="6">
        <v>58.933341979980497</v>
      </c>
      <c r="L4989" s="6">
        <v>57.539142608642599</v>
      </c>
    </row>
    <row r="4990" spans="1:12" x14ac:dyDescent="0.25">
      <c r="A4990">
        <v>4112959</v>
      </c>
      <c r="B4990" t="str">
        <f t="shared" si="77"/>
        <v>JURANDA, PR, Brasil</v>
      </c>
      <c r="C4990" s="4" t="str">
        <f>_xlfn.XLOOKUP(A4990,[1]!DadosGHD[CD_GEOCMU],[1]!DadosGHD[Região])</f>
        <v>SL</v>
      </c>
      <c r="D4990" s="4" t="str">
        <f>_xlfn.XLOOKUP(A4990,[1]!DadosGHD[CD_GEOCMU],[1]!DadosGHD[uf])</f>
        <v>PR</v>
      </c>
      <c r="E4990" s="5" t="str">
        <f>_xlfn.XLOOKUP(A4990,[1]!DadosGHD[CD_GEOCMU],[1]!DadosGHD[MUNICIPIO])</f>
        <v>JURANDA</v>
      </c>
      <c r="F4990" s="6">
        <v>58.642539978027301</v>
      </c>
      <c r="G4990" s="6">
        <v>58.803676605224602</v>
      </c>
      <c r="H4990" s="6">
        <v>58.834144592285199</v>
      </c>
      <c r="I4990" s="6">
        <v>53.835971832275398</v>
      </c>
      <c r="J4990" s="6">
        <v>53.854557037353501</v>
      </c>
      <c r="K4990" s="6">
        <v>48.8665580749512</v>
      </c>
      <c r="L4990" s="6">
        <v>39.580886840820298</v>
      </c>
    </row>
    <row r="4991" spans="1:12" x14ac:dyDescent="0.25">
      <c r="A4991">
        <v>4115853</v>
      </c>
      <c r="B4991" t="str">
        <f t="shared" si="77"/>
        <v>MERCEDES, PR, Brasil</v>
      </c>
      <c r="C4991" s="4" t="str">
        <f>_xlfn.XLOOKUP(A4991,[1]!DadosGHD[CD_GEOCMU],[1]!DadosGHD[Região])</f>
        <v>SL</v>
      </c>
      <c r="D4991" s="4" t="str">
        <f>_xlfn.XLOOKUP(A4991,[1]!DadosGHD[CD_GEOCMU],[1]!DadosGHD[uf])</f>
        <v>PR</v>
      </c>
      <c r="E4991" s="5" t="str">
        <f>_xlfn.XLOOKUP(A4991,[1]!DadosGHD[CD_GEOCMU],[1]!DadosGHD[MUNICIPIO])</f>
        <v>MERCEDES</v>
      </c>
      <c r="F4991" s="6">
        <v>58.642951965332003</v>
      </c>
      <c r="G4991" s="6">
        <v>63.872299194335902</v>
      </c>
      <c r="H4991" s="6">
        <v>64.000236511230497</v>
      </c>
      <c r="I4991" s="6">
        <v>58.937957763671903</v>
      </c>
      <c r="J4991" s="6">
        <v>63.9569702148438</v>
      </c>
      <c r="K4991" s="6">
        <v>59.107841491699197</v>
      </c>
      <c r="L4991" s="6">
        <v>57.530509948730497</v>
      </c>
    </row>
    <row r="4992" spans="1:12" x14ac:dyDescent="0.25">
      <c r="A4992">
        <v>3133402</v>
      </c>
      <c r="B4992" t="str">
        <f t="shared" si="77"/>
        <v>ITAPAGIPE, MG, Brasil</v>
      </c>
      <c r="C4992" s="4" t="str">
        <f>_xlfn.XLOOKUP(A4992,[1]!DadosGHD[CD_GEOCMU],[1]!DadosGHD[Região])</f>
        <v>SD</v>
      </c>
      <c r="D4992" s="4" t="str">
        <f>_xlfn.XLOOKUP(A4992,[1]!DadosGHD[CD_GEOCMU],[1]!DadosGHD[uf])</f>
        <v>MG</v>
      </c>
      <c r="E4992" s="5" t="str">
        <f>_xlfn.XLOOKUP(A4992,[1]!DadosGHD[CD_GEOCMU],[1]!DadosGHD[MUNICIPIO])</f>
        <v>ITAPAGIPE</v>
      </c>
      <c r="F4992" s="6">
        <v>58.643192291259801</v>
      </c>
      <c r="G4992" s="6">
        <v>53.766239166259801</v>
      </c>
      <c r="H4992" s="6">
        <v>48.848342895507798</v>
      </c>
      <c r="I4992" s="6">
        <v>48.788661956787102</v>
      </c>
      <c r="J4992" s="6">
        <v>48.793251037597699</v>
      </c>
      <c r="K4992" s="6">
        <v>48.818210601806598</v>
      </c>
      <c r="L4992" s="6">
        <v>44.015640258789098</v>
      </c>
    </row>
    <row r="4993" spans="1:12" x14ac:dyDescent="0.25">
      <c r="A4993">
        <v>3107406</v>
      </c>
      <c r="B4993" t="str">
        <f t="shared" si="77"/>
        <v>BOM DESPACHO, MG, Brasil</v>
      </c>
      <c r="C4993" s="4" t="str">
        <f>_xlfn.XLOOKUP(A4993,[1]!DadosGHD[CD_GEOCMU],[1]!DadosGHD[Região])</f>
        <v>SD</v>
      </c>
      <c r="D4993" s="4" t="str">
        <f>_xlfn.XLOOKUP(A4993,[1]!DadosGHD[CD_GEOCMU],[1]!DadosGHD[uf])</f>
        <v>MG</v>
      </c>
      <c r="E4993" s="5" t="str">
        <f>_xlfn.XLOOKUP(A4993,[1]!DadosGHD[CD_GEOCMU],[1]!DadosGHD[MUNICIPIO])</f>
        <v>BOM DESPACHO</v>
      </c>
      <c r="F4993" s="6">
        <v>58.643478393554702</v>
      </c>
      <c r="G4993" s="6">
        <v>58.750495910644503</v>
      </c>
      <c r="H4993" s="6">
        <v>53.8675727844238</v>
      </c>
      <c r="I4993" s="6">
        <v>58.837528228759801</v>
      </c>
      <c r="J4993" s="6">
        <v>58.9105224609375</v>
      </c>
      <c r="K4993" s="6">
        <v>58.944190979003899</v>
      </c>
      <c r="L4993" s="6">
        <v>53.055618286132798</v>
      </c>
    </row>
    <row r="4994" spans="1:12" x14ac:dyDescent="0.25">
      <c r="A4994">
        <v>3534757</v>
      </c>
      <c r="B4994" t="str">
        <f t="shared" si="77"/>
        <v>OUROESTE, SP, Brasil</v>
      </c>
      <c r="C4994" s="4" t="str">
        <f>_xlfn.XLOOKUP(A4994,[1]!DadosGHD[CD_GEOCMU],[1]!DadosGHD[Região])</f>
        <v>SD</v>
      </c>
      <c r="D4994" s="4" t="str">
        <f>_xlfn.XLOOKUP(A4994,[1]!DadosGHD[CD_GEOCMU],[1]!DadosGHD[uf])</f>
        <v>SP</v>
      </c>
      <c r="E4994" s="5" t="str">
        <f>_xlfn.XLOOKUP(A4994,[1]!DadosGHD[CD_GEOCMU],[1]!DadosGHD[MUNICIPIO])</f>
        <v>OUROESTE</v>
      </c>
      <c r="F4994" s="6">
        <v>58.643848419189503</v>
      </c>
      <c r="G4994" s="6">
        <v>53.749240875244098</v>
      </c>
      <c r="H4994" s="6">
        <v>48.770603179931598</v>
      </c>
      <c r="I4994" s="6">
        <v>48.695194244384801</v>
      </c>
      <c r="J4994" s="6">
        <v>48.705905914306598</v>
      </c>
      <c r="K4994" s="6">
        <v>43.865036010742202</v>
      </c>
      <c r="L4994" s="6">
        <v>39.562675476074197</v>
      </c>
    </row>
    <row r="4995" spans="1:12" x14ac:dyDescent="0.25">
      <c r="A4995">
        <v>4313706</v>
      </c>
      <c r="B4995" t="str">
        <f t="shared" si="77"/>
        <v>PALMEIRA DAS MISSOES, RS, Brasil</v>
      </c>
      <c r="C4995" s="4" t="str">
        <f>_xlfn.XLOOKUP(A4995,[1]!DadosGHD[CD_GEOCMU],[1]!DadosGHD[Região])</f>
        <v>SL</v>
      </c>
      <c r="D4995" s="4" t="str">
        <f>_xlfn.XLOOKUP(A4995,[1]!DadosGHD[CD_GEOCMU],[1]!DadosGHD[uf])</f>
        <v>RS</v>
      </c>
      <c r="E4995" s="5" t="str">
        <f>_xlfn.XLOOKUP(A4995,[1]!DadosGHD[CD_GEOCMU],[1]!DadosGHD[MUNICIPIO])</f>
        <v>PALMEIRA DAS MISSOES</v>
      </c>
      <c r="F4995" s="6">
        <v>58.644100189208999</v>
      </c>
      <c r="G4995" s="6">
        <v>58.720138549804702</v>
      </c>
      <c r="H4995" s="6">
        <v>58.845615386962898</v>
      </c>
      <c r="I4995" s="6">
        <v>58.792388916015597</v>
      </c>
      <c r="J4995" s="6">
        <v>53.814785003662102</v>
      </c>
      <c r="K4995" s="6">
        <v>58.9955444335938</v>
      </c>
      <c r="L4995" s="6">
        <v>48.528923034667997</v>
      </c>
    </row>
    <row r="4996" spans="1:12" x14ac:dyDescent="0.25">
      <c r="A4996">
        <v>4213203</v>
      </c>
      <c r="B4996" t="str">
        <f t="shared" ref="B4996:B5059" si="78">_xlfn.CONCAT(E4996, ", ", D4996, ", Brasil")</f>
        <v>POMERODE, SC, Brasil</v>
      </c>
      <c r="C4996" s="4" t="str">
        <f>_xlfn.XLOOKUP(A4996,[1]!DadosGHD[CD_GEOCMU],[1]!DadosGHD[Região])</f>
        <v>SL</v>
      </c>
      <c r="D4996" s="4" t="str">
        <f>_xlfn.XLOOKUP(A4996,[1]!DadosGHD[CD_GEOCMU],[1]!DadosGHD[uf])</f>
        <v>SC</v>
      </c>
      <c r="E4996" s="5" t="str">
        <f>_xlfn.XLOOKUP(A4996,[1]!DadosGHD[CD_GEOCMU],[1]!DadosGHD[MUNICIPIO])</f>
        <v>POMERODE</v>
      </c>
      <c r="F4996" s="6">
        <v>58.644302368164098</v>
      </c>
      <c r="G4996" s="6">
        <v>58.8140678405762</v>
      </c>
      <c r="H4996" s="6">
        <v>58.895328521728501</v>
      </c>
      <c r="I4996" s="6">
        <v>58.927627563476598</v>
      </c>
      <c r="J4996" s="6">
        <v>58.964954376220703</v>
      </c>
      <c r="K4996" s="6">
        <v>58.973354339599602</v>
      </c>
      <c r="L4996" s="6">
        <v>57.589881896972699</v>
      </c>
    </row>
    <row r="4997" spans="1:12" x14ac:dyDescent="0.25">
      <c r="A4997">
        <v>5002902</v>
      </c>
      <c r="B4997" t="str">
        <f t="shared" si="78"/>
        <v>CASSILANDIA, MS, Brasil</v>
      </c>
      <c r="C4997" s="4" t="str">
        <f>_xlfn.XLOOKUP(A4997,[1]!DadosGHD[CD_GEOCMU],[1]!DadosGHD[Região])</f>
        <v>CO</v>
      </c>
      <c r="D4997" s="4" t="str">
        <f>_xlfn.XLOOKUP(A4997,[1]!DadosGHD[CD_GEOCMU],[1]!DadosGHD[uf])</f>
        <v>MS</v>
      </c>
      <c r="E4997" s="5" t="str">
        <f>_xlfn.XLOOKUP(A4997,[1]!DadosGHD[CD_GEOCMU],[1]!DadosGHD[MUNICIPIO])</f>
        <v>CASSILANDIA</v>
      </c>
      <c r="F4997" s="6">
        <v>58.644329071044901</v>
      </c>
      <c r="G4997" s="6">
        <v>53.752071380615199</v>
      </c>
      <c r="H4997" s="6">
        <v>53.8102416992188</v>
      </c>
      <c r="I4997" s="6">
        <v>53.787708282470703</v>
      </c>
      <c r="J4997" s="6">
        <v>53.765945434570298</v>
      </c>
      <c r="K4997" s="6">
        <v>48.888904571533203</v>
      </c>
      <c r="L4997" s="6">
        <v>39.594158172607401</v>
      </c>
    </row>
    <row r="4998" spans="1:12" x14ac:dyDescent="0.25">
      <c r="A4998">
        <v>4310405</v>
      </c>
      <c r="B4998" t="str">
        <f t="shared" si="78"/>
        <v>INDEPENDENCIA, RS, Brasil</v>
      </c>
      <c r="C4998" s="4" t="str">
        <f>_xlfn.XLOOKUP(A4998,[1]!DadosGHD[CD_GEOCMU],[1]!DadosGHD[Região])</f>
        <v>SL</v>
      </c>
      <c r="D4998" s="4" t="str">
        <f>_xlfn.XLOOKUP(A4998,[1]!DadosGHD[CD_GEOCMU],[1]!DadosGHD[uf])</f>
        <v>RS</v>
      </c>
      <c r="E4998" s="5" t="str">
        <f>_xlfn.XLOOKUP(A4998,[1]!DadosGHD[CD_GEOCMU],[1]!DadosGHD[MUNICIPIO])</f>
        <v>INDEPENDENCIA</v>
      </c>
      <c r="F4998" s="6">
        <v>58.644519805908203</v>
      </c>
      <c r="G4998" s="6">
        <v>58.76953125</v>
      </c>
      <c r="H4998" s="6">
        <v>58.891120910644503</v>
      </c>
      <c r="I4998" s="6">
        <v>58.851921081542997</v>
      </c>
      <c r="J4998" s="6">
        <v>58.907882690429702</v>
      </c>
      <c r="K4998" s="6">
        <v>64.070091247558594</v>
      </c>
      <c r="L4998" s="6">
        <v>48.545707702636697</v>
      </c>
    </row>
    <row r="4999" spans="1:12" x14ac:dyDescent="0.25">
      <c r="A4999">
        <v>3156304</v>
      </c>
      <c r="B4999" t="str">
        <f t="shared" si="78"/>
        <v>RODEIRO, MG, Brasil</v>
      </c>
      <c r="C4999" s="4" t="str">
        <f>_xlfn.XLOOKUP(A4999,[1]!DadosGHD[CD_GEOCMU],[1]!DadosGHD[Região])</f>
        <v>SD</v>
      </c>
      <c r="D4999" s="4" t="str">
        <f>_xlfn.XLOOKUP(A4999,[1]!DadosGHD[CD_GEOCMU],[1]!DadosGHD[uf])</f>
        <v>MG</v>
      </c>
      <c r="E4999" s="5" t="str">
        <f>_xlfn.XLOOKUP(A4999,[1]!DadosGHD[CD_GEOCMU],[1]!DadosGHD[MUNICIPIO])</f>
        <v>RODEIRO</v>
      </c>
      <c r="F4999" s="6">
        <v>58.645973205566399</v>
      </c>
      <c r="G4999" s="6">
        <v>53.764350891113303</v>
      </c>
      <c r="H4999" s="6">
        <v>53.804458618164098</v>
      </c>
      <c r="I4999" s="6">
        <v>53.7510986328125</v>
      </c>
      <c r="J4999" s="6">
        <v>53.778526306152301</v>
      </c>
      <c r="K4999" s="6">
        <v>48.877464294433601</v>
      </c>
      <c r="L4999" s="6">
        <v>39.596271514892599</v>
      </c>
    </row>
    <row r="5000" spans="1:12" x14ac:dyDescent="0.25">
      <c r="A5000">
        <v>3541505</v>
      </c>
      <c r="B5000" t="str">
        <f t="shared" si="78"/>
        <v>PRESIDENTE VENCESLAU, SP, Brasil</v>
      </c>
      <c r="C5000" s="4" t="str">
        <f>_xlfn.XLOOKUP(A5000,[1]!DadosGHD[CD_GEOCMU],[1]!DadosGHD[Região])</f>
        <v>SD</v>
      </c>
      <c r="D5000" s="4" t="str">
        <f>_xlfn.XLOOKUP(A5000,[1]!DadosGHD[CD_GEOCMU],[1]!DadosGHD[uf])</f>
        <v>SP</v>
      </c>
      <c r="E5000" s="5" t="str">
        <f>_xlfn.XLOOKUP(A5000,[1]!DadosGHD[CD_GEOCMU],[1]!DadosGHD[MUNICIPIO])</f>
        <v>PRESIDENTE VENCESLAU</v>
      </c>
      <c r="F5000" s="6">
        <v>58.646171569824197</v>
      </c>
      <c r="G5000" s="6">
        <v>53.8079833984375</v>
      </c>
      <c r="H5000" s="6">
        <v>53.819198608398402</v>
      </c>
      <c r="I5000" s="6">
        <v>53.837997436523402</v>
      </c>
      <c r="J5000" s="6">
        <v>53.774997711181598</v>
      </c>
      <c r="K5000" s="6">
        <v>48.902042388916001</v>
      </c>
      <c r="L5000" s="6">
        <v>48.522785186767599</v>
      </c>
    </row>
    <row r="5001" spans="1:12" x14ac:dyDescent="0.25">
      <c r="A5001">
        <v>3545605</v>
      </c>
      <c r="B5001" t="str">
        <f t="shared" si="78"/>
        <v>SANTA ADELIA, SP, Brasil</v>
      </c>
      <c r="C5001" s="4" t="str">
        <f>_xlfn.XLOOKUP(A5001,[1]!DadosGHD[CD_GEOCMU],[1]!DadosGHD[Região])</f>
        <v>SD</v>
      </c>
      <c r="D5001" s="4" t="str">
        <f>_xlfn.XLOOKUP(A5001,[1]!DadosGHD[CD_GEOCMU],[1]!DadosGHD[uf])</f>
        <v>SP</v>
      </c>
      <c r="E5001" s="5" t="str">
        <f>_xlfn.XLOOKUP(A5001,[1]!DadosGHD[CD_GEOCMU],[1]!DadosGHD[MUNICIPIO])</f>
        <v>SANTA ADELIA</v>
      </c>
      <c r="F5001" s="6">
        <v>58.6468315124512</v>
      </c>
      <c r="G5001" s="6">
        <v>53.797328948974602</v>
      </c>
      <c r="H5001" s="6">
        <v>53.7822875976563</v>
      </c>
      <c r="I5001" s="6">
        <v>48.734416961669901</v>
      </c>
      <c r="J5001" s="6">
        <v>48.776805877685597</v>
      </c>
      <c r="K5001" s="6">
        <v>43.850845336914098</v>
      </c>
      <c r="L5001" s="6">
        <v>35.141304016113303</v>
      </c>
    </row>
    <row r="5002" spans="1:12" x14ac:dyDescent="0.25">
      <c r="A5002">
        <v>4208401</v>
      </c>
      <c r="B5002" t="str">
        <f t="shared" si="78"/>
        <v>ITAPIRANGA, SC, Brasil</v>
      </c>
      <c r="C5002" s="4" t="str">
        <f>_xlfn.XLOOKUP(A5002,[1]!DadosGHD[CD_GEOCMU],[1]!DadosGHD[Região])</f>
        <v>SL</v>
      </c>
      <c r="D5002" s="4" t="str">
        <f>_xlfn.XLOOKUP(A5002,[1]!DadosGHD[CD_GEOCMU],[1]!DadosGHD[uf])</f>
        <v>SC</v>
      </c>
      <c r="E5002" s="5" t="str">
        <f>_xlfn.XLOOKUP(A5002,[1]!DadosGHD[CD_GEOCMU],[1]!DadosGHD[MUNICIPIO])</f>
        <v>ITAPIRANGA</v>
      </c>
      <c r="F5002" s="6">
        <v>58.647266387939503</v>
      </c>
      <c r="G5002" s="6">
        <v>58.803993225097699</v>
      </c>
      <c r="H5002" s="6">
        <v>53.853874206542997</v>
      </c>
      <c r="I5002" s="6">
        <v>58.83642578125</v>
      </c>
      <c r="J5002" s="6">
        <v>64.014533996582003</v>
      </c>
      <c r="K5002" s="6">
        <v>64.13623046875</v>
      </c>
      <c r="L5002" s="6">
        <v>57.589881896972699</v>
      </c>
    </row>
    <row r="5003" spans="1:12" x14ac:dyDescent="0.25">
      <c r="A5003">
        <v>3505203</v>
      </c>
      <c r="B5003" t="str">
        <f t="shared" si="78"/>
        <v>BARIRI, SP, Brasil</v>
      </c>
      <c r="C5003" s="4" t="str">
        <f>_xlfn.XLOOKUP(A5003,[1]!DadosGHD[CD_GEOCMU],[1]!DadosGHD[Região])</f>
        <v>SD</v>
      </c>
      <c r="D5003" s="4" t="str">
        <f>_xlfn.XLOOKUP(A5003,[1]!DadosGHD[CD_GEOCMU],[1]!DadosGHD[uf])</f>
        <v>SP</v>
      </c>
      <c r="E5003" s="5" t="str">
        <f>_xlfn.XLOOKUP(A5003,[1]!DadosGHD[CD_GEOCMU],[1]!DadosGHD[MUNICIPIO])</f>
        <v>BARIRI</v>
      </c>
      <c r="F5003" s="6">
        <v>58.647945404052699</v>
      </c>
      <c r="G5003" s="6">
        <v>53.798557281494098</v>
      </c>
      <c r="H5003" s="6">
        <v>53.837291717529297</v>
      </c>
      <c r="I5003" s="6">
        <v>53.807796478271499</v>
      </c>
      <c r="J5003" s="6">
        <v>53.819358825683601</v>
      </c>
      <c r="K5003" s="6">
        <v>53.8704643249512</v>
      </c>
      <c r="L5003" s="6">
        <v>57.533882141113303</v>
      </c>
    </row>
    <row r="5004" spans="1:12" x14ac:dyDescent="0.25">
      <c r="A5004">
        <v>5100201</v>
      </c>
      <c r="B5004" t="str">
        <f t="shared" si="78"/>
        <v>AGUA BOA, MT, Brasil</v>
      </c>
      <c r="C5004" s="4" t="str">
        <f>_xlfn.XLOOKUP(A5004,[1]!DadosGHD[CD_GEOCMU],[1]!DadosGHD[Região])</f>
        <v>CO</v>
      </c>
      <c r="D5004" s="4" t="str">
        <f>_xlfn.XLOOKUP(A5004,[1]!DadosGHD[CD_GEOCMU],[1]!DadosGHD[uf])</f>
        <v>MT</v>
      </c>
      <c r="E5004" s="5" t="str">
        <f>_xlfn.XLOOKUP(A5004,[1]!DadosGHD[CD_GEOCMU],[1]!DadosGHD[MUNICIPIO])</f>
        <v>AGUA BOA</v>
      </c>
      <c r="F5004" s="6">
        <v>58.648185729980497</v>
      </c>
      <c r="G5004" s="6">
        <v>58.734413146972699</v>
      </c>
      <c r="H5004" s="6">
        <v>53.877311706542997</v>
      </c>
      <c r="I5004" s="6">
        <v>53.792282104492202</v>
      </c>
      <c r="J5004" s="6">
        <v>53.853977203369098</v>
      </c>
      <c r="K5004" s="6">
        <v>53.939002990722699</v>
      </c>
      <c r="L5004" s="6">
        <v>39.564506530761697</v>
      </c>
    </row>
    <row r="5005" spans="1:12" x14ac:dyDescent="0.25">
      <c r="A5005">
        <v>4305702</v>
      </c>
      <c r="B5005" t="str">
        <f t="shared" si="78"/>
        <v>CONDOR, RS, Brasil</v>
      </c>
      <c r="C5005" s="4" t="str">
        <f>_xlfn.XLOOKUP(A5005,[1]!DadosGHD[CD_GEOCMU],[1]!DadosGHD[Região])</f>
        <v>SL</v>
      </c>
      <c r="D5005" s="4" t="str">
        <f>_xlfn.XLOOKUP(A5005,[1]!DadosGHD[CD_GEOCMU],[1]!DadosGHD[uf])</f>
        <v>RS</v>
      </c>
      <c r="E5005" s="5" t="str">
        <f>_xlfn.XLOOKUP(A5005,[1]!DadosGHD[CD_GEOCMU],[1]!DadosGHD[MUNICIPIO])</f>
        <v>CONDOR</v>
      </c>
      <c r="F5005" s="6">
        <v>58.648353576660199</v>
      </c>
      <c r="G5005" s="6">
        <v>58.798118591308601</v>
      </c>
      <c r="H5005" s="6">
        <v>58.853858947753899</v>
      </c>
      <c r="I5005" s="6">
        <v>53.879837036132798</v>
      </c>
      <c r="J5005" s="6">
        <v>53.8668823242188</v>
      </c>
      <c r="K5005" s="6">
        <v>53.922801971435597</v>
      </c>
      <c r="L5005" s="6">
        <v>44.054290771484403</v>
      </c>
    </row>
    <row r="5006" spans="1:12" x14ac:dyDescent="0.25">
      <c r="A5006">
        <v>3551306</v>
      </c>
      <c r="B5006" t="str">
        <f t="shared" si="78"/>
        <v>SEBASTIANOPOLIS DO SUL, SP, Brasil</v>
      </c>
      <c r="C5006" s="4" t="str">
        <f>_xlfn.XLOOKUP(A5006,[1]!DadosGHD[CD_GEOCMU],[1]!DadosGHD[Região])</f>
        <v>SD</v>
      </c>
      <c r="D5006" s="4" t="str">
        <f>_xlfn.XLOOKUP(A5006,[1]!DadosGHD[CD_GEOCMU],[1]!DadosGHD[uf])</f>
        <v>SP</v>
      </c>
      <c r="E5006" s="5" t="str">
        <f>_xlfn.XLOOKUP(A5006,[1]!DadosGHD[CD_GEOCMU],[1]!DadosGHD[MUNICIPIO])</f>
        <v>SEBASTIANOPOLIS DO SUL</v>
      </c>
      <c r="F5006" s="6">
        <v>58.649856567382798</v>
      </c>
      <c r="G5006" s="6">
        <v>53.709915161132798</v>
      </c>
      <c r="H5006" s="6">
        <v>48.832462310791001</v>
      </c>
      <c r="I5006" s="6">
        <v>53.8830375671387</v>
      </c>
      <c r="J5006" s="6">
        <v>58.844974517822301</v>
      </c>
      <c r="K5006" s="6">
        <v>53.976570129394503</v>
      </c>
      <c r="L5006" s="6">
        <v>35.160308837890597</v>
      </c>
    </row>
    <row r="5007" spans="1:12" x14ac:dyDescent="0.25">
      <c r="A5007">
        <v>4208005</v>
      </c>
      <c r="B5007" t="str">
        <f t="shared" si="78"/>
        <v>ITA, SC, Brasil</v>
      </c>
      <c r="C5007" s="4" t="str">
        <f>_xlfn.XLOOKUP(A5007,[1]!DadosGHD[CD_GEOCMU],[1]!DadosGHD[Região])</f>
        <v>SL</v>
      </c>
      <c r="D5007" s="4" t="str">
        <f>_xlfn.XLOOKUP(A5007,[1]!DadosGHD[CD_GEOCMU],[1]!DadosGHD[uf])</f>
        <v>SC</v>
      </c>
      <c r="E5007" s="5" t="str">
        <f>_xlfn.XLOOKUP(A5007,[1]!DadosGHD[CD_GEOCMU],[1]!DadosGHD[MUNICIPIO])</f>
        <v>ITA</v>
      </c>
      <c r="F5007" s="6">
        <v>58.650047302246101</v>
      </c>
      <c r="G5007" s="6">
        <v>63.886878967285199</v>
      </c>
      <c r="H5007" s="6">
        <v>64.026092529296903</v>
      </c>
      <c r="I5007" s="6">
        <v>64.000221252441406</v>
      </c>
      <c r="J5007" s="6">
        <v>64.039611816406307</v>
      </c>
      <c r="K5007" s="6">
        <v>64.13623046875</v>
      </c>
      <c r="L5007" s="6">
        <v>53.041885375976598</v>
      </c>
    </row>
    <row r="5008" spans="1:12" x14ac:dyDescent="0.25">
      <c r="A5008">
        <v>3551207</v>
      </c>
      <c r="B5008" t="str">
        <f t="shared" si="78"/>
        <v>SARUTAIA, SP, Brasil</v>
      </c>
      <c r="C5008" s="4" t="str">
        <f>_xlfn.XLOOKUP(A5008,[1]!DadosGHD[CD_GEOCMU],[1]!DadosGHD[Região])</f>
        <v>SD</v>
      </c>
      <c r="D5008" s="4" t="str">
        <f>_xlfn.XLOOKUP(A5008,[1]!DadosGHD[CD_GEOCMU],[1]!DadosGHD[uf])</f>
        <v>SP</v>
      </c>
      <c r="E5008" s="5" t="str">
        <f>_xlfn.XLOOKUP(A5008,[1]!DadosGHD[CD_GEOCMU],[1]!DadosGHD[MUNICIPIO])</f>
        <v>SARUTAIA</v>
      </c>
      <c r="F5008" s="6">
        <v>58.650161743164098</v>
      </c>
      <c r="G5008" s="6">
        <v>53.6845092773438</v>
      </c>
      <c r="H5008" s="6">
        <v>48.8302192687988</v>
      </c>
      <c r="I5008" s="6">
        <v>48.709186553955099</v>
      </c>
      <c r="J5008" s="6">
        <v>43.738441467285199</v>
      </c>
      <c r="K5008" s="6">
        <v>43.7645874023438</v>
      </c>
      <c r="L5008" s="6">
        <v>57.522167205810597</v>
      </c>
    </row>
    <row r="5009" spans="1:12" x14ac:dyDescent="0.25">
      <c r="A5009">
        <v>4300208</v>
      </c>
      <c r="B5009" t="str">
        <f t="shared" si="78"/>
        <v>AJURICABA, RS, Brasil</v>
      </c>
      <c r="C5009" s="4" t="str">
        <f>_xlfn.XLOOKUP(A5009,[1]!DadosGHD[CD_GEOCMU],[1]!DadosGHD[Região])</f>
        <v>SL</v>
      </c>
      <c r="D5009" s="4" t="str">
        <f>_xlfn.XLOOKUP(A5009,[1]!DadosGHD[CD_GEOCMU],[1]!DadosGHD[uf])</f>
        <v>RS</v>
      </c>
      <c r="E5009" s="5" t="str">
        <f>_xlfn.XLOOKUP(A5009,[1]!DadosGHD[CD_GEOCMU],[1]!DadosGHD[MUNICIPIO])</f>
        <v>AJURICABA</v>
      </c>
      <c r="F5009" s="6">
        <v>58.650604248046903</v>
      </c>
      <c r="G5009" s="6">
        <v>58.742645263671903</v>
      </c>
      <c r="H5009" s="6">
        <v>58.902542114257798</v>
      </c>
      <c r="I5009" s="6">
        <v>58.967540740966797</v>
      </c>
      <c r="J5009" s="6">
        <v>63.921092987060597</v>
      </c>
      <c r="K5009" s="6">
        <v>59.072799682617202</v>
      </c>
      <c r="L5009" s="6">
        <v>48.502723693847699</v>
      </c>
    </row>
    <row r="5010" spans="1:12" x14ac:dyDescent="0.25">
      <c r="A5010">
        <v>3542206</v>
      </c>
      <c r="B5010" t="str">
        <f t="shared" si="78"/>
        <v>RANCHARIA, SP, Brasil</v>
      </c>
      <c r="C5010" s="4" t="str">
        <f>_xlfn.XLOOKUP(A5010,[1]!DadosGHD[CD_GEOCMU],[1]!DadosGHD[Região])</f>
        <v>SD</v>
      </c>
      <c r="D5010" s="4" t="str">
        <f>_xlfn.XLOOKUP(A5010,[1]!DadosGHD[CD_GEOCMU],[1]!DadosGHD[uf])</f>
        <v>SP</v>
      </c>
      <c r="E5010" s="5" t="str">
        <f>_xlfn.XLOOKUP(A5010,[1]!DadosGHD[CD_GEOCMU],[1]!DadosGHD[MUNICIPIO])</f>
        <v>RANCHARIA</v>
      </c>
      <c r="F5010" s="6">
        <v>58.651615142822301</v>
      </c>
      <c r="G5010" s="6">
        <v>53.813434600830099</v>
      </c>
      <c r="H5010" s="6">
        <v>58.838211059570298</v>
      </c>
      <c r="I5010" s="6">
        <v>53.825588226318402</v>
      </c>
      <c r="J5010" s="6">
        <v>53.7831001281738</v>
      </c>
      <c r="K5010" s="6">
        <v>53.879459381103501</v>
      </c>
      <c r="L5010" s="6">
        <v>44.0295600891113</v>
      </c>
    </row>
    <row r="5011" spans="1:12" x14ac:dyDescent="0.25">
      <c r="A5011">
        <v>5218789</v>
      </c>
      <c r="B5011" t="str">
        <f t="shared" si="78"/>
        <v>RIO QUENTE, GO, Brasil</v>
      </c>
      <c r="C5011" s="4" t="str">
        <f>_xlfn.XLOOKUP(A5011,[1]!DadosGHD[CD_GEOCMU],[1]!DadosGHD[Região])</f>
        <v>CO</v>
      </c>
      <c r="D5011" s="4" t="str">
        <f>_xlfn.XLOOKUP(A5011,[1]!DadosGHD[CD_GEOCMU],[1]!DadosGHD[uf])</f>
        <v>GO</v>
      </c>
      <c r="E5011" s="5" t="str">
        <f>_xlfn.XLOOKUP(A5011,[1]!DadosGHD[CD_GEOCMU],[1]!DadosGHD[MUNICIPIO])</f>
        <v>RIO QUENTE</v>
      </c>
      <c r="F5011" s="6">
        <v>58.652042388916001</v>
      </c>
      <c r="G5011" s="6">
        <v>58.754676818847699</v>
      </c>
      <c r="H5011" s="6">
        <v>48.7754516601563</v>
      </c>
      <c r="I5011" s="6">
        <v>48.714420318603501</v>
      </c>
      <c r="J5011" s="6">
        <v>48.828666687011697</v>
      </c>
      <c r="K5011" s="6">
        <v>48.795970916748097</v>
      </c>
      <c r="L5011" s="6">
        <v>35.141334533691399</v>
      </c>
    </row>
    <row r="5012" spans="1:12" x14ac:dyDescent="0.25">
      <c r="A5012">
        <v>3549706</v>
      </c>
      <c r="B5012" t="str">
        <f t="shared" si="78"/>
        <v>SAO JOSE DO RIO PARDO, SP, Brasil</v>
      </c>
      <c r="C5012" s="4" t="str">
        <f>_xlfn.XLOOKUP(A5012,[1]!DadosGHD[CD_GEOCMU],[1]!DadosGHD[Região])</f>
        <v>SD</v>
      </c>
      <c r="D5012" s="4" t="str">
        <f>_xlfn.XLOOKUP(A5012,[1]!DadosGHD[CD_GEOCMU],[1]!DadosGHD[uf])</f>
        <v>SP</v>
      </c>
      <c r="E5012" s="5" t="str">
        <f>_xlfn.XLOOKUP(A5012,[1]!DadosGHD[CD_GEOCMU],[1]!DadosGHD[MUNICIPIO])</f>
        <v>SAO JOSE DO RIO PARDO</v>
      </c>
      <c r="F5012" s="6">
        <v>58.652503967285199</v>
      </c>
      <c r="G5012" s="6">
        <v>53.789981842041001</v>
      </c>
      <c r="H5012" s="6">
        <v>53.895751953125</v>
      </c>
      <c r="I5012" s="6">
        <v>58.80419921875</v>
      </c>
      <c r="J5012" s="6">
        <v>58.843227386474602</v>
      </c>
      <c r="K5012" s="6">
        <v>53.952598571777301</v>
      </c>
      <c r="L5012" s="6">
        <v>57.5145874023438</v>
      </c>
    </row>
    <row r="5013" spans="1:12" x14ac:dyDescent="0.25">
      <c r="A5013">
        <v>3546207</v>
      </c>
      <c r="B5013" t="str">
        <f t="shared" si="78"/>
        <v>SANTA CRUZ DA CONCEICAO, SP, Brasil</v>
      </c>
      <c r="C5013" s="4" t="str">
        <f>_xlfn.XLOOKUP(A5013,[1]!DadosGHD[CD_GEOCMU],[1]!DadosGHD[Região])</f>
        <v>SD</v>
      </c>
      <c r="D5013" s="4" t="str">
        <f>_xlfn.XLOOKUP(A5013,[1]!DadosGHD[CD_GEOCMU],[1]!DadosGHD[uf])</f>
        <v>SP</v>
      </c>
      <c r="E5013" s="5" t="str">
        <f>_xlfn.XLOOKUP(A5013,[1]!DadosGHD[CD_GEOCMU],[1]!DadosGHD[MUNICIPIO])</f>
        <v>SANTA CRUZ DA CONCEICAO</v>
      </c>
      <c r="F5013" s="6">
        <v>58.653312683105497</v>
      </c>
      <c r="G5013" s="6">
        <v>58.808341979980497</v>
      </c>
      <c r="H5013" s="6">
        <v>58.936038970947301</v>
      </c>
      <c r="I5013" s="6">
        <v>58.9749755859375</v>
      </c>
      <c r="J5013" s="6">
        <v>64.031410217285199</v>
      </c>
      <c r="K5013" s="6">
        <v>64.13623046875</v>
      </c>
      <c r="L5013" s="6">
        <v>57.589881896972699</v>
      </c>
    </row>
    <row r="5014" spans="1:12" x14ac:dyDescent="0.25">
      <c r="A5014">
        <v>3553401</v>
      </c>
      <c r="B5014" t="str">
        <f t="shared" si="78"/>
        <v>TANABI, SP, Brasil</v>
      </c>
      <c r="C5014" s="4" t="str">
        <f>_xlfn.XLOOKUP(A5014,[1]!DadosGHD[CD_GEOCMU],[1]!DadosGHD[Região])</f>
        <v>SD</v>
      </c>
      <c r="D5014" s="4" t="str">
        <f>_xlfn.XLOOKUP(A5014,[1]!DadosGHD[CD_GEOCMU],[1]!DadosGHD[uf])</f>
        <v>SP</v>
      </c>
      <c r="E5014" s="5" t="str">
        <f>_xlfn.XLOOKUP(A5014,[1]!DadosGHD[CD_GEOCMU],[1]!DadosGHD[MUNICIPIO])</f>
        <v>TANABI</v>
      </c>
      <c r="F5014" s="6">
        <v>58.653343200683601</v>
      </c>
      <c r="G5014" s="6">
        <v>53.778804779052699</v>
      </c>
      <c r="H5014" s="6">
        <v>48.8409614562988</v>
      </c>
      <c r="I5014" s="6">
        <v>48.725490570068402</v>
      </c>
      <c r="J5014" s="6">
        <v>48.7792778015137</v>
      </c>
      <c r="K5014" s="6">
        <v>48.789375305175803</v>
      </c>
      <c r="L5014" s="6">
        <v>39.558074951171903</v>
      </c>
    </row>
    <row r="5015" spans="1:12" x14ac:dyDescent="0.25">
      <c r="A5015">
        <v>3538501</v>
      </c>
      <c r="B5015" t="str">
        <f t="shared" si="78"/>
        <v>PIQUETE, SP, Brasil</v>
      </c>
      <c r="C5015" s="4" t="str">
        <f>_xlfn.XLOOKUP(A5015,[1]!DadosGHD[CD_GEOCMU],[1]!DadosGHD[Região])</f>
        <v>SD</v>
      </c>
      <c r="D5015" s="4" t="str">
        <f>_xlfn.XLOOKUP(A5015,[1]!DadosGHD[CD_GEOCMU],[1]!DadosGHD[uf])</f>
        <v>SP</v>
      </c>
      <c r="E5015" s="5" t="str">
        <f>_xlfn.XLOOKUP(A5015,[1]!DadosGHD[CD_GEOCMU],[1]!DadosGHD[MUNICIPIO])</f>
        <v>PIQUETE</v>
      </c>
      <c r="F5015" s="6">
        <v>58.653663635253899</v>
      </c>
      <c r="G5015" s="6">
        <v>53.727241516113303</v>
      </c>
      <c r="H5015" s="6">
        <v>53.766521453857401</v>
      </c>
      <c r="I5015" s="6">
        <v>48.758750915527301</v>
      </c>
      <c r="J5015" s="6">
        <v>53.762298583984403</v>
      </c>
      <c r="K5015" s="6">
        <v>53.865867614746101</v>
      </c>
      <c r="L5015" s="6">
        <v>53.048507690429702</v>
      </c>
    </row>
    <row r="5016" spans="1:12" x14ac:dyDescent="0.25">
      <c r="A5016">
        <v>3527801</v>
      </c>
      <c r="B5016" t="str">
        <f t="shared" si="78"/>
        <v>LUPERCIO, SP, Brasil</v>
      </c>
      <c r="C5016" s="4" t="str">
        <f>_xlfn.XLOOKUP(A5016,[1]!DadosGHD[CD_GEOCMU],[1]!DadosGHD[Região])</f>
        <v>SD</v>
      </c>
      <c r="D5016" s="4" t="str">
        <f>_xlfn.XLOOKUP(A5016,[1]!DadosGHD[CD_GEOCMU],[1]!DadosGHD[uf])</f>
        <v>SP</v>
      </c>
      <c r="E5016" s="5" t="str">
        <f>_xlfn.XLOOKUP(A5016,[1]!DadosGHD[CD_GEOCMU],[1]!DadosGHD[MUNICIPIO])</f>
        <v>LUPERCIO</v>
      </c>
      <c r="F5016" s="6">
        <v>58.653850555419901</v>
      </c>
      <c r="G5016" s="6">
        <v>53.712985992431598</v>
      </c>
      <c r="H5016" s="6">
        <v>53.832805633544901</v>
      </c>
      <c r="I5016" s="6">
        <v>58.811660766601598</v>
      </c>
      <c r="J5016" s="6">
        <v>58.825775146484403</v>
      </c>
      <c r="K5016" s="6">
        <v>53.904476165771499</v>
      </c>
      <c r="L5016" s="6">
        <v>57.5024604797363</v>
      </c>
    </row>
    <row r="5017" spans="1:12" x14ac:dyDescent="0.25">
      <c r="A5017">
        <v>4202537</v>
      </c>
      <c r="B5017" t="str">
        <f t="shared" si="78"/>
        <v>BOM JESUS, SC, Brasil</v>
      </c>
      <c r="C5017" s="4" t="str">
        <f>_xlfn.XLOOKUP(A5017,[1]!DadosGHD[CD_GEOCMU],[1]!DadosGHD[Região])</f>
        <v>SL</v>
      </c>
      <c r="D5017" s="4" t="str">
        <f>_xlfn.XLOOKUP(A5017,[1]!DadosGHD[CD_GEOCMU],[1]!DadosGHD[uf])</f>
        <v>SC</v>
      </c>
      <c r="E5017" s="5" t="str">
        <f>_xlfn.XLOOKUP(A5017,[1]!DadosGHD[CD_GEOCMU],[1]!DadosGHD[MUNICIPIO])</f>
        <v>BOM JESUS</v>
      </c>
      <c r="F5017" s="6">
        <v>58.654132843017599</v>
      </c>
      <c r="G5017" s="6">
        <v>63.885040283203097</v>
      </c>
      <c r="H5017" s="6">
        <v>58.933868408203097</v>
      </c>
      <c r="I5017" s="6">
        <v>58.913562774658203</v>
      </c>
      <c r="J5017" s="6">
        <v>63.908432006835902</v>
      </c>
      <c r="K5017" s="6">
        <v>58.946292877197301</v>
      </c>
      <c r="L5017" s="6">
        <v>48.508743286132798</v>
      </c>
    </row>
    <row r="5018" spans="1:12" x14ac:dyDescent="0.25">
      <c r="A5018">
        <v>3155801</v>
      </c>
      <c r="B5018" t="str">
        <f t="shared" si="78"/>
        <v>RIO POMBA, MG, Brasil</v>
      </c>
      <c r="C5018" s="4" t="str">
        <f>_xlfn.XLOOKUP(A5018,[1]!DadosGHD[CD_GEOCMU],[1]!DadosGHD[Região])</f>
        <v>SD</v>
      </c>
      <c r="D5018" s="4" t="str">
        <f>_xlfn.XLOOKUP(A5018,[1]!DadosGHD[CD_GEOCMU],[1]!DadosGHD[uf])</f>
        <v>MG</v>
      </c>
      <c r="E5018" s="5" t="str">
        <f>_xlfn.XLOOKUP(A5018,[1]!DadosGHD[CD_GEOCMU],[1]!DadosGHD[MUNICIPIO])</f>
        <v>RIO POMBA</v>
      </c>
      <c r="F5018" s="6">
        <v>58.654228210449197</v>
      </c>
      <c r="G5018" s="6">
        <v>58.907932281494098</v>
      </c>
      <c r="H5018" s="6">
        <v>58.918643951416001</v>
      </c>
      <c r="I5018" s="6">
        <v>53.759189605712898</v>
      </c>
      <c r="J5018" s="6">
        <v>53.784122467041001</v>
      </c>
      <c r="K5018" s="6">
        <v>53.913898468017599</v>
      </c>
      <c r="L5018" s="6">
        <v>44.069358825683601</v>
      </c>
    </row>
    <row r="5019" spans="1:12" x14ac:dyDescent="0.25">
      <c r="A5019">
        <v>4120507</v>
      </c>
      <c r="B5019" t="str">
        <f t="shared" si="78"/>
        <v>PRIMEIRO DE MAIO, PR, Brasil</v>
      </c>
      <c r="C5019" s="4" t="str">
        <f>_xlfn.XLOOKUP(A5019,[1]!DadosGHD[CD_GEOCMU],[1]!DadosGHD[Região])</f>
        <v>SL</v>
      </c>
      <c r="D5019" s="4" t="str">
        <f>_xlfn.XLOOKUP(A5019,[1]!DadosGHD[CD_GEOCMU],[1]!DadosGHD[uf])</f>
        <v>PR</v>
      </c>
      <c r="E5019" s="5" t="str">
        <f>_xlfn.XLOOKUP(A5019,[1]!DadosGHD[CD_GEOCMU],[1]!DadosGHD[MUNICIPIO])</f>
        <v>PRIMEIRO DE MAIO</v>
      </c>
      <c r="F5019" s="6">
        <v>58.656784057617202</v>
      </c>
      <c r="G5019" s="6">
        <v>58.797065734863303</v>
      </c>
      <c r="H5019" s="6">
        <v>53.9024848937988</v>
      </c>
      <c r="I5019" s="6">
        <v>53.862419128417997</v>
      </c>
      <c r="J5019" s="6">
        <v>53.770267486572301</v>
      </c>
      <c r="K5019" s="6">
        <v>48.846450805664098</v>
      </c>
      <c r="L5019" s="6">
        <v>39.5559272766113</v>
      </c>
    </row>
    <row r="5020" spans="1:12" x14ac:dyDescent="0.25">
      <c r="A5020">
        <v>3528304</v>
      </c>
      <c r="B5020" t="str">
        <f t="shared" si="78"/>
        <v>MAGDA, SP, Brasil</v>
      </c>
      <c r="C5020" s="4" t="str">
        <f>_xlfn.XLOOKUP(A5020,[1]!DadosGHD[CD_GEOCMU],[1]!DadosGHD[Região])</f>
        <v>SD</v>
      </c>
      <c r="D5020" s="4" t="str">
        <f>_xlfn.XLOOKUP(A5020,[1]!DadosGHD[CD_GEOCMU],[1]!DadosGHD[uf])</f>
        <v>SP</v>
      </c>
      <c r="E5020" s="5" t="str">
        <f>_xlfn.XLOOKUP(A5020,[1]!DadosGHD[CD_GEOCMU],[1]!DadosGHD[MUNICIPIO])</f>
        <v>MAGDA</v>
      </c>
      <c r="F5020" s="6">
        <v>58.656967163085902</v>
      </c>
      <c r="G5020" s="6">
        <v>43.732841491699197</v>
      </c>
      <c r="H5020" s="6">
        <v>43.776771545410199</v>
      </c>
      <c r="I5020" s="6">
        <v>43.707553863525398</v>
      </c>
      <c r="J5020" s="6">
        <v>38.829460144042997</v>
      </c>
      <c r="K5020" s="6">
        <v>38.844036102294901</v>
      </c>
      <c r="L5020" s="6">
        <v>35.119026184082003</v>
      </c>
    </row>
    <row r="5021" spans="1:12" x14ac:dyDescent="0.25">
      <c r="A5021">
        <v>3539608</v>
      </c>
      <c r="B5021" t="str">
        <f t="shared" si="78"/>
        <v>PLANALTO, SP, Brasil</v>
      </c>
      <c r="C5021" s="4" t="str">
        <f>_xlfn.XLOOKUP(A5021,[1]!DadosGHD[CD_GEOCMU],[1]!DadosGHD[Região])</f>
        <v>SD</v>
      </c>
      <c r="D5021" s="4" t="str">
        <f>_xlfn.XLOOKUP(A5021,[1]!DadosGHD[CD_GEOCMU],[1]!DadosGHD[uf])</f>
        <v>SP</v>
      </c>
      <c r="E5021" s="5" t="str">
        <f>_xlfn.XLOOKUP(A5021,[1]!DadosGHD[CD_GEOCMU],[1]!DadosGHD[MUNICIPIO])</f>
        <v>PLANALTO</v>
      </c>
      <c r="F5021" s="6">
        <v>58.657661437988303</v>
      </c>
      <c r="G5021" s="6">
        <v>53.767131805419901</v>
      </c>
      <c r="H5021" s="6">
        <v>53.874305725097699</v>
      </c>
      <c r="I5021" s="6">
        <v>53.766044616699197</v>
      </c>
      <c r="J5021" s="6">
        <v>53.735282897949197</v>
      </c>
      <c r="K5021" s="6">
        <v>48.795925140380902</v>
      </c>
      <c r="L5021" s="6">
        <v>48.528240203857401</v>
      </c>
    </row>
    <row r="5022" spans="1:12" x14ac:dyDescent="0.25">
      <c r="A5022">
        <v>3539202</v>
      </c>
      <c r="B5022" t="str">
        <f t="shared" si="78"/>
        <v>PIRAPOZINHO, SP, Brasil</v>
      </c>
      <c r="C5022" s="4" t="str">
        <f>_xlfn.XLOOKUP(A5022,[1]!DadosGHD[CD_GEOCMU],[1]!DadosGHD[Região])</f>
        <v>SD</v>
      </c>
      <c r="D5022" s="4" t="str">
        <f>_xlfn.XLOOKUP(A5022,[1]!DadosGHD[CD_GEOCMU],[1]!DadosGHD[uf])</f>
        <v>SP</v>
      </c>
      <c r="E5022" s="5" t="str">
        <f>_xlfn.XLOOKUP(A5022,[1]!DadosGHD[CD_GEOCMU],[1]!DadosGHD[MUNICIPIO])</f>
        <v>PIRAPOZINHO</v>
      </c>
      <c r="F5022" s="6">
        <v>58.658046722412102</v>
      </c>
      <c r="G5022" s="6">
        <v>53.800270080566399</v>
      </c>
      <c r="H5022" s="6">
        <v>53.816429138183601</v>
      </c>
      <c r="I5022" s="6">
        <v>53.743091583252003</v>
      </c>
      <c r="J5022" s="6">
        <v>48.820198059082003</v>
      </c>
      <c r="K5022" s="6">
        <v>48.820907592773402</v>
      </c>
      <c r="L5022" s="6">
        <v>44.021411895752003</v>
      </c>
    </row>
    <row r="5023" spans="1:12" x14ac:dyDescent="0.25">
      <c r="A5023">
        <v>3167806</v>
      </c>
      <c r="B5023" t="str">
        <f t="shared" si="78"/>
        <v>SOLEDADE DE MINAS, MG, Brasil</v>
      </c>
      <c r="C5023" s="4" t="str">
        <f>_xlfn.XLOOKUP(A5023,[1]!DadosGHD[CD_GEOCMU],[1]!DadosGHD[Região])</f>
        <v>SD</v>
      </c>
      <c r="D5023" s="4" t="str">
        <f>_xlfn.XLOOKUP(A5023,[1]!DadosGHD[CD_GEOCMU],[1]!DadosGHD[uf])</f>
        <v>MG</v>
      </c>
      <c r="E5023" s="5" t="str">
        <f>_xlfn.XLOOKUP(A5023,[1]!DadosGHD[CD_GEOCMU],[1]!DadosGHD[MUNICIPIO])</f>
        <v>SOLEDADE DE MINAS</v>
      </c>
      <c r="F5023" s="6">
        <v>58.658607482910199</v>
      </c>
      <c r="G5023" s="6">
        <v>58.7329292297363</v>
      </c>
      <c r="H5023" s="6">
        <v>43.764190673828097</v>
      </c>
      <c r="I5023" s="6">
        <v>38.790206909179702</v>
      </c>
      <c r="J5023" s="6">
        <v>43.714309692382798</v>
      </c>
      <c r="K5023" s="6">
        <v>43.842063903808601</v>
      </c>
      <c r="L5023" s="6">
        <v>48.553401947021499</v>
      </c>
    </row>
    <row r="5024" spans="1:12" x14ac:dyDescent="0.25">
      <c r="A5024">
        <v>3123205</v>
      </c>
      <c r="B5024" t="str">
        <f t="shared" si="78"/>
        <v>DORES DO INDAIA, MG, Brasil</v>
      </c>
      <c r="C5024" s="4" t="str">
        <f>_xlfn.XLOOKUP(A5024,[1]!DadosGHD[CD_GEOCMU],[1]!DadosGHD[Região])</f>
        <v>SD</v>
      </c>
      <c r="D5024" s="4" t="str">
        <f>_xlfn.XLOOKUP(A5024,[1]!DadosGHD[CD_GEOCMU],[1]!DadosGHD[uf])</f>
        <v>MG</v>
      </c>
      <c r="E5024" s="5" t="str">
        <f>_xlfn.XLOOKUP(A5024,[1]!DadosGHD[CD_GEOCMU],[1]!DadosGHD[MUNICIPIO])</f>
        <v>DORES DO INDAIA</v>
      </c>
      <c r="F5024" s="6">
        <v>58.659114837646499</v>
      </c>
      <c r="G5024" s="6">
        <v>53.819633483886697</v>
      </c>
      <c r="H5024" s="6">
        <v>53.774997711181598</v>
      </c>
      <c r="I5024" s="6">
        <v>53.728302001953097</v>
      </c>
      <c r="J5024" s="6">
        <v>48.8353881835938</v>
      </c>
      <c r="K5024" s="6">
        <v>53.828140258789098</v>
      </c>
      <c r="L5024" s="6">
        <v>44.074214935302699</v>
      </c>
    </row>
    <row r="5025" spans="1:12" x14ac:dyDescent="0.25">
      <c r="A5025">
        <v>4305439</v>
      </c>
      <c r="B5025" t="str">
        <f t="shared" si="78"/>
        <v>CHUI, RS, Brasil</v>
      </c>
      <c r="C5025" s="4" t="str">
        <f>_xlfn.XLOOKUP(A5025,[1]!DadosGHD[CD_GEOCMU],[1]!DadosGHD[Região])</f>
        <v>SL</v>
      </c>
      <c r="D5025" s="4" t="str">
        <f>_xlfn.XLOOKUP(A5025,[1]!DadosGHD[CD_GEOCMU],[1]!DadosGHD[uf])</f>
        <v>RS</v>
      </c>
      <c r="E5025" s="5" t="str">
        <f>_xlfn.XLOOKUP(A5025,[1]!DadosGHD[CD_GEOCMU],[1]!DadosGHD[MUNICIPIO])</f>
        <v>CHUI</v>
      </c>
      <c r="F5025" s="6">
        <v>58.659271240234403</v>
      </c>
      <c r="G5025" s="6">
        <v>53.668380737304702</v>
      </c>
      <c r="H5025" s="6">
        <v>48.828102111816399</v>
      </c>
      <c r="I5025" s="6">
        <v>48.789104461669901</v>
      </c>
      <c r="J5025" s="6">
        <v>48.754817962646499</v>
      </c>
      <c r="K5025" s="6">
        <v>48.88134765625</v>
      </c>
      <c r="L5025" s="6">
        <v>48.517059326171903</v>
      </c>
    </row>
    <row r="5026" spans="1:12" x14ac:dyDescent="0.25">
      <c r="A5026">
        <v>3524600</v>
      </c>
      <c r="B5026" t="str">
        <f t="shared" si="78"/>
        <v>JACUPIRANGA, SP, Brasil</v>
      </c>
      <c r="C5026" s="4" t="str">
        <f>_xlfn.XLOOKUP(A5026,[1]!DadosGHD[CD_GEOCMU],[1]!DadosGHD[Região])</f>
        <v>SD</v>
      </c>
      <c r="D5026" s="4" t="str">
        <f>_xlfn.XLOOKUP(A5026,[1]!DadosGHD[CD_GEOCMU],[1]!DadosGHD[uf])</f>
        <v>SP</v>
      </c>
      <c r="E5026" s="5" t="str">
        <f>_xlfn.XLOOKUP(A5026,[1]!DadosGHD[CD_GEOCMU],[1]!DadosGHD[MUNICIPIO])</f>
        <v>JACUPIRANGA</v>
      </c>
      <c r="F5026" s="6">
        <v>58.659343719482401</v>
      </c>
      <c r="G5026" s="6">
        <v>53.734226226806598</v>
      </c>
      <c r="H5026" s="6">
        <v>48.833187103271499</v>
      </c>
      <c r="I5026" s="6">
        <v>48.813556671142599</v>
      </c>
      <c r="J5026" s="6">
        <v>53.731281280517599</v>
      </c>
      <c r="K5026" s="6">
        <v>48.8741264343262</v>
      </c>
      <c r="L5026" s="6">
        <v>44.070533752441399</v>
      </c>
    </row>
    <row r="5027" spans="1:12" x14ac:dyDescent="0.25">
      <c r="A5027">
        <v>4107603</v>
      </c>
      <c r="B5027" t="str">
        <f t="shared" si="78"/>
        <v>FAXINAL, PR, Brasil</v>
      </c>
      <c r="C5027" s="4" t="str">
        <f>_xlfn.XLOOKUP(A5027,[1]!DadosGHD[CD_GEOCMU],[1]!DadosGHD[Região])</f>
        <v>SL</v>
      </c>
      <c r="D5027" s="4" t="str">
        <f>_xlfn.XLOOKUP(A5027,[1]!DadosGHD[CD_GEOCMU],[1]!DadosGHD[uf])</f>
        <v>PR</v>
      </c>
      <c r="E5027" s="5" t="str">
        <f>_xlfn.XLOOKUP(A5027,[1]!DadosGHD[CD_GEOCMU],[1]!DadosGHD[MUNICIPIO])</f>
        <v>FAXINAL</v>
      </c>
      <c r="F5027" s="6">
        <v>58.659370422363303</v>
      </c>
      <c r="G5027" s="6">
        <v>58.725044250488303</v>
      </c>
      <c r="H5027" s="6">
        <v>53.851676940917997</v>
      </c>
      <c r="I5027" s="6">
        <v>53.876853942871101</v>
      </c>
      <c r="J5027" s="6">
        <v>53.786495208740199</v>
      </c>
      <c r="K5027" s="6">
        <v>48.875133514404297</v>
      </c>
      <c r="L5027" s="6">
        <v>44.030246734619098</v>
      </c>
    </row>
    <row r="5028" spans="1:12" x14ac:dyDescent="0.25">
      <c r="A5028">
        <v>4119657</v>
      </c>
      <c r="B5028" t="str">
        <f t="shared" si="78"/>
        <v>PITANGUEIRAS, PR, Brasil</v>
      </c>
      <c r="C5028" s="4" t="str">
        <f>_xlfn.XLOOKUP(A5028,[1]!DadosGHD[CD_GEOCMU],[1]!DadosGHD[Região])</f>
        <v>SL</v>
      </c>
      <c r="D5028" s="4" t="str">
        <f>_xlfn.XLOOKUP(A5028,[1]!DadosGHD[CD_GEOCMU],[1]!DadosGHD[uf])</f>
        <v>PR</v>
      </c>
      <c r="E5028" s="5" t="str">
        <f>_xlfn.XLOOKUP(A5028,[1]!DadosGHD[CD_GEOCMU],[1]!DadosGHD[MUNICIPIO])</f>
        <v>PITANGUEIRAS</v>
      </c>
      <c r="F5028" s="6">
        <v>58.659507751464801</v>
      </c>
      <c r="G5028" s="6">
        <v>63.847633361816399</v>
      </c>
      <c r="H5028" s="6">
        <v>63.9694633483887</v>
      </c>
      <c r="I5028" s="6">
        <v>63.937595367431598</v>
      </c>
      <c r="J5028" s="6">
        <v>63.908912658691399</v>
      </c>
      <c r="K5028" s="6">
        <v>53.953262329101598</v>
      </c>
      <c r="L5028" s="6">
        <v>53.0423393249512</v>
      </c>
    </row>
    <row r="5029" spans="1:12" x14ac:dyDescent="0.25">
      <c r="A5029">
        <v>4313037</v>
      </c>
      <c r="B5029" t="str">
        <f t="shared" si="78"/>
        <v>NOVA ESPERANCA DO SUL, RS, Brasil</v>
      </c>
      <c r="C5029" s="4" t="str">
        <f>_xlfn.XLOOKUP(A5029,[1]!DadosGHD[CD_GEOCMU],[1]!DadosGHD[Região])</f>
        <v>SL</v>
      </c>
      <c r="D5029" s="4" t="str">
        <f>_xlfn.XLOOKUP(A5029,[1]!DadosGHD[CD_GEOCMU],[1]!DadosGHD[uf])</f>
        <v>RS</v>
      </c>
      <c r="E5029" s="5" t="str">
        <f>_xlfn.XLOOKUP(A5029,[1]!DadosGHD[CD_GEOCMU],[1]!DadosGHD[MUNICIPIO])</f>
        <v>NOVA ESPERANCA DO SUL</v>
      </c>
      <c r="F5029" s="6">
        <v>58.660003662109403</v>
      </c>
      <c r="G5029" s="6">
        <v>53.781181335449197</v>
      </c>
      <c r="H5029" s="6">
        <v>53.834674835205099</v>
      </c>
      <c r="I5029" s="6">
        <v>53.877803802490199</v>
      </c>
      <c r="J5029" s="6">
        <v>53.898128509521499</v>
      </c>
      <c r="K5029" s="6">
        <v>53.948509216308601</v>
      </c>
      <c r="L5029" s="6">
        <v>48.551837921142599</v>
      </c>
    </row>
    <row r="5030" spans="1:12" x14ac:dyDescent="0.25">
      <c r="A5030">
        <v>5108006</v>
      </c>
      <c r="B5030" t="str">
        <f t="shared" si="78"/>
        <v>TAPURAH, MT, Brasil</v>
      </c>
      <c r="C5030" s="4" t="str">
        <f>_xlfn.XLOOKUP(A5030,[1]!DadosGHD[CD_GEOCMU],[1]!DadosGHD[Região])</f>
        <v>CO</v>
      </c>
      <c r="D5030" s="4" t="str">
        <f>_xlfn.XLOOKUP(A5030,[1]!DadosGHD[CD_GEOCMU],[1]!DadosGHD[uf])</f>
        <v>MT</v>
      </c>
      <c r="E5030" s="5" t="str">
        <f>_xlfn.XLOOKUP(A5030,[1]!DadosGHD[CD_GEOCMU],[1]!DadosGHD[MUNICIPIO])</f>
        <v>TAPURAH</v>
      </c>
      <c r="F5030" s="6">
        <v>58.660072326660199</v>
      </c>
      <c r="G5030" s="6">
        <v>58.757438659667997</v>
      </c>
      <c r="H5030" s="6">
        <v>53.889686584472699</v>
      </c>
      <c r="I5030" s="6">
        <v>53.877159118652301</v>
      </c>
      <c r="J5030" s="6">
        <v>58.834632873535199</v>
      </c>
      <c r="K5030" s="6">
        <v>58.980888366699197</v>
      </c>
      <c r="L5030" s="6">
        <v>48.510433197021499</v>
      </c>
    </row>
    <row r="5031" spans="1:12" x14ac:dyDescent="0.25">
      <c r="A5031">
        <v>5205802</v>
      </c>
      <c r="B5031" t="str">
        <f t="shared" si="78"/>
        <v>CORUMBA DE GOIAS, GO, Brasil</v>
      </c>
      <c r="C5031" s="4" t="str">
        <f>_xlfn.XLOOKUP(A5031,[1]!DadosGHD[CD_GEOCMU],[1]!DadosGHD[Região])</f>
        <v>CO</v>
      </c>
      <c r="D5031" s="4" t="str">
        <f>_xlfn.XLOOKUP(A5031,[1]!DadosGHD[CD_GEOCMU],[1]!DadosGHD[uf])</f>
        <v>GO</v>
      </c>
      <c r="E5031" s="5" t="str">
        <f>_xlfn.XLOOKUP(A5031,[1]!DadosGHD[CD_GEOCMU],[1]!DadosGHD[MUNICIPIO])</f>
        <v>CORUMBA DE GOIAS</v>
      </c>
      <c r="F5031" s="6">
        <v>58.660209655761697</v>
      </c>
      <c r="G5031" s="6">
        <v>53.811683654785199</v>
      </c>
      <c r="H5031" s="6">
        <v>53.901603698730497</v>
      </c>
      <c r="I5031" s="6">
        <v>53.863605499267599</v>
      </c>
      <c r="J5031" s="6">
        <v>53.857398986816399</v>
      </c>
      <c r="K5031" s="6">
        <v>53.982460021972699</v>
      </c>
      <c r="L5031" s="6">
        <v>44.067451477050803</v>
      </c>
    </row>
    <row r="5032" spans="1:12" x14ac:dyDescent="0.25">
      <c r="A5032">
        <v>5200803</v>
      </c>
      <c r="B5032" t="str">
        <f t="shared" si="78"/>
        <v>ALVORADA DO NORTE, GO, Brasil</v>
      </c>
      <c r="C5032" s="4" t="str">
        <f>_xlfn.XLOOKUP(A5032,[1]!DadosGHD[CD_GEOCMU],[1]!DadosGHD[Região])</f>
        <v>CO</v>
      </c>
      <c r="D5032" s="4" t="str">
        <f>_xlfn.XLOOKUP(A5032,[1]!DadosGHD[CD_GEOCMU],[1]!DadosGHD[uf])</f>
        <v>GO</v>
      </c>
      <c r="E5032" s="5" t="str">
        <f>_xlfn.XLOOKUP(A5032,[1]!DadosGHD[CD_GEOCMU],[1]!DadosGHD[MUNICIPIO])</f>
        <v>ALVORADA DO NORTE</v>
      </c>
      <c r="F5032" s="6">
        <v>58.661159515380902</v>
      </c>
      <c r="G5032" s="6">
        <v>53.7879028320313</v>
      </c>
      <c r="H5032" s="6">
        <v>53.8402709960938</v>
      </c>
      <c r="I5032" s="6">
        <v>53.805240631103501</v>
      </c>
      <c r="J5032" s="6">
        <v>53.855060577392599</v>
      </c>
      <c r="K5032" s="6">
        <v>53.951629638671903</v>
      </c>
      <c r="L5032" s="6">
        <v>39.581027984619098</v>
      </c>
    </row>
    <row r="5033" spans="1:12" x14ac:dyDescent="0.25">
      <c r="A5033">
        <v>4216107</v>
      </c>
      <c r="B5033" t="str">
        <f t="shared" si="78"/>
        <v>SAO DOMINGOS, SC, Brasil</v>
      </c>
      <c r="C5033" s="4" t="str">
        <f>_xlfn.XLOOKUP(A5033,[1]!DadosGHD[CD_GEOCMU],[1]!DadosGHD[Região])</f>
        <v>SL</v>
      </c>
      <c r="D5033" s="4" t="str">
        <f>_xlfn.XLOOKUP(A5033,[1]!DadosGHD[CD_GEOCMU],[1]!DadosGHD[uf])</f>
        <v>SC</v>
      </c>
      <c r="E5033" s="5" t="str">
        <f>_xlfn.XLOOKUP(A5033,[1]!DadosGHD[CD_GEOCMU],[1]!DadosGHD[MUNICIPIO])</f>
        <v>SAO DOMINGOS</v>
      </c>
      <c r="F5033" s="6">
        <v>58.663143157958999</v>
      </c>
      <c r="G5033" s="6">
        <v>63.894451141357401</v>
      </c>
      <c r="H5033" s="6">
        <v>63.985679626464801</v>
      </c>
      <c r="I5033" s="6">
        <v>64.000221252441406</v>
      </c>
      <c r="J5033" s="6">
        <v>64.039611816406307</v>
      </c>
      <c r="K5033" s="6">
        <v>64.13623046875</v>
      </c>
      <c r="L5033" s="6">
        <v>53.055374145507798</v>
      </c>
    </row>
    <row r="5034" spans="1:12" x14ac:dyDescent="0.25">
      <c r="A5034">
        <v>3553807</v>
      </c>
      <c r="B5034" t="str">
        <f t="shared" si="78"/>
        <v>TAQUARITUBA, SP, Brasil</v>
      </c>
      <c r="C5034" s="4" t="str">
        <f>_xlfn.XLOOKUP(A5034,[1]!DadosGHD[CD_GEOCMU],[1]!DadosGHD[Região])</f>
        <v>SD</v>
      </c>
      <c r="D5034" s="4" t="str">
        <f>_xlfn.XLOOKUP(A5034,[1]!DadosGHD[CD_GEOCMU],[1]!DadosGHD[uf])</f>
        <v>SP</v>
      </c>
      <c r="E5034" s="5" t="str">
        <f>_xlfn.XLOOKUP(A5034,[1]!DadosGHD[CD_GEOCMU],[1]!DadosGHD[MUNICIPIO])</f>
        <v>TAQUARITUBA</v>
      </c>
      <c r="F5034" s="6">
        <v>58.664253234863303</v>
      </c>
      <c r="G5034" s="6">
        <v>53.8143119812012</v>
      </c>
      <c r="H5034" s="6">
        <v>53.830543518066399</v>
      </c>
      <c r="I5034" s="6">
        <v>53.752147674560597</v>
      </c>
      <c r="J5034" s="6">
        <v>48.787788391113303</v>
      </c>
      <c r="K5034" s="6">
        <v>48.876010894775398</v>
      </c>
      <c r="L5034" s="6">
        <v>53.009654998779297</v>
      </c>
    </row>
    <row r="5035" spans="1:12" x14ac:dyDescent="0.25">
      <c r="A5035">
        <v>3520905</v>
      </c>
      <c r="B5035" t="str">
        <f t="shared" si="78"/>
        <v>IPAUSSU, SP, Brasil</v>
      </c>
      <c r="C5035" s="4" t="str">
        <f>_xlfn.XLOOKUP(A5035,[1]!DadosGHD[CD_GEOCMU],[1]!DadosGHD[Região])</f>
        <v>SD</v>
      </c>
      <c r="D5035" s="4" t="str">
        <f>_xlfn.XLOOKUP(A5035,[1]!DadosGHD[CD_GEOCMU],[1]!DadosGHD[uf])</f>
        <v>SP</v>
      </c>
      <c r="E5035" s="5" t="str">
        <f>_xlfn.XLOOKUP(A5035,[1]!DadosGHD[CD_GEOCMU],[1]!DadosGHD[MUNICIPIO])</f>
        <v>IPAUSSU</v>
      </c>
      <c r="F5035" s="6">
        <v>58.666282653808601</v>
      </c>
      <c r="G5035" s="6">
        <v>58.817417144775398</v>
      </c>
      <c r="H5035" s="6">
        <v>58.876171112060597</v>
      </c>
      <c r="I5035" s="6">
        <v>58.865360260009801</v>
      </c>
      <c r="J5035" s="6">
        <v>58.912483215332003</v>
      </c>
      <c r="K5035" s="6">
        <v>58.936199188232401</v>
      </c>
      <c r="L5035" s="6">
        <v>57.536365509033203</v>
      </c>
    </row>
    <row r="5036" spans="1:12" x14ac:dyDescent="0.25">
      <c r="A5036">
        <v>4127700</v>
      </c>
      <c r="B5036" t="str">
        <f t="shared" si="78"/>
        <v>TOLEDO, PR, Brasil</v>
      </c>
      <c r="C5036" s="4" t="str">
        <f>_xlfn.XLOOKUP(A5036,[1]!DadosGHD[CD_GEOCMU],[1]!DadosGHD[Região])</f>
        <v>SL</v>
      </c>
      <c r="D5036" s="4" t="str">
        <f>_xlfn.XLOOKUP(A5036,[1]!DadosGHD[CD_GEOCMU],[1]!DadosGHD[uf])</f>
        <v>PR</v>
      </c>
      <c r="E5036" s="5" t="str">
        <f>_xlfn.XLOOKUP(A5036,[1]!DadosGHD[CD_GEOCMU],[1]!DadosGHD[MUNICIPIO])</f>
        <v>TOLEDO</v>
      </c>
      <c r="F5036" s="6">
        <v>58.667728424072301</v>
      </c>
      <c r="G5036" s="6">
        <v>58.820968627929702</v>
      </c>
      <c r="H5036" s="6">
        <v>58.921920776367202</v>
      </c>
      <c r="I5036" s="6">
        <v>53.877399444580099</v>
      </c>
      <c r="J5036" s="6">
        <v>58.814002990722699</v>
      </c>
      <c r="K5036" s="6">
        <v>58.941215515136697</v>
      </c>
      <c r="L5036" s="6">
        <v>57.506595611572301</v>
      </c>
    </row>
    <row r="5037" spans="1:12" x14ac:dyDescent="0.25">
      <c r="A5037">
        <v>3507902</v>
      </c>
      <c r="B5037" t="str">
        <f t="shared" si="78"/>
        <v>BROTAS, SP, Brasil</v>
      </c>
      <c r="C5037" s="4" t="str">
        <f>_xlfn.XLOOKUP(A5037,[1]!DadosGHD[CD_GEOCMU],[1]!DadosGHD[Região])</f>
        <v>SD</v>
      </c>
      <c r="D5037" s="4" t="str">
        <f>_xlfn.XLOOKUP(A5037,[1]!DadosGHD[CD_GEOCMU],[1]!DadosGHD[uf])</f>
        <v>SP</v>
      </c>
      <c r="E5037" s="5" t="str">
        <f>_xlfn.XLOOKUP(A5037,[1]!DadosGHD[CD_GEOCMU],[1]!DadosGHD[MUNICIPIO])</f>
        <v>BROTAS</v>
      </c>
      <c r="F5037" s="6">
        <v>58.668247222900398</v>
      </c>
      <c r="G5037" s="6">
        <v>53.761074066162102</v>
      </c>
      <c r="H5037" s="6">
        <v>53.769340515136697</v>
      </c>
      <c r="I5037" s="6">
        <v>53.738723754882798</v>
      </c>
      <c r="J5037" s="6">
        <v>53.8176078796387</v>
      </c>
      <c r="K5037" s="6">
        <v>53.931648254394503</v>
      </c>
      <c r="L5037" s="6">
        <v>53.013904571533203</v>
      </c>
    </row>
    <row r="5038" spans="1:12" x14ac:dyDescent="0.25">
      <c r="A5038">
        <v>3128402</v>
      </c>
      <c r="B5038" t="str">
        <f t="shared" si="78"/>
        <v>GUARANI, MG, Brasil</v>
      </c>
      <c r="C5038" s="4" t="str">
        <f>_xlfn.XLOOKUP(A5038,[1]!DadosGHD[CD_GEOCMU],[1]!DadosGHD[Região])</f>
        <v>SD</v>
      </c>
      <c r="D5038" s="4" t="str">
        <f>_xlfn.XLOOKUP(A5038,[1]!DadosGHD[CD_GEOCMU],[1]!DadosGHD[uf])</f>
        <v>MG</v>
      </c>
      <c r="E5038" s="5" t="str">
        <f>_xlfn.XLOOKUP(A5038,[1]!DadosGHD[CD_GEOCMU],[1]!DadosGHD[MUNICIPIO])</f>
        <v>GUARANI</v>
      </c>
      <c r="F5038" s="6">
        <v>58.6684379577637</v>
      </c>
      <c r="G5038" s="6">
        <v>48.708179473877003</v>
      </c>
      <c r="H5038" s="6">
        <v>43.827949523925803</v>
      </c>
      <c r="I5038" s="6">
        <v>53.7379341125488</v>
      </c>
      <c r="J5038" s="6">
        <v>53.789134979248097</v>
      </c>
      <c r="K5038" s="6">
        <v>53.8789253234863</v>
      </c>
      <c r="L5038" s="6">
        <v>48.508785247802699</v>
      </c>
    </row>
    <row r="5039" spans="1:12" x14ac:dyDescent="0.25">
      <c r="A5039">
        <v>3508207</v>
      </c>
      <c r="B5039" t="str">
        <f t="shared" si="78"/>
        <v>BURITIZAL, SP, Brasil</v>
      </c>
      <c r="C5039" s="4" t="str">
        <f>_xlfn.XLOOKUP(A5039,[1]!DadosGHD[CD_GEOCMU],[1]!DadosGHD[Região])</f>
        <v>SD</v>
      </c>
      <c r="D5039" s="4" t="str">
        <f>_xlfn.XLOOKUP(A5039,[1]!DadosGHD[CD_GEOCMU],[1]!DadosGHD[uf])</f>
        <v>SP</v>
      </c>
      <c r="E5039" s="5" t="str">
        <f>_xlfn.XLOOKUP(A5039,[1]!DadosGHD[CD_GEOCMU],[1]!DadosGHD[MUNICIPIO])</f>
        <v>BURITIZAL</v>
      </c>
      <c r="F5039" s="6">
        <v>58.669090270996101</v>
      </c>
      <c r="G5039" s="6">
        <v>58.882320404052699</v>
      </c>
      <c r="H5039" s="6">
        <v>58.912437438964801</v>
      </c>
      <c r="I5039" s="6">
        <v>58.804985046386697</v>
      </c>
      <c r="J5039" s="6">
        <v>53.877742767333999</v>
      </c>
      <c r="K5039" s="6">
        <v>53.900650024414098</v>
      </c>
      <c r="L5039" s="6">
        <v>48.4973335266113</v>
      </c>
    </row>
    <row r="5040" spans="1:12" x14ac:dyDescent="0.25">
      <c r="A5040">
        <v>3306305</v>
      </c>
      <c r="B5040" t="str">
        <f t="shared" si="78"/>
        <v>VOLTA REDONDA, RJ, Brasil</v>
      </c>
      <c r="C5040" s="4" t="str">
        <f>_xlfn.XLOOKUP(A5040,[1]!DadosGHD[CD_GEOCMU],[1]!DadosGHD[Região])</f>
        <v>SD</v>
      </c>
      <c r="D5040" s="4" t="str">
        <f>_xlfn.XLOOKUP(A5040,[1]!DadosGHD[CD_GEOCMU],[1]!DadosGHD[uf])</f>
        <v>RJ</v>
      </c>
      <c r="E5040" s="5" t="str">
        <f>_xlfn.XLOOKUP(A5040,[1]!DadosGHD[CD_GEOCMU],[1]!DadosGHD[MUNICIPIO])</f>
        <v>VOLTA REDONDA</v>
      </c>
      <c r="F5040" s="6">
        <v>58.6691284179688</v>
      </c>
      <c r="G5040" s="6">
        <v>53.802425384521499</v>
      </c>
      <c r="H5040" s="6">
        <v>58.865272521972699</v>
      </c>
      <c r="I5040" s="6">
        <v>58.828544616699197</v>
      </c>
      <c r="J5040" s="6">
        <v>58.871498107910199</v>
      </c>
      <c r="K5040" s="6">
        <v>58.912620544433601</v>
      </c>
      <c r="L5040" s="6">
        <v>57.569648742675803</v>
      </c>
    </row>
    <row r="5041" spans="1:12" x14ac:dyDescent="0.25">
      <c r="A5041">
        <v>5202353</v>
      </c>
      <c r="B5041" t="str">
        <f t="shared" si="78"/>
        <v>ARENOPOLIS, GO, Brasil</v>
      </c>
      <c r="C5041" s="4" t="str">
        <f>_xlfn.XLOOKUP(A5041,[1]!DadosGHD[CD_GEOCMU],[1]!DadosGHD[Região])</f>
        <v>CO</v>
      </c>
      <c r="D5041" s="4" t="str">
        <f>_xlfn.XLOOKUP(A5041,[1]!DadosGHD[CD_GEOCMU],[1]!DadosGHD[uf])</f>
        <v>GO</v>
      </c>
      <c r="E5041" s="5" t="str">
        <f>_xlfn.XLOOKUP(A5041,[1]!DadosGHD[CD_GEOCMU],[1]!DadosGHD[MUNICIPIO])</f>
        <v>ARENOPOLIS</v>
      </c>
      <c r="F5041" s="6">
        <v>58.669654846191399</v>
      </c>
      <c r="G5041" s="6">
        <v>58.812511444091797</v>
      </c>
      <c r="H5041" s="6">
        <v>58.956569671630902</v>
      </c>
      <c r="I5041" s="6">
        <v>58.873493194580099</v>
      </c>
      <c r="J5041" s="6">
        <v>53.860946655273402</v>
      </c>
      <c r="K5041" s="6">
        <v>53.872711181640597</v>
      </c>
      <c r="L5041" s="6">
        <v>35.117103576660199</v>
      </c>
    </row>
    <row r="5042" spans="1:12" x14ac:dyDescent="0.25">
      <c r="A5042">
        <v>4118907</v>
      </c>
      <c r="B5042" t="str">
        <f t="shared" si="78"/>
        <v>PEROLA, PR, Brasil</v>
      </c>
      <c r="C5042" s="4" t="str">
        <f>_xlfn.XLOOKUP(A5042,[1]!DadosGHD[CD_GEOCMU],[1]!DadosGHD[Região])</f>
        <v>SL</v>
      </c>
      <c r="D5042" s="4" t="str">
        <f>_xlfn.XLOOKUP(A5042,[1]!DadosGHD[CD_GEOCMU],[1]!DadosGHD[uf])</f>
        <v>PR</v>
      </c>
      <c r="E5042" s="5" t="str">
        <f>_xlfn.XLOOKUP(A5042,[1]!DadosGHD[CD_GEOCMU],[1]!DadosGHD[MUNICIPIO])</f>
        <v>PEROLA</v>
      </c>
      <c r="F5042" s="6">
        <v>58.670154571533203</v>
      </c>
      <c r="G5042" s="6">
        <v>58.779060363769503</v>
      </c>
      <c r="H5042" s="6">
        <v>58.819057464599602</v>
      </c>
      <c r="I5042" s="6">
        <v>53.873279571533203</v>
      </c>
      <c r="J5042" s="6">
        <v>58.8238716125488</v>
      </c>
      <c r="K5042" s="6">
        <v>53.957729339599602</v>
      </c>
      <c r="L5042" s="6">
        <v>44.047355651855497</v>
      </c>
    </row>
    <row r="5043" spans="1:12" x14ac:dyDescent="0.25">
      <c r="A5043">
        <v>3112109</v>
      </c>
      <c r="B5043" t="str">
        <f t="shared" si="78"/>
        <v>CAPARAO, MG, Brasil</v>
      </c>
      <c r="C5043" s="4" t="str">
        <f>_xlfn.XLOOKUP(A5043,[1]!DadosGHD[CD_GEOCMU],[1]!DadosGHD[Região])</f>
        <v>SD</v>
      </c>
      <c r="D5043" s="4" t="str">
        <f>_xlfn.XLOOKUP(A5043,[1]!DadosGHD[CD_GEOCMU],[1]!DadosGHD[uf])</f>
        <v>MG</v>
      </c>
      <c r="E5043" s="5" t="str">
        <f>_xlfn.XLOOKUP(A5043,[1]!DadosGHD[CD_GEOCMU],[1]!DadosGHD[MUNICIPIO])</f>
        <v>CAPARAO</v>
      </c>
      <c r="F5043" s="6">
        <v>58.670543670654297</v>
      </c>
      <c r="G5043" s="6">
        <v>53.781036376953097</v>
      </c>
      <c r="H5043" s="6">
        <v>53.802417755127003</v>
      </c>
      <c r="I5043" s="6">
        <v>53.7478218078613</v>
      </c>
      <c r="J5043" s="6">
        <v>53.858043670654297</v>
      </c>
      <c r="K5043" s="6">
        <v>53.812088012695298</v>
      </c>
      <c r="L5043" s="6">
        <v>48.5504150390625</v>
      </c>
    </row>
    <row r="5044" spans="1:12" x14ac:dyDescent="0.25">
      <c r="A5044">
        <v>5107925</v>
      </c>
      <c r="B5044" t="str">
        <f t="shared" si="78"/>
        <v>SORRISO, MT, Brasil</v>
      </c>
      <c r="C5044" s="4" t="str">
        <f>_xlfn.XLOOKUP(A5044,[1]!DadosGHD[CD_GEOCMU],[1]!DadosGHD[Região])</f>
        <v>CO</v>
      </c>
      <c r="D5044" s="4" t="str">
        <f>_xlfn.XLOOKUP(A5044,[1]!DadosGHD[CD_GEOCMU],[1]!DadosGHD[uf])</f>
        <v>MT</v>
      </c>
      <c r="E5044" s="5" t="str">
        <f>_xlfn.XLOOKUP(A5044,[1]!DadosGHD[CD_GEOCMU],[1]!DadosGHD[MUNICIPIO])</f>
        <v>SORRISO</v>
      </c>
      <c r="F5044" s="6">
        <v>58.670585632324197</v>
      </c>
      <c r="G5044" s="6">
        <v>58.833118438720703</v>
      </c>
      <c r="H5044" s="6">
        <v>58.912117004394503</v>
      </c>
      <c r="I5044" s="6">
        <v>58.916088104248097</v>
      </c>
      <c r="J5044" s="6">
        <v>63.970752716064503</v>
      </c>
      <c r="K5044" s="6">
        <v>64.13623046875</v>
      </c>
      <c r="L5044" s="6">
        <v>53.0294189453125</v>
      </c>
    </row>
    <row r="5045" spans="1:12" x14ac:dyDescent="0.25">
      <c r="A5045">
        <v>3550902</v>
      </c>
      <c r="B5045" t="str">
        <f t="shared" si="78"/>
        <v>SAO SIMAO, SP, Brasil</v>
      </c>
      <c r="C5045" s="4" t="str">
        <f>_xlfn.XLOOKUP(A5045,[1]!DadosGHD[CD_GEOCMU],[1]!DadosGHD[Região])</f>
        <v>SD</v>
      </c>
      <c r="D5045" s="4" t="str">
        <f>_xlfn.XLOOKUP(A5045,[1]!DadosGHD[CD_GEOCMU],[1]!DadosGHD[uf])</f>
        <v>SP</v>
      </c>
      <c r="E5045" s="5" t="str">
        <f>_xlfn.XLOOKUP(A5045,[1]!DadosGHD[CD_GEOCMU],[1]!DadosGHD[MUNICIPIO])</f>
        <v>SAO SIMAO</v>
      </c>
      <c r="F5045" s="6">
        <v>58.6707954406738</v>
      </c>
      <c r="G5045" s="6">
        <v>58.743827819824197</v>
      </c>
      <c r="H5045" s="6">
        <v>53.898796081542997</v>
      </c>
      <c r="I5045" s="6">
        <v>58.820980072021499</v>
      </c>
      <c r="J5045" s="6">
        <v>53.872882843017599</v>
      </c>
      <c r="K5045" s="6">
        <v>53.924045562744098</v>
      </c>
      <c r="L5045" s="6">
        <v>57.512107849121101</v>
      </c>
    </row>
    <row r="5046" spans="1:12" x14ac:dyDescent="0.25">
      <c r="A5046">
        <v>4215406</v>
      </c>
      <c r="B5046" t="str">
        <f t="shared" si="78"/>
        <v>SALTO VELOSO, SC, Brasil</v>
      </c>
      <c r="C5046" s="4" t="str">
        <f>_xlfn.XLOOKUP(A5046,[1]!DadosGHD[CD_GEOCMU],[1]!DadosGHD[Região])</f>
        <v>SL</v>
      </c>
      <c r="D5046" s="4" t="str">
        <f>_xlfn.XLOOKUP(A5046,[1]!DadosGHD[CD_GEOCMU],[1]!DadosGHD[uf])</f>
        <v>SC</v>
      </c>
      <c r="E5046" s="5" t="str">
        <f>_xlfn.XLOOKUP(A5046,[1]!DadosGHD[CD_GEOCMU],[1]!DadosGHD[MUNICIPIO])</f>
        <v>SALTO VELOSO</v>
      </c>
      <c r="F5046" s="6">
        <v>58.6708793640137</v>
      </c>
      <c r="G5046" s="6">
        <v>58.766811370849602</v>
      </c>
      <c r="H5046" s="6">
        <v>53.907913208007798</v>
      </c>
      <c r="I5046" s="6">
        <v>58.871139526367202</v>
      </c>
      <c r="J5046" s="6">
        <v>53.846248626708999</v>
      </c>
      <c r="K5046" s="6">
        <v>43.845172882080099</v>
      </c>
      <c r="L5046" s="6">
        <v>39.602756500244098</v>
      </c>
    </row>
    <row r="5047" spans="1:12" x14ac:dyDescent="0.25">
      <c r="A5047">
        <v>4316451</v>
      </c>
      <c r="B5047" t="str">
        <f t="shared" si="78"/>
        <v>SALTO DO JACUI, RS, Brasil</v>
      </c>
      <c r="C5047" s="4" t="str">
        <f>_xlfn.XLOOKUP(A5047,[1]!DadosGHD[CD_GEOCMU],[1]!DadosGHD[Região])</f>
        <v>SL</v>
      </c>
      <c r="D5047" s="4" t="str">
        <f>_xlfn.XLOOKUP(A5047,[1]!DadosGHD[CD_GEOCMU],[1]!DadosGHD[uf])</f>
        <v>RS</v>
      </c>
      <c r="E5047" s="5" t="str">
        <f>_xlfn.XLOOKUP(A5047,[1]!DadosGHD[CD_GEOCMU],[1]!DadosGHD[MUNICIPIO])</f>
        <v>SALTO DO JACUI</v>
      </c>
      <c r="F5047" s="6">
        <v>58.670886993408203</v>
      </c>
      <c r="G5047" s="6">
        <v>58.799049377441399</v>
      </c>
      <c r="H5047" s="6">
        <v>58.872913360595703</v>
      </c>
      <c r="I5047" s="6">
        <v>58.790695190429702</v>
      </c>
      <c r="J5047" s="6">
        <v>58.830291748046903</v>
      </c>
      <c r="K5047" s="6">
        <v>53.992862701416001</v>
      </c>
      <c r="L5047" s="6">
        <v>52.985965728759801</v>
      </c>
    </row>
    <row r="5048" spans="1:12" x14ac:dyDescent="0.25">
      <c r="A5048">
        <v>3111507</v>
      </c>
      <c r="B5048" t="str">
        <f t="shared" si="78"/>
        <v>CAMPOS ALTOS, MG, Brasil</v>
      </c>
      <c r="C5048" s="4" t="str">
        <f>_xlfn.XLOOKUP(A5048,[1]!DadosGHD[CD_GEOCMU],[1]!DadosGHD[Região])</f>
        <v>SD</v>
      </c>
      <c r="D5048" s="4" t="str">
        <f>_xlfn.XLOOKUP(A5048,[1]!DadosGHD[CD_GEOCMU],[1]!DadosGHD[uf])</f>
        <v>MG</v>
      </c>
      <c r="E5048" s="5" t="str">
        <f>_xlfn.XLOOKUP(A5048,[1]!DadosGHD[CD_GEOCMU],[1]!DadosGHD[MUNICIPIO])</f>
        <v>CAMPOS ALTOS</v>
      </c>
      <c r="F5048" s="6">
        <v>58.671436309814503</v>
      </c>
      <c r="G5048" s="6">
        <v>53.798843383789098</v>
      </c>
      <c r="H5048" s="6">
        <v>53.881961822509801</v>
      </c>
      <c r="I5048" s="6">
        <v>53.8362007141113</v>
      </c>
      <c r="J5048" s="6">
        <v>53.8432426452637</v>
      </c>
      <c r="K5048" s="6">
        <v>53.887371063232401</v>
      </c>
      <c r="L5048" s="6">
        <v>53.016292572021499</v>
      </c>
    </row>
    <row r="5049" spans="1:12" x14ac:dyDescent="0.25">
      <c r="A5049">
        <v>5214002</v>
      </c>
      <c r="B5049" t="str">
        <f t="shared" si="78"/>
        <v>MOZARLANDIA, GO, Brasil</v>
      </c>
      <c r="C5049" s="4" t="str">
        <f>_xlfn.XLOOKUP(A5049,[1]!DadosGHD[CD_GEOCMU],[1]!DadosGHD[Região])</f>
        <v>CO</v>
      </c>
      <c r="D5049" s="4" t="str">
        <f>_xlfn.XLOOKUP(A5049,[1]!DadosGHD[CD_GEOCMU],[1]!DadosGHD[uf])</f>
        <v>GO</v>
      </c>
      <c r="E5049" s="5" t="str">
        <f>_xlfn.XLOOKUP(A5049,[1]!DadosGHD[CD_GEOCMU],[1]!DadosGHD[MUNICIPIO])</f>
        <v>MOZARLANDIA</v>
      </c>
      <c r="F5049" s="6">
        <v>58.671516418457003</v>
      </c>
      <c r="G5049" s="6">
        <v>58.7555961608887</v>
      </c>
      <c r="H5049" s="6">
        <v>58.870082855224602</v>
      </c>
      <c r="I5049" s="6">
        <v>58.854522705078097</v>
      </c>
      <c r="J5049" s="6">
        <v>53.877098083496101</v>
      </c>
      <c r="K5049" s="6">
        <v>53.973186492919901</v>
      </c>
      <c r="L5049" s="6">
        <v>35.144218444824197</v>
      </c>
    </row>
    <row r="5050" spans="1:12" x14ac:dyDescent="0.25">
      <c r="A5050">
        <v>3533502</v>
      </c>
      <c r="B5050" t="str">
        <f t="shared" si="78"/>
        <v>NOVO HORIZONTE, SP, Brasil</v>
      </c>
      <c r="C5050" s="4" t="str">
        <f>_xlfn.XLOOKUP(A5050,[1]!DadosGHD[CD_GEOCMU],[1]!DadosGHD[Região])</f>
        <v>SD</v>
      </c>
      <c r="D5050" s="4" t="str">
        <f>_xlfn.XLOOKUP(A5050,[1]!DadosGHD[CD_GEOCMU],[1]!DadosGHD[uf])</f>
        <v>SP</v>
      </c>
      <c r="E5050" s="5" t="str">
        <f>_xlfn.XLOOKUP(A5050,[1]!DadosGHD[CD_GEOCMU],[1]!DadosGHD[MUNICIPIO])</f>
        <v>NOVO HORIZONTE</v>
      </c>
      <c r="F5050" s="6">
        <v>58.671886444091797</v>
      </c>
      <c r="G5050" s="6">
        <v>58.746551513671903</v>
      </c>
      <c r="H5050" s="6">
        <v>53.797374725341797</v>
      </c>
      <c r="I5050" s="6">
        <v>48.813728332519503</v>
      </c>
      <c r="J5050" s="6">
        <v>48.7162895202637</v>
      </c>
      <c r="K5050" s="6">
        <v>43.868320465087898</v>
      </c>
      <c r="L5050" s="6">
        <v>53.037162780761697</v>
      </c>
    </row>
    <row r="5051" spans="1:12" x14ac:dyDescent="0.25">
      <c r="A5051">
        <v>3501400</v>
      </c>
      <c r="B5051" t="str">
        <f t="shared" si="78"/>
        <v>ALVARO DE CARVALHO, SP, Brasil</v>
      </c>
      <c r="C5051" s="4" t="str">
        <f>_xlfn.XLOOKUP(A5051,[1]!DadosGHD[CD_GEOCMU],[1]!DadosGHD[Região])</f>
        <v>SD</v>
      </c>
      <c r="D5051" s="4" t="str">
        <f>_xlfn.XLOOKUP(A5051,[1]!DadosGHD[CD_GEOCMU],[1]!DadosGHD[uf])</f>
        <v>SP</v>
      </c>
      <c r="E5051" s="5" t="str">
        <f>_xlfn.XLOOKUP(A5051,[1]!DadosGHD[CD_GEOCMU],[1]!DadosGHD[MUNICIPIO])</f>
        <v>ALVARO DE CARVALHO</v>
      </c>
      <c r="F5051" s="6">
        <v>58.672046661377003</v>
      </c>
      <c r="G5051" s="6">
        <v>53.679222106933601</v>
      </c>
      <c r="H5051" s="6">
        <v>48.853935241699197</v>
      </c>
      <c r="I5051" s="6">
        <v>53.728736877441399</v>
      </c>
      <c r="J5051" s="6">
        <v>48.833698272705099</v>
      </c>
      <c r="K5051" s="6">
        <v>43.867416381835902</v>
      </c>
      <c r="L5051" s="6">
        <v>48.500137329101598</v>
      </c>
    </row>
    <row r="5052" spans="1:12" x14ac:dyDescent="0.25">
      <c r="A5052">
        <v>3507605</v>
      </c>
      <c r="B5052" t="str">
        <f t="shared" si="78"/>
        <v>BRAGANCA PAULISTA, SP, Brasil</v>
      </c>
      <c r="C5052" s="4" t="str">
        <f>_xlfn.XLOOKUP(A5052,[1]!DadosGHD[CD_GEOCMU],[1]!DadosGHD[Região])</f>
        <v>SD</v>
      </c>
      <c r="D5052" s="4" t="str">
        <f>_xlfn.XLOOKUP(A5052,[1]!DadosGHD[CD_GEOCMU],[1]!DadosGHD[uf])</f>
        <v>SP</v>
      </c>
      <c r="E5052" s="5" t="str">
        <f>_xlfn.XLOOKUP(A5052,[1]!DadosGHD[CD_GEOCMU],[1]!DadosGHD[MUNICIPIO])</f>
        <v>BRAGANCA PAULISTA</v>
      </c>
      <c r="F5052" s="6">
        <v>58.672531127929702</v>
      </c>
      <c r="G5052" s="6">
        <v>58.760986328125</v>
      </c>
      <c r="H5052" s="6">
        <v>53.895381927490199</v>
      </c>
      <c r="I5052" s="6">
        <v>53.8606567382813</v>
      </c>
      <c r="J5052" s="6">
        <v>53.888156890869098</v>
      </c>
      <c r="K5052" s="6">
        <v>53.9295654296875</v>
      </c>
      <c r="L5052" s="6">
        <v>57.5272216796875</v>
      </c>
    </row>
    <row r="5053" spans="1:12" x14ac:dyDescent="0.25">
      <c r="A5053">
        <v>4312203</v>
      </c>
      <c r="B5053" t="str">
        <f t="shared" si="78"/>
        <v>MAXIMILIANO DE ALMEIDA, RS, Brasil</v>
      </c>
      <c r="C5053" s="4" t="str">
        <f>_xlfn.XLOOKUP(A5053,[1]!DadosGHD[CD_GEOCMU],[1]!DadosGHD[Região])</f>
        <v>SL</v>
      </c>
      <c r="D5053" s="4" t="str">
        <f>_xlfn.XLOOKUP(A5053,[1]!DadosGHD[CD_GEOCMU],[1]!DadosGHD[uf])</f>
        <v>RS</v>
      </c>
      <c r="E5053" s="5" t="str">
        <f>_xlfn.XLOOKUP(A5053,[1]!DadosGHD[CD_GEOCMU],[1]!DadosGHD[MUNICIPIO])</f>
        <v>MAXIMILIANO DE ALMEIDA</v>
      </c>
      <c r="F5053" s="6">
        <v>58.672550201416001</v>
      </c>
      <c r="G5053" s="6">
        <v>58.8789672851563</v>
      </c>
      <c r="H5053" s="6">
        <v>58.980552673339801</v>
      </c>
      <c r="I5053" s="6">
        <v>58.968559265136697</v>
      </c>
      <c r="J5053" s="6">
        <v>58.8296508789063</v>
      </c>
      <c r="K5053" s="6">
        <v>59.052272796630902</v>
      </c>
      <c r="L5053" s="6">
        <v>48.550674438476598</v>
      </c>
    </row>
    <row r="5054" spans="1:12" x14ac:dyDescent="0.25">
      <c r="A5054">
        <v>4105904</v>
      </c>
      <c r="B5054" t="str">
        <f t="shared" si="78"/>
        <v>COLORADO, PR, Brasil</v>
      </c>
      <c r="C5054" s="4" t="str">
        <f>_xlfn.XLOOKUP(A5054,[1]!DadosGHD[CD_GEOCMU],[1]!DadosGHD[Região])</f>
        <v>SL</v>
      </c>
      <c r="D5054" s="4" t="str">
        <f>_xlfn.XLOOKUP(A5054,[1]!DadosGHD[CD_GEOCMU],[1]!DadosGHD[uf])</f>
        <v>PR</v>
      </c>
      <c r="E5054" s="5" t="str">
        <f>_xlfn.XLOOKUP(A5054,[1]!DadosGHD[CD_GEOCMU],[1]!DadosGHD[MUNICIPIO])</f>
        <v>COLORADO</v>
      </c>
      <c r="F5054" s="6">
        <v>58.673103332519503</v>
      </c>
      <c r="G5054" s="6">
        <v>58.830497741699197</v>
      </c>
      <c r="H5054" s="6">
        <v>58.9420776367188</v>
      </c>
      <c r="I5054" s="6">
        <v>58.867031097412102</v>
      </c>
      <c r="J5054" s="6">
        <v>58.854057312011697</v>
      </c>
      <c r="K5054" s="6">
        <v>58.907073974609403</v>
      </c>
      <c r="L5054" s="6">
        <v>57.518077850341797</v>
      </c>
    </row>
    <row r="5055" spans="1:12" x14ac:dyDescent="0.25">
      <c r="A5055">
        <v>4320107</v>
      </c>
      <c r="B5055" t="str">
        <f t="shared" si="78"/>
        <v>SARANDI, RS, Brasil</v>
      </c>
      <c r="C5055" s="4" t="str">
        <f>_xlfn.XLOOKUP(A5055,[1]!DadosGHD[CD_GEOCMU],[1]!DadosGHD[Região])</f>
        <v>SL</v>
      </c>
      <c r="D5055" s="4" t="str">
        <f>_xlfn.XLOOKUP(A5055,[1]!DadosGHD[CD_GEOCMU],[1]!DadosGHD[uf])</f>
        <v>RS</v>
      </c>
      <c r="E5055" s="5" t="str">
        <f>_xlfn.XLOOKUP(A5055,[1]!DadosGHD[CD_GEOCMU],[1]!DadosGHD[MUNICIPIO])</f>
        <v>SARANDI</v>
      </c>
      <c r="F5055" s="6">
        <v>58.674472808837898</v>
      </c>
      <c r="G5055" s="6">
        <v>53.790969848632798</v>
      </c>
      <c r="H5055" s="6">
        <v>53.833553314208999</v>
      </c>
      <c r="I5055" s="6">
        <v>53.789360046386697</v>
      </c>
      <c r="J5055" s="6">
        <v>53.788967132568402</v>
      </c>
      <c r="K5055" s="6">
        <v>53.8463325500488</v>
      </c>
      <c r="L5055" s="6">
        <v>39.589889526367202</v>
      </c>
    </row>
    <row r="5056" spans="1:12" x14ac:dyDescent="0.25">
      <c r="A5056">
        <v>5106224</v>
      </c>
      <c r="B5056" t="str">
        <f t="shared" si="78"/>
        <v>NOVA MUTUM, MT, Brasil</v>
      </c>
      <c r="C5056" s="4" t="str">
        <f>_xlfn.XLOOKUP(A5056,[1]!DadosGHD[CD_GEOCMU],[1]!DadosGHD[Região])</f>
        <v>CO</v>
      </c>
      <c r="D5056" s="4" t="str">
        <f>_xlfn.XLOOKUP(A5056,[1]!DadosGHD[CD_GEOCMU],[1]!DadosGHD[uf])</f>
        <v>MT</v>
      </c>
      <c r="E5056" s="5" t="str">
        <f>_xlfn.XLOOKUP(A5056,[1]!DadosGHD[CD_GEOCMU],[1]!DadosGHD[MUNICIPIO])</f>
        <v>NOVA MUTUM</v>
      </c>
      <c r="F5056" s="6">
        <v>58.674640655517599</v>
      </c>
      <c r="G5056" s="6">
        <v>58.846874237060597</v>
      </c>
      <c r="H5056" s="6">
        <v>58.988082885742202</v>
      </c>
      <c r="I5056" s="6">
        <v>58.972805023193402</v>
      </c>
      <c r="J5056" s="6">
        <v>58.950099945068402</v>
      </c>
      <c r="K5056" s="6">
        <v>59.0448608398438</v>
      </c>
      <c r="L5056" s="6">
        <v>48.510509490966797</v>
      </c>
    </row>
    <row r="5057" spans="1:12" x14ac:dyDescent="0.25">
      <c r="A5057">
        <v>4116901</v>
      </c>
      <c r="B5057" t="str">
        <f t="shared" si="78"/>
        <v>NOVA ESPERANCA, PR, Brasil</v>
      </c>
      <c r="C5057" s="4" t="str">
        <f>_xlfn.XLOOKUP(A5057,[1]!DadosGHD[CD_GEOCMU],[1]!DadosGHD[Região])</f>
        <v>SL</v>
      </c>
      <c r="D5057" s="4" t="str">
        <f>_xlfn.XLOOKUP(A5057,[1]!DadosGHD[CD_GEOCMU],[1]!DadosGHD[uf])</f>
        <v>PR</v>
      </c>
      <c r="E5057" s="5" t="str">
        <f>_xlfn.XLOOKUP(A5057,[1]!DadosGHD[CD_GEOCMU],[1]!DadosGHD[MUNICIPIO])</f>
        <v>NOVA ESPERANCA</v>
      </c>
      <c r="F5057" s="6">
        <v>58.674942016601598</v>
      </c>
      <c r="G5057" s="6">
        <v>58.865089416503899</v>
      </c>
      <c r="H5057" s="6">
        <v>53.904468536377003</v>
      </c>
      <c r="I5057" s="6">
        <v>53.8180122375488</v>
      </c>
      <c r="J5057" s="6">
        <v>53.8047065734863</v>
      </c>
      <c r="K5057" s="6">
        <v>48.899791717529297</v>
      </c>
      <c r="L5057" s="6">
        <v>53.043251037597699</v>
      </c>
    </row>
    <row r="5058" spans="1:12" x14ac:dyDescent="0.25">
      <c r="A5058">
        <v>4318051</v>
      </c>
      <c r="B5058" t="str">
        <f t="shared" si="78"/>
        <v>SAO DOMINGOS DO SUL, RS, Brasil</v>
      </c>
      <c r="C5058" s="4" t="str">
        <f>_xlfn.XLOOKUP(A5058,[1]!DadosGHD[CD_GEOCMU],[1]!DadosGHD[Região])</f>
        <v>SL</v>
      </c>
      <c r="D5058" s="4" t="str">
        <f>_xlfn.XLOOKUP(A5058,[1]!DadosGHD[CD_GEOCMU],[1]!DadosGHD[uf])</f>
        <v>RS</v>
      </c>
      <c r="E5058" s="5" t="str">
        <f>_xlfn.XLOOKUP(A5058,[1]!DadosGHD[CD_GEOCMU],[1]!DadosGHD[MUNICIPIO])</f>
        <v>SAO DOMINGOS DO SUL</v>
      </c>
      <c r="F5058" s="6">
        <v>58.675483703613303</v>
      </c>
      <c r="G5058" s="6">
        <v>63.966358184814503</v>
      </c>
      <c r="H5058" s="6">
        <v>64.026092529296903</v>
      </c>
      <c r="I5058" s="6">
        <v>64.000221252441406</v>
      </c>
      <c r="J5058" s="6">
        <v>64.039611816406307</v>
      </c>
      <c r="K5058" s="6">
        <v>64.13623046875</v>
      </c>
      <c r="L5058" s="6">
        <v>57.589881896972699</v>
      </c>
    </row>
    <row r="5059" spans="1:12" x14ac:dyDescent="0.25">
      <c r="A5059">
        <v>3510807</v>
      </c>
      <c r="B5059" t="str">
        <f t="shared" si="78"/>
        <v>CASA BRANCA, SP, Brasil</v>
      </c>
      <c r="C5059" s="4" t="str">
        <f>_xlfn.XLOOKUP(A5059,[1]!DadosGHD[CD_GEOCMU],[1]!DadosGHD[Região])</f>
        <v>SD</v>
      </c>
      <c r="D5059" s="4" t="str">
        <f>_xlfn.XLOOKUP(A5059,[1]!DadosGHD[CD_GEOCMU],[1]!DadosGHD[uf])</f>
        <v>SP</v>
      </c>
      <c r="E5059" s="5" t="str">
        <f>_xlfn.XLOOKUP(A5059,[1]!DadosGHD[CD_GEOCMU],[1]!DadosGHD[MUNICIPIO])</f>
        <v>CASA BRANCA</v>
      </c>
      <c r="F5059" s="6">
        <v>58.675544738769503</v>
      </c>
      <c r="G5059" s="6">
        <v>58.7617797851563</v>
      </c>
      <c r="H5059" s="6">
        <v>53.836429595947301</v>
      </c>
      <c r="I5059" s="6">
        <v>53.753078460693402</v>
      </c>
      <c r="J5059" s="6">
        <v>53.727836608886697</v>
      </c>
      <c r="K5059" s="6">
        <v>53.826705932617202</v>
      </c>
      <c r="L5059" s="6">
        <v>53.011341094970703</v>
      </c>
    </row>
    <row r="5060" spans="1:12" x14ac:dyDescent="0.25">
      <c r="A5060">
        <v>5210604</v>
      </c>
      <c r="B5060" t="str">
        <f t="shared" ref="B5060:B5123" si="79">_xlfn.CONCAT(E5060, ", ", D5060, ", Brasil")</f>
        <v>ITAGUARU, GO, Brasil</v>
      </c>
      <c r="C5060" s="4" t="str">
        <f>_xlfn.XLOOKUP(A5060,[1]!DadosGHD[CD_GEOCMU],[1]!DadosGHD[Região])</f>
        <v>CO</v>
      </c>
      <c r="D5060" s="4" t="str">
        <f>_xlfn.XLOOKUP(A5060,[1]!DadosGHD[CD_GEOCMU],[1]!DadosGHD[uf])</f>
        <v>GO</v>
      </c>
      <c r="E5060" s="5" t="str">
        <f>_xlfn.XLOOKUP(A5060,[1]!DadosGHD[CD_GEOCMU],[1]!DadosGHD[MUNICIPIO])</f>
        <v>ITAGUARU</v>
      </c>
      <c r="F5060" s="6">
        <v>58.675914764404297</v>
      </c>
      <c r="G5060" s="6">
        <v>53.818359375</v>
      </c>
      <c r="H5060" s="6">
        <v>58.865180969238303</v>
      </c>
      <c r="I5060" s="6">
        <v>58.861843109130902</v>
      </c>
      <c r="J5060" s="6">
        <v>53.849510192871101</v>
      </c>
      <c r="K5060" s="6">
        <v>53.9078369140625</v>
      </c>
      <c r="L5060" s="6">
        <v>39.573162078857401</v>
      </c>
    </row>
    <row r="5061" spans="1:12" x14ac:dyDescent="0.25">
      <c r="A5061">
        <v>4101101</v>
      </c>
      <c r="B5061" t="str">
        <f t="shared" si="79"/>
        <v>ANDIRA, PR, Brasil</v>
      </c>
      <c r="C5061" s="4" t="str">
        <f>_xlfn.XLOOKUP(A5061,[1]!DadosGHD[CD_GEOCMU],[1]!DadosGHD[Região])</f>
        <v>SL</v>
      </c>
      <c r="D5061" s="4" t="str">
        <f>_xlfn.XLOOKUP(A5061,[1]!DadosGHD[CD_GEOCMU],[1]!DadosGHD[uf])</f>
        <v>PR</v>
      </c>
      <c r="E5061" s="5" t="str">
        <f>_xlfn.XLOOKUP(A5061,[1]!DadosGHD[CD_GEOCMU],[1]!DadosGHD[MUNICIPIO])</f>
        <v>ANDIRA</v>
      </c>
      <c r="F5061" s="6">
        <v>58.676223754882798</v>
      </c>
      <c r="G5061" s="6">
        <v>58.776721954345703</v>
      </c>
      <c r="H5061" s="6">
        <v>53.880558013916001</v>
      </c>
      <c r="I5061" s="6">
        <v>53.816291809082003</v>
      </c>
      <c r="J5061" s="6">
        <v>53.851573944091797</v>
      </c>
      <c r="K5061" s="6">
        <v>53.902820587158203</v>
      </c>
      <c r="L5061" s="6">
        <v>52.978164672851598</v>
      </c>
    </row>
    <row r="5062" spans="1:12" x14ac:dyDescent="0.25">
      <c r="A5062">
        <v>4123204</v>
      </c>
      <c r="B5062" t="str">
        <f t="shared" si="79"/>
        <v>SANTA CECILIA DO PAVAO, PR, Brasil</v>
      </c>
      <c r="C5062" s="4" t="str">
        <f>_xlfn.XLOOKUP(A5062,[1]!DadosGHD[CD_GEOCMU],[1]!DadosGHD[Região])</f>
        <v>SL</v>
      </c>
      <c r="D5062" s="4" t="str">
        <f>_xlfn.XLOOKUP(A5062,[1]!DadosGHD[CD_GEOCMU],[1]!DadosGHD[uf])</f>
        <v>PR</v>
      </c>
      <c r="E5062" s="5" t="str">
        <f>_xlfn.XLOOKUP(A5062,[1]!DadosGHD[CD_GEOCMU],[1]!DadosGHD[MUNICIPIO])</f>
        <v>SANTA CECILIA DO PAVAO</v>
      </c>
      <c r="F5062" s="6">
        <v>58.676567077636697</v>
      </c>
      <c r="G5062" s="6">
        <v>43.706161499023402</v>
      </c>
      <c r="H5062" s="6">
        <v>43.760147094726598</v>
      </c>
      <c r="I5062" s="6">
        <v>53.848293304443402</v>
      </c>
      <c r="J5062" s="6">
        <v>53.8665771484375</v>
      </c>
      <c r="K5062" s="6">
        <v>59.029453277587898</v>
      </c>
      <c r="L5062" s="6">
        <v>39.597061157226598</v>
      </c>
    </row>
    <row r="5063" spans="1:12" x14ac:dyDescent="0.25">
      <c r="A5063">
        <v>3546504</v>
      </c>
      <c r="B5063" t="str">
        <f t="shared" si="79"/>
        <v>SANTA ERNESTINA, SP, Brasil</v>
      </c>
      <c r="C5063" s="4" t="str">
        <f>_xlfn.XLOOKUP(A5063,[1]!DadosGHD[CD_GEOCMU],[1]!DadosGHD[Região])</f>
        <v>SD</v>
      </c>
      <c r="D5063" s="4" t="str">
        <f>_xlfn.XLOOKUP(A5063,[1]!DadosGHD[CD_GEOCMU],[1]!DadosGHD[uf])</f>
        <v>SP</v>
      </c>
      <c r="E5063" s="5" t="str">
        <f>_xlfn.XLOOKUP(A5063,[1]!DadosGHD[CD_GEOCMU],[1]!DadosGHD[MUNICIPIO])</f>
        <v>SANTA ERNESTINA</v>
      </c>
      <c r="F5063" s="6">
        <v>58.677310943603501</v>
      </c>
      <c r="G5063" s="6">
        <v>53.752845764160199</v>
      </c>
      <c r="H5063" s="6">
        <v>53.868717193603501</v>
      </c>
      <c r="I5063" s="6">
        <v>53.799324035644503</v>
      </c>
      <c r="J5063" s="6">
        <v>53.736083984375</v>
      </c>
      <c r="K5063" s="6">
        <v>48.856468200683601</v>
      </c>
      <c r="L5063" s="6">
        <v>35.144275665283203</v>
      </c>
    </row>
    <row r="5064" spans="1:12" x14ac:dyDescent="0.25">
      <c r="A5064">
        <v>4300109</v>
      </c>
      <c r="B5064" t="str">
        <f t="shared" si="79"/>
        <v>AGUDO, RS, Brasil</v>
      </c>
      <c r="C5064" s="4" t="str">
        <f>_xlfn.XLOOKUP(A5064,[1]!DadosGHD[CD_GEOCMU],[1]!DadosGHD[Região])</f>
        <v>SL</v>
      </c>
      <c r="D5064" s="4" t="str">
        <f>_xlfn.XLOOKUP(A5064,[1]!DadosGHD[CD_GEOCMU],[1]!DadosGHD[uf])</f>
        <v>RS</v>
      </c>
      <c r="E5064" s="5" t="str">
        <f>_xlfn.XLOOKUP(A5064,[1]!DadosGHD[CD_GEOCMU],[1]!DadosGHD[MUNICIPIO])</f>
        <v>AGUDO</v>
      </c>
      <c r="F5064" s="6">
        <v>58.677497863769503</v>
      </c>
      <c r="G5064" s="6">
        <v>58.774425506591797</v>
      </c>
      <c r="H5064" s="6">
        <v>58.816474914550803</v>
      </c>
      <c r="I5064" s="6">
        <v>53.861259460449197</v>
      </c>
      <c r="J5064" s="6">
        <v>53.7779731750488</v>
      </c>
      <c r="K5064" s="6">
        <v>53.898242950439503</v>
      </c>
      <c r="L5064" s="6">
        <v>48.4935111999512</v>
      </c>
    </row>
    <row r="5065" spans="1:12" x14ac:dyDescent="0.25">
      <c r="A5065">
        <v>3202603</v>
      </c>
      <c r="B5065" t="str">
        <f t="shared" si="79"/>
        <v>ICONHA, ES, Brasil</v>
      </c>
      <c r="C5065" s="4" t="str">
        <f>_xlfn.XLOOKUP(A5065,[1]!DadosGHD[CD_GEOCMU],[1]!DadosGHD[Região])</f>
        <v>SD</v>
      </c>
      <c r="D5065" s="4" t="str">
        <f>_xlfn.XLOOKUP(A5065,[1]!DadosGHD[CD_GEOCMU],[1]!DadosGHD[uf])</f>
        <v>ES</v>
      </c>
      <c r="E5065" s="5" t="str">
        <f>_xlfn.XLOOKUP(A5065,[1]!DadosGHD[CD_GEOCMU],[1]!DadosGHD[MUNICIPIO])</f>
        <v>ICONHA</v>
      </c>
      <c r="F5065" s="6">
        <v>58.677864074707003</v>
      </c>
      <c r="G5065" s="6">
        <v>58.722648620605497</v>
      </c>
      <c r="H5065" s="6">
        <v>58.8726196289063</v>
      </c>
      <c r="I5065" s="6">
        <v>53.876220703125</v>
      </c>
      <c r="J5065" s="6">
        <v>53.831531524658203</v>
      </c>
      <c r="K5065" s="6">
        <v>53.858917236328097</v>
      </c>
      <c r="L5065" s="6">
        <v>48.544834136962898</v>
      </c>
    </row>
    <row r="5066" spans="1:12" x14ac:dyDescent="0.25">
      <c r="A5066">
        <v>4207403</v>
      </c>
      <c r="B5066" t="str">
        <f t="shared" si="79"/>
        <v>IMBUIA, SC, Brasil</v>
      </c>
      <c r="C5066" s="4" t="str">
        <f>_xlfn.XLOOKUP(A5066,[1]!DadosGHD[CD_GEOCMU],[1]!DadosGHD[Região])</f>
        <v>SL</v>
      </c>
      <c r="D5066" s="4" t="str">
        <f>_xlfn.XLOOKUP(A5066,[1]!DadosGHD[CD_GEOCMU],[1]!DadosGHD[uf])</f>
        <v>SC</v>
      </c>
      <c r="E5066" s="5" t="str">
        <f>_xlfn.XLOOKUP(A5066,[1]!DadosGHD[CD_GEOCMU],[1]!DadosGHD[MUNICIPIO])</f>
        <v>IMBUIA</v>
      </c>
      <c r="F5066" s="6">
        <v>58.678077697753899</v>
      </c>
      <c r="G5066" s="6">
        <v>58.921871185302699</v>
      </c>
      <c r="H5066" s="6">
        <v>64.026092529296903</v>
      </c>
      <c r="I5066" s="6">
        <v>64.000221252441406</v>
      </c>
      <c r="J5066" s="6">
        <v>64.039611816406307</v>
      </c>
      <c r="K5066" s="6">
        <v>64.13623046875</v>
      </c>
      <c r="L5066" s="6">
        <v>57.589881896972699</v>
      </c>
    </row>
    <row r="5067" spans="1:12" x14ac:dyDescent="0.25">
      <c r="A5067">
        <v>4300406</v>
      </c>
      <c r="B5067" t="str">
        <f t="shared" si="79"/>
        <v>ALEGRETE, RS, Brasil</v>
      </c>
      <c r="C5067" s="4" t="str">
        <f>_xlfn.XLOOKUP(A5067,[1]!DadosGHD[CD_GEOCMU],[1]!DadosGHD[Região])</f>
        <v>SL</v>
      </c>
      <c r="D5067" s="4" t="str">
        <f>_xlfn.XLOOKUP(A5067,[1]!DadosGHD[CD_GEOCMU],[1]!DadosGHD[uf])</f>
        <v>RS</v>
      </c>
      <c r="E5067" s="5" t="str">
        <f>_xlfn.XLOOKUP(A5067,[1]!DadosGHD[CD_GEOCMU],[1]!DadosGHD[MUNICIPIO])</f>
        <v>ALEGRETE</v>
      </c>
      <c r="F5067" s="6">
        <v>58.678279876708999</v>
      </c>
      <c r="G5067" s="6">
        <v>53.754127502441399</v>
      </c>
      <c r="H5067" s="6">
        <v>53.868751525878899</v>
      </c>
      <c r="I5067" s="6">
        <v>53.845981597900398</v>
      </c>
      <c r="J5067" s="6">
        <v>53.804859161377003</v>
      </c>
      <c r="K5067" s="6">
        <v>53.8451538085938</v>
      </c>
      <c r="L5067" s="6">
        <v>48.519397735595703</v>
      </c>
    </row>
    <row r="5068" spans="1:12" x14ac:dyDescent="0.25">
      <c r="A5068">
        <v>3538105</v>
      </c>
      <c r="B5068" t="str">
        <f t="shared" si="79"/>
        <v>PINDORAMA, SP, Brasil</v>
      </c>
      <c r="C5068" s="4" t="str">
        <f>_xlfn.XLOOKUP(A5068,[1]!DadosGHD[CD_GEOCMU],[1]!DadosGHD[Região])</f>
        <v>SD</v>
      </c>
      <c r="D5068" s="4" t="str">
        <f>_xlfn.XLOOKUP(A5068,[1]!DadosGHD[CD_GEOCMU],[1]!DadosGHD[uf])</f>
        <v>SP</v>
      </c>
      <c r="E5068" s="5" t="str">
        <f>_xlfn.XLOOKUP(A5068,[1]!DadosGHD[CD_GEOCMU],[1]!DadosGHD[MUNICIPIO])</f>
        <v>PINDORAMA</v>
      </c>
      <c r="F5068" s="6">
        <v>58.679237365722699</v>
      </c>
      <c r="G5068" s="6">
        <v>53.701622009277301</v>
      </c>
      <c r="H5068" s="6">
        <v>48.8052978515625</v>
      </c>
      <c r="I5068" s="6">
        <v>48.743007659912102</v>
      </c>
      <c r="J5068" s="6">
        <v>48.7432861328125</v>
      </c>
      <c r="K5068" s="6">
        <v>48.763217926025398</v>
      </c>
      <c r="L5068" s="6">
        <v>44.063194274902301</v>
      </c>
    </row>
    <row r="5069" spans="1:12" x14ac:dyDescent="0.25">
      <c r="A5069">
        <v>4310801</v>
      </c>
      <c r="B5069" t="str">
        <f t="shared" si="79"/>
        <v>IVOTI, RS, Brasil</v>
      </c>
      <c r="C5069" s="4" t="str">
        <f>_xlfn.XLOOKUP(A5069,[1]!DadosGHD[CD_GEOCMU],[1]!DadosGHD[Região])</f>
        <v>SL</v>
      </c>
      <c r="D5069" s="4" t="str">
        <f>_xlfn.XLOOKUP(A5069,[1]!DadosGHD[CD_GEOCMU],[1]!DadosGHD[uf])</f>
        <v>RS</v>
      </c>
      <c r="E5069" s="5" t="str">
        <f>_xlfn.XLOOKUP(A5069,[1]!DadosGHD[CD_GEOCMU],[1]!DadosGHD[MUNICIPIO])</f>
        <v>IVOTI</v>
      </c>
      <c r="F5069" s="6">
        <v>58.680011749267599</v>
      </c>
      <c r="G5069" s="6">
        <v>53.758907318115199</v>
      </c>
      <c r="H5069" s="6">
        <v>53.823566436767599</v>
      </c>
      <c r="I5069" s="6">
        <v>53.8568115234375</v>
      </c>
      <c r="J5069" s="6">
        <v>53.750335693359403</v>
      </c>
      <c r="K5069" s="6">
        <v>48.899730682373097</v>
      </c>
      <c r="L5069" s="6">
        <v>53.036521911621101</v>
      </c>
    </row>
    <row r="5070" spans="1:12" x14ac:dyDescent="0.25">
      <c r="A5070">
        <v>5219704</v>
      </c>
      <c r="B5070" t="str">
        <f t="shared" si="79"/>
        <v>SANTA TEREZINHA DE GOIAS, GO, Brasil</v>
      </c>
      <c r="C5070" s="4" t="str">
        <f>_xlfn.XLOOKUP(A5070,[1]!DadosGHD[CD_GEOCMU],[1]!DadosGHD[Região])</f>
        <v>CO</v>
      </c>
      <c r="D5070" s="4" t="str">
        <f>_xlfn.XLOOKUP(A5070,[1]!DadosGHD[CD_GEOCMU],[1]!DadosGHD[uf])</f>
        <v>GO</v>
      </c>
      <c r="E5070" s="5" t="str">
        <f>_xlfn.XLOOKUP(A5070,[1]!DadosGHD[CD_GEOCMU],[1]!DadosGHD[MUNICIPIO])</f>
        <v>SANTA TEREZINHA DE GOIAS</v>
      </c>
      <c r="F5070" s="6">
        <v>58.680168151855497</v>
      </c>
      <c r="G5070" s="6">
        <v>58.804985046386697</v>
      </c>
      <c r="H5070" s="6">
        <v>58.956268310546903</v>
      </c>
      <c r="I5070" s="6">
        <v>58.963508605957003</v>
      </c>
      <c r="J5070" s="6">
        <v>63.9304008483887</v>
      </c>
      <c r="K5070" s="6">
        <v>59.111598968505902</v>
      </c>
      <c r="L5070" s="6">
        <v>35.156120300292997</v>
      </c>
    </row>
    <row r="5071" spans="1:12" x14ac:dyDescent="0.25">
      <c r="A5071">
        <v>3506508</v>
      </c>
      <c r="B5071" t="str">
        <f t="shared" si="79"/>
        <v>BIRIGUI, SP, Brasil</v>
      </c>
      <c r="C5071" s="4" t="str">
        <f>_xlfn.XLOOKUP(A5071,[1]!DadosGHD[CD_GEOCMU],[1]!DadosGHD[Região])</f>
        <v>SD</v>
      </c>
      <c r="D5071" s="4" t="str">
        <f>_xlfn.XLOOKUP(A5071,[1]!DadosGHD[CD_GEOCMU],[1]!DadosGHD[uf])</f>
        <v>SP</v>
      </c>
      <c r="E5071" s="5" t="str">
        <f>_xlfn.XLOOKUP(A5071,[1]!DadosGHD[CD_GEOCMU],[1]!DadosGHD[MUNICIPIO])</f>
        <v>BIRIGUI</v>
      </c>
      <c r="F5071" s="6">
        <v>58.6804809570313</v>
      </c>
      <c r="G5071" s="6">
        <v>58.740447998046903</v>
      </c>
      <c r="H5071" s="6">
        <v>58.841335296630902</v>
      </c>
      <c r="I5071" s="6">
        <v>58.802566528320298</v>
      </c>
      <c r="J5071" s="6">
        <v>58.821968078613303</v>
      </c>
      <c r="K5071" s="6">
        <v>53.899925231933601</v>
      </c>
      <c r="L5071" s="6">
        <v>53.049629211425803</v>
      </c>
    </row>
    <row r="5072" spans="1:12" x14ac:dyDescent="0.25">
      <c r="A5072">
        <v>4317558</v>
      </c>
      <c r="B5072" t="str">
        <f t="shared" si="79"/>
        <v>SANTO ANTONIO DO PALMA, RS, Brasil</v>
      </c>
      <c r="C5072" s="4" t="str">
        <f>_xlfn.XLOOKUP(A5072,[1]!DadosGHD[CD_GEOCMU],[1]!DadosGHD[Região])</f>
        <v>SL</v>
      </c>
      <c r="D5072" s="4" t="str">
        <f>_xlfn.XLOOKUP(A5072,[1]!DadosGHD[CD_GEOCMU],[1]!DadosGHD[uf])</f>
        <v>RS</v>
      </c>
      <c r="E5072" s="5" t="str">
        <f>_xlfn.XLOOKUP(A5072,[1]!DadosGHD[CD_GEOCMU],[1]!DadosGHD[MUNICIPIO])</f>
        <v>SANTO ANTONIO DO PALMA</v>
      </c>
      <c r="F5072" s="6">
        <v>58.681343078613303</v>
      </c>
      <c r="G5072" s="6">
        <v>63.966358184814503</v>
      </c>
      <c r="H5072" s="6">
        <v>64.026092529296903</v>
      </c>
      <c r="I5072" s="6">
        <v>53.818191528320298</v>
      </c>
      <c r="J5072" s="6">
        <v>53.846775054931598</v>
      </c>
      <c r="K5072" s="6">
        <v>53.942306518554702</v>
      </c>
      <c r="L5072" s="6">
        <v>48.501575469970703</v>
      </c>
    </row>
    <row r="5073" spans="1:12" x14ac:dyDescent="0.25">
      <c r="A5073">
        <v>5106281</v>
      </c>
      <c r="B5073" t="str">
        <f t="shared" si="79"/>
        <v>NOVO SAO JOAQUIM, MT, Brasil</v>
      </c>
      <c r="C5073" s="4" t="str">
        <f>_xlfn.XLOOKUP(A5073,[1]!DadosGHD[CD_GEOCMU],[1]!DadosGHD[Região])</f>
        <v>CO</v>
      </c>
      <c r="D5073" s="4" t="str">
        <f>_xlfn.XLOOKUP(A5073,[1]!DadosGHD[CD_GEOCMU],[1]!DadosGHD[uf])</f>
        <v>MT</v>
      </c>
      <c r="E5073" s="5" t="str">
        <f>_xlfn.XLOOKUP(A5073,[1]!DadosGHD[CD_GEOCMU],[1]!DadosGHD[MUNICIPIO])</f>
        <v>NOVO SAO JOAQUIM</v>
      </c>
      <c r="F5073" s="6">
        <v>58.681732177734403</v>
      </c>
      <c r="G5073" s="6">
        <v>58.727779388427699</v>
      </c>
      <c r="H5073" s="6">
        <v>53.867134094238303</v>
      </c>
      <c r="I5073" s="6">
        <v>53.874088287353501</v>
      </c>
      <c r="J5073" s="6">
        <v>58.805435180664098</v>
      </c>
      <c r="K5073" s="6">
        <v>53.955478668212898</v>
      </c>
      <c r="L5073" s="6">
        <v>35.120052337646499</v>
      </c>
    </row>
    <row r="5074" spans="1:12" x14ac:dyDescent="0.25">
      <c r="A5074">
        <v>3527504</v>
      </c>
      <c r="B5074" t="str">
        <f t="shared" si="79"/>
        <v>LUCIANOPOLIS, SP, Brasil</v>
      </c>
      <c r="C5074" s="4" t="str">
        <f>_xlfn.XLOOKUP(A5074,[1]!DadosGHD[CD_GEOCMU],[1]!DadosGHD[Região])</f>
        <v>SD</v>
      </c>
      <c r="D5074" s="4" t="str">
        <f>_xlfn.XLOOKUP(A5074,[1]!DadosGHD[CD_GEOCMU],[1]!DadosGHD[uf])</f>
        <v>SP</v>
      </c>
      <c r="E5074" s="5" t="str">
        <f>_xlfn.XLOOKUP(A5074,[1]!DadosGHD[CD_GEOCMU],[1]!DadosGHD[MUNICIPIO])</f>
        <v>LUCIANOPOLIS</v>
      </c>
      <c r="F5074" s="6">
        <v>58.681941986083999</v>
      </c>
      <c r="G5074" s="6">
        <v>48.6702690124512</v>
      </c>
      <c r="H5074" s="6">
        <v>48.811141967773402</v>
      </c>
      <c r="I5074" s="6">
        <v>53.790771484375</v>
      </c>
      <c r="J5074" s="6">
        <v>53.871997833252003</v>
      </c>
      <c r="K5074" s="6">
        <v>53.889808654785199</v>
      </c>
      <c r="L5074" s="6">
        <v>57.530597686767599</v>
      </c>
    </row>
    <row r="5075" spans="1:12" x14ac:dyDescent="0.25">
      <c r="A5075">
        <v>4106407</v>
      </c>
      <c r="B5075" t="str">
        <f t="shared" si="79"/>
        <v>CORNELIO PROCOPIO, PR, Brasil</v>
      </c>
      <c r="C5075" s="4" t="str">
        <f>_xlfn.XLOOKUP(A5075,[1]!DadosGHD[CD_GEOCMU],[1]!DadosGHD[Região])</f>
        <v>SL</v>
      </c>
      <c r="D5075" s="4" t="str">
        <f>_xlfn.XLOOKUP(A5075,[1]!DadosGHD[CD_GEOCMU],[1]!DadosGHD[uf])</f>
        <v>PR</v>
      </c>
      <c r="E5075" s="5" t="str">
        <f>_xlfn.XLOOKUP(A5075,[1]!DadosGHD[CD_GEOCMU],[1]!DadosGHD[MUNICIPIO])</f>
        <v>CORNELIO PROCOPIO</v>
      </c>
      <c r="F5075" s="6">
        <v>58.682090759277301</v>
      </c>
      <c r="G5075" s="6">
        <v>58.807273864746101</v>
      </c>
      <c r="H5075" s="6">
        <v>64.026092529296903</v>
      </c>
      <c r="I5075" s="6">
        <v>64.000221252441406</v>
      </c>
      <c r="J5075" s="6">
        <v>64.039611816406307</v>
      </c>
      <c r="K5075" s="6">
        <v>59.034042358398402</v>
      </c>
      <c r="L5075" s="6">
        <v>57.589881896972699</v>
      </c>
    </row>
    <row r="5076" spans="1:12" x14ac:dyDescent="0.25">
      <c r="A5076">
        <v>4318705</v>
      </c>
      <c r="B5076" t="str">
        <f t="shared" si="79"/>
        <v>SAO LEOPOLDO, RS, Brasil</v>
      </c>
      <c r="C5076" s="4" t="str">
        <f>_xlfn.XLOOKUP(A5076,[1]!DadosGHD[CD_GEOCMU],[1]!DadosGHD[Região])</f>
        <v>SL</v>
      </c>
      <c r="D5076" s="4" t="str">
        <f>_xlfn.XLOOKUP(A5076,[1]!DadosGHD[CD_GEOCMU],[1]!DadosGHD[uf])</f>
        <v>RS</v>
      </c>
      <c r="E5076" s="5" t="str">
        <f>_xlfn.XLOOKUP(A5076,[1]!DadosGHD[CD_GEOCMU],[1]!DadosGHD[MUNICIPIO])</f>
        <v>SAO LEOPOLDO</v>
      </c>
      <c r="F5076" s="6">
        <v>58.682174682617202</v>
      </c>
      <c r="G5076" s="6">
        <v>58.730136871337898</v>
      </c>
      <c r="H5076" s="6">
        <v>53.899707794189503</v>
      </c>
      <c r="I5076" s="6">
        <v>53.851749420166001</v>
      </c>
      <c r="J5076" s="6">
        <v>53.814029693603501</v>
      </c>
      <c r="K5076" s="6">
        <v>53.952526092529297</v>
      </c>
      <c r="L5076" s="6">
        <v>57.584880828857401</v>
      </c>
    </row>
    <row r="5077" spans="1:12" x14ac:dyDescent="0.25">
      <c r="A5077">
        <v>4114203</v>
      </c>
      <c r="B5077" t="str">
        <f t="shared" si="79"/>
        <v>MANDAGUARI, PR, Brasil</v>
      </c>
      <c r="C5077" s="4" t="str">
        <f>_xlfn.XLOOKUP(A5077,[1]!DadosGHD[CD_GEOCMU],[1]!DadosGHD[Região])</f>
        <v>SL</v>
      </c>
      <c r="D5077" s="4" t="str">
        <f>_xlfn.XLOOKUP(A5077,[1]!DadosGHD[CD_GEOCMU],[1]!DadosGHD[uf])</f>
        <v>PR</v>
      </c>
      <c r="E5077" s="5" t="str">
        <f>_xlfn.XLOOKUP(A5077,[1]!DadosGHD[CD_GEOCMU],[1]!DadosGHD[MUNICIPIO])</f>
        <v>MANDAGUARI</v>
      </c>
      <c r="F5077" s="6">
        <v>58.682785034179702</v>
      </c>
      <c r="G5077" s="6">
        <v>53.819953918457003</v>
      </c>
      <c r="H5077" s="6">
        <v>53.836868286132798</v>
      </c>
      <c r="I5077" s="6">
        <v>53.773399353027301</v>
      </c>
      <c r="J5077" s="6">
        <v>53.7956733703613</v>
      </c>
      <c r="K5077" s="6">
        <v>48.915035247802699</v>
      </c>
      <c r="L5077" s="6">
        <v>48.5504760742188</v>
      </c>
    </row>
    <row r="5078" spans="1:12" x14ac:dyDescent="0.25">
      <c r="A5078">
        <v>5107602</v>
      </c>
      <c r="B5078" t="str">
        <f t="shared" si="79"/>
        <v>RONDONOPOLIS, MT, Brasil</v>
      </c>
      <c r="C5078" s="4" t="str">
        <f>_xlfn.XLOOKUP(A5078,[1]!DadosGHD[CD_GEOCMU],[1]!DadosGHD[Região])</f>
        <v>CO</v>
      </c>
      <c r="D5078" s="4" t="str">
        <f>_xlfn.XLOOKUP(A5078,[1]!DadosGHD[CD_GEOCMU],[1]!DadosGHD[uf])</f>
        <v>MT</v>
      </c>
      <c r="E5078" s="5" t="str">
        <f>_xlfn.XLOOKUP(A5078,[1]!DadosGHD[CD_GEOCMU],[1]!DadosGHD[MUNICIPIO])</f>
        <v>RONDONOPOLIS</v>
      </c>
      <c r="F5078" s="6">
        <v>58.682846069335902</v>
      </c>
      <c r="G5078" s="6">
        <v>58.799327850341797</v>
      </c>
      <c r="H5078" s="6">
        <v>58.839630126953097</v>
      </c>
      <c r="I5078" s="6">
        <v>58.804328918457003</v>
      </c>
      <c r="J5078" s="6">
        <v>58.929924011230497</v>
      </c>
      <c r="K5078" s="6">
        <v>59.002815246582003</v>
      </c>
      <c r="L5078" s="6">
        <v>48.562225341796903</v>
      </c>
    </row>
    <row r="5079" spans="1:12" x14ac:dyDescent="0.25">
      <c r="A5079">
        <v>4307559</v>
      </c>
      <c r="B5079" t="str">
        <f t="shared" si="79"/>
        <v>ESTACAO, RS, Brasil</v>
      </c>
      <c r="C5079" s="4" t="str">
        <f>_xlfn.XLOOKUP(A5079,[1]!DadosGHD[CD_GEOCMU],[1]!DadosGHD[Região])</f>
        <v>SL</v>
      </c>
      <c r="D5079" s="4" t="str">
        <f>_xlfn.XLOOKUP(A5079,[1]!DadosGHD[CD_GEOCMU],[1]!DadosGHD[uf])</f>
        <v>RS</v>
      </c>
      <c r="E5079" s="5" t="str">
        <f>_xlfn.XLOOKUP(A5079,[1]!DadosGHD[CD_GEOCMU],[1]!DadosGHD[MUNICIPIO])</f>
        <v>ESTACAO</v>
      </c>
      <c r="F5079" s="6">
        <v>58.683376312255902</v>
      </c>
      <c r="G5079" s="6">
        <v>63.856986999511697</v>
      </c>
      <c r="H5079" s="6">
        <v>63.980323791503899</v>
      </c>
      <c r="I5079" s="6">
        <v>63.923904418945298</v>
      </c>
      <c r="J5079" s="6">
        <v>63.951908111572301</v>
      </c>
      <c r="K5079" s="6">
        <v>58.918834686279297</v>
      </c>
      <c r="L5079" s="6">
        <v>53.063301086425803</v>
      </c>
    </row>
    <row r="5080" spans="1:12" x14ac:dyDescent="0.25">
      <c r="A5080">
        <v>3547205</v>
      </c>
      <c r="B5080" t="str">
        <f t="shared" si="79"/>
        <v>SANTANA DA PONTE PENSA, SP, Brasil</v>
      </c>
      <c r="C5080" s="4" t="str">
        <f>_xlfn.XLOOKUP(A5080,[1]!DadosGHD[CD_GEOCMU],[1]!DadosGHD[Região])</f>
        <v>SD</v>
      </c>
      <c r="D5080" s="4" t="str">
        <f>_xlfn.XLOOKUP(A5080,[1]!DadosGHD[CD_GEOCMU],[1]!DadosGHD[uf])</f>
        <v>SP</v>
      </c>
      <c r="E5080" s="5" t="str">
        <f>_xlfn.XLOOKUP(A5080,[1]!DadosGHD[CD_GEOCMU],[1]!DadosGHD[MUNICIPIO])</f>
        <v>SANTANA DA PONTE PENSA</v>
      </c>
      <c r="F5080" s="6">
        <v>58.683418273925803</v>
      </c>
      <c r="G5080" s="6">
        <v>53.798397064208999</v>
      </c>
      <c r="H5080" s="6">
        <v>58.835556030273402</v>
      </c>
      <c r="I5080" s="6">
        <v>53.8118896484375</v>
      </c>
      <c r="J5080" s="6">
        <v>53.858791351318402</v>
      </c>
      <c r="K5080" s="6">
        <v>53.943737030029297</v>
      </c>
      <c r="L5080" s="6">
        <v>44.019626617431598</v>
      </c>
    </row>
    <row r="5081" spans="1:12" x14ac:dyDescent="0.25">
      <c r="A5081">
        <v>1708254</v>
      </c>
      <c r="B5081" t="str">
        <f t="shared" si="79"/>
        <v>FORTALEZA DO TABOCAO, TO, Brasil</v>
      </c>
      <c r="C5081" s="4" t="str">
        <f>_xlfn.XLOOKUP(A5081,[1]!DadosGHD[CD_GEOCMU],[1]!DadosGHD[Região])</f>
        <v>NO</v>
      </c>
      <c r="D5081" s="4" t="str">
        <f>_xlfn.XLOOKUP(A5081,[1]!DadosGHD[CD_GEOCMU],[1]!DadosGHD[uf])</f>
        <v>TO</v>
      </c>
      <c r="E5081" s="5" t="str">
        <f>_xlfn.XLOOKUP(A5081,[1]!DadosGHD[CD_GEOCMU],[1]!DadosGHD[MUNICIPIO])</f>
        <v>FORTALEZA DO TABOCAO</v>
      </c>
      <c r="F5081" s="6">
        <v>58.6834907531738</v>
      </c>
      <c r="G5081" s="6">
        <v>48.748970031738303</v>
      </c>
      <c r="H5081" s="6">
        <v>48.792545318603501</v>
      </c>
      <c r="I5081" s="6">
        <v>48.754951477050803</v>
      </c>
      <c r="J5081" s="6">
        <v>43.786350250244098</v>
      </c>
      <c r="K5081" s="6">
        <v>43.824169158935597</v>
      </c>
      <c r="L5081" s="6">
        <v>30.707597732543899</v>
      </c>
    </row>
    <row r="5082" spans="1:12" x14ac:dyDescent="0.25">
      <c r="A5082">
        <v>5212956</v>
      </c>
      <c r="B5082" t="str">
        <f t="shared" si="79"/>
        <v>MATRINCHA, GO, Brasil</v>
      </c>
      <c r="C5082" s="4" t="str">
        <f>_xlfn.XLOOKUP(A5082,[1]!DadosGHD[CD_GEOCMU],[1]!DadosGHD[Região])</f>
        <v>CO</v>
      </c>
      <c r="D5082" s="4" t="str">
        <f>_xlfn.XLOOKUP(A5082,[1]!DadosGHD[CD_GEOCMU],[1]!DadosGHD[uf])</f>
        <v>GO</v>
      </c>
      <c r="E5082" s="5" t="str">
        <f>_xlfn.XLOOKUP(A5082,[1]!DadosGHD[CD_GEOCMU],[1]!DadosGHD[MUNICIPIO])</f>
        <v>MATRINCHA</v>
      </c>
      <c r="F5082" s="6">
        <v>58.684226989746101</v>
      </c>
      <c r="G5082" s="6">
        <v>58.862735748291001</v>
      </c>
      <c r="H5082" s="6">
        <v>64.020057678222699</v>
      </c>
      <c r="I5082" s="6">
        <v>64.000221252441406</v>
      </c>
      <c r="J5082" s="6">
        <v>64.039611816406307</v>
      </c>
      <c r="K5082" s="6">
        <v>64.13623046875</v>
      </c>
      <c r="L5082" s="6">
        <v>39.563285827636697</v>
      </c>
    </row>
    <row r="5083" spans="1:12" x14ac:dyDescent="0.25">
      <c r="A5083">
        <v>3517703</v>
      </c>
      <c r="B5083" t="str">
        <f t="shared" si="79"/>
        <v>GUARA, SP, Brasil</v>
      </c>
      <c r="C5083" s="4" t="str">
        <f>_xlfn.XLOOKUP(A5083,[1]!DadosGHD[CD_GEOCMU],[1]!DadosGHD[Região])</f>
        <v>SD</v>
      </c>
      <c r="D5083" s="4" t="str">
        <f>_xlfn.XLOOKUP(A5083,[1]!DadosGHD[CD_GEOCMU],[1]!DadosGHD[uf])</f>
        <v>SP</v>
      </c>
      <c r="E5083" s="5" t="str">
        <f>_xlfn.XLOOKUP(A5083,[1]!DadosGHD[CD_GEOCMU],[1]!DadosGHD[MUNICIPIO])</f>
        <v>GUARA</v>
      </c>
      <c r="F5083" s="6">
        <v>58.684585571289098</v>
      </c>
      <c r="G5083" s="6">
        <v>53.808486938476598</v>
      </c>
      <c r="H5083" s="6">
        <v>53.816200256347699</v>
      </c>
      <c r="I5083" s="6">
        <v>53.752048492431598</v>
      </c>
      <c r="J5083" s="6">
        <v>53.849998474121101</v>
      </c>
      <c r="K5083" s="6">
        <v>53.892215728759801</v>
      </c>
      <c r="L5083" s="6">
        <v>53.0381889343262</v>
      </c>
    </row>
    <row r="5084" spans="1:12" x14ac:dyDescent="0.25">
      <c r="A5084">
        <v>3134806</v>
      </c>
      <c r="B5084" t="str">
        <f t="shared" si="79"/>
        <v>JACUI, MG, Brasil</v>
      </c>
      <c r="C5084" s="4" t="str">
        <f>_xlfn.XLOOKUP(A5084,[1]!DadosGHD[CD_GEOCMU],[1]!DadosGHD[Região])</f>
        <v>SD</v>
      </c>
      <c r="D5084" s="4" t="str">
        <f>_xlfn.XLOOKUP(A5084,[1]!DadosGHD[CD_GEOCMU],[1]!DadosGHD[uf])</f>
        <v>MG</v>
      </c>
      <c r="E5084" s="5" t="str">
        <f>_xlfn.XLOOKUP(A5084,[1]!DadosGHD[CD_GEOCMU],[1]!DadosGHD[MUNICIPIO])</f>
        <v>JACUI</v>
      </c>
      <c r="F5084" s="6">
        <v>58.685356140136697</v>
      </c>
      <c r="G5084" s="6">
        <v>53.750228881835902</v>
      </c>
      <c r="H5084" s="6">
        <v>53.817249298095703</v>
      </c>
      <c r="I5084" s="6">
        <v>53.832515716552699</v>
      </c>
      <c r="J5084" s="6">
        <v>53.849292755127003</v>
      </c>
      <c r="K5084" s="6">
        <v>58.940303802490199</v>
      </c>
      <c r="L5084" s="6">
        <v>52.997306823730497</v>
      </c>
    </row>
    <row r="5085" spans="1:12" x14ac:dyDescent="0.25">
      <c r="A5085">
        <v>3515509</v>
      </c>
      <c r="B5085" t="str">
        <f t="shared" si="79"/>
        <v>FERNANDOPOLIS, SP, Brasil</v>
      </c>
      <c r="C5085" s="4" t="str">
        <f>_xlfn.XLOOKUP(A5085,[1]!DadosGHD[CD_GEOCMU],[1]!DadosGHD[Região])</f>
        <v>SD</v>
      </c>
      <c r="D5085" s="4" t="str">
        <f>_xlfn.XLOOKUP(A5085,[1]!DadosGHD[CD_GEOCMU],[1]!DadosGHD[uf])</f>
        <v>SP</v>
      </c>
      <c r="E5085" s="5" t="str">
        <f>_xlfn.XLOOKUP(A5085,[1]!DadosGHD[CD_GEOCMU],[1]!DadosGHD[MUNICIPIO])</f>
        <v>FERNANDOPOLIS</v>
      </c>
      <c r="F5085" s="6">
        <v>58.685531616210902</v>
      </c>
      <c r="G5085" s="6">
        <v>58.766323089599602</v>
      </c>
      <c r="H5085" s="6">
        <v>53.873531341552699</v>
      </c>
      <c r="I5085" s="6">
        <v>53.856971740722699</v>
      </c>
      <c r="J5085" s="6">
        <v>53.772701263427699</v>
      </c>
      <c r="K5085" s="6">
        <v>48.863250732421903</v>
      </c>
      <c r="L5085" s="6">
        <v>48.499591827392599</v>
      </c>
    </row>
    <row r="5086" spans="1:12" x14ac:dyDescent="0.25">
      <c r="A5086">
        <v>4115804</v>
      </c>
      <c r="B5086" t="str">
        <f t="shared" si="79"/>
        <v>MEDIANEIRA, PR, Brasil</v>
      </c>
      <c r="C5086" s="4" t="str">
        <f>_xlfn.XLOOKUP(A5086,[1]!DadosGHD[CD_GEOCMU],[1]!DadosGHD[Região])</f>
        <v>SL</v>
      </c>
      <c r="D5086" s="4" t="str">
        <f>_xlfn.XLOOKUP(A5086,[1]!DadosGHD[CD_GEOCMU],[1]!DadosGHD[uf])</f>
        <v>PR</v>
      </c>
      <c r="E5086" s="5" t="str">
        <f>_xlfn.XLOOKUP(A5086,[1]!DadosGHD[CD_GEOCMU],[1]!DadosGHD[MUNICIPIO])</f>
        <v>MEDIANEIRA</v>
      </c>
      <c r="F5086" s="6">
        <v>58.686416625976598</v>
      </c>
      <c r="G5086" s="6">
        <v>58.856536865234403</v>
      </c>
      <c r="H5086" s="6">
        <v>63.942771911621101</v>
      </c>
      <c r="I5086" s="6">
        <v>58.971614837646499</v>
      </c>
      <c r="J5086" s="6">
        <v>58.8991508483887</v>
      </c>
      <c r="K5086" s="6">
        <v>58.945972442627003</v>
      </c>
      <c r="L5086" s="6">
        <v>53.061817169189503</v>
      </c>
    </row>
    <row r="5087" spans="1:12" x14ac:dyDescent="0.25">
      <c r="A5087">
        <v>5207402</v>
      </c>
      <c r="B5087" t="str">
        <f t="shared" si="79"/>
        <v>EDEIA, GO, Brasil</v>
      </c>
      <c r="C5087" s="4" t="str">
        <f>_xlfn.XLOOKUP(A5087,[1]!DadosGHD[CD_GEOCMU],[1]!DadosGHD[Região])</f>
        <v>CO</v>
      </c>
      <c r="D5087" s="4" t="str">
        <f>_xlfn.XLOOKUP(A5087,[1]!DadosGHD[CD_GEOCMU],[1]!DadosGHD[uf])</f>
        <v>GO</v>
      </c>
      <c r="E5087" s="5" t="str">
        <f>_xlfn.XLOOKUP(A5087,[1]!DadosGHD[CD_GEOCMU],[1]!DadosGHD[MUNICIPIO])</f>
        <v>EDEIA</v>
      </c>
      <c r="F5087" s="6">
        <v>58.6871948242188</v>
      </c>
      <c r="G5087" s="6">
        <v>58.812896728515597</v>
      </c>
      <c r="H5087" s="6">
        <v>58.888313293457003</v>
      </c>
      <c r="I5087" s="6">
        <v>58.882595062255902</v>
      </c>
      <c r="J5087" s="6">
        <v>53.7764701843262</v>
      </c>
      <c r="K5087" s="6">
        <v>53.953151702880902</v>
      </c>
      <c r="L5087" s="6">
        <v>44.039115905761697</v>
      </c>
    </row>
    <row r="5088" spans="1:12" x14ac:dyDescent="0.25">
      <c r="A5088">
        <v>3141207</v>
      </c>
      <c r="B5088" t="str">
        <f t="shared" si="79"/>
        <v>MATUTINA, MG, Brasil</v>
      </c>
      <c r="C5088" s="4" t="str">
        <f>_xlfn.XLOOKUP(A5088,[1]!DadosGHD[CD_GEOCMU],[1]!DadosGHD[Região])</f>
        <v>SD</v>
      </c>
      <c r="D5088" s="4" t="str">
        <f>_xlfn.XLOOKUP(A5088,[1]!DadosGHD[CD_GEOCMU],[1]!DadosGHD[uf])</f>
        <v>MG</v>
      </c>
      <c r="E5088" s="5" t="str">
        <f>_xlfn.XLOOKUP(A5088,[1]!DadosGHD[CD_GEOCMU],[1]!DadosGHD[MUNICIPIO])</f>
        <v>MATUTINA</v>
      </c>
      <c r="F5088" s="6">
        <v>58.690681457519503</v>
      </c>
      <c r="G5088" s="6">
        <v>43.659122467041001</v>
      </c>
      <c r="H5088" s="6">
        <v>43.756813049316399</v>
      </c>
      <c r="I5088" s="6">
        <v>43.732486724853501</v>
      </c>
      <c r="J5088" s="6">
        <v>43.8057250976563</v>
      </c>
      <c r="K5088" s="6">
        <v>48.802490234375</v>
      </c>
      <c r="L5088" s="6">
        <v>48.543174743652301</v>
      </c>
    </row>
    <row r="5089" spans="1:12" x14ac:dyDescent="0.25">
      <c r="A5089">
        <v>4107504</v>
      </c>
      <c r="B5089" t="str">
        <f t="shared" si="79"/>
        <v>ENGENHEIRO BELTRAO, PR, Brasil</v>
      </c>
      <c r="C5089" s="4" t="str">
        <f>_xlfn.XLOOKUP(A5089,[1]!DadosGHD[CD_GEOCMU],[1]!DadosGHD[Região])</f>
        <v>SL</v>
      </c>
      <c r="D5089" s="4" t="str">
        <f>_xlfn.XLOOKUP(A5089,[1]!DadosGHD[CD_GEOCMU],[1]!DadosGHD[uf])</f>
        <v>PR</v>
      </c>
      <c r="E5089" s="5" t="str">
        <f>_xlfn.XLOOKUP(A5089,[1]!DadosGHD[CD_GEOCMU],[1]!DadosGHD[MUNICIPIO])</f>
        <v>ENGENHEIRO BELTRAO</v>
      </c>
      <c r="F5089" s="6">
        <v>58.690841674804702</v>
      </c>
      <c r="G5089" s="6">
        <v>58.822738647460902</v>
      </c>
      <c r="H5089" s="6">
        <v>63.970504760742202</v>
      </c>
      <c r="I5089" s="6">
        <v>58.925491333007798</v>
      </c>
      <c r="J5089" s="6">
        <v>58.916637420654297</v>
      </c>
      <c r="K5089" s="6">
        <v>58.996219635009801</v>
      </c>
      <c r="L5089" s="6">
        <v>53.018173217773402</v>
      </c>
    </row>
    <row r="5090" spans="1:12" x14ac:dyDescent="0.25">
      <c r="A5090">
        <v>4215802</v>
      </c>
      <c r="B5090" t="str">
        <f t="shared" si="79"/>
        <v>SAO BENTO DO SUL, SC, Brasil</v>
      </c>
      <c r="C5090" s="4" t="str">
        <f>_xlfn.XLOOKUP(A5090,[1]!DadosGHD[CD_GEOCMU],[1]!DadosGHD[Região])</f>
        <v>SL</v>
      </c>
      <c r="D5090" s="4" t="str">
        <f>_xlfn.XLOOKUP(A5090,[1]!DadosGHD[CD_GEOCMU],[1]!DadosGHD[uf])</f>
        <v>SC</v>
      </c>
      <c r="E5090" s="5" t="str">
        <f>_xlfn.XLOOKUP(A5090,[1]!DadosGHD[CD_GEOCMU],[1]!DadosGHD[MUNICIPIO])</f>
        <v>SAO BENTO DO SUL</v>
      </c>
      <c r="F5090" s="6">
        <v>58.690860748291001</v>
      </c>
      <c r="G5090" s="6">
        <v>58.812469482421903</v>
      </c>
      <c r="H5090" s="6">
        <v>58.896629333496101</v>
      </c>
      <c r="I5090" s="6">
        <v>58.822353363037102</v>
      </c>
      <c r="J5090" s="6">
        <v>58.8985786437988</v>
      </c>
      <c r="K5090" s="6">
        <v>58.9317016601563</v>
      </c>
      <c r="L5090" s="6">
        <v>57.5616645812988</v>
      </c>
    </row>
    <row r="5091" spans="1:12" x14ac:dyDescent="0.25">
      <c r="A5091">
        <v>4322301</v>
      </c>
      <c r="B5091" t="str">
        <f t="shared" si="79"/>
        <v>TUPARENDI, RS, Brasil</v>
      </c>
      <c r="C5091" s="4" t="str">
        <f>_xlfn.XLOOKUP(A5091,[1]!DadosGHD[CD_GEOCMU],[1]!DadosGHD[Região])</f>
        <v>SL</v>
      </c>
      <c r="D5091" s="4" t="str">
        <f>_xlfn.XLOOKUP(A5091,[1]!DadosGHD[CD_GEOCMU],[1]!DadosGHD[uf])</f>
        <v>RS</v>
      </c>
      <c r="E5091" s="5" t="str">
        <f>_xlfn.XLOOKUP(A5091,[1]!DadosGHD[CD_GEOCMU],[1]!DadosGHD[MUNICIPIO])</f>
        <v>TUPARENDI</v>
      </c>
      <c r="F5091" s="6">
        <v>58.691017150878899</v>
      </c>
      <c r="G5091" s="6">
        <v>63.860740661621101</v>
      </c>
      <c r="H5091" s="6">
        <v>64.021560668945298</v>
      </c>
      <c r="I5091" s="6">
        <v>64.000221252441406</v>
      </c>
      <c r="J5091" s="6">
        <v>64.039611816406307</v>
      </c>
      <c r="K5091" s="6">
        <v>64.13623046875</v>
      </c>
      <c r="L5091" s="6">
        <v>57.519157409667997</v>
      </c>
    </row>
    <row r="5092" spans="1:12" x14ac:dyDescent="0.25">
      <c r="A5092">
        <v>3508108</v>
      </c>
      <c r="B5092" t="str">
        <f t="shared" si="79"/>
        <v>BURITAMA, SP, Brasil</v>
      </c>
      <c r="C5092" s="4" t="str">
        <f>_xlfn.XLOOKUP(A5092,[1]!DadosGHD[CD_GEOCMU],[1]!DadosGHD[Região])</f>
        <v>SD</v>
      </c>
      <c r="D5092" s="4" t="str">
        <f>_xlfn.XLOOKUP(A5092,[1]!DadosGHD[CD_GEOCMU],[1]!DadosGHD[uf])</f>
        <v>SP</v>
      </c>
      <c r="E5092" s="5" t="str">
        <f>_xlfn.XLOOKUP(A5092,[1]!DadosGHD[CD_GEOCMU],[1]!DadosGHD[MUNICIPIO])</f>
        <v>BURITAMA</v>
      </c>
      <c r="F5092" s="6">
        <v>58.691112518310597</v>
      </c>
      <c r="G5092" s="6">
        <v>53.736377716064503</v>
      </c>
      <c r="H5092" s="6">
        <v>48.826385498046903</v>
      </c>
      <c r="I5092" s="6">
        <v>48.7466850280762</v>
      </c>
      <c r="J5092" s="6">
        <v>48.747325897216797</v>
      </c>
      <c r="K5092" s="6">
        <v>48.834938049316399</v>
      </c>
      <c r="L5092" s="6">
        <v>39.603622436523402</v>
      </c>
    </row>
    <row r="5093" spans="1:12" x14ac:dyDescent="0.25">
      <c r="A5093">
        <v>3518404</v>
      </c>
      <c r="B5093" t="str">
        <f t="shared" si="79"/>
        <v>GUARATINGUETA, SP, Brasil</v>
      </c>
      <c r="C5093" s="4" t="str">
        <f>_xlfn.XLOOKUP(A5093,[1]!DadosGHD[CD_GEOCMU],[1]!DadosGHD[Região])</f>
        <v>SD</v>
      </c>
      <c r="D5093" s="4" t="str">
        <f>_xlfn.XLOOKUP(A5093,[1]!DadosGHD[CD_GEOCMU],[1]!DadosGHD[uf])</f>
        <v>SP</v>
      </c>
      <c r="E5093" s="5" t="str">
        <f>_xlfn.XLOOKUP(A5093,[1]!DadosGHD[CD_GEOCMU],[1]!DadosGHD[MUNICIPIO])</f>
        <v>GUARATINGUETA</v>
      </c>
      <c r="F5093" s="6">
        <v>58.691459655761697</v>
      </c>
      <c r="G5093" s="6">
        <v>58.734401702880902</v>
      </c>
      <c r="H5093" s="6">
        <v>53.910923004150398</v>
      </c>
      <c r="I5093" s="6">
        <v>53.861732482910199</v>
      </c>
      <c r="J5093" s="6">
        <v>53.846343994140597</v>
      </c>
      <c r="K5093" s="6">
        <v>53.826000213623097</v>
      </c>
      <c r="L5093" s="6">
        <v>52.9922485351563</v>
      </c>
    </row>
    <row r="5094" spans="1:12" x14ac:dyDescent="0.25">
      <c r="A5094">
        <v>4219200</v>
      </c>
      <c r="B5094" t="str">
        <f t="shared" si="79"/>
        <v>VIDAL RAMOS, SC, Brasil</v>
      </c>
      <c r="C5094" s="4" t="str">
        <f>_xlfn.XLOOKUP(A5094,[1]!DadosGHD[CD_GEOCMU],[1]!DadosGHD[Região])</f>
        <v>SL</v>
      </c>
      <c r="D5094" s="4" t="str">
        <f>_xlfn.XLOOKUP(A5094,[1]!DadosGHD[CD_GEOCMU],[1]!DadosGHD[uf])</f>
        <v>SC</v>
      </c>
      <c r="E5094" s="5" t="str">
        <f>_xlfn.XLOOKUP(A5094,[1]!DadosGHD[CD_GEOCMU],[1]!DadosGHD[MUNICIPIO])</f>
        <v>VIDAL RAMOS</v>
      </c>
      <c r="F5094" s="6">
        <v>58.691776275634801</v>
      </c>
      <c r="G5094" s="6">
        <v>58.907562255859403</v>
      </c>
      <c r="H5094" s="6">
        <v>64.026092529296903</v>
      </c>
      <c r="I5094" s="6">
        <v>64.000221252441406</v>
      </c>
      <c r="J5094" s="6">
        <v>64.039611816406307</v>
      </c>
      <c r="K5094" s="6">
        <v>64.096412658691406</v>
      </c>
      <c r="L5094" s="6">
        <v>48.535511016845703</v>
      </c>
    </row>
    <row r="5095" spans="1:12" x14ac:dyDescent="0.25">
      <c r="A5095">
        <v>4304309</v>
      </c>
      <c r="B5095" t="str">
        <f t="shared" si="79"/>
        <v>CANDIDO GODOI, RS, Brasil</v>
      </c>
      <c r="C5095" s="4" t="str">
        <f>_xlfn.XLOOKUP(A5095,[1]!DadosGHD[CD_GEOCMU],[1]!DadosGHD[Região])</f>
        <v>SL</v>
      </c>
      <c r="D5095" s="4" t="str">
        <f>_xlfn.XLOOKUP(A5095,[1]!DadosGHD[CD_GEOCMU],[1]!DadosGHD[uf])</f>
        <v>RS</v>
      </c>
      <c r="E5095" s="5" t="str">
        <f>_xlfn.XLOOKUP(A5095,[1]!DadosGHD[CD_GEOCMU],[1]!DadosGHD[MUNICIPIO])</f>
        <v>CANDIDO GODOI</v>
      </c>
      <c r="F5095" s="6">
        <v>58.691879272460902</v>
      </c>
      <c r="G5095" s="6">
        <v>58.8735542297363</v>
      </c>
      <c r="H5095" s="6">
        <v>63.938182830810597</v>
      </c>
      <c r="I5095" s="6">
        <v>63.921470642089801</v>
      </c>
      <c r="J5095" s="6">
        <v>63.993923187255902</v>
      </c>
      <c r="K5095" s="6">
        <v>64.13623046875</v>
      </c>
      <c r="L5095" s="6">
        <v>53.003910064697301</v>
      </c>
    </row>
    <row r="5096" spans="1:12" x14ac:dyDescent="0.25">
      <c r="A5096">
        <v>1700707</v>
      </c>
      <c r="B5096" t="str">
        <f t="shared" si="79"/>
        <v>ALVORADA, TO, Brasil</v>
      </c>
      <c r="C5096" s="4" t="str">
        <f>_xlfn.XLOOKUP(A5096,[1]!DadosGHD[CD_GEOCMU],[1]!DadosGHD[Região])</f>
        <v>NO</v>
      </c>
      <c r="D5096" s="4" t="str">
        <f>_xlfn.XLOOKUP(A5096,[1]!DadosGHD[CD_GEOCMU],[1]!DadosGHD[uf])</f>
        <v>TO</v>
      </c>
      <c r="E5096" s="5" t="str">
        <f>_xlfn.XLOOKUP(A5096,[1]!DadosGHD[CD_GEOCMU],[1]!DadosGHD[MUNICIPIO])</f>
        <v>ALVORADA</v>
      </c>
      <c r="F5096" s="6">
        <v>58.691886901855497</v>
      </c>
      <c r="G5096" s="6">
        <v>58.737945556640597</v>
      </c>
      <c r="H5096" s="6">
        <v>53.838298797607401</v>
      </c>
      <c r="I5096" s="6">
        <v>53.732509613037102</v>
      </c>
      <c r="J5096" s="6">
        <v>53.807437896728501</v>
      </c>
      <c r="K5096" s="6">
        <v>53.816642761230497</v>
      </c>
      <c r="L5096" s="6">
        <v>35.131618499755902</v>
      </c>
    </row>
    <row r="5097" spans="1:12" x14ac:dyDescent="0.25">
      <c r="A5097">
        <v>4315131</v>
      </c>
      <c r="B5097" t="str">
        <f t="shared" si="79"/>
        <v>POUSO NOVO, RS, Brasil</v>
      </c>
      <c r="C5097" s="4" t="str">
        <f>_xlfn.XLOOKUP(A5097,[1]!DadosGHD[CD_GEOCMU],[1]!DadosGHD[Região])</f>
        <v>SL</v>
      </c>
      <c r="D5097" s="4" t="str">
        <f>_xlfn.XLOOKUP(A5097,[1]!DadosGHD[CD_GEOCMU],[1]!DadosGHD[uf])</f>
        <v>RS</v>
      </c>
      <c r="E5097" s="5" t="str">
        <f>_xlfn.XLOOKUP(A5097,[1]!DadosGHD[CD_GEOCMU],[1]!DadosGHD[MUNICIPIO])</f>
        <v>POUSO NOVO</v>
      </c>
      <c r="F5097" s="6">
        <v>58.692131042480497</v>
      </c>
      <c r="G5097" s="6">
        <v>63.889461517333999</v>
      </c>
      <c r="H5097" s="6">
        <v>63.947494506835902</v>
      </c>
      <c r="I5097" s="6">
        <v>64.000221252441406</v>
      </c>
      <c r="J5097" s="6">
        <v>64.039611816406307</v>
      </c>
      <c r="K5097" s="6">
        <v>64.131782531738295</v>
      </c>
      <c r="L5097" s="6">
        <v>48.528923034667997</v>
      </c>
    </row>
    <row r="5098" spans="1:12" x14ac:dyDescent="0.25">
      <c r="A5098">
        <v>4305801</v>
      </c>
      <c r="B5098" t="str">
        <f t="shared" si="79"/>
        <v>CONSTANTINA, RS, Brasil</v>
      </c>
      <c r="C5098" s="4" t="str">
        <f>_xlfn.XLOOKUP(A5098,[1]!DadosGHD[CD_GEOCMU],[1]!DadosGHD[Região])</f>
        <v>SL</v>
      </c>
      <c r="D5098" s="4" t="str">
        <f>_xlfn.XLOOKUP(A5098,[1]!DadosGHD[CD_GEOCMU],[1]!DadosGHD[uf])</f>
        <v>RS</v>
      </c>
      <c r="E5098" s="5" t="str">
        <f>_xlfn.XLOOKUP(A5098,[1]!DadosGHD[CD_GEOCMU],[1]!DadosGHD[MUNICIPIO])</f>
        <v>CONSTANTINA</v>
      </c>
      <c r="F5098" s="6">
        <v>58.692626953125</v>
      </c>
      <c r="G5098" s="6">
        <v>58.804019927978501</v>
      </c>
      <c r="H5098" s="6">
        <v>58.852157592773402</v>
      </c>
      <c r="I5098" s="6">
        <v>58.800094604492202</v>
      </c>
      <c r="J5098" s="6">
        <v>58.818939208984403</v>
      </c>
      <c r="K5098" s="6">
        <v>58.911144256591797</v>
      </c>
      <c r="L5098" s="6">
        <v>48.522987365722699</v>
      </c>
    </row>
    <row r="5099" spans="1:12" x14ac:dyDescent="0.25">
      <c r="A5099">
        <v>3548609</v>
      </c>
      <c r="B5099" t="str">
        <f t="shared" si="79"/>
        <v>SAO BENTO DO SAPUCAI, SP, Brasil</v>
      </c>
      <c r="C5099" s="4" t="str">
        <f>_xlfn.XLOOKUP(A5099,[1]!DadosGHD[CD_GEOCMU],[1]!DadosGHD[Região])</f>
        <v>SD</v>
      </c>
      <c r="D5099" s="4" t="str">
        <f>_xlfn.XLOOKUP(A5099,[1]!DadosGHD[CD_GEOCMU],[1]!DadosGHD[uf])</f>
        <v>SP</v>
      </c>
      <c r="E5099" s="5" t="str">
        <f>_xlfn.XLOOKUP(A5099,[1]!DadosGHD[CD_GEOCMU],[1]!DadosGHD[MUNICIPIO])</f>
        <v>SAO BENTO DO SAPUCAI</v>
      </c>
      <c r="F5099" s="6">
        <v>58.692863464355497</v>
      </c>
      <c r="G5099" s="6">
        <v>53.776485443115199</v>
      </c>
      <c r="H5099" s="6">
        <v>53.8192329406738</v>
      </c>
      <c r="I5099" s="6">
        <v>53.7877006530762</v>
      </c>
      <c r="J5099" s="6">
        <v>58.828033447265597</v>
      </c>
      <c r="K5099" s="6">
        <v>53.988037109375</v>
      </c>
      <c r="L5099" s="6">
        <v>53.053878784179702</v>
      </c>
    </row>
    <row r="5100" spans="1:12" x14ac:dyDescent="0.25">
      <c r="A5100">
        <v>3531407</v>
      </c>
      <c r="B5100" t="str">
        <f t="shared" si="79"/>
        <v>MONTE APRAZIVEL, SP, Brasil</v>
      </c>
      <c r="C5100" s="4" t="str">
        <f>_xlfn.XLOOKUP(A5100,[1]!DadosGHD[CD_GEOCMU],[1]!DadosGHD[Região])</f>
        <v>SD</v>
      </c>
      <c r="D5100" s="4" t="str">
        <f>_xlfn.XLOOKUP(A5100,[1]!DadosGHD[CD_GEOCMU],[1]!DadosGHD[uf])</f>
        <v>SP</v>
      </c>
      <c r="E5100" s="5" t="str">
        <f>_xlfn.XLOOKUP(A5100,[1]!DadosGHD[CD_GEOCMU],[1]!DadosGHD[MUNICIPIO])</f>
        <v>MONTE APRAZIVEL</v>
      </c>
      <c r="F5100" s="6">
        <v>58.694999694824197</v>
      </c>
      <c r="G5100" s="6">
        <v>58.719512939453097</v>
      </c>
      <c r="H5100" s="6">
        <v>53.833724975585902</v>
      </c>
      <c r="I5100" s="6">
        <v>53.745082855224602</v>
      </c>
      <c r="J5100" s="6">
        <v>48.836681365966797</v>
      </c>
      <c r="K5100" s="6">
        <v>48.854103088378899</v>
      </c>
      <c r="L5100" s="6">
        <v>44.035465240478501</v>
      </c>
    </row>
    <row r="5101" spans="1:12" x14ac:dyDescent="0.25">
      <c r="A5101">
        <v>4303103</v>
      </c>
      <c r="B5101" t="str">
        <f t="shared" si="79"/>
        <v>CACHOEIRINHA, RS, Brasil</v>
      </c>
      <c r="C5101" s="4" t="str">
        <f>_xlfn.XLOOKUP(A5101,[1]!DadosGHD[CD_GEOCMU],[1]!DadosGHD[Região])</f>
        <v>SL</v>
      </c>
      <c r="D5101" s="4" t="str">
        <f>_xlfn.XLOOKUP(A5101,[1]!DadosGHD[CD_GEOCMU],[1]!DadosGHD[uf])</f>
        <v>RS</v>
      </c>
      <c r="E5101" s="5" t="str">
        <f>_xlfn.XLOOKUP(A5101,[1]!DadosGHD[CD_GEOCMU],[1]!DadosGHD[MUNICIPIO])</f>
        <v>CACHOEIRINHA</v>
      </c>
      <c r="F5101" s="6">
        <v>58.695228576660199</v>
      </c>
      <c r="G5101" s="6">
        <v>58.790103912353501</v>
      </c>
      <c r="H5101" s="6">
        <v>58.865936279296903</v>
      </c>
      <c r="I5101" s="6">
        <v>58.821075439453097</v>
      </c>
      <c r="J5101" s="6">
        <v>53.869464874267599</v>
      </c>
      <c r="K5101" s="6">
        <v>53.851158142089801</v>
      </c>
      <c r="L5101" s="6">
        <v>48.512561798095703</v>
      </c>
    </row>
    <row r="5102" spans="1:12" x14ac:dyDescent="0.25">
      <c r="A5102">
        <v>4105607</v>
      </c>
      <c r="B5102" t="str">
        <f t="shared" si="79"/>
        <v>CIDADE GAUCHA, PR, Brasil</v>
      </c>
      <c r="C5102" s="4" t="str">
        <f>_xlfn.XLOOKUP(A5102,[1]!DadosGHD[CD_GEOCMU],[1]!DadosGHD[Região])</f>
        <v>SL</v>
      </c>
      <c r="D5102" s="4" t="str">
        <f>_xlfn.XLOOKUP(A5102,[1]!DadosGHD[CD_GEOCMU],[1]!DadosGHD[uf])</f>
        <v>PR</v>
      </c>
      <c r="E5102" s="5" t="str">
        <f>_xlfn.XLOOKUP(A5102,[1]!DadosGHD[CD_GEOCMU],[1]!DadosGHD[MUNICIPIO])</f>
        <v>CIDADE GAUCHA</v>
      </c>
      <c r="F5102" s="6">
        <v>58.695388793945298</v>
      </c>
      <c r="G5102" s="6">
        <v>58.835285186767599</v>
      </c>
      <c r="H5102" s="6">
        <v>58.871063232421903</v>
      </c>
      <c r="I5102" s="6">
        <v>58.858932495117202</v>
      </c>
      <c r="J5102" s="6">
        <v>58.983726501464801</v>
      </c>
      <c r="K5102" s="6">
        <v>58.971343994140597</v>
      </c>
      <c r="L5102" s="6">
        <v>48.503444671630902</v>
      </c>
    </row>
    <row r="5103" spans="1:12" x14ac:dyDescent="0.25">
      <c r="A5103">
        <v>4308102</v>
      </c>
      <c r="B5103" t="str">
        <f t="shared" si="79"/>
        <v>FELIZ, RS, Brasil</v>
      </c>
      <c r="C5103" s="4" t="str">
        <f>_xlfn.XLOOKUP(A5103,[1]!DadosGHD[CD_GEOCMU],[1]!DadosGHD[Região])</f>
        <v>SL</v>
      </c>
      <c r="D5103" s="4" t="str">
        <f>_xlfn.XLOOKUP(A5103,[1]!DadosGHD[CD_GEOCMU],[1]!DadosGHD[uf])</f>
        <v>RS</v>
      </c>
      <c r="E5103" s="5" t="str">
        <f>_xlfn.XLOOKUP(A5103,[1]!DadosGHD[CD_GEOCMU],[1]!DadosGHD[MUNICIPIO])</f>
        <v>FELIZ</v>
      </c>
      <c r="F5103" s="6">
        <v>58.695667266845703</v>
      </c>
      <c r="G5103" s="6">
        <v>58.716865539550803</v>
      </c>
      <c r="H5103" s="6">
        <v>53.909278869628899</v>
      </c>
      <c r="I5103" s="6">
        <v>58.887481689453097</v>
      </c>
      <c r="J5103" s="6">
        <v>58.975364685058601</v>
      </c>
      <c r="K5103" s="6">
        <v>58.964313507080099</v>
      </c>
      <c r="L5103" s="6">
        <v>57.569095611572301</v>
      </c>
    </row>
    <row r="5104" spans="1:12" x14ac:dyDescent="0.25">
      <c r="A5104">
        <v>3147600</v>
      </c>
      <c r="B5104" t="str">
        <f t="shared" si="79"/>
        <v>PASSA QUATRO, MG, Brasil</v>
      </c>
      <c r="C5104" s="4" t="str">
        <f>_xlfn.XLOOKUP(A5104,[1]!DadosGHD[CD_GEOCMU],[1]!DadosGHD[Região])</f>
        <v>SD</v>
      </c>
      <c r="D5104" s="4" t="str">
        <f>_xlfn.XLOOKUP(A5104,[1]!DadosGHD[CD_GEOCMU],[1]!DadosGHD[uf])</f>
        <v>MG</v>
      </c>
      <c r="E5104" s="5" t="str">
        <f>_xlfn.XLOOKUP(A5104,[1]!DadosGHD[CD_GEOCMU],[1]!DadosGHD[MUNICIPIO])</f>
        <v>PASSA QUATRO</v>
      </c>
      <c r="F5104" s="6">
        <v>58.695667266845703</v>
      </c>
      <c r="G5104" s="6">
        <v>58.8557739257813</v>
      </c>
      <c r="H5104" s="6">
        <v>58.953166961669901</v>
      </c>
      <c r="I5104" s="6">
        <v>58.9197387695313</v>
      </c>
      <c r="J5104" s="6">
        <v>63.946979522705099</v>
      </c>
      <c r="K5104" s="6">
        <v>58.923744201660199</v>
      </c>
      <c r="L5104" s="6">
        <v>57.516265869140597</v>
      </c>
    </row>
    <row r="5105" spans="1:12" x14ac:dyDescent="0.25">
      <c r="A5105">
        <v>3515186</v>
      </c>
      <c r="B5105" t="str">
        <f t="shared" si="79"/>
        <v>ESPIRITO SANTO DO PINHAL, SP, Brasil</v>
      </c>
      <c r="C5105" s="4" t="str">
        <f>_xlfn.XLOOKUP(A5105,[1]!DadosGHD[CD_GEOCMU],[1]!DadosGHD[Região])</f>
        <v>SD</v>
      </c>
      <c r="D5105" s="4" t="str">
        <f>_xlfn.XLOOKUP(A5105,[1]!DadosGHD[CD_GEOCMU],[1]!DadosGHD[uf])</f>
        <v>SP</v>
      </c>
      <c r="E5105" s="5" t="str">
        <f>_xlfn.XLOOKUP(A5105,[1]!DadosGHD[CD_GEOCMU],[1]!DadosGHD[MUNICIPIO])</f>
        <v>ESPIRITO SANTO DO PINHAL</v>
      </c>
      <c r="F5105" s="6">
        <v>58.696590423583999</v>
      </c>
      <c r="G5105" s="6">
        <v>58.807907104492202</v>
      </c>
      <c r="H5105" s="6">
        <v>58.824417114257798</v>
      </c>
      <c r="I5105" s="6">
        <v>53.809780120849602</v>
      </c>
      <c r="J5105" s="6">
        <v>53.817092895507798</v>
      </c>
      <c r="K5105" s="6">
        <v>53.934768676757798</v>
      </c>
      <c r="L5105" s="6">
        <v>57.589504241943402</v>
      </c>
    </row>
    <row r="5106" spans="1:12" x14ac:dyDescent="0.25">
      <c r="A5106">
        <v>5007976</v>
      </c>
      <c r="B5106" t="str">
        <f t="shared" si="79"/>
        <v>TAQUARUSSU, MS, Brasil</v>
      </c>
      <c r="C5106" s="4" t="str">
        <f>_xlfn.XLOOKUP(A5106,[1]!DadosGHD[CD_GEOCMU],[1]!DadosGHD[Região])</f>
        <v>CO</v>
      </c>
      <c r="D5106" s="4" t="str">
        <f>_xlfn.XLOOKUP(A5106,[1]!DadosGHD[CD_GEOCMU],[1]!DadosGHD[uf])</f>
        <v>MS</v>
      </c>
      <c r="E5106" s="5" t="str">
        <f>_xlfn.XLOOKUP(A5106,[1]!DadosGHD[CD_GEOCMU],[1]!DadosGHD[MUNICIPIO])</f>
        <v>TAQUARUSSU</v>
      </c>
      <c r="F5106" s="6">
        <v>58.696609497070298</v>
      </c>
      <c r="G5106" s="6">
        <v>48.753021240234403</v>
      </c>
      <c r="H5106" s="6">
        <v>48.786819458007798</v>
      </c>
      <c r="I5106" s="6">
        <v>48.738136291503899</v>
      </c>
      <c r="J5106" s="6">
        <v>48.749874114990199</v>
      </c>
      <c r="K5106" s="6">
        <v>48.791488647460902</v>
      </c>
      <c r="L5106" s="6">
        <v>39.6118354797363</v>
      </c>
    </row>
    <row r="5107" spans="1:12" x14ac:dyDescent="0.25">
      <c r="A5107">
        <v>4311809</v>
      </c>
      <c r="B5107" t="str">
        <f t="shared" si="79"/>
        <v>MARAU, RS, Brasil</v>
      </c>
      <c r="C5107" s="4" t="str">
        <f>_xlfn.XLOOKUP(A5107,[1]!DadosGHD[CD_GEOCMU],[1]!DadosGHD[Região])</f>
        <v>SL</v>
      </c>
      <c r="D5107" s="4" t="str">
        <f>_xlfn.XLOOKUP(A5107,[1]!DadosGHD[CD_GEOCMU],[1]!DadosGHD[uf])</f>
        <v>RS</v>
      </c>
      <c r="E5107" s="5" t="str">
        <f>_xlfn.XLOOKUP(A5107,[1]!DadosGHD[CD_GEOCMU],[1]!DadosGHD[MUNICIPIO])</f>
        <v>MARAU</v>
      </c>
      <c r="F5107" s="6">
        <v>58.697616577148402</v>
      </c>
      <c r="G5107" s="6">
        <v>63.881961822509801</v>
      </c>
      <c r="H5107" s="6">
        <v>58.903835296630902</v>
      </c>
      <c r="I5107" s="6">
        <v>64.000221252441406</v>
      </c>
      <c r="J5107" s="6">
        <v>63.916465759277301</v>
      </c>
      <c r="K5107" s="6">
        <v>59.063079833984403</v>
      </c>
      <c r="L5107" s="6">
        <v>57.548194885253899</v>
      </c>
    </row>
    <row r="5108" spans="1:12" x14ac:dyDescent="0.25">
      <c r="A5108">
        <v>3555802</v>
      </c>
      <c r="B5108" t="str">
        <f t="shared" si="79"/>
        <v>URANIA, SP, Brasil</v>
      </c>
      <c r="C5108" s="4" t="str">
        <f>_xlfn.XLOOKUP(A5108,[1]!DadosGHD[CD_GEOCMU],[1]!DadosGHD[Região])</f>
        <v>SD</v>
      </c>
      <c r="D5108" s="4" t="str">
        <f>_xlfn.XLOOKUP(A5108,[1]!DadosGHD[CD_GEOCMU],[1]!DadosGHD[uf])</f>
        <v>SP</v>
      </c>
      <c r="E5108" s="5" t="str">
        <f>_xlfn.XLOOKUP(A5108,[1]!DadosGHD[CD_GEOCMU],[1]!DadosGHD[MUNICIPIO])</f>
        <v>URANIA</v>
      </c>
      <c r="F5108" s="6">
        <v>58.697959899902301</v>
      </c>
      <c r="G5108" s="6">
        <v>53.781959533691399</v>
      </c>
      <c r="H5108" s="6">
        <v>53.8192138671875</v>
      </c>
      <c r="I5108" s="6">
        <v>53.712379455566399</v>
      </c>
      <c r="J5108" s="6">
        <v>48.8327445983887</v>
      </c>
      <c r="K5108" s="6">
        <v>53.8084716796875</v>
      </c>
      <c r="L5108" s="6">
        <v>39.593170166015597</v>
      </c>
    </row>
    <row r="5109" spans="1:12" x14ac:dyDescent="0.25">
      <c r="A5109">
        <v>4320701</v>
      </c>
      <c r="B5109" t="str">
        <f t="shared" si="79"/>
        <v>SOBRADINHO, RS, Brasil</v>
      </c>
      <c r="C5109" s="4" t="str">
        <f>_xlfn.XLOOKUP(A5109,[1]!DadosGHD[CD_GEOCMU],[1]!DadosGHD[Região])</f>
        <v>SL</v>
      </c>
      <c r="D5109" s="4" t="str">
        <f>_xlfn.XLOOKUP(A5109,[1]!DadosGHD[CD_GEOCMU],[1]!DadosGHD[uf])</f>
        <v>RS</v>
      </c>
      <c r="E5109" s="5" t="str">
        <f>_xlfn.XLOOKUP(A5109,[1]!DadosGHD[CD_GEOCMU],[1]!DadosGHD[MUNICIPIO])</f>
        <v>SOBRADINHO</v>
      </c>
      <c r="F5109" s="6">
        <v>58.698028564453097</v>
      </c>
      <c r="G5109" s="6">
        <v>58.803424835205099</v>
      </c>
      <c r="H5109" s="6">
        <v>53.872390747070298</v>
      </c>
      <c r="I5109" s="6">
        <v>53.799575805664098</v>
      </c>
      <c r="J5109" s="6">
        <v>53.813587188720703</v>
      </c>
      <c r="K5109" s="6">
        <v>53.913528442382798</v>
      </c>
      <c r="L5109" s="6">
        <v>48.560672760009801</v>
      </c>
    </row>
    <row r="5110" spans="1:12" x14ac:dyDescent="0.25">
      <c r="A5110">
        <v>4202859</v>
      </c>
      <c r="B5110" t="str">
        <f t="shared" si="79"/>
        <v>BRACO DO TROMBUDO, SC, Brasil</v>
      </c>
      <c r="C5110" s="4" t="str">
        <f>_xlfn.XLOOKUP(A5110,[1]!DadosGHD[CD_GEOCMU],[1]!DadosGHD[Região])</f>
        <v>SL</v>
      </c>
      <c r="D5110" s="4" t="str">
        <f>_xlfn.XLOOKUP(A5110,[1]!DadosGHD[CD_GEOCMU],[1]!DadosGHD[uf])</f>
        <v>SC</v>
      </c>
      <c r="E5110" s="5" t="str">
        <f>_xlfn.XLOOKUP(A5110,[1]!DadosGHD[CD_GEOCMU],[1]!DadosGHD[MUNICIPIO])</f>
        <v>BRACO DO TROMBUDO</v>
      </c>
      <c r="F5110" s="6">
        <v>58.6988716125488</v>
      </c>
      <c r="G5110" s="6">
        <v>63.846260070800803</v>
      </c>
      <c r="H5110" s="6">
        <v>53.87158203125</v>
      </c>
      <c r="I5110" s="6">
        <v>53.836418151855497</v>
      </c>
      <c r="J5110" s="6">
        <v>58.801567077636697</v>
      </c>
      <c r="K5110" s="6">
        <v>53.963665008544901</v>
      </c>
      <c r="L5110" s="6">
        <v>48.500919342041001</v>
      </c>
    </row>
    <row r="5111" spans="1:12" x14ac:dyDescent="0.25">
      <c r="A5111">
        <v>4217501</v>
      </c>
      <c r="B5111" t="str">
        <f t="shared" si="79"/>
        <v>SEARA, SC, Brasil</v>
      </c>
      <c r="C5111" s="4" t="str">
        <f>_xlfn.XLOOKUP(A5111,[1]!DadosGHD[CD_GEOCMU],[1]!DadosGHD[Região])</f>
        <v>SL</v>
      </c>
      <c r="D5111" s="4" t="str">
        <f>_xlfn.XLOOKUP(A5111,[1]!DadosGHD[CD_GEOCMU],[1]!DadosGHD[uf])</f>
        <v>SC</v>
      </c>
      <c r="E5111" s="5" t="str">
        <f>_xlfn.XLOOKUP(A5111,[1]!DadosGHD[CD_GEOCMU],[1]!DadosGHD[MUNICIPIO])</f>
        <v>SEARA</v>
      </c>
      <c r="F5111" s="6">
        <v>58.699440002441399</v>
      </c>
      <c r="G5111" s="6">
        <v>58.8641548156738</v>
      </c>
      <c r="H5111" s="6">
        <v>58.963787078857401</v>
      </c>
      <c r="I5111" s="6">
        <v>64.000221252441406</v>
      </c>
      <c r="J5111" s="6">
        <v>64.039611816406307</v>
      </c>
      <c r="K5111" s="6">
        <v>64.13623046875</v>
      </c>
      <c r="L5111" s="6">
        <v>57.508842468261697</v>
      </c>
    </row>
    <row r="5112" spans="1:12" x14ac:dyDescent="0.25">
      <c r="A5112">
        <v>5101308</v>
      </c>
      <c r="B5112" t="str">
        <f t="shared" si="79"/>
        <v>ARENAPOLIS, MT, Brasil</v>
      </c>
      <c r="C5112" s="4" t="str">
        <f>_xlfn.XLOOKUP(A5112,[1]!DadosGHD[CD_GEOCMU],[1]!DadosGHD[Região])</f>
        <v>CO</v>
      </c>
      <c r="D5112" s="4" t="str">
        <f>_xlfn.XLOOKUP(A5112,[1]!DadosGHD[CD_GEOCMU],[1]!DadosGHD[uf])</f>
        <v>MT</v>
      </c>
      <c r="E5112" s="5" t="str">
        <f>_xlfn.XLOOKUP(A5112,[1]!DadosGHD[CD_GEOCMU],[1]!DadosGHD[MUNICIPIO])</f>
        <v>ARENAPOLIS</v>
      </c>
      <c r="F5112" s="6">
        <v>58.6999702453613</v>
      </c>
      <c r="G5112" s="6">
        <v>58.787525177002003</v>
      </c>
      <c r="H5112" s="6">
        <v>58.866416931152301</v>
      </c>
      <c r="I5112" s="6">
        <v>58.913135528564503</v>
      </c>
      <c r="J5112" s="6">
        <v>63.908664703369098</v>
      </c>
      <c r="K5112" s="6">
        <v>64.13623046875</v>
      </c>
      <c r="L5112" s="6">
        <v>57.505157470703097</v>
      </c>
    </row>
    <row r="5113" spans="1:12" x14ac:dyDescent="0.25">
      <c r="A5113">
        <v>5215306</v>
      </c>
      <c r="B5113" t="str">
        <f t="shared" si="79"/>
        <v>ORIZONA, GO, Brasil</v>
      </c>
      <c r="C5113" s="4" t="str">
        <f>_xlfn.XLOOKUP(A5113,[1]!DadosGHD[CD_GEOCMU],[1]!DadosGHD[Região])</f>
        <v>CO</v>
      </c>
      <c r="D5113" s="4" t="str">
        <f>_xlfn.XLOOKUP(A5113,[1]!DadosGHD[CD_GEOCMU],[1]!DadosGHD[uf])</f>
        <v>GO</v>
      </c>
      <c r="E5113" s="5" t="str">
        <f>_xlfn.XLOOKUP(A5113,[1]!DadosGHD[CD_GEOCMU],[1]!DadosGHD[MUNICIPIO])</f>
        <v>ORIZONA</v>
      </c>
      <c r="F5113" s="6">
        <v>58.700252532958999</v>
      </c>
      <c r="G5113" s="6">
        <v>58.844352722167997</v>
      </c>
      <c r="H5113" s="6">
        <v>58.986907958984403</v>
      </c>
      <c r="I5113" s="6">
        <v>63.900421142578097</v>
      </c>
      <c r="J5113" s="6">
        <v>58.8988037109375</v>
      </c>
      <c r="K5113" s="6">
        <v>59.095596313476598</v>
      </c>
      <c r="L5113" s="6">
        <v>44.045379638671903</v>
      </c>
    </row>
    <row r="5114" spans="1:12" x14ac:dyDescent="0.25">
      <c r="A5114">
        <v>3151800</v>
      </c>
      <c r="B5114" t="str">
        <f t="shared" si="79"/>
        <v>POCOS DE CALDAS, MG, Brasil</v>
      </c>
      <c r="C5114" s="4" t="str">
        <f>_xlfn.XLOOKUP(A5114,[1]!DadosGHD[CD_GEOCMU],[1]!DadosGHD[Região])</f>
        <v>SD</v>
      </c>
      <c r="D5114" s="4" t="str">
        <f>_xlfn.XLOOKUP(A5114,[1]!DadosGHD[CD_GEOCMU],[1]!DadosGHD[uf])</f>
        <v>MG</v>
      </c>
      <c r="E5114" s="5" t="str">
        <f>_xlfn.XLOOKUP(A5114,[1]!DadosGHD[CD_GEOCMU],[1]!DadosGHD[MUNICIPIO])</f>
        <v>POCOS DE CALDAS</v>
      </c>
      <c r="F5114" s="6">
        <v>58.700263977050803</v>
      </c>
      <c r="G5114" s="6">
        <v>58.737804412841797</v>
      </c>
      <c r="H5114" s="6">
        <v>58.864772796630902</v>
      </c>
      <c r="I5114" s="6">
        <v>58.881961822509801</v>
      </c>
      <c r="J5114" s="6">
        <v>58.915565490722699</v>
      </c>
      <c r="K5114" s="6">
        <v>58.970897674560597</v>
      </c>
      <c r="L5114" s="6">
        <v>57.5834350585938</v>
      </c>
    </row>
    <row r="5115" spans="1:12" x14ac:dyDescent="0.25">
      <c r="A5115">
        <v>3540804</v>
      </c>
      <c r="B5115" t="str">
        <f t="shared" si="79"/>
        <v>POTIRENDABA, SP, Brasil</v>
      </c>
      <c r="C5115" s="4" t="str">
        <f>_xlfn.XLOOKUP(A5115,[1]!DadosGHD[CD_GEOCMU],[1]!DadosGHD[Região])</f>
        <v>SD</v>
      </c>
      <c r="D5115" s="4" t="str">
        <f>_xlfn.XLOOKUP(A5115,[1]!DadosGHD[CD_GEOCMU],[1]!DadosGHD[uf])</f>
        <v>SP</v>
      </c>
      <c r="E5115" s="5" t="str">
        <f>_xlfn.XLOOKUP(A5115,[1]!DadosGHD[CD_GEOCMU],[1]!DadosGHD[MUNICIPIO])</f>
        <v>POTIRENDABA</v>
      </c>
      <c r="F5115" s="6">
        <v>58.702140808105497</v>
      </c>
      <c r="G5115" s="6">
        <v>53.759670257568402</v>
      </c>
      <c r="H5115" s="6">
        <v>53.751773834228501</v>
      </c>
      <c r="I5115" s="6">
        <v>48.808216094970703</v>
      </c>
      <c r="J5115" s="6">
        <v>48.768718719482401</v>
      </c>
      <c r="K5115" s="6">
        <v>43.865779876708999</v>
      </c>
      <c r="L5115" s="6">
        <v>44.0789794921875</v>
      </c>
    </row>
    <row r="5116" spans="1:12" x14ac:dyDescent="0.25">
      <c r="A5116">
        <v>3115508</v>
      </c>
      <c r="B5116" t="str">
        <f t="shared" si="79"/>
        <v>CAXAMBU, MG, Brasil</v>
      </c>
      <c r="C5116" s="4" t="str">
        <f>_xlfn.XLOOKUP(A5116,[1]!DadosGHD[CD_GEOCMU],[1]!DadosGHD[Região])</f>
        <v>SD</v>
      </c>
      <c r="D5116" s="4" t="str">
        <f>_xlfn.XLOOKUP(A5116,[1]!DadosGHD[CD_GEOCMU],[1]!DadosGHD[uf])</f>
        <v>MG</v>
      </c>
      <c r="E5116" s="5" t="str">
        <f>_xlfn.XLOOKUP(A5116,[1]!DadosGHD[CD_GEOCMU],[1]!DadosGHD[MUNICIPIO])</f>
        <v>CAXAMBU</v>
      </c>
      <c r="F5116" s="6">
        <v>58.704177856445298</v>
      </c>
      <c r="G5116" s="6">
        <v>58.798160552978501</v>
      </c>
      <c r="H5116" s="6">
        <v>58.862892150878899</v>
      </c>
      <c r="I5116" s="6">
        <v>58.793567657470703</v>
      </c>
      <c r="J5116" s="6">
        <v>53.892349243164098</v>
      </c>
      <c r="K5116" s="6">
        <v>53.878204345703097</v>
      </c>
      <c r="L5116" s="6">
        <v>48.5120239257813</v>
      </c>
    </row>
    <row r="5117" spans="1:12" x14ac:dyDescent="0.25">
      <c r="A5117">
        <v>4218707</v>
      </c>
      <c r="B5117" t="str">
        <f t="shared" si="79"/>
        <v>TUBARAO, SC, Brasil</v>
      </c>
      <c r="C5117" s="4" t="str">
        <f>_xlfn.XLOOKUP(A5117,[1]!DadosGHD[CD_GEOCMU],[1]!DadosGHD[Região])</f>
        <v>SL</v>
      </c>
      <c r="D5117" s="4" t="str">
        <f>_xlfn.XLOOKUP(A5117,[1]!DadosGHD[CD_GEOCMU],[1]!DadosGHD[uf])</f>
        <v>SC</v>
      </c>
      <c r="E5117" s="5" t="str">
        <f>_xlfn.XLOOKUP(A5117,[1]!DadosGHD[CD_GEOCMU],[1]!DadosGHD[MUNICIPIO])</f>
        <v>TUBARAO</v>
      </c>
      <c r="F5117" s="6">
        <v>58.704227447509801</v>
      </c>
      <c r="G5117" s="6">
        <v>58.822807312011697</v>
      </c>
      <c r="H5117" s="6">
        <v>58.959419250488303</v>
      </c>
      <c r="I5117" s="6">
        <v>63.904495239257798</v>
      </c>
      <c r="J5117" s="6">
        <v>58.9573974609375</v>
      </c>
      <c r="K5117" s="6">
        <v>53.968185424804702</v>
      </c>
      <c r="L5117" s="6">
        <v>57.553962707519503</v>
      </c>
    </row>
    <row r="5118" spans="1:12" x14ac:dyDescent="0.25">
      <c r="A5118">
        <v>3119609</v>
      </c>
      <c r="B5118" t="str">
        <f t="shared" si="79"/>
        <v>CORONEL PACHECO, MG, Brasil</v>
      </c>
      <c r="C5118" s="4" t="str">
        <f>_xlfn.XLOOKUP(A5118,[1]!DadosGHD[CD_GEOCMU],[1]!DadosGHD[Região])</f>
        <v>SD</v>
      </c>
      <c r="D5118" s="4" t="str">
        <f>_xlfn.XLOOKUP(A5118,[1]!DadosGHD[CD_GEOCMU],[1]!DadosGHD[uf])</f>
        <v>MG</v>
      </c>
      <c r="E5118" s="5" t="str">
        <f>_xlfn.XLOOKUP(A5118,[1]!DadosGHD[CD_GEOCMU],[1]!DadosGHD[MUNICIPIO])</f>
        <v>CORONEL PACHECO</v>
      </c>
      <c r="F5118" s="6">
        <v>58.704498291015597</v>
      </c>
      <c r="G5118" s="6">
        <v>53.736858367919901</v>
      </c>
      <c r="H5118" s="6">
        <v>53.759445190429702</v>
      </c>
      <c r="I5118" s="6">
        <v>53.744174957275398</v>
      </c>
      <c r="J5118" s="6">
        <v>48.827476501464801</v>
      </c>
      <c r="K5118" s="6">
        <v>43.864501953125</v>
      </c>
      <c r="L5118" s="6">
        <v>44.043609619140597</v>
      </c>
    </row>
    <row r="5119" spans="1:12" x14ac:dyDescent="0.25">
      <c r="A5119">
        <v>4105508</v>
      </c>
      <c r="B5119" t="str">
        <f t="shared" si="79"/>
        <v>CIANORTE, PR, Brasil</v>
      </c>
      <c r="C5119" s="4" t="str">
        <f>_xlfn.XLOOKUP(A5119,[1]!DadosGHD[CD_GEOCMU],[1]!DadosGHD[Região])</f>
        <v>SL</v>
      </c>
      <c r="D5119" s="4" t="str">
        <f>_xlfn.XLOOKUP(A5119,[1]!DadosGHD[CD_GEOCMU],[1]!DadosGHD[uf])</f>
        <v>PR</v>
      </c>
      <c r="E5119" s="5" t="str">
        <f>_xlfn.XLOOKUP(A5119,[1]!DadosGHD[CD_GEOCMU],[1]!DadosGHD[MUNICIPIO])</f>
        <v>CIANORTE</v>
      </c>
      <c r="F5119" s="6">
        <v>58.704914093017599</v>
      </c>
      <c r="G5119" s="6">
        <v>58.767021179199197</v>
      </c>
      <c r="H5119" s="6">
        <v>53.905063629150398</v>
      </c>
      <c r="I5119" s="6">
        <v>58.794815063476598</v>
      </c>
      <c r="J5119" s="6">
        <v>53.881557464599602</v>
      </c>
      <c r="K5119" s="6">
        <v>53.8744087219238</v>
      </c>
      <c r="L5119" s="6">
        <v>52.995273590087898</v>
      </c>
    </row>
    <row r="5120" spans="1:12" x14ac:dyDescent="0.25">
      <c r="A5120">
        <v>5005400</v>
      </c>
      <c r="B5120" t="str">
        <f t="shared" si="79"/>
        <v>MARACAJU, MS, Brasil</v>
      </c>
      <c r="C5120" s="4" t="str">
        <f>_xlfn.XLOOKUP(A5120,[1]!DadosGHD[CD_GEOCMU],[1]!DadosGHD[Região])</f>
        <v>CO</v>
      </c>
      <c r="D5120" s="4" t="str">
        <f>_xlfn.XLOOKUP(A5120,[1]!DadosGHD[CD_GEOCMU],[1]!DadosGHD[uf])</f>
        <v>MS</v>
      </c>
      <c r="E5120" s="5" t="str">
        <f>_xlfn.XLOOKUP(A5120,[1]!DadosGHD[CD_GEOCMU],[1]!DadosGHD[MUNICIPIO])</f>
        <v>MARACAJU</v>
      </c>
      <c r="F5120" s="6">
        <v>58.706081390380902</v>
      </c>
      <c r="G5120" s="6">
        <v>58.860237121582003</v>
      </c>
      <c r="H5120" s="6">
        <v>63.934837341308601</v>
      </c>
      <c r="I5120" s="6">
        <v>63.9324951171875</v>
      </c>
      <c r="J5120" s="6">
        <v>63.951759338378899</v>
      </c>
      <c r="K5120" s="6">
        <v>64.098983764648395</v>
      </c>
      <c r="L5120" s="6">
        <v>48.494041442871101</v>
      </c>
    </row>
    <row r="5121" spans="1:12" x14ac:dyDescent="0.25">
      <c r="A5121">
        <v>5100409</v>
      </c>
      <c r="B5121" t="str">
        <f t="shared" si="79"/>
        <v>ALTO GARCAS, MT, Brasil</v>
      </c>
      <c r="C5121" s="4" t="str">
        <f>_xlfn.XLOOKUP(A5121,[1]!DadosGHD[CD_GEOCMU],[1]!DadosGHD[Região])</f>
        <v>CO</v>
      </c>
      <c r="D5121" s="4" t="str">
        <f>_xlfn.XLOOKUP(A5121,[1]!DadosGHD[CD_GEOCMU],[1]!DadosGHD[uf])</f>
        <v>MT</v>
      </c>
      <c r="E5121" s="5" t="str">
        <f>_xlfn.XLOOKUP(A5121,[1]!DadosGHD[CD_GEOCMU],[1]!DadosGHD[MUNICIPIO])</f>
        <v>ALTO GARCAS</v>
      </c>
      <c r="F5121" s="6">
        <v>58.7061157226563</v>
      </c>
      <c r="G5121" s="6">
        <v>58.830848693847699</v>
      </c>
      <c r="H5121" s="6">
        <v>58.829139709472699</v>
      </c>
      <c r="I5121" s="6">
        <v>48.823173522949197</v>
      </c>
      <c r="J5121" s="6">
        <v>48.798938751220703</v>
      </c>
      <c r="K5121" s="6">
        <v>48.809890747070298</v>
      </c>
      <c r="L5121" s="6">
        <v>39.594928741455099</v>
      </c>
    </row>
    <row r="5122" spans="1:12" x14ac:dyDescent="0.25">
      <c r="A5122">
        <v>4205704</v>
      </c>
      <c r="B5122" t="str">
        <f t="shared" si="79"/>
        <v>GAROPABA, SC, Brasil</v>
      </c>
      <c r="C5122" s="4" t="str">
        <f>_xlfn.XLOOKUP(A5122,[1]!DadosGHD[CD_GEOCMU],[1]!DadosGHD[Região])</f>
        <v>SL</v>
      </c>
      <c r="D5122" s="4" t="str">
        <f>_xlfn.XLOOKUP(A5122,[1]!DadosGHD[CD_GEOCMU],[1]!DadosGHD[uf])</f>
        <v>SC</v>
      </c>
      <c r="E5122" s="5" t="str">
        <f>_xlfn.XLOOKUP(A5122,[1]!DadosGHD[CD_GEOCMU],[1]!DadosGHD[MUNICIPIO])</f>
        <v>GAROPABA</v>
      </c>
      <c r="F5122" s="6">
        <v>58.706680297851598</v>
      </c>
      <c r="G5122" s="6">
        <v>58.862190246582003</v>
      </c>
      <c r="H5122" s="6">
        <v>58.850765228271499</v>
      </c>
      <c r="I5122" s="6">
        <v>53.864540100097699</v>
      </c>
      <c r="J5122" s="6">
        <v>58.897651672363303</v>
      </c>
      <c r="K5122" s="6">
        <v>58.989990234375</v>
      </c>
      <c r="L5122" s="6">
        <v>57.576160430908203</v>
      </c>
    </row>
    <row r="5123" spans="1:12" x14ac:dyDescent="0.25">
      <c r="A5123">
        <v>3135407</v>
      </c>
      <c r="B5123" t="str">
        <f t="shared" si="79"/>
        <v>JECEABA, MG, Brasil</v>
      </c>
      <c r="C5123" s="4" t="str">
        <f>_xlfn.XLOOKUP(A5123,[1]!DadosGHD[CD_GEOCMU],[1]!DadosGHD[Região])</f>
        <v>SD</v>
      </c>
      <c r="D5123" s="4" t="str">
        <f>_xlfn.XLOOKUP(A5123,[1]!DadosGHD[CD_GEOCMU],[1]!DadosGHD[uf])</f>
        <v>MG</v>
      </c>
      <c r="E5123" s="5" t="str">
        <f>_xlfn.XLOOKUP(A5123,[1]!DadosGHD[CD_GEOCMU],[1]!DadosGHD[MUNICIPIO])</f>
        <v>JECEABA</v>
      </c>
      <c r="F5123" s="6">
        <v>58.707695007324197</v>
      </c>
      <c r="G5123" s="6">
        <v>53.800590515136697</v>
      </c>
      <c r="H5123" s="6">
        <v>53.903892517089801</v>
      </c>
      <c r="I5123" s="6">
        <v>58.971435546875</v>
      </c>
      <c r="J5123" s="6">
        <v>58.931690216064503</v>
      </c>
      <c r="K5123" s="6">
        <v>59.0665473937988</v>
      </c>
      <c r="L5123" s="6">
        <v>48.519912719726598</v>
      </c>
    </row>
    <row r="5124" spans="1:12" x14ac:dyDescent="0.25">
      <c r="A5124">
        <v>4115408</v>
      </c>
      <c r="B5124" t="str">
        <f t="shared" ref="B5124:B5187" si="80">_xlfn.CONCAT(E5124, ", ", D5124, ", Brasil")</f>
        <v>MARMELEIRO, PR, Brasil</v>
      </c>
      <c r="C5124" s="4" t="str">
        <f>_xlfn.XLOOKUP(A5124,[1]!DadosGHD[CD_GEOCMU],[1]!DadosGHD[Região])</f>
        <v>SL</v>
      </c>
      <c r="D5124" s="4" t="str">
        <f>_xlfn.XLOOKUP(A5124,[1]!DadosGHD[CD_GEOCMU],[1]!DadosGHD[uf])</f>
        <v>PR</v>
      </c>
      <c r="E5124" s="5" t="str">
        <f>_xlfn.XLOOKUP(A5124,[1]!DadosGHD[CD_GEOCMU],[1]!DadosGHD[MUNICIPIO])</f>
        <v>MARMELEIRO</v>
      </c>
      <c r="F5124" s="6">
        <v>58.708770751953097</v>
      </c>
      <c r="G5124" s="6">
        <v>58.880420684814503</v>
      </c>
      <c r="H5124" s="6">
        <v>58.977291107177699</v>
      </c>
      <c r="I5124" s="6">
        <v>63.924549102783203</v>
      </c>
      <c r="J5124" s="6">
        <v>64.028884887695298</v>
      </c>
      <c r="K5124" s="6">
        <v>64.13623046875</v>
      </c>
      <c r="L5124" s="6">
        <v>53.061294555664098</v>
      </c>
    </row>
    <row r="5125" spans="1:12" x14ac:dyDescent="0.25">
      <c r="A5125">
        <v>3111101</v>
      </c>
      <c r="B5125" t="str">
        <f t="shared" si="80"/>
        <v>CAMPINA VERDE, MG, Brasil</v>
      </c>
      <c r="C5125" s="4" t="str">
        <f>_xlfn.XLOOKUP(A5125,[1]!DadosGHD[CD_GEOCMU],[1]!DadosGHD[Região])</f>
        <v>SD</v>
      </c>
      <c r="D5125" s="4" t="str">
        <f>_xlfn.XLOOKUP(A5125,[1]!DadosGHD[CD_GEOCMU],[1]!DadosGHD[uf])</f>
        <v>MG</v>
      </c>
      <c r="E5125" s="5" t="str">
        <f>_xlfn.XLOOKUP(A5125,[1]!DadosGHD[CD_GEOCMU],[1]!DadosGHD[MUNICIPIO])</f>
        <v>CAMPINA VERDE</v>
      </c>
      <c r="F5125" s="6">
        <v>58.709129333496101</v>
      </c>
      <c r="G5125" s="6">
        <v>58.780570983886697</v>
      </c>
      <c r="H5125" s="6">
        <v>58.881576538085902</v>
      </c>
      <c r="I5125" s="6">
        <v>58.868415832519503</v>
      </c>
      <c r="J5125" s="6">
        <v>58.890148162841797</v>
      </c>
      <c r="K5125" s="6">
        <v>53.994804382324197</v>
      </c>
      <c r="L5125" s="6">
        <v>53.036048889160199</v>
      </c>
    </row>
    <row r="5126" spans="1:12" x14ac:dyDescent="0.25">
      <c r="A5126">
        <v>4218509</v>
      </c>
      <c r="B5126" t="str">
        <f t="shared" si="80"/>
        <v>TREZE TILIAS, SC, Brasil</v>
      </c>
      <c r="C5126" s="4" t="str">
        <f>_xlfn.XLOOKUP(A5126,[1]!DadosGHD[CD_GEOCMU],[1]!DadosGHD[Região])</f>
        <v>SL</v>
      </c>
      <c r="D5126" s="4" t="str">
        <f>_xlfn.XLOOKUP(A5126,[1]!DadosGHD[CD_GEOCMU],[1]!DadosGHD[uf])</f>
        <v>SC</v>
      </c>
      <c r="E5126" s="5" t="str">
        <f>_xlfn.XLOOKUP(A5126,[1]!DadosGHD[CD_GEOCMU],[1]!DadosGHD[MUNICIPIO])</f>
        <v>TREZE TILIAS</v>
      </c>
      <c r="F5126" s="6">
        <v>58.7094116210938</v>
      </c>
      <c r="G5126" s="6">
        <v>58.841438293457003</v>
      </c>
      <c r="H5126" s="6">
        <v>58.877967834472699</v>
      </c>
      <c r="I5126" s="6">
        <v>58.955154418945298</v>
      </c>
      <c r="J5126" s="6">
        <v>63.909870147705099</v>
      </c>
      <c r="K5126" s="6">
        <v>59.099319458007798</v>
      </c>
      <c r="L5126" s="6">
        <v>44.033836364746101</v>
      </c>
    </row>
    <row r="5127" spans="1:12" x14ac:dyDescent="0.25">
      <c r="A5127">
        <v>4126405</v>
      </c>
      <c r="B5127" t="str">
        <f t="shared" si="80"/>
        <v>SERTANEJA, PR, Brasil</v>
      </c>
      <c r="C5127" s="4" t="str">
        <f>_xlfn.XLOOKUP(A5127,[1]!DadosGHD[CD_GEOCMU],[1]!DadosGHD[Região])</f>
        <v>SL</v>
      </c>
      <c r="D5127" s="4" t="str">
        <f>_xlfn.XLOOKUP(A5127,[1]!DadosGHD[CD_GEOCMU],[1]!DadosGHD[uf])</f>
        <v>PR</v>
      </c>
      <c r="E5127" s="5" t="str">
        <f>_xlfn.XLOOKUP(A5127,[1]!DadosGHD[CD_GEOCMU],[1]!DadosGHD[MUNICIPIO])</f>
        <v>SERTANEJA</v>
      </c>
      <c r="F5127" s="6">
        <v>58.710365295410199</v>
      </c>
      <c r="G5127" s="6">
        <v>63.871170043945298</v>
      </c>
      <c r="H5127" s="6">
        <v>63.964748382568402</v>
      </c>
      <c r="I5127" s="6">
        <v>58.926662445068402</v>
      </c>
      <c r="J5127" s="6">
        <v>58.892169952392599</v>
      </c>
      <c r="K5127" s="6">
        <v>59.070011138916001</v>
      </c>
      <c r="L5127" s="6">
        <v>53.011848449707003</v>
      </c>
    </row>
    <row r="5128" spans="1:12" x14ac:dyDescent="0.25">
      <c r="A5128">
        <v>4200200</v>
      </c>
      <c r="B5128" t="str">
        <f t="shared" si="80"/>
        <v>AGROLANDIA, SC, Brasil</v>
      </c>
      <c r="C5128" s="4" t="str">
        <f>_xlfn.XLOOKUP(A5128,[1]!DadosGHD[CD_GEOCMU],[1]!DadosGHD[Região])</f>
        <v>SL</v>
      </c>
      <c r="D5128" s="4" t="str">
        <f>_xlfn.XLOOKUP(A5128,[1]!DadosGHD[CD_GEOCMU],[1]!DadosGHD[uf])</f>
        <v>SC</v>
      </c>
      <c r="E5128" s="5" t="str">
        <f>_xlfn.XLOOKUP(A5128,[1]!DadosGHD[CD_GEOCMU],[1]!DadosGHD[MUNICIPIO])</f>
        <v>AGROLANDIA</v>
      </c>
      <c r="F5128" s="6">
        <v>58.71044921875</v>
      </c>
      <c r="G5128" s="6">
        <v>58.825328826904297</v>
      </c>
      <c r="H5128" s="6">
        <v>58.939796447753899</v>
      </c>
      <c r="I5128" s="6">
        <v>53.743831634521499</v>
      </c>
      <c r="J5128" s="6">
        <v>53.774322509765597</v>
      </c>
      <c r="K5128" s="6">
        <v>53.830142974853501</v>
      </c>
      <c r="L5128" s="6">
        <v>48.521076202392599</v>
      </c>
    </row>
    <row r="5129" spans="1:12" x14ac:dyDescent="0.25">
      <c r="A5129">
        <v>4119905</v>
      </c>
      <c r="B5129" t="str">
        <f t="shared" si="80"/>
        <v>PONTA GROSSA, PR, Brasil</v>
      </c>
      <c r="C5129" s="4" t="str">
        <f>_xlfn.XLOOKUP(A5129,[1]!DadosGHD[CD_GEOCMU],[1]!DadosGHD[Região])</f>
        <v>SL</v>
      </c>
      <c r="D5129" s="4" t="str">
        <f>_xlfn.XLOOKUP(A5129,[1]!DadosGHD[CD_GEOCMU],[1]!DadosGHD[uf])</f>
        <v>PR</v>
      </c>
      <c r="E5129" s="5" t="str">
        <f>_xlfn.XLOOKUP(A5129,[1]!DadosGHD[CD_GEOCMU],[1]!DadosGHD[MUNICIPIO])</f>
        <v>PONTA GROSSA</v>
      </c>
      <c r="F5129" s="6">
        <v>58.710624694824197</v>
      </c>
      <c r="G5129" s="6">
        <v>58.750171661377003</v>
      </c>
      <c r="H5129" s="6">
        <v>58.847354888916001</v>
      </c>
      <c r="I5129" s="6">
        <v>58.815196990966797</v>
      </c>
      <c r="J5129" s="6">
        <v>58.856868743896499</v>
      </c>
      <c r="K5129" s="6">
        <v>59.0012817382813</v>
      </c>
      <c r="L5129" s="6">
        <v>57.511505126953097</v>
      </c>
    </row>
    <row r="5130" spans="1:12" x14ac:dyDescent="0.25">
      <c r="A5130">
        <v>3502101</v>
      </c>
      <c r="B5130" t="str">
        <f t="shared" si="80"/>
        <v>ANDRADINA, SP, Brasil</v>
      </c>
      <c r="C5130" s="4" t="str">
        <f>_xlfn.XLOOKUP(A5130,[1]!DadosGHD[CD_GEOCMU],[1]!DadosGHD[Região])</f>
        <v>SD</v>
      </c>
      <c r="D5130" s="4" t="str">
        <f>_xlfn.XLOOKUP(A5130,[1]!DadosGHD[CD_GEOCMU],[1]!DadosGHD[uf])</f>
        <v>SP</v>
      </c>
      <c r="E5130" s="5" t="str">
        <f>_xlfn.XLOOKUP(A5130,[1]!DadosGHD[CD_GEOCMU],[1]!DadosGHD[MUNICIPIO])</f>
        <v>ANDRADINA</v>
      </c>
      <c r="F5130" s="6">
        <v>58.711891174316399</v>
      </c>
      <c r="G5130" s="6">
        <v>58.762142181396499</v>
      </c>
      <c r="H5130" s="6">
        <v>53.869083404541001</v>
      </c>
      <c r="I5130" s="6">
        <v>58.8668022155762</v>
      </c>
      <c r="J5130" s="6">
        <v>58.903823852539098</v>
      </c>
      <c r="K5130" s="6">
        <v>58.9392700195313</v>
      </c>
      <c r="L5130" s="6">
        <v>57.536586761474602</v>
      </c>
    </row>
    <row r="5131" spans="1:12" x14ac:dyDescent="0.25">
      <c r="A5131">
        <v>4103008</v>
      </c>
      <c r="B5131" t="str">
        <f t="shared" si="80"/>
        <v>BOA ESPERANCA, PR, Brasil</v>
      </c>
      <c r="C5131" s="4" t="str">
        <f>_xlfn.XLOOKUP(A5131,[1]!DadosGHD[CD_GEOCMU],[1]!DadosGHD[Região])</f>
        <v>SL</v>
      </c>
      <c r="D5131" s="4" t="str">
        <f>_xlfn.XLOOKUP(A5131,[1]!DadosGHD[CD_GEOCMU],[1]!DadosGHD[uf])</f>
        <v>PR</v>
      </c>
      <c r="E5131" s="5" t="str">
        <f>_xlfn.XLOOKUP(A5131,[1]!DadosGHD[CD_GEOCMU],[1]!DadosGHD[MUNICIPIO])</f>
        <v>BOA ESPERANCA</v>
      </c>
      <c r="F5131" s="6">
        <v>58.712291717529297</v>
      </c>
      <c r="G5131" s="6">
        <v>63.966358184814503</v>
      </c>
      <c r="H5131" s="6">
        <v>64.026092529296903</v>
      </c>
      <c r="I5131" s="6">
        <v>64.000221252441406</v>
      </c>
      <c r="J5131" s="6">
        <v>64.039611816406307</v>
      </c>
      <c r="K5131" s="6">
        <v>64.13623046875</v>
      </c>
      <c r="L5131" s="6">
        <v>44.026912689208999</v>
      </c>
    </row>
    <row r="5132" spans="1:12" x14ac:dyDescent="0.25">
      <c r="A5132">
        <v>4322004</v>
      </c>
      <c r="B5132" t="str">
        <f t="shared" si="80"/>
        <v>TRIUNFO, RS, Brasil</v>
      </c>
      <c r="C5132" s="4" t="str">
        <f>_xlfn.XLOOKUP(A5132,[1]!DadosGHD[CD_GEOCMU],[1]!DadosGHD[Região])</f>
        <v>SL</v>
      </c>
      <c r="D5132" s="4" t="str">
        <f>_xlfn.XLOOKUP(A5132,[1]!DadosGHD[CD_GEOCMU],[1]!DadosGHD[uf])</f>
        <v>RS</v>
      </c>
      <c r="E5132" s="5" t="str">
        <f>_xlfn.XLOOKUP(A5132,[1]!DadosGHD[CD_GEOCMU],[1]!DadosGHD[MUNICIPIO])</f>
        <v>TRIUNFO</v>
      </c>
      <c r="F5132" s="6">
        <v>58.712753295898402</v>
      </c>
      <c r="G5132" s="6">
        <v>53.728992462158203</v>
      </c>
      <c r="H5132" s="6">
        <v>48.849788665771499</v>
      </c>
      <c r="I5132" s="6">
        <v>53.719058990478501</v>
      </c>
      <c r="J5132" s="6">
        <v>53.764366149902301</v>
      </c>
      <c r="K5132" s="6">
        <v>53.948829650878899</v>
      </c>
      <c r="L5132" s="6">
        <v>48.515647888183601</v>
      </c>
    </row>
    <row r="5133" spans="1:12" x14ac:dyDescent="0.25">
      <c r="A5133">
        <v>3514908</v>
      </c>
      <c r="B5133" t="str">
        <f t="shared" si="80"/>
        <v>ELIAS FAUSTO, SP, Brasil</v>
      </c>
      <c r="C5133" s="4" t="str">
        <f>_xlfn.XLOOKUP(A5133,[1]!DadosGHD[CD_GEOCMU],[1]!DadosGHD[Região])</f>
        <v>SD</v>
      </c>
      <c r="D5133" s="4" t="str">
        <f>_xlfn.XLOOKUP(A5133,[1]!DadosGHD[CD_GEOCMU],[1]!DadosGHD[uf])</f>
        <v>SP</v>
      </c>
      <c r="E5133" s="5" t="str">
        <f>_xlfn.XLOOKUP(A5133,[1]!DadosGHD[CD_GEOCMU],[1]!DadosGHD[MUNICIPIO])</f>
        <v>ELIAS FAUSTO</v>
      </c>
      <c r="F5133" s="6">
        <v>58.713111877441399</v>
      </c>
      <c r="G5133" s="6">
        <v>58.742439270019503</v>
      </c>
      <c r="H5133" s="6">
        <v>53.810344696044901</v>
      </c>
      <c r="I5133" s="6">
        <v>53.832111358642599</v>
      </c>
      <c r="J5133" s="6">
        <v>58.8080024719238</v>
      </c>
      <c r="K5133" s="6">
        <v>53.918807983398402</v>
      </c>
      <c r="L5133" s="6">
        <v>52.997318267822301</v>
      </c>
    </row>
    <row r="5134" spans="1:12" x14ac:dyDescent="0.25">
      <c r="A5134">
        <v>3304201</v>
      </c>
      <c r="B5134" t="str">
        <f t="shared" si="80"/>
        <v>RESENDE, RJ, Brasil</v>
      </c>
      <c r="C5134" s="4" t="str">
        <f>_xlfn.XLOOKUP(A5134,[1]!DadosGHD[CD_GEOCMU],[1]!DadosGHD[Região])</f>
        <v>SD</v>
      </c>
      <c r="D5134" s="4" t="str">
        <f>_xlfn.XLOOKUP(A5134,[1]!DadosGHD[CD_GEOCMU],[1]!DadosGHD[uf])</f>
        <v>RJ</v>
      </c>
      <c r="E5134" s="5" t="str">
        <f>_xlfn.XLOOKUP(A5134,[1]!DadosGHD[CD_GEOCMU],[1]!DadosGHD[MUNICIPIO])</f>
        <v>RESENDE</v>
      </c>
      <c r="F5134" s="6">
        <v>58.713264465332003</v>
      </c>
      <c r="G5134" s="6">
        <v>58.775482177734403</v>
      </c>
      <c r="H5134" s="6">
        <v>58.830947875976598</v>
      </c>
      <c r="I5134" s="6">
        <v>53.8462944030762</v>
      </c>
      <c r="J5134" s="6">
        <v>53.813583374023402</v>
      </c>
      <c r="K5134" s="6">
        <v>53.868343353271499</v>
      </c>
      <c r="L5134" s="6">
        <v>57.505172729492202</v>
      </c>
    </row>
    <row r="5135" spans="1:12" x14ac:dyDescent="0.25">
      <c r="A5135">
        <v>4127957</v>
      </c>
      <c r="B5135" t="str">
        <f t="shared" si="80"/>
        <v>TUPASSI, PR, Brasil</v>
      </c>
      <c r="C5135" s="4" t="str">
        <f>_xlfn.XLOOKUP(A5135,[1]!DadosGHD[CD_GEOCMU],[1]!DadosGHD[Região])</f>
        <v>SL</v>
      </c>
      <c r="D5135" s="4" t="str">
        <f>_xlfn.XLOOKUP(A5135,[1]!DadosGHD[CD_GEOCMU],[1]!DadosGHD[uf])</f>
        <v>PR</v>
      </c>
      <c r="E5135" s="5" t="str">
        <f>_xlfn.XLOOKUP(A5135,[1]!DadosGHD[CD_GEOCMU],[1]!DadosGHD[MUNICIPIO])</f>
        <v>TUPASSI</v>
      </c>
      <c r="F5135" s="6">
        <v>58.714035034179702</v>
      </c>
      <c r="G5135" s="6">
        <v>63.938255310058601</v>
      </c>
      <c r="H5135" s="6">
        <v>63.986648559570298</v>
      </c>
      <c r="I5135" s="6">
        <v>64.000221252441406</v>
      </c>
      <c r="J5135" s="6">
        <v>64.019088745117202</v>
      </c>
      <c r="K5135" s="6">
        <v>64.084503173828097</v>
      </c>
      <c r="L5135" s="6">
        <v>48.515037536621101</v>
      </c>
    </row>
    <row r="5136" spans="1:12" x14ac:dyDescent="0.25">
      <c r="A5136">
        <v>3203130</v>
      </c>
      <c r="B5136" t="str">
        <f t="shared" si="80"/>
        <v>JOAO NEIVA, ES, Brasil</v>
      </c>
      <c r="C5136" s="4" t="str">
        <f>_xlfn.XLOOKUP(A5136,[1]!DadosGHD[CD_GEOCMU],[1]!DadosGHD[Região])</f>
        <v>SD</v>
      </c>
      <c r="D5136" s="4" t="str">
        <f>_xlfn.XLOOKUP(A5136,[1]!DadosGHD[CD_GEOCMU],[1]!DadosGHD[uf])</f>
        <v>ES</v>
      </c>
      <c r="E5136" s="5" t="str">
        <f>_xlfn.XLOOKUP(A5136,[1]!DadosGHD[CD_GEOCMU],[1]!DadosGHD[MUNICIPIO])</f>
        <v>JOAO NEIVA</v>
      </c>
      <c r="F5136" s="6">
        <v>58.715217590332003</v>
      </c>
      <c r="G5136" s="6">
        <v>58.788753509521499</v>
      </c>
      <c r="H5136" s="6">
        <v>58.824649810791001</v>
      </c>
      <c r="I5136" s="6">
        <v>53.783779144287102</v>
      </c>
      <c r="J5136" s="6">
        <v>53.890281677246101</v>
      </c>
      <c r="K5136" s="6">
        <v>48.889930725097699</v>
      </c>
      <c r="L5136" s="6">
        <v>44.054466247558601</v>
      </c>
    </row>
    <row r="5137" spans="1:12" x14ac:dyDescent="0.25">
      <c r="A5137">
        <v>4315800</v>
      </c>
      <c r="B5137" t="str">
        <f t="shared" si="80"/>
        <v>ROCA SALES, RS, Brasil</v>
      </c>
      <c r="C5137" s="4" t="str">
        <f>_xlfn.XLOOKUP(A5137,[1]!DadosGHD[CD_GEOCMU],[1]!DadosGHD[Região])</f>
        <v>SL</v>
      </c>
      <c r="D5137" s="4" t="str">
        <f>_xlfn.XLOOKUP(A5137,[1]!DadosGHD[CD_GEOCMU],[1]!DadosGHD[uf])</f>
        <v>RS</v>
      </c>
      <c r="E5137" s="5" t="str">
        <f>_xlfn.XLOOKUP(A5137,[1]!DadosGHD[CD_GEOCMU],[1]!DadosGHD[MUNICIPIO])</f>
        <v>ROCA SALES</v>
      </c>
      <c r="F5137" s="6">
        <v>58.716110229492202</v>
      </c>
      <c r="G5137" s="6">
        <v>58.831703186035199</v>
      </c>
      <c r="H5137" s="6">
        <v>53.888011932373097</v>
      </c>
      <c r="I5137" s="6">
        <v>48.7997856140137</v>
      </c>
      <c r="J5137" s="6">
        <v>53.764217376708999</v>
      </c>
      <c r="K5137" s="6">
        <v>48.803070068359403</v>
      </c>
      <c r="L5137" s="6">
        <v>44.028717041015597</v>
      </c>
    </row>
    <row r="5138" spans="1:12" x14ac:dyDescent="0.25">
      <c r="A5138">
        <v>4320404</v>
      </c>
      <c r="B5138" t="str">
        <f t="shared" si="80"/>
        <v>SERAFINA CORREA, RS, Brasil</v>
      </c>
      <c r="C5138" s="4" t="str">
        <f>_xlfn.XLOOKUP(A5138,[1]!DadosGHD[CD_GEOCMU],[1]!DadosGHD[Região])</f>
        <v>SL</v>
      </c>
      <c r="D5138" s="4" t="str">
        <f>_xlfn.XLOOKUP(A5138,[1]!DadosGHD[CD_GEOCMU],[1]!DadosGHD[uf])</f>
        <v>RS</v>
      </c>
      <c r="E5138" s="5" t="str">
        <f>_xlfn.XLOOKUP(A5138,[1]!DadosGHD[CD_GEOCMU],[1]!DadosGHD[MUNICIPIO])</f>
        <v>SERAFINA CORREA</v>
      </c>
      <c r="F5138" s="6">
        <v>58.716388702392599</v>
      </c>
      <c r="G5138" s="6">
        <v>63.855705261230497</v>
      </c>
      <c r="H5138" s="6">
        <v>63.976425170898402</v>
      </c>
      <c r="I5138" s="6">
        <v>64.000221252441406</v>
      </c>
      <c r="J5138" s="6">
        <v>64.039611816406307</v>
      </c>
      <c r="K5138" s="6">
        <v>64.13623046875</v>
      </c>
      <c r="L5138" s="6">
        <v>57.589881896972699</v>
      </c>
    </row>
    <row r="5139" spans="1:12" x14ac:dyDescent="0.25">
      <c r="A5139">
        <v>3547700</v>
      </c>
      <c r="B5139" t="str">
        <f t="shared" si="80"/>
        <v>SANTO ANASTACIO, SP, Brasil</v>
      </c>
      <c r="C5139" s="4" t="str">
        <f>_xlfn.XLOOKUP(A5139,[1]!DadosGHD[CD_GEOCMU],[1]!DadosGHD[Região])</f>
        <v>SD</v>
      </c>
      <c r="D5139" s="4" t="str">
        <f>_xlfn.XLOOKUP(A5139,[1]!DadosGHD[CD_GEOCMU],[1]!DadosGHD[uf])</f>
        <v>SP</v>
      </c>
      <c r="E5139" s="5" t="str">
        <f>_xlfn.XLOOKUP(A5139,[1]!DadosGHD[CD_GEOCMU],[1]!DadosGHD[MUNICIPIO])</f>
        <v>SANTO ANASTACIO</v>
      </c>
      <c r="F5139" s="6">
        <v>58.717475891113303</v>
      </c>
      <c r="G5139" s="6">
        <v>58.782203674316399</v>
      </c>
      <c r="H5139" s="6">
        <v>58.889801025390597</v>
      </c>
      <c r="I5139" s="6">
        <v>58.879531860351598</v>
      </c>
      <c r="J5139" s="6">
        <v>58.970115661621101</v>
      </c>
      <c r="K5139" s="6">
        <v>59.039192199707003</v>
      </c>
      <c r="L5139" s="6">
        <v>57.589881896972699</v>
      </c>
    </row>
    <row r="5140" spans="1:12" x14ac:dyDescent="0.25">
      <c r="A5140">
        <v>5108956</v>
      </c>
      <c r="B5140" t="str">
        <f t="shared" si="80"/>
        <v>NOVA MONTE VERDE, MT, Brasil</v>
      </c>
      <c r="C5140" s="4" t="str">
        <f>_xlfn.XLOOKUP(A5140,[1]!DadosGHD[CD_GEOCMU],[1]!DadosGHD[Região])</f>
        <v>CO</v>
      </c>
      <c r="D5140" s="4" t="str">
        <f>_xlfn.XLOOKUP(A5140,[1]!DadosGHD[CD_GEOCMU],[1]!DadosGHD[uf])</f>
        <v>MT</v>
      </c>
      <c r="E5140" s="5" t="str">
        <f>_xlfn.XLOOKUP(A5140,[1]!DadosGHD[CD_GEOCMU],[1]!DadosGHD[MUNICIPIO])</f>
        <v>NOVA MONTE VERDE</v>
      </c>
      <c r="F5140" s="6">
        <v>58.717796325683601</v>
      </c>
      <c r="G5140" s="6">
        <v>58.916000366210902</v>
      </c>
      <c r="H5140" s="6">
        <v>63.960723876953097</v>
      </c>
      <c r="I5140" s="6">
        <v>63.932998657226598</v>
      </c>
      <c r="J5140" s="6">
        <v>64.039611816406307</v>
      </c>
      <c r="K5140" s="6">
        <v>64.13623046875</v>
      </c>
      <c r="L5140" s="6">
        <v>48.494464874267599</v>
      </c>
    </row>
    <row r="5141" spans="1:12" x14ac:dyDescent="0.25">
      <c r="A5141">
        <v>3520509</v>
      </c>
      <c r="B5141" t="str">
        <f t="shared" si="80"/>
        <v>INDAIATUBA, SP, Brasil</v>
      </c>
      <c r="C5141" s="4" t="str">
        <f>_xlfn.XLOOKUP(A5141,[1]!DadosGHD[CD_GEOCMU],[1]!DadosGHD[Região])</f>
        <v>SD</v>
      </c>
      <c r="D5141" s="4" t="str">
        <f>_xlfn.XLOOKUP(A5141,[1]!DadosGHD[CD_GEOCMU],[1]!DadosGHD[uf])</f>
        <v>SP</v>
      </c>
      <c r="E5141" s="5" t="str">
        <f>_xlfn.XLOOKUP(A5141,[1]!DadosGHD[CD_GEOCMU],[1]!DadosGHD[MUNICIPIO])</f>
        <v>INDAIATUBA</v>
      </c>
      <c r="F5141" s="6">
        <v>58.7208251953125</v>
      </c>
      <c r="G5141" s="6">
        <v>58.797950744628899</v>
      </c>
      <c r="H5141" s="6">
        <v>58.823097229003899</v>
      </c>
      <c r="I5141" s="6">
        <v>58.792083740234403</v>
      </c>
      <c r="J5141" s="6">
        <v>58.856575012207003</v>
      </c>
      <c r="K5141" s="6">
        <v>64.13623046875</v>
      </c>
      <c r="L5141" s="6">
        <v>57.589881896972699</v>
      </c>
    </row>
    <row r="5142" spans="1:12" x14ac:dyDescent="0.25">
      <c r="A5142">
        <v>3554656</v>
      </c>
      <c r="B5142" t="str">
        <f t="shared" si="80"/>
        <v>TORRE DE PEDRA, SP, Brasil</v>
      </c>
      <c r="C5142" s="4" t="str">
        <f>_xlfn.XLOOKUP(A5142,[1]!DadosGHD[CD_GEOCMU],[1]!DadosGHD[Região])</f>
        <v>SD</v>
      </c>
      <c r="D5142" s="4" t="str">
        <f>_xlfn.XLOOKUP(A5142,[1]!DadosGHD[CD_GEOCMU],[1]!DadosGHD[uf])</f>
        <v>SP</v>
      </c>
      <c r="E5142" s="5" t="str">
        <f>_xlfn.XLOOKUP(A5142,[1]!DadosGHD[CD_GEOCMU],[1]!DadosGHD[MUNICIPIO])</f>
        <v>TORRE DE PEDRA</v>
      </c>
      <c r="F5142" s="6">
        <v>58.721141815185597</v>
      </c>
      <c r="G5142" s="6">
        <v>53.672325134277301</v>
      </c>
      <c r="H5142" s="6">
        <v>48.838272094726598</v>
      </c>
      <c r="I5142" s="6">
        <v>48.787696838378899</v>
      </c>
      <c r="J5142" s="6">
        <v>48.773338317871101</v>
      </c>
      <c r="K5142" s="6">
        <v>48.8123588562012</v>
      </c>
      <c r="L5142" s="6">
        <v>48.513805389404297</v>
      </c>
    </row>
    <row r="5143" spans="1:12" x14ac:dyDescent="0.25">
      <c r="A5143">
        <v>3143203</v>
      </c>
      <c r="B5143" t="str">
        <f t="shared" si="80"/>
        <v>MONTE SANTO DE MINAS, MG, Brasil</v>
      </c>
      <c r="C5143" s="4" t="str">
        <f>_xlfn.XLOOKUP(A5143,[1]!DadosGHD[CD_GEOCMU],[1]!DadosGHD[Região])</f>
        <v>SD</v>
      </c>
      <c r="D5143" s="4" t="str">
        <f>_xlfn.XLOOKUP(A5143,[1]!DadosGHD[CD_GEOCMU],[1]!DadosGHD[uf])</f>
        <v>MG</v>
      </c>
      <c r="E5143" s="5" t="str">
        <f>_xlfn.XLOOKUP(A5143,[1]!DadosGHD[CD_GEOCMU],[1]!DadosGHD[MUNICIPIO])</f>
        <v>MONTE SANTO DE MINAS</v>
      </c>
      <c r="F5143" s="6">
        <v>58.721607208252003</v>
      </c>
      <c r="G5143" s="6">
        <v>58.726505279541001</v>
      </c>
      <c r="H5143" s="6">
        <v>58.921005249023402</v>
      </c>
      <c r="I5143" s="6">
        <v>58.968845367431598</v>
      </c>
      <c r="J5143" s="6">
        <v>58.953727722167997</v>
      </c>
      <c r="K5143" s="6">
        <v>53.973690032958999</v>
      </c>
      <c r="L5143" s="6">
        <v>53.0415649414063</v>
      </c>
    </row>
    <row r="5144" spans="1:12" x14ac:dyDescent="0.25">
      <c r="A5144">
        <v>3127107</v>
      </c>
      <c r="B5144" t="str">
        <f t="shared" si="80"/>
        <v>FRUTAL, MG, Brasil</v>
      </c>
      <c r="C5144" s="4" t="str">
        <f>_xlfn.XLOOKUP(A5144,[1]!DadosGHD[CD_GEOCMU],[1]!DadosGHD[Região])</f>
        <v>SD</v>
      </c>
      <c r="D5144" s="4" t="str">
        <f>_xlfn.XLOOKUP(A5144,[1]!DadosGHD[CD_GEOCMU],[1]!DadosGHD[uf])</f>
        <v>MG</v>
      </c>
      <c r="E5144" s="5" t="str">
        <f>_xlfn.XLOOKUP(A5144,[1]!DadosGHD[CD_GEOCMU],[1]!DadosGHD[MUNICIPIO])</f>
        <v>FRUTAL</v>
      </c>
      <c r="F5144" s="6">
        <v>58.721675872802699</v>
      </c>
      <c r="G5144" s="6">
        <v>58.862106323242202</v>
      </c>
      <c r="H5144" s="6">
        <v>58.962413787841797</v>
      </c>
      <c r="I5144" s="6">
        <v>58.930412292480497</v>
      </c>
      <c r="J5144" s="6">
        <v>63.9115600585938</v>
      </c>
      <c r="K5144" s="6">
        <v>59.076484680175803</v>
      </c>
      <c r="L5144" s="6">
        <v>48.550655364990199</v>
      </c>
    </row>
    <row r="5145" spans="1:12" x14ac:dyDescent="0.25">
      <c r="A5145">
        <v>3537404</v>
      </c>
      <c r="B5145" t="str">
        <f t="shared" si="80"/>
        <v>PEREIRA BARRETO, SP, Brasil</v>
      </c>
      <c r="C5145" s="4" t="str">
        <f>_xlfn.XLOOKUP(A5145,[1]!DadosGHD[CD_GEOCMU],[1]!DadosGHD[Região])</f>
        <v>SD</v>
      </c>
      <c r="D5145" s="4" t="str">
        <f>_xlfn.XLOOKUP(A5145,[1]!DadosGHD[CD_GEOCMU],[1]!DadosGHD[uf])</f>
        <v>SP</v>
      </c>
      <c r="E5145" s="5" t="str">
        <f>_xlfn.XLOOKUP(A5145,[1]!DadosGHD[CD_GEOCMU],[1]!DadosGHD[MUNICIPIO])</f>
        <v>PEREIRA BARRETO</v>
      </c>
      <c r="F5145" s="6">
        <v>58.722286224365199</v>
      </c>
      <c r="G5145" s="6">
        <v>58.8625679016113</v>
      </c>
      <c r="H5145" s="6">
        <v>58.863651275634801</v>
      </c>
      <c r="I5145" s="6">
        <v>53.790290832519503</v>
      </c>
      <c r="J5145" s="6">
        <v>53.754581451416001</v>
      </c>
      <c r="K5145" s="6">
        <v>53.853084564208999</v>
      </c>
      <c r="L5145" s="6">
        <v>44.076877593994098</v>
      </c>
    </row>
    <row r="5146" spans="1:12" x14ac:dyDescent="0.25">
      <c r="A5146">
        <v>3159803</v>
      </c>
      <c r="B5146" t="str">
        <f t="shared" si="80"/>
        <v>SANTA VITORIA, MG, Brasil</v>
      </c>
      <c r="C5146" s="4" t="str">
        <f>_xlfn.XLOOKUP(A5146,[1]!DadosGHD[CD_GEOCMU],[1]!DadosGHD[Região])</f>
        <v>SD</v>
      </c>
      <c r="D5146" s="4" t="str">
        <f>_xlfn.XLOOKUP(A5146,[1]!DadosGHD[CD_GEOCMU],[1]!DadosGHD[uf])</f>
        <v>MG</v>
      </c>
      <c r="E5146" s="5" t="str">
        <f>_xlfn.XLOOKUP(A5146,[1]!DadosGHD[CD_GEOCMU],[1]!DadosGHD[MUNICIPIO])</f>
        <v>SANTA VITORIA</v>
      </c>
      <c r="F5146" s="6">
        <v>58.722419738769503</v>
      </c>
      <c r="G5146" s="6">
        <v>58.858951568603501</v>
      </c>
      <c r="H5146" s="6">
        <v>58.932723999023402</v>
      </c>
      <c r="I5146" s="6">
        <v>58.9173583984375</v>
      </c>
      <c r="J5146" s="6">
        <v>63.908050537109403</v>
      </c>
      <c r="K5146" s="6">
        <v>59.030517578125</v>
      </c>
      <c r="L5146" s="6">
        <v>52.989784240722699</v>
      </c>
    </row>
    <row r="5147" spans="1:12" x14ac:dyDescent="0.25">
      <c r="A5147">
        <v>4320206</v>
      </c>
      <c r="B5147" t="str">
        <f t="shared" si="80"/>
        <v>SEBERI, RS, Brasil</v>
      </c>
      <c r="C5147" s="4" t="str">
        <f>_xlfn.XLOOKUP(A5147,[1]!DadosGHD[CD_GEOCMU],[1]!DadosGHD[Região])</f>
        <v>SL</v>
      </c>
      <c r="D5147" s="4" t="str">
        <f>_xlfn.XLOOKUP(A5147,[1]!DadosGHD[CD_GEOCMU],[1]!DadosGHD[uf])</f>
        <v>RS</v>
      </c>
      <c r="E5147" s="5" t="str">
        <f>_xlfn.XLOOKUP(A5147,[1]!DadosGHD[CD_GEOCMU],[1]!DadosGHD[MUNICIPIO])</f>
        <v>SEBERI</v>
      </c>
      <c r="F5147" s="6">
        <v>58.722755432128899</v>
      </c>
      <c r="G5147" s="6">
        <v>63.908901214599602</v>
      </c>
      <c r="H5147" s="6">
        <v>64.026092529296903</v>
      </c>
      <c r="I5147" s="6">
        <v>64.000221252441406</v>
      </c>
      <c r="J5147" s="6">
        <v>64.039611816406307</v>
      </c>
      <c r="K5147" s="6">
        <v>64.13623046875</v>
      </c>
      <c r="L5147" s="6">
        <v>53.003410339355497</v>
      </c>
    </row>
    <row r="5148" spans="1:12" x14ac:dyDescent="0.25">
      <c r="A5148">
        <v>3136702</v>
      </c>
      <c r="B5148" t="str">
        <f t="shared" si="80"/>
        <v>JUIZ DE FORA, MG, Brasil</v>
      </c>
      <c r="C5148" s="4" t="str">
        <f>_xlfn.XLOOKUP(A5148,[1]!DadosGHD[CD_GEOCMU],[1]!DadosGHD[Região])</f>
        <v>SD</v>
      </c>
      <c r="D5148" s="4" t="str">
        <f>_xlfn.XLOOKUP(A5148,[1]!DadosGHD[CD_GEOCMU],[1]!DadosGHD[uf])</f>
        <v>MG</v>
      </c>
      <c r="E5148" s="5" t="str">
        <f>_xlfn.XLOOKUP(A5148,[1]!DadosGHD[CD_GEOCMU],[1]!DadosGHD[MUNICIPIO])</f>
        <v>JUIZ DE FORA</v>
      </c>
      <c r="F5148" s="6">
        <v>58.723255157470703</v>
      </c>
      <c r="G5148" s="6">
        <v>58.755722045898402</v>
      </c>
      <c r="H5148" s="6">
        <v>58.879158020019503</v>
      </c>
      <c r="I5148" s="6">
        <v>58.854820251464801</v>
      </c>
      <c r="J5148" s="6">
        <v>58.903656005859403</v>
      </c>
      <c r="K5148" s="6">
        <v>58.963020324707003</v>
      </c>
      <c r="L5148" s="6">
        <v>57.5781860351563</v>
      </c>
    </row>
    <row r="5149" spans="1:12" x14ac:dyDescent="0.25">
      <c r="A5149">
        <v>3513702</v>
      </c>
      <c r="B5149" t="str">
        <f t="shared" si="80"/>
        <v>DESCALVADO, SP, Brasil</v>
      </c>
      <c r="C5149" s="4" t="str">
        <f>_xlfn.XLOOKUP(A5149,[1]!DadosGHD[CD_GEOCMU],[1]!DadosGHD[Região])</f>
        <v>SD</v>
      </c>
      <c r="D5149" s="4" t="str">
        <f>_xlfn.XLOOKUP(A5149,[1]!DadosGHD[CD_GEOCMU],[1]!DadosGHD[uf])</f>
        <v>SP</v>
      </c>
      <c r="E5149" s="5" t="str">
        <f>_xlfn.XLOOKUP(A5149,[1]!DadosGHD[CD_GEOCMU],[1]!DadosGHD[MUNICIPIO])</f>
        <v>DESCALVADO</v>
      </c>
      <c r="F5149" s="6">
        <v>58.723365783691399</v>
      </c>
      <c r="G5149" s="6">
        <v>58.776813507080099</v>
      </c>
      <c r="H5149" s="6">
        <v>53.790927886962898</v>
      </c>
      <c r="I5149" s="6">
        <v>48.807807922363303</v>
      </c>
      <c r="J5149" s="6">
        <v>48.766349792480497</v>
      </c>
      <c r="K5149" s="6">
        <v>48.848476409912102</v>
      </c>
      <c r="L5149" s="6">
        <v>48.492397308349602</v>
      </c>
    </row>
    <row r="5150" spans="1:12" x14ac:dyDescent="0.25">
      <c r="A5150">
        <v>3508306</v>
      </c>
      <c r="B5150" t="str">
        <f t="shared" si="80"/>
        <v>CABRALIA PAULISTA, SP, Brasil</v>
      </c>
      <c r="C5150" s="4" t="str">
        <f>_xlfn.XLOOKUP(A5150,[1]!DadosGHD[CD_GEOCMU],[1]!DadosGHD[Região])</f>
        <v>SD</v>
      </c>
      <c r="D5150" s="4" t="str">
        <f>_xlfn.XLOOKUP(A5150,[1]!DadosGHD[CD_GEOCMU],[1]!DadosGHD[uf])</f>
        <v>SP</v>
      </c>
      <c r="E5150" s="5" t="str">
        <f>_xlfn.XLOOKUP(A5150,[1]!DadosGHD[CD_GEOCMU],[1]!DadosGHD[MUNICIPIO])</f>
        <v>CABRALIA PAULISTA</v>
      </c>
      <c r="F5150" s="6">
        <v>58.723388671875</v>
      </c>
      <c r="G5150" s="6">
        <v>53.776851654052699</v>
      </c>
      <c r="H5150" s="6">
        <v>58.860424041748097</v>
      </c>
      <c r="I5150" s="6">
        <v>58.832126617431598</v>
      </c>
      <c r="J5150" s="6">
        <v>63.908451080322301</v>
      </c>
      <c r="K5150" s="6">
        <v>59.003238677978501</v>
      </c>
      <c r="L5150" s="6">
        <v>57.517795562744098</v>
      </c>
    </row>
    <row r="5151" spans="1:12" x14ac:dyDescent="0.25">
      <c r="A5151">
        <v>3142601</v>
      </c>
      <c r="B5151" t="str">
        <f t="shared" si="80"/>
        <v>MONSENHOR PAULO, MG, Brasil</v>
      </c>
      <c r="C5151" s="4" t="str">
        <f>_xlfn.XLOOKUP(A5151,[1]!DadosGHD[CD_GEOCMU],[1]!DadosGHD[Região])</f>
        <v>SD</v>
      </c>
      <c r="D5151" s="4" t="str">
        <f>_xlfn.XLOOKUP(A5151,[1]!DadosGHD[CD_GEOCMU],[1]!DadosGHD[uf])</f>
        <v>MG</v>
      </c>
      <c r="E5151" s="5" t="str">
        <f>_xlfn.XLOOKUP(A5151,[1]!DadosGHD[CD_GEOCMU],[1]!DadosGHD[MUNICIPIO])</f>
        <v>MONSENHOR PAULO</v>
      </c>
      <c r="F5151" s="6">
        <v>58.723873138427699</v>
      </c>
      <c r="G5151" s="6">
        <v>58.849197387695298</v>
      </c>
      <c r="H5151" s="6">
        <v>58.886383056640597</v>
      </c>
      <c r="I5151" s="6">
        <v>58.840248107910199</v>
      </c>
      <c r="J5151" s="6">
        <v>58.806674957275398</v>
      </c>
      <c r="K5151" s="6">
        <v>53.975929260253899</v>
      </c>
      <c r="L5151" s="6">
        <v>53.045669555664098</v>
      </c>
    </row>
    <row r="5152" spans="1:12" x14ac:dyDescent="0.25">
      <c r="A5152">
        <v>4101903</v>
      </c>
      <c r="B5152" t="str">
        <f t="shared" si="80"/>
        <v>ASSAI, PR, Brasil</v>
      </c>
      <c r="C5152" s="4" t="str">
        <f>_xlfn.XLOOKUP(A5152,[1]!DadosGHD[CD_GEOCMU],[1]!DadosGHD[Região])</f>
        <v>SL</v>
      </c>
      <c r="D5152" s="4" t="str">
        <f>_xlfn.XLOOKUP(A5152,[1]!DadosGHD[CD_GEOCMU],[1]!DadosGHD[uf])</f>
        <v>PR</v>
      </c>
      <c r="E5152" s="5" t="str">
        <f>_xlfn.XLOOKUP(A5152,[1]!DadosGHD[CD_GEOCMU],[1]!DadosGHD[MUNICIPIO])</f>
        <v>ASSAI</v>
      </c>
      <c r="F5152" s="6">
        <v>58.725475311279297</v>
      </c>
      <c r="G5152" s="6">
        <v>58.9146728515625</v>
      </c>
      <c r="H5152" s="6">
        <v>58.993194580078097</v>
      </c>
      <c r="I5152" s="6">
        <v>63.908218383789098</v>
      </c>
      <c r="J5152" s="6">
        <v>58.8917846679688</v>
      </c>
      <c r="K5152" s="6">
        <v>53.947120666503899</v>
      </c>
      <c r="L5152" s="6">
        <v>39.573040008544901</v>
      </c>
    </row>
    <row r="5153" spans="1:12" x14ac:dyDescent="0.25">
      <c r="A5153">
        <v>4215075</v>
      </c>
      <c r="B5153" t="str">
        <f t="shared" si="80"/>
        <v>RIQUEZA, SC, Brasil</v>
      </c>
      <c r="C5153" s="4" t="str">
        <f>_xlfn.XLOOKUP(A5153,[1]!DadosGHD[CD_GEOCMU],[1]!DadosGHD[Região])</f>
        <v>SL</v>
      </c>
      <c r="D5153" s="4" t="str">
        <f>_xlfn.XLOOKUP(A5153,[1]!DadosGHD[CD_GEOCMU],[1]!DadosGHD[uf])</f>
        <v>SC</v>
      </c>
      <c r="E5153" s="5" t="str">
        <f>_xlfn.XLOOKUP(A5153,[1]!DadosGHD[CD_GEOCMU],[1]!DadosGHD[MUNICIPIO])</f>
        <v>RIQUEZA</v>
      </c>
      <c r="F5153" s="6">
        <v>58.725818634033203</v>
      </c>
      <c r="G5153" s="6">
        <v>58.923927307128899</v>
      </c>
      <c r="H5153" s="6">
        <v>63.964630126953097</v>
      </c>
      <c r="I5153" s="6">
        <v>58.924831390380902</v>
      </c>
      <c r="J5153" s="6">
        <v>58.931182861328097</v>
      </c>
      <c r="K5153" s="6">
        <v>64.13623046875</v>
      </c>
      <c r="L5153" s="6">
        <v>57.589881896972699</v>
      </c>
    </row>
    <row r="5154" spans="1:12" x14ac:dyDescent="0.25">
      <c r="A5154">
        <v>3503356</v>
      </c>
      <c r="B5154" t="str">
        <f t="shared" si="80"/>
        <v>ARCO-IRIS, SP, Brasil</v>
      </c>
      <c r="C5154" s="4" t="str">
        <f>_xlfn.XLOOKUP(A5154,[1]!DadosGHD[CD_GEOCMU],[1]!DadosGHD[Região])</f>
        <v>SD</v>
      </c>
      <c r="D5154" s="4" t="str">
        <f>_xlfn.XLOOKUP(A5154,[1]!DadosGHD[CD_GEOCMU],[1]!DadosGHD[uf])</f>
        <v>SP</v>
      </c>
      <c r="E5154" s="5" t="str">
        <f>_xlfn.XLOOKUP(A5154,[1]!DadosGHD[CD_GEOCMU],[1]!DadosGHD[MUNICIPIO])</f>
        <v>ARCO-IRIS</v>
      </c>
      <c r="F5154" s="6">
        <v>58.726131439208999</v>
      </c>
      <c r="G5154" s="6">
        <v>38.712047576904297</v>
      </c>
      <c r="H5154" s="6">
        <v>28.972558975219702</v>
      </c>
      <c r="I5154" s="6">
        <v>28.935228347778299</v>
      </c>
      <c r="J5154" s="6">
        <v>28.951461791992202</v>
      </c>
      <c r="K5154" s="6">
        <v>28.986570358276399</v>
      </c>
      <c r="L5154" s="6">
        <v>30.714784622192401</v>
      </c>
    </row>
    <row r="5155" spans="1:12" x14ac:dyDescent="0.25">
      <c r="A5155">
        <v>3514403</v>
      </c>
      <c r="B5155" t="str">
        <f t="shared" si="80"/>
        <v>DRACENA, SP, Brasil</v>
      </c>
      <c r="C5155" s="4" t="str">
        <f>_xlfn.XLOOKUP(A5155,[1]!DadosGHD[CD_GEOCMU],[1]!DadosGHD[Região])</f>
        <v>SD</v>
      </c>
      <c r="D5155" s="4" t="str">
        <f>_xlfn.XLOOKUP(A5155,[1]!DadosGHD[CD_GEOCMU],[1]!DadosGHD[uf])</f>
        <v>SP</v>
      </c>
      <c r="E5155" s="5" t="str">
        <f>_xlfn.XLOOKUP(A5155,[1]!DadosGHD[CD_GEOCMU],[1]!DadosGHD[MUNICIPIO])</f>
        <v>DRACENA</v>
      </c>
      <c r="F5155" s="6">
        <v>58.726959228515597</v>
      </c>
      <c r="G5155" s="6">
        <v>58.7825736999512</v>
      </c>
      <c r="H5155" s="6">
        <v>53.892383575439503</v>
      </c>
      <c r="I5155" s="6">
        <v>53.795787811279297</v>
      </c>
      <c r="J5155" s="6">
        <v>53.780590057373097</v>
      </c>
      <c r="K5155" s="6">
        <v>53.826503753662102</v>
      </c>
      <c r="L5155" s="6">
        <v>52.982269287109403</v>
      </c>
    </row>
    <row r="5156" spans="1:12" x14ac:dyDescent="0.25">
      <c r="A5156">
        <v>4307708</v>
      </c>
      <c r="B5156" t="str">
        <f t="shared" si="80"/>
        <v>ESTEIO, RS, Brasil</v>
      </c>
      <c r="C5156" s="4" t="str">
        <f>_xlfn.XLOOKUP(A5156,[1]!DadosGHD[CD_GEOCMU],[1]!DadosGHD[Região])</f>
        <v>SL</v>
      </c>
      <c r="D5156" s="4" t="str">
        <f>_xlfn.XLOOKUP(A5156,[1]!DadosGHD[CD_GEOCMU],[1]!DadosGHD[uf])</f>
        <v>RS</v>
      </c>
      <c r="E5156" s="5" t="str">
        <f>_xlfn.XLOOKUP(A5156,[1]!DadosGHD[CD_GEOCMU],[1]!DadosGHD[MUNICIPIO])</f>
        <v>ESTEIO</v>
      </c>
      <c r="F5156" s="6">
        <v>58.727054595947301</v>
      </c>
      <c r="G5156" s="6">
        <v>58.781600952148402</v>
      </c>
      <c r="H5156" s="6">
        <v>58.856040954589801</v>
      </c>
      <c r="I5156" s="6">
        <v>53.877780914306598</v>
      </c>
      <c r="J5156" s="6">
        <v>53.794830322265597</v>
      </c>
      <c r="K5156" s="6">
        <v>53.847785949707003</v>
      </c>
      <c r="L5156" s="6">
        <v>57.577548980712898</v>
      </c>
    </row>
    <row r="5157" spans="1:12" x14ac:dyDescent="0.25">
      <c r="A5157">
        <v>3500550</v>
      </c>
      <c r="B5157" t="str">
        <f t="shared" si="80"/>
        <v>AGUAS DE SANTA BARBARA, SP, Brasil</v>
      </c>
      <c r="C5157" s="4" t="str">
        <f>_xlfn.XLOOKUP(A5157,[1]!DadosGHD[CD_GEOCMU],[1]!DadosGHD[Região])</f>
        <v>SD</v>
      </c>
      <c r="D5157" s="4" t="str">
        <f>_xlfn.XLOOKUP(A5157,[1]!DadosGHD[CD_GEOCMU],[1]!DadosGHD[uf])</f>
        <v>SP</v>
      </c>
      <c r="E5157" s="5" t="str">
        <f>_xlfn.XLOOKUP(A5157,[1]!DadosGHD[CD_GEOCMU],[1]!DadosGHD[MUNICIPIO])</f>
        <v>AGUAS DE SANTA BARBARA</v>
      </c>
      <c r="F5157" s="6">
        <v>58.7280883789063</v>
      </c>
      <c r="G5157" s="6">
        <v>53.8149604797363</v>
      </c>
      <c r="H5157" s="6">
        <v>53.837982177734403</v>
      </c>
      <c r="I5157" s="6">
        <v>53.772777557373097</v>
      </c>
      <c r="J5157" s="6">
        <v>53.7890625</v>
      </c>
      <c r="K5157" s="6">
        <v>58.956233978271499</v>
      </c>
      <c r="L5157" s="6">
        <v>57.581741333007798</v>
      </c>
    </row>
    <row r="5158" spans="1:12" x14ac:dyDescent="0.25">
      <c r="A5158">
        <v>3133105</v>
      </c>
      <c r="B5158" t="str">
        <f t="shared" si="80"/>
        <v>ITANHANDU, MG, Brasil</v>
      </c>
      <c r="C5158" s="4" t="str">
        <f>_xlfn.XLOOKUP(A5158,[1]!DadosGHD[CD_GEOCMU],[1]!DadosGHD[Região])</f>
        <v>SD</v>
      </c>
      <c r="D5158" s="4" t="str">
        <f>_xlfn.XLOOKUP(A5158,[1]!DadosGHD[CD_GEOCMU],[1]!DadosGHD[uf])</f>
        <v>MG</v>
      </c>
      <c r="E5158" s="5" t="str">
        <f>_xlfn.XLOOKUP(A5158,[1]!DadosGHD[CD_GEOCMU],[1]!DadosGHD[MUNICIPIO])</f>
        <v>ITANHANDU</v>
      </c>
      <c r="F5158" s="6">
        <v>58.728904724121101</v>
      </c>
      <c r="G5158" s="6">
        <v>63.870391845703097</v>
      </c>
      <c r="H5158" s="6">
        <v>64.002510070800795</v>
      </c>
      <c r="I5158" s="6">
        <v>63.946811676025398</v>
      </c>
      <c r="J5158" s="6">
        <v>63.969993591308601</v>
      </c>
      <c r="K5158" s="6">
        <v>59.016563415527301</v>
      </c>
      <c r="L5158" s="6">
        <v>53.050716400146499</v>
      </c>
    </row>
    <row r="5159" spans="1:12" x14ac:dyDescent="0.25">
      <c r="A5159">
        <v>4311908</v>
      </c>
      <c r="B5159" t="str">
        <f t="shared" si="80"/>
        <v>MARCELINO RAMOS, RS, Brasil</v>
      </c>
      <c r="C5159" s="4" t="str">
        <f>_xlfn.XLOOKUP(A5159,[1]!DadosGHD[CD_GEOCMU],[1]!DadosGHD[Região])</f>
        <v>SL</v>
      </c>
      <c r="D5159" s="4" t="str">
        <f>_xlfn.XLOOKUP(A5159,[1]!DadosGHD[CD_GEOCMU],[1]!DadosGHD[uf])</f>
        <v>RS</v>
      </c>
      <c r="E5159" s="5" t="str">
        <f>_xlfn.XLOOKUP(A5159,[1]!DadosGHD[CD_GEOCMU],[1]!DadosGHD[MUNICIPIO])</f>
        <v>MARCELINO RAMOS</v>
      </c>
      <c r="F5159" s="6">
        <v>58.729736328125</v>
      </c>
      <c r="G5159" s="6">
        <v>63.929397583007798</v>
      </c>
      <c r="H5159" s="6">
        <v>64.026092529296903</v>
      </c>
      <c r="I5159" s="6">
        <v>64.000221252441406</v>
      </c>
      <c r="J5159" s="6">
        <v>64.039611816406307</v>
      </c>
      <c r="K5159" s="6">
        <v>64.13623046875</v>
      </c>
      <c r="L5159" s="6">
        <v>57.589881896972699</v>
      </c>
    </row>
    <row r="5160" spans="1:12" x14ac:dyDescent="0.25">
      <c r="A5160">
        <v>3165107</v>
      </c>
      <c r="B5160" t="str">
        <f t="shared" si="80"/>
        <v>SAO TOMAS DE AQUINO, MG, Brasil</v>
      </c>
      <c r="C5160" s="4" t="str">
        <f>_xlfn.XLOOKUP(A5160,[1]!DadosGHD[CD_GEOCMU],[1]!DadosGHD[Região])</f>
        <v>SD</v>
      </c>
      <c r="D5160" s="4" t="str">
        <f>_xlfn.XLOOKUP(A5160,[1]!DadosGHD[CD_GEOCMU],[1]!DadosGHD[uf])</f>
        <v>MG</v>
      </c>
      <c r="E5160" s="5" t="str">
        <f>_xlfn.XLOOKUP(A5160,[1]!DadosGHD[CD_GEOCMU],[1]!DadosGHD[MUNICIPIO])</f>
        <v>SAO TOMAS DE AQUINO</v>
      </c>
      <c r="F5160" s="6">
        <v>58.730201721191399</v>
      </c>
      <c r="G5160" s="6">
        <v>53.759933471679702</v>
      </c>
      <c r="H5160" s="6">
        <v>53.761833190917997</v>
      </c>
      <c r="I5160" s="6">
        <v>53.782264709472699</v>
      </c>
      <c r="J5160" s="6">
        <v>53.844429016113303</v>
      </c>
      <c r="K5160" s="6">
        <v>59.007541656494098</v>
      </c>
      <c r="L5160" s="6">
        <v>57.515289306640597</v>
      </c>
    </row>
    <row r="5161" spans="1:12" x14ac:dyDescent="0.25">
      <c r="A5161">
        <v>5201504</v>
      </c>
      <c r="B5161" t="str">
        <f t="shared" si="80"/>
        <v>APORE, GO, Brasil</v>
      </c>
      <c r="C5161" s="4" t="str">
        <f>_xlfn.XLOOKUP(A5161,[1]!DadosGHD[CD_GEOCMU],[1]!DadosGHD[Região])</f>
        <v>CO</v>
      </c>
      <c r="D5161" s="4" t="str">
        <f>_xlfn.XLOOKUP(A5161,[1]!DadosGHD[CD_GEOCMU],[1]!DadosGHD[uf])</f>
        <v>GO</v>
      </c>
      <c r="E5161" s="5" t="str">
        <f>_xlfn.XLOOKUP(A5161,[1]!DadosGHD[CD_GEOCMU],[1]!DadosGHD[MUNICIPIO])</f>
        <v>APORE</v>
      </c>
      <c r="F5161" s="6">
        <v>58.730827331542997</v>
      </c>
      <c r="G5161" s="6">
        <v>53.813430786132798</v>
      </c>
      <c r="H5161" s="6">
        <v>53.8603515625</v>
      </c>
      <c r="I5161" s="6">
        <v>53.8219604492188</v>
      </c>
      <c r="J5161" s="6">
        <v>53.842369079589801</v>
      </c>
      <c r="K5161" s="6">
        <v>53.871246337890597</v>
      </c>
      <c r="L5161" s="6">
        <v>35.126903533935597</v>
      </c>
    </row>
    <row r="5162" spans="1:12" x14ac:dyDescent="0.25">
      <c r="A5162">
        <v>3127404</v>
      </c>
      <c r="B5162" t="str">
        <f t="shared" si="80"/>
        <v>GONCALVES, MG, Brasil</v>
      </c>
      <c r="C5162" s="4" t="str">
        <f>_xlfn.XLOOKUP(A5162,[1]!DadosGHD[CD_GEOCMU],[1]!DadosGHD[Região])</f>
        <v>SD</v>
      </c>
      <c r="D5162" s="4" t="str">
        <f>_xlfn.XLOOKUP(A5162,[1]!DadosGHD[CD_GEOCMU],[1]!DadosGHD[uf])</f>
        <v>MG</v>
      </c>
      <c r="E5162" s="5" t="str">
        <f>_xlfn.XLOOKUP(A5162,[1]!DadosGHD[CD_GEOCMU],[1]!DadosGHD[MUNICIPIO])</f>
        <v>GONCALVES</v>
      </c>
      <c r="F5162" s="6">
        <v>58.731349945068402</v>
      </c>
      <c r="G5162" s="6">
        <v>58.8085746765137</v>
      </c>
      <c r="H5162" s="6">
        <v>58.923324584960902</v>
      </c>
      <c r="I5162" s="6">
        <v>58.916652679443402</v>
      </c>
      <c r="J5162" s="6">
        <v>58.901073455810597</v>
      </c>
      <c r="K5162" s="6">
        <v>53.938446044921903</v>
      </c>
      <c r="L5162" s="6">
        <v>57.589881896972699</v>
      </c>
    </row>
    <row r="5163" spans="1:12" x14ac:dyDescent="0.25">
      <c r="A5163">
        <v>4108304</v>
      </c>
      <c r="B5163" t="str">
        <f t="shared" si="80"/>
        <v>FOZ DO IGUACU, PR, Brasil</v>
      </c>
      <c r="C5163" s="4" t="str">
        <f>_xlfn.XLOOKUP(A5163,[1]!DadosGHD[CD_GEOCMU],[1]!DadosGHD[Região])</f>
        <v>SL</v>
      </c>
      <c r="D5163" s="4" t="str">
        <f>_xlfn.XLOOKUP(A5163,[1]!DadosGHD[CD_GEOCMU],[1]!DadosGHD[uf])</f>
        <v>PR</v>
      </c>
      <c r="E5163" s="5" t="str">
        <f>_xlfn.XLOOKUP(A5163,[1]!DadosGHD[CD_GEOCMU],[1]!DadosGHD[MUNICIPIO])</f>
        <v>FOZ DO IGUACU</v>
      </c>
      <c r="F5163" s="6">
        <v>58.731529235839801</v>
      </c>
      <c r="G5163" s="6">
        <v>58.762638092041001</v>
      </c>
      <c r="H5163" s="6">
        <v>58.829341888427699</v>
      </c>
      <c r="I5163" s="6">
        <v>58.862682342529297</v>
      </c>
      <c r="J5163" s="6">
        <v>58.839881896972699</v>
      </c>
      <c r="K5163" s="6">
        <v>58.934417724609403</v>
      </c>
      <c r="L5163" s="6">
        <v>57.505096435546903</v>
      </c>
    </row>
    <row r="5164" spans="1:12" x14ac:dyDescent="0.25">
      <c r="A5164">
        <v>4315602</v>
      </c>
      <c r="B5164" t="str">
        <f t="shared" si="80"/>
        <v>RIO GRANDE, RS, Brasil</v>
      </c>
      <c r="C5164" s="4" t="str">
        <f>_xlfn.XLOOKUP(A5164,[1]!DadosGHD[CD_GEOCMU],[1]!DadosGHD[Região])</f>
        <v>SL</v>
      </c>
      <c r="D5164" s="4" t="str">
        <f>_xlfn.XLOOKUP(A5164,[1]!DadosGHD[CD_GEOCMU],[1]!DadosGHD[uf])</f>
        <v>RS</v>
      </c>
      <c r="E5164" s="5" t="str">
        <f>_xlfn.XLOOKUP(A5164,[1]!DadosGHD[CD_GEOCMU],[1]!DadosGHD[MUNICIPIO])</f>
        <v>RIO GRANDE</v>
      </c>
      <c r="F5164" s="6">
        <v>58.733390808105497</v>
      </c>
      <c r="G5164" s="6">
        <v>53.796920776367202</v>
      </c>
      <c r="H5164" s="6">
        <v>53.812873840332003</v>
      </c>
      <c r="I5164" s="6">
        <v>53.829063415527301</v>
      </c>
      <c r="J5164" s="6">
        <v>53.841468811035199</v>
      </c>
      <c r="K5164" s="6">
        <v>53.932361602783203</v>
      </c>
      <c r="L5164" s="6">
        <v>57.577362060546903</v>
      </c>
    </row>
    <row r="5165" spans="1:12" x14ac:dyDescent="0.25">
      <c r="A5165">
        <v>3531308</v>
      </c>
      <c r="B5165" t="str">
        <f t="shared" si="80"/>
        <v>MONTE ALTO, SP, Brasil</v>
      </c>
      <c r="C5165" s="4" t="str">
        <f>_xlfn.XLOOKUP(A5165,[1]!DadosGHD[CD_GEOCMU],[1]!DadosGHD[Região])</f>
        <v>SD</v>
      </c>
      <c r="D5165" s="4" t="str">
        <f>_xlfn.XLOOKUP(A5165,[1]!DadosGHD[CD_GEOCMU],[1]!DadosGHD[uf])</f>
        <v>SP</v>
      </c>
      <c r="E5165" s="5" t="str">
        <f>_xlfn.XLOOKUP(A5165,[1]!DadosGHD[CD_GEOCMU],[1]!DadosGHD[MUNICIPIO])</f>
        <v>MONTE ALTO</v>
      </c>
      <c r="F5165" s="6">
        <v>58.734390258789098</v>
      </c>
      <c r="G5165" s="6">
        <v>58.722030639648402</v>
      </c>
      <c r="H5165" s="6">
        <v>53.813316345214801</v>
      </c>
      <c r="I5165" s="6">
        <v>53.737888336181598</v>
      </c>
      <c r="J5165" s="6">
        <v>48.810367584228501</v>
      </c>
      <c r="K5165" s="6">
        <v>48.852062225341797</v>
      </c>
      <c r="L5165" s="6">
        <v>48.498088836669901</v>
      </c>
    </row>
    <row r="5166" spans="1:12" x14ac:dyDescent="0.25">
      <c r="A5166">
        <v>3511102</v>
      </c>
      <c r="B5166" t="str">
        <f t="shared" si="80"/>
        <v>CATANDUVA, SP, Brasil</v>
      </c>
      <c r="C5166" s="4" t="str">
        <f>_xlfn.XLOOKUP(A5166,[1]!DadosGHD[CD_GEOCMU],[1]!DadosGHD[Região])</f>
        <v>SD</v>
      </c>
      <c r="D5166" s="4" t="str">
        <f>_xlfn.XLOOKUP(A5166,[1]!DadosGHD[CD_GEOCMU],[1]!DadosGHD[uf])</f>
        <v>SP</v>
      </c>
      <c r="E5166" s="5" t="str">
        <f>_xlfn.XLOOKUP(A5166,[1]!DadosGHD[CD_GEOCMU],[1]!DadosGHD[MUNICIPIO])</f>
        <v>CATANDUVA</v>
      </c>
      <c r="F5166" s="6">
        <v>58.735145568847699</v>
      </c>
      <c r="G5166" s="6">
        <v>53.814170837402301</v>
      </c>
      <c r="H5166" s="6">
        <v>53.850135803222699</v>
      </c>
      <c r="I5166" s="6">
        <v>53.809253692627003</v>
      </c>
      <c r="J5166" s="6">
        <v>53.792552947998097</v>
      </c>
      <c r="K5166" s="6">
        <v>48.905921936035199</v>
      </c>
      <c r="L5166" s="6">
        <v>57.535778045654297</v>
      </c>
    </row>
    <row r="5167" spans="1:12" x14ac:dyDescent="0.25">
      <c r="A5167">
        <v>4217600</v>
      </c>
      <c r="B5167" t="str">
        <f t="shared" si="80"/>
        <v>SIDEROPOLIS, SC, Brasil</v>
      </c>
      <c r="C5167" s="4" t="str">
        <f>_xlfn.XLOOKUP(A5167,[1]!DadosGHD[CD_GEOCMU],[1]!DadosGHD[Região])</f>
        <v>SL</v>
      </c>
      <c r="D5167" s="4" t="str">
        <f>_xlfn.XLOOKUP(A5167,[1]!DadosGHD[CD_GEOCMU],[1]!DadosGHD[uf])</f>
        <v>SC</v>
      </c>
      <c r="E5167" s="5" t="str">
        <f>_xlfn.XLOOKUP(A5167,[1]!DadosGHD[CD_GEOCMU],[1]!DadosGHD[MUNICIPIO])</f>
        <v>SIDEROPOLIS</v>
      </c>
      <c r="F5167" s="6">
        <v>58.735500335693402</v>
      </c>
      <c r="G5167" s="6">
        <v>58.833892822265597</v>
      </c>
      <c r="H5167" s="6">
        <v>58.981559753417997</v>
      </c>
      <c r="I5167" s="6">
        <v>63.949031829833999</v>
      </c>
      <c r="J5167" s="6">
        <v>64.039611816406307</v>
      </c>
      <c r="K5167" s="6">
        <v>64.076339721679702</v>
      </c>
      <c r="L5167" s="6">
        <v>57.589881896972699</v>
      </c>
    </row>
    <row r="5168" spans="1:12" x14ac:dyDescent="0.25">
      <c r="A5168">
        <v>3533205</v>
      </c>
      <c r="B5168" t="str">
        <f t="shared" si="80"/>
        <v>NOVA INDEPENDENCIA, SP, Brasil</v>
      </c>
      <c r="C5168" s="4" t="str">
        <f>_xlfn.XLOOKUP(A5168,[1]!DadosGHD[CD_GEOCMU],[1]!DadosGHD[Região])</f>
        <v>SD</v>
      </c>
      <c r="D5168" s="4" t="str">
        <f>_xlfn.XLOOKUP(A5168,[1]!DadosGHD[CD_GEOCMU],[1]!DadosGHD[uf])</f>
        <v>SP</v>
      </c>
      <c r="E5168" s="5" t="str">
        <f>_xlfn.XLOOKUP(A5168,[1]!DadosGHD[CD_GEOCMU],[1]!DadosGHD[MUNICIPIO])</f>
        <v>NOVA INDEPENDENCIA</v>
      </c>
      <c r="F5168" s="6">
        <v>58.736602783203097</v>
      </c>
      <c r="G5168" s="6">
        <v>63.861076354980497</v>
      </c>
      <c r="H5168" s="6">
        <v>58.972599029541001</v>
      </c>
      <c r="I5168" s="6">
        <v>58.909351348877003</v>
      </c>
      <c r="J5168" s="6">
        <v>58.862274169921903</v>
      </c>
      <c r="K5168" s="6">
        <v>58.968250274658203</v>
      </c>
      <c r="L5168" s="6">
        <v>57.541149139404297</v>
      </c>
    </row>
    <row r="5169" spans="1:12" x14ac:dyDescent="0.25">
      <c r="A5169">
        <v>4304804</v>
      </c>
      <c r="B5169" t="str">
        <f t="shared" si="80"/>
        <v>CARLOS BARBOSA, RS, Brasil</v>
      </c>
      <c r="C5169" s="4" t="str">
        <f>_xlfn.XLOOKUP(A5169,[1]!DadosGHD[CD_GEOCMU],[1]!DadosGHD[Região])</f>
        <v>SL</v>
      </c>
      <c r="D5169" s="4" t="str">
        <f>_xlfn.XLOOKUP(A5169,[1]!DadosGHD[CD_GEOCMU],[1]!DadosGHD[uf])</f>
        <v>RS</v>
      </c>
      <c r="E5169" s="5" t="str">
        <f>_xlfn.XLOOKUP(A5169,[1]!DadosGHD[CD_GEOCMU],[1]!DadosGHD[MUNICIPIO])</f>
        <v>CARLOS BARBOSA</v>
      </c>
      <c r="F5169" s="6">
        <v>58.737533569335902</v>
      </c>
      <c r="G5169" s="6">
        <v>63.915225982666001</v>
      </c>
      <c r="H5169" s="6">
        <v>64.026092529296903</v>
      </c>
      <c r="I5169" s="6">
        <v>64.000221252441406</v>
      </c>
      <c r="J5169" s="6">
        <v>63.921924591064503</v>
      </c>
      <c r="K5169" s="6">
        <v>64.13623046875</v>
      </c>
      <c r="L5169" s="6">
        <v>57.589881896972699</v>
      </c>
    </row>
    <row r="5170" spans="1:12" x14ac:dyDescent="0.25">
      <c r="A5170">
        <v>3518008</v>
      </c>
      <c r="B5170" t="str">
        <f t="shared" si="80"/>
        <v>GUARANI D'OESTE, SP, Brasil</v>
      </c>
      <c r="C5170" s="4" t="str">
        <f>_xlfn.XLOOKUP(A5170,[1]!DadosGHD[CD_GEOCMU],[1]!DadosGHD[Região])</f>
        <v>SD</v>
      </c>
      <c r="D5170" s="4" t="str">
        <f>_xlfn.XLOOKUP(A5170,[1]!DadosGHD[CD_GEOCMU],[1]!DadosGHD[uf])</f>
        <v>SP</v>
      </c>
      <c r="E5170" s="5" t="str">
        <f>_xlfn.XLOOKUP(A5170,[1]!DadosGHD[CD_GEOCMU],[1]!DadosGHD[MUNICIPIO])</f>
        <v>GUARANI D'OESTE</v>
      </c>
      <c r="F5170" s="6">
        <v>58.737674713134801</v>
      </c>
      <c r="G5170" s="6">
        <v>53.698020935058601</v>
      </c>
      <c r="H5170" s="6">
        <v>53.756385803222699</v>
      </c>
      <c r="I5170" s="6">
        <v>48.821704864502003</v>
      </c>
      <c r="J5170" s="6">
        <v>53.730331420898402</v>
      </c>
      <c r="K5170" s="6">
        <v>53.81884765625</v>
      </c>
      <c r="L5170" s="6">
        <v>44.051937103271499</v>
      </c>
    </row>
    <row r="5171" spans="1:12" x14ac:dyDescent="0.25">
      <c r="A5171">
        <v>4212908</v>
      </c>
      <c r="B5171" t="str">
        <f t="shared" si="80"/>
        <v>PINHALZINHO, SC, Brasil</v>
      </c>
      <c r="C5171" s="4" t="str">
        <f>_xlfn.XLOOKUP(A5171,[1]!DadosGHD[CD_GEOCMU],[1]!DadosGHD[Região])</f>
        <v>SL</v>
      </c>
      <c r="D5171" s="4" t="str">
        <f>_xlfn.XLOOKUP(A5171,[1]!DadosGHD[CD_GEOCMU],[1]!DadosGHD[uf])</f>
        <v>SC</v>
      </c>
      <c r="E5171" s="5" t="str">
        <f>_xlfn.XLOOKUP(A5171,[1]!DadosGHD[CD_GEOCMU],[1]!DadosGHD[MUNICIPIO])</f>
        <v>PINHALZINHO</v>
      </c>
      <c r="F5171" s="6">
        <v>58.738147735595703</v>
      </c>
      <c r="G5171" s="6">
        <v>58.776664733886697</v>
      </c>
      <c r="H5171" s="6">
        <v>58.863445281982401</v>
      </c>
      <c r="I5171" s="6">
        <v>63.958408355712898</v>
      </c>
      <c r="J5171" s="6">
        <v>64.039611816406307</v>
      </c>
      <c r="K5171" s="6">
        <v>64.091812133789105</v>
      </c>
      <c r="L5171" s="6">
        <v>57.554847717285199</v>
      </c>
    </row>
    <row r="5172" spans="1:12" x14ac:dyDescent="0.25">
      <c r="A5172">
        <v>3500402</v>
      </c>
      <c r="B5172" t="str">
        <f t="shared" si="80"/>
        <v>AGUAS DA PRATA, SP, Brasil</v>
      </c>
      <c r="C5172" s="4" t="str">
        <f>_xlfn.XLOOKUP(A5172,[1]!DadosGHD[CD_GEOCMU],[1]!DadosGHD[Região])</f>
        <v>SD</v>
      </c>
      <c r="D5172" s="4" t="str">
        <f>_xlfn.XLOOKUP(A5172,[1]!DadosGHD[CD_GEOCMU],[1]!DadosGHD[uf])</f>
        <v>SP</v>
      </c>
      <c r="E5172" s="5" t="str">
        <f>_xlfn.XLOOKUP(A5172,[1]!DadosGHD[CD_GEOCMU],[1]!DadosGHD[MUNICIPIO])</f>
        <v>AGUAS DA PRATA</v>
      </c>
      <c r="F5172" s="6">
        <v>58.741153717041001</v>
      </c>
      <c r="G5172" s="6">
        <v>58.790596008300803</v>
      </c>
      <c r="H5172" s="6">
        <v>58.850345611572301</v>
      </c>
      <c r="I5172" s="6">
        <v>58.928897857666001</v>
      </c>
      <c r="J5172" s="6">
        <v>63.976955413818402</v>
      </c>
      <c r="K5172" s="6">
        <v>64.127899169921903</v>
      </c>
      <c r="L5172" s="6">
        <v>57.589881896972699</v>
      </c>
    </row>
    <row r="5173" spans="1:12" x14ac:dyDescent="0.25">
      <c r="A5173">
        <v>4207650</v>
      </c>
      <c r="B5173" t="str">
        <f t="shared" si="80"/>
        <v>IPORA DO OESTE, SC, Brasil</v>
      </c>
      <c r="C5173" s="4" t="str">
        <f>_xlfn.XLOOKUP(A5173,[1]!DadosGHD[CD_GEOCMU],[1]!DadosGHD[Região])</f>
        <v>SL</v>
      </c>
      <c r="D5173" s="4" t="str">
        <f>_xlfn.XLOOKUP(A5173,[1]!DadosGHD[CD_GEOCMU],[1]!DadosGHD[uf])</f>
        <v>SC</v>
      </c>
      <c r="E5173" s="5" t="str">
        <f>_xlfn.XLOOKUP(A5173,[1]!DadosGHD[CD_GEOCMU],[1]!DadosGHD[MUNICIPIO])</f>
        <v>IPORA DO OESTE</v>
      </c>
      <c r="F5173" s="6">
        <v>58.741264343261697</v>
      </c>
      <c r="G5173" s="6">
        <v>63.966358184814503</v>
      </c>
      <c r="H5173" s="6">
        <v>63.959609985351598</v>
      </c>
      <c r="I5173" s="6">
        <v>58.9681587219238</v>
      </c>
      <c r="J5173" s="6">
        <v>63.983959197998097</v>
      </c>
      <c r="K5173" s="6">
        <v>59.099784851074197</v>
      </c>
      <c r="L5173" s="6">
        <v>57.5218315124512</v>
      </c>
    </row>
    <row r="5174" spans="1:12" x14ac:dyDescent="0.25">
      <c r="A5174">
        <v>3555000</v>
      </c>
      <c r="B5174" t="str">
        <f t="shared" si="80"/>
        <v>TUPA, SP, Brasil</v>
      </c>
      <c r="C5174" s="4" t="str">
        <f>_xlfn.XLOOKUP(A5174,[1]!DadosGHD[CD_GEOCMU],[1]!DadosGHD[Região])</f>
        <v>SD</v>
      </c>
      <c r="D5174" s="4" t="str">
        <f>_xlfn.XLOOKUP(A5174,[1]!DadosGHD[CD_GEOCMU],[1]!DadosGHD[uf])</f>
        <v>SP</v>
      </c>
      <c r="E5174" s="5" t="str">
        <f>_xlfn.XLOOKUP(A5174,[1]!DadosGHD[CD_GEOCMU],[1]!DadosGHD[MUNICIPIO])</f>
        <v>TUPA</v>
      </c>
      <c r="F5174" s="6">
        <v>58.743576049804702</v>
      </c>
      <c r="G5174" s="6">
        <v>58.751125335693402</v>
      </c>
      <c r="H5174" s="6">
        <v>53.856315612792997</v>
      </c>
      <c r="I5174" s="6">
        <v>53.849323272705099</v>
      </c>
      <c r="J5174" s="6">
        <v>53.872028350830099</v>
      </c>
      <c r="K5174" s="6">
        <v>53.883079528808601</v>
      </c>
      <c r="L5174" s="6">
        <v>57.494850158691399</v>
      </c>
    </row>
    <row r="5175" spans="1:12" x14ac:dyDescent="0.25">
      <c r="A5175">
        <v>5211701</v>
      </c>
      <c r="B5175" t="str">
        <f t="shared" si="80"/>
        <v>JANDAIA, GO, Brasil</v>
      </c>
      <c r="C5175" s="4" t="str">
        <f>_xlfn.XLOOKUP(A5175,[1]!DadosGHD[CD_GEOCMU],[1]!DadosGHD[Região])</f>
        <v>CO</v>
      </c>
      <c r="D5175" s="4" t="str">
        <f>_xlfn.XLOOKUP(A5175,[1]!DadosGHD[CD_GEOCMU],[1]!DadosGHD[uf])</f>
        <v>GO</v>
      </c>
      <c r="E5175" s="5" t="str">
        <f>_xlfn.XLOOKUP(A5175,[1]!DadosGHD[CD_GEOCMU],[1]!DadosGHD[MUNICIPIO])</f>
        <v>JANDAIA</v>
      </c>
      <c r="F5175" s="6">
        <v>58.745216369628899</v>
      </c>
      <c r="G5175" s="6">
        <v>58.887451171875</v>
      </c>
      <c r="H5175" s="6">
        <v>63.930091857910199</v>
      </c>
      <c r="I5175" s="6">
        <v>63.974201202392599</v>
      </c>
      <c r="J5175" s="6">
        <v>64.039611816406307</v>
      </c>
      <c r="K5175" s="6">
        <v>59.015560150146499</v>
      </c>
      <c r="L5175" s="6">
        <v>44.031219482421903</v>
      </c>
    </row>
    <row r="5176" spans="1:12" x14ac:dyDescent="0.25">
      <c r="A5176">
        <v>3533403</v>
      </c>
      <c r="B5176" t="str">
        <f t="shared" si="80"/>
        <v>NOVA ODESSA, SP, Brasil</v>
      </c>
      <c r="C5176" s="4" t="str">
        <f>_xlfn.XLOOKUP(A5176,[1]!DadosGHD[CD_GEOCMU],[1]!DadosGHD[Região])</f>
        <v>SD</v>
      </c>
      <c r="D5176" s="4" t="str">
        <f>_xlfn.XLOOKUP(A5176,[1]!DadosGHD[CD_GEOCMU],[1]!DadosGHD[uf])</f>
        <v>SP</v>
      </c>
      <c r="E5176" s="5" t="str">
        <f>_xlfn.XLOOKUP(A5176,[1]!DadosGHD[CD_GEOCMU],[1]!DadosGHD[MUNICIPIO])</f>
        <v>NOVA ODESSA</v>
      </c>
      <c r="F5176" s="6">
        <v>58.746021270752003</v>
      </c>
      <c r="G5176" s="6">
        <v>58.736640930175803</v>
      </c>
      <c r="H5176" s="6">
        <v>53.847362518310597</v>
      </c>
      <c r="I5176" s="6">
        <v>53.870700836181598</v>
      </c>
      <c r="J5176" s="6">
        <v>53.8987846374512</v>
      </c>
      <c r="K5176" s="6">
        <v>53.974105834960902</v>
      </c>
      <c r="L5176" s="6">
        <v>57.569404602050803</v>
      </c>
    </row>
    <row r="5177" spans="1:12" x14ac:dyDescent="0.25">
      <c r="A5177">
        <v>3530805</v>
      </c>
      <c r="B5177" t="str">
        <f t="shared" si="80"/>
        <v>MOGI MIRIM, SP, Brasil</v>
      </c>
      <c r="C5177" s="4" t="str">
        <f>_xlfn.XLOOKUP(A5177,[1]!DadosGHD[CD_GEOCMU],[1]!DadosGHD[Região])</f>
        <v>SD</v>
      </c>
      <c r="D5177" s="4" t="str">
        <f>_xlfn.XLOOKUP(A5177,[1]!DadosGHD[CD_GEOCMU],[1]!DadosGHD[uf])</f>
        <v>SP</v>
      </c>
      <c r="E5177" s="5" t="str">
        <f>_xlfn.XLOOKUP(A5177,[1]!DadosGHD[CD_GEOCMU],[1]!DadosGHD[MUNICIPIO])</f>
        <v>MOGI MIRIM</v>
      </c>
      <c r="F5177" s="6">
        <v>58.746158599853501</v>
      </c>
      <c r="G5177" s="6">
        <v>58.863662719726598</v>
      </c>
      <c r="H5177" s="6">
        <v>58.928897857666001</v>
      </c>
      <c r="I5177" s="6">
        <v>58.853343963623097</v>
      </c>
      <c r="J5177" s="6">
        <v>58.849624633789098</v>
      </c>
      <c r="K5177" s="6">
        <v>53.971996307373097</v>
      </c>
      <c r="L5177" s="6">
        <v>57.543300628662102</v>
      </c>
    </row>
    <row r="5178" spans="1:12" x14ac:dyDescent="0.25">
      <c r="A5178">
        <v>3524808</v>
      </c>
      <c r="B5178" t="str">
        <f t="shared" si="80"/>
        <v>JALES, SP, Brasil</v>
      </c>
      <c r="C5178" s="4" t="str">
        <f>_xlfn.XLOOKUP(A5178,[1]!DadosGHD[CD_GEOCMU],[1]!DadosGHD[Região])</f>
        <v>SD</v>
      </c>
      <c r="D5178" s="4" t="str">
        <f>_xlfn.XLOOKUP(A5178,[1]!DadosGHD[CD_GEOCMU],[1]!DadosGHD[uf])</f>
        <v>SP</v>
      </c>
      <c r="E5178" s="5" t="str">
        <f>_xlfn.XLOOKUP(A5178,[1]!DadosGHD[CD_GEOCMU],[1]!DadosGHD[MUNICIPIO])</f>
        <v>JALES</v>
      </c>
      <c r="F5178" s="6">
        <v>58.746532440185597</v>
      </c>
      <c r="G5178" s="6">
        <v>58.800849914550803</v>
      </c>
      <c r="H5178" s="6">
        <v>58.82958984375</v>
      </c>
      <c r="I5178" s="6">
        <v>58.788806915283203</v>
      </c>
      <c r="J5178" s="6">
        <v>58.851863861083999</v>
      </c>
      <c r="K5178" s="6">
        <v>53.898372650146499</v>
      </c>
      <c r="L5178" s="6">
        <v>39.608211517333999</v>
      </c>
    </row>
    <row r="5179" spans="1:12" x14ac:dyDescent="0.25">
      <c r="A5179">
        <v>3549102</v>
      </c>
      <c r="B5179" t="str">
        <f t="shared" si="80"/>
        <v>SAO JOAO DA BOA VISTA, SP, Brasil</v>
      </c>
      <c r="C5179" s="4" t="str">
        <f>_xlfn.XLOOKUP(A5179,[1]!DadosGHD[CD_GEOCMU],[1]!DadosGHD[Região])</f>
        <v>SD</v>
      </c>
      <c r="D5179" s="4" t="str">
        <f>_xlfn.XLOOKUP(A5179,[1]!DadosGHD[CD_GEOCMU],[1]!DadosGHD[uf])</f>
        <v>SP</v>
      </c>
      <c r="E5179" s="5" t="str">
        <f>_xlfn.XLOOKUP(A5179,[1]!DadosGHD[CD_GEOCMU],[1]!DadosGHD[MUNICIPIO])</f>
        <v>SAO JOAO DA BOA VISTA</v>
      </c>
      <c r="F5179" s="6">
        <v>58.746719360351598</v>
      </c>
      <c r="G5179" s="6">
        <v>58.795711517333999</v>
      </c>
      <c r="H5179" s="6">
        <v>58.836479187011697</v>
      </c>
      <c r="I5179" s="6">
        <v>58.869255065917997</v>
      </c>
      <c r="J5179" s="6">
        <v>58.849643707275398</v>
      </c>
      <c r="K5179" s="6">
        <v>58.936065673828097</v>
      </c>
      <c r="L5179" s="6">
        <v>57.580047607421903</v>
      </c>
    </row>
    <row r="5180" spans="1:12" x14ac:dyDescent="0.25">
      <c r="A5180">
        <v>5212808</v>
      </c>
      <c r="B5180" t="str">
        <f t="shared" si="80"/>
        <v>MARA ROSA, GO, Brasil</v>
      </c>
      <c r="C5180" s="4" t="str">
        <f>_xlfn.XLOOKUP(A5180,[1]!DadosGHD[CD_GEOCMU],[1]!DadosGHD[Região])</f>
        <v>CO</v>
      </c>
      <c r="D5180" s="4" t="str">
        <f>_xlfn.XLOOKUP(A5180,[1]!DadosGHD[CD_GEOCMU],[1]!DadosGHD[uf])</f>
        <v>GO</v>
      </c>
      <c r="E5180" s="5" t="str">
        <f>_xlfn.XLOOKUP(A5180,[1]!DadosGHD[CD_GEOCMU],[1]!DadosGHD[MUNICIPIO])</f>
        <v>MARA ROSA</v>
      </c>
      <c r="F5180" s="6">
        <v>58.747932434082003</v>
      </c>
      <c r="G5180" s="6">
        <v>58.828498840332003</v>
      </c>
      <c r="H5180" s="6">
        <v>64.026092529296903</v>
      </c>
      <c r="I5180" s="6">
        <v>64.000221252441406</v>
      </c>
      <c r="J5180" s="6">
        <v>64.039611816406307</v>
      </c>
      <c r="K5180" s="6">
        <v>59.102550506591797</v>
      </c>
      <c r="L5180" s="6">
        <v>48.520362854003899</v>
      </c>
    </row>
    <row r="5181" spans="1:12" x14ac:dyDescent="0.25">
      <c r="A5181">
        <v>4206751</v>
      </c>
      <c r="B5181" t="str">
        <f t="shared" si="80"/>
        <v>IBIAM, SC, Brasil</v>
      </c>
      <c r="C5181" s="4" t="str">
        <f>_xlfn.XLOOKUP(A5181,[1]!DadosGHD[CD_GEOCMU],[1]!DadosGHD[Região])</f>
        <v>SL</v>
      </c>
      <c r="D5181" s="4" t="str">
        <f>_xlfn.XLOOKUP(A5181,[1]!DadosGHD[CD_GEOCMU],[1]!DadosGHD[uf])</f>
        <v>SC</v>
      </c>
      <c r="E5181" s="5" t="str">
        <f>_xlfn.XLOOKUP(A5181,[1]!DadosGHD[CD_GEOCMU],[1]!DadosGHD[MUNICIPIO])</f>
        <v>IBIAM</v>
      </c>
      <c r="F5181" s="6">
        <v>58.749481201171903</v>
      </c>
      <c r="G5181" s="6">
        <v>53.6819458007813</v>
      </c>
      <c r="H5181" s="6">
        <v>58.823486328125</v>
      </c>
      <c r="I5181" s="6">
        <v>58.802879333496101</v>
      </c>
      <c r="J5181" s="6">
        <v>58.859062194824197</v>
      </c>
      <c r="K5181" s="6">
        <v>58.917373657226598</v>
      </c>
      <c r="L5181" s="6">
        <v>48.504573822021499</v>
      </c>
    </row>
    <row r="5182" spans="1:12" x14ac:dyDescent="0.25">
      <c r="A5182">
        <v>3507407</v>
      </c>
      <c r="B5182" t="str">
        <f t="shared" si="80"/>
        <v>BORBOREMA, SP, Brasil</v>
      </c>
      <c r="C5182" s="4" t="str">
        <f>_xlfn.XLOOKUP(A5182,[1]!DadosGHD[CD_GEOCMU],[1]!DadosGHD[Região])</f>
        <v>SD</v>
      </c>
      <c r="D5182" s="4" t="str">
        <f>_xlfn.XLOOKUP(A5182,[1]!DadosGHD[CD_GEOCMU],[1]!DadosGHD[uf])</f>
        <v>SP</v>
      </c>
      <c r="E5182" s="5" t="str">
        <f>_xlfn.XLOOKUP(A5182,[1]!DadosGHD[CD_GEOCMU],[1]!DadosGHD[MUNICIPIO])</f>
        <v>BORBOREMA</v>
      </c>
      <c r="F5182" s="6">
        <v>58.7496337890625</v>
      </c>
      <c r="G5182" s="6">
        <v>58.828971862792997</v>
      </c>
      <c r="H5182" s="6">
        <v>58.832496643066399</v>
      </c>
      <c r="I5182" s="6">
        <v>53.755836486816399</v>
      </c>
      <c r="J5182" s="6">
        <v>53.778533935546903</v>
      </c>
      <c r="K5182" s="6">
        <v>48.864337921142599</v>
      </c>
      <c r="L5182" s="6">
        <v>57.563961029052699</v>
      </c>
    </row>
    <row r="5183" spans="1:12" x14ac:dyDescent="0.25">
      <c r="A5183">
        <v>3117876</v>
      </c>
      <c r="B5183" t="str">
        <f t="shared" si="80"/>
        <v>CONFINS, MG, Brasil</v>
      </c>
      <c r="C5183" s="4" t="str">
        <f>_xlfn.XLOOKUP(A5183,[1]!DadosGHD[CD_GEOCMU],[1]!DadosGHD[Região])</f>
        <v>SD</v>
      </c>
      <c r="D5183" s="4" t="str">
        <f>_xlfn.XLOOKUP(A5183,[1]!DadosGHD[CD_GEOCMU],[1]!DadosGHD[uf])</f>
        <v>MG</v>
      </c>
      <c r="E5183" s="5" t="str">
        <f>_xlfn.XLOOKUP(A5183,[1]!DadosGHD[CD_GEOCMU],[1]!DadosGHD[MUNICIPIO])</f>
        <v>CONFINS</v>
      </c>
      <c r="F5183" s="6">
        <v>58.7500610351563</v>
      </c>
      <c r="G5183" s="6">
        <v>53.664196014404297</v>
      </c>
      <c r="H5183" s="6">
        <v>43.806476593017599</v>
      </c>
      <c r="I5183" s="6">
        <v>48.805309295654297</v>
      </c>
      <c r="J5183" s="6">
        <v>48.756229400634801</v>
      </c>
      <c r="K5183" s="6">
        <v>58.943645477294901</v>
      </c>
      <c r="L5183" s="6">
        <v>57.582195281982401</v>
      </c>
    </row>
    <row r="5184" spans="1:12" x14ac:dyDescent="0.25">
      <c r="A5184">
        <v>4128625</v>
      </c>
      <c r="B5184" t="str">
        <f t="shared" si="80"/>
        <v>ALTO PARAISO, PR, Brasil</v>
      </c>
      <c r="C5184" s="4" t="str">
        <f>_xlfn.XLOOKUP(A5184,[1]!DadosGHD[CD_GEOCMU],[1]!DadosGHD[Região])</f>
        <v>SL</v>
      </c>
      <c r="D5184" s="4" t="str">
        <f>_xlfn.XLOOKUP(A5184,[1]!DadosGHD[CD_GEOCMU],[1]!DadosGHD[uf])</f>
        <v>PR</v>
      </c>
      <c r="E5184" s="5" t="str">
        <f>_xlfn.XLOOKUP(A5184,[1]!DadosGHD[CD_GEOCMU],[1]!DadosGHD[MUNICIPIO])</f>
        <v>ALTO PARAISO</v>
      </c>
      <c r="F5184" s="6">
        <v>58.750160217285199</v>
      </c>
      <c r="G5184" s="6">
        <v>53.719001770019503</v>
      </c>
      <c r="H5184" s="6">
        <v>58.985755920410199</v>
      </c>
      <c r="I5184" s="6">
        <v>58.837814331054702</v>
      </c>
      <c r="J5184" s="6">
        <v>64.039611816406307</v>
      </c>
      <c r="K5184" s="6">
        <v>64.13623046875</v>
      </c>
      <c r="L5184" s="6">
        <v>57.589881896972699</v>
      </c>
    </row>
    <row r="5185" spans="1:12" x14ac:dyDescent="0.25">
      <c r="A5185">
        <v>4102109</v>
      </c>
      <c r="B5185" t="str">
        <f t="shared" si="80"/>
        <v>ASTORGA, PR, Brasil</v>
      </c>
      <c r="C5185" s="4" t="str">
        <f>_xlfn.XLOOKUP(A5185,[1]!DadosGHD[CD_GEOCMU],[1]!DadosGHD[Região])</f>
        <v>SL</v>
      </c>
      <c r="D5185" s="4" t="str">
        <f>_xlfn.XLOOKUP(A5185,[1]!DadosGHD[CD_GEOCMU],[1]!DadosGHD[uf])</f>
        <v>PR</v>
      </c>
      <c r="E5185" s="5" t="str">
        <f>_xlfn.XLOOKUP(A5185,[1]!DadosGHD[CD_GEOCMU],[1]!DadosGHD[MUNICIPIO])</f>
        <v>ASTORGA</v>
      </c>
      <c r="F5185" s="6">
        <v>58.750724792480497</v>
      </c>
      <c r="G5185" s="6">
        <v>58.871170043945298</v>
      </c>
      <c r="H5185" s="6">
        <v>58.871932983398402</v>
      </c>
      <c r="I5185" s="6">
        <v>58.864501953125</v>
      </c>
      <c r="J5185" s="6">
        <v>58.824855804443402</v>
      </c>
      <c r="K5185" s="6">
        <v>53.942821502685597</v>
      </c>
      <c r="L5185" s="6">
        <v>53.015281677246101</v>
      </c>
    </row>
    <row r="5186" spans="1:12" x14ac:dyDescent="0.25">
      <c r="A5186">
        <v>3110400</v>
      </c>
      <c r="B5186" t="str">
        <f t="shared" si="80"/>
        <v>CAMACHO, MG, Brasil</v>
      </c>
      <c r="C5186" s="4" t="str">
        <f>_xlfn.XLOOKUP(A5186,[1]!DadosGHD[CD_GEOCMU],[1]!DadosGHD[Região])</f>
        <v>SD</v>
      </c>
      <c r="D5186" s="4" t="str">
        <f>_xlfn.XLOOKUP(A5186,[1]!DadosGHD[CD_GEOCMU],[1]!DadosGHD[uf])</f>
        <v>MG</v>
      </c>
      <c r="E5186" s="5" t="str">
        <f>_xlfn.XLOOKUP(A5186,[1]!DadosGHD[CD_GEOCMU],[1]!DadosGHD[MUNICIPIO])</f>
        <v>CAMACHO</v>
      </c>
      <c r="F5186" s="6">
        <v>58.752105712890597</v>
      </c>
      <c r="G5186" s="6">
        <v>58.776012420654297</v>
      </c>
      <c r="H5186" s="6">
        <v>58.890636444091797</v>
      </c>
      <c r="I5186" s="6">
        <v>58.876487731933601</v>
      </c>
      <c r="J5186" s="6">
        <v>64.021774291992202</v>
      </c>
      <c r="K5186" s="6">
        <v>64.084548950195298</v>
      </c>
      <c r="L5186" s="6">
        <v>44.07568359375</v>
      </c>
    </row>
    <row r="5187" spans="1:12" x14ac:dyDescent="0.25">
      <c r="A5187">
        <v>3518206</v>
      </c>
      <c r="B5187" t="str">
        <f t="shared" si="80"/>
        <v>GUARARAPES, SP, Brasil</v>
      </c>
      <c r="C5187" s="4" t="str">
        <f>_xlfn.XLOOKUP(A5187,[1]!DadosGHD[CD_GEOCMU],[1]!DadosGHD[Região])</f>
        <v>SD</v>
      </c>
      <c r="D5187" s="4" t="str">
        <f>_xlfn.XLOOKUP(A5187,[1]!DadosGHD[CD_GEOCMU],[1]!DadosGHD[uf])</f>
        <v>SP</v>
      </c>
      <c r="E5187" s="5" t="str">
        <f>_xlfn.XLOOKUP(A5187,[1]!DadosGHD[CD_GEOCMU],[1]!DadosGHD[MUNICIPIO])</f>
        <v>GUARARAPES</v>
      </c>
      <c r="F5187" s="6">
        <v>58.7521781921387</v>
      </c>
      <c r="G5187" s="6">
        <v>58.903858184814503</v>
      </c>
      <c r="H5187" s="6">
        <v>58.902576446533203</v>
      </c>
      <c r="I5187" s="6">
        <v>58.820163726806598</v>
      </c>
      <c r="J5187" s="6">
        <v>53.893211364746101</v>
      </c>
      <c r="K5187" s="6">
        <v>53.894485473632798</v>
      </c>
      <c r="L5187" s="6">
        <v>53.062389373779297</v>
      </c>
    </row>
    <row r="5188" spans="1:12" x14ac:dyDescent="0.25">
      <c r="A5188">
        <v>3160900</v>
      </c>
      <c r="B5188" t="str">
        <f t="shared" ref="B5188:B5251" si="81">_xlfn.CONCAT(E5188, ", ", D5188, ", Brasil")</f>
        <v>SAO BRAS DO SUACUI, MG, Brasil</v>
      </c>
      <c r="C5188" s="4" t="str">
        <f>_xlfn.XLOOKUP(A5188,[1]!DadosGHD[CD_GEOCMU],[1]!DadosGHD[Região])</f>
        <v>SD</v>
      </c>
      <c r="D5188" s="4" t="str">
        <f>_xlfn.XLOOKUP(A5188,[1]!DadosGHD[CD_GEOCMU],[1]!DadosGHD[uf])</f>
        <v>MG</v>
      </c>
      <c r="E5188" s="5" t="str">
        <f>_xlfn.XLOOKUP(A5188,[1]!DadosGHD[CD_GEOCMU],[1]!DadosGHD[MUNICIPIO])</f>
        <v>SAO BRAS DO SUACUI</v>
      </c>
      <c r="F5188" s="6">
        <v>58.752281188964801</v>
      </c>
      <c r="G5188" s="6">
        <v>48.677505493164098</v>
      </c>
      <c r="H5188" s="6">
        <v>48.714771270752003</v>
      </c>
      <c r="I5188" s="6">
        <v>48.784664154052699</v>
      </c>
      <c r="J5188" s="6">
        <v>53.851509094238303</v>
      </c>
      <c r="K5188" s="6">
        <v>53.995368957519503</v>
      </c>
      <c r="L5188" s="6">
        <v>57.524242401123097</v>
      </c>
    </row>
    <row r="5189" spans="1:12" x14ac:dyDescent="0.25">
      <c r="A5189">
        <v>5211008</v>
      </c>
      <c r="B5189" t="str">
        <f t="shared" si="81"/>
        <v>ITAPIRAPUA, GO, Brasil</v>
      </c>
      <c r="C5189" s="4" t="str">
        <f>_xlfn.XLOOKUP(A5189,[1]!DadosGHD[CD_GEOCMU],[1]!DadosGHD[Região])</f>
        <v>CO</v>
      </c>
      <c r="D5189" s="4" t="str">
        <f>_xlfn.XLOOKUP(A5189,[1]!DadosGHD[CD_GEOCMU],[1]!DadosGHD[uf])</f>
        <v>GO</v>
      </c>
      <c r="E5189" s="5" t="str">
        <f>_xlfn.XLOOKUP(A5189,[1]!DadosGHD[CD_GEOCMU],[1]!DadosGHD[MUNICIPIO])</f>
        <v>ITAPIRAPUA</v>
      </c>
      <c r="F5189" s="6">
        <v>58.752525329589801</v>
      </c>
      <c r="G5189" s="6">
        <v>58.848876953125</v>
      </c>
      <c r="H5189" s="6">
        <v>64.026092529296903</v>
      </c>
      <c r="I5189" s="6">
        <v>64.000221252441406</v>
      </c>
      <c r="J5189" s="6">
        <v>64.039611816406307</v>
      </c>
      <c r="K5189" s="6">
        <v>64.13623046875</v>
      </c>
      <c r="L5189" s="6">
        <v>35.131080627441399</v>
      </c>
    </row>
    <row r="5190" spans="1:12" x14ac:dyDescent="0.25">
      <c r="A5190">
        <v>3517406</v>
      </c>
      <c r="B5190" t="str">
        <f t="shared" si="81"/>
        <v>GUAIRA, SP, Brasil</v>
      </c>
      <c r="C5190" s="4" t="str">
        <f>_xlfn.XLOOKUP(A5190,[1]!DadosGHD[CD_GEOCMU],[1]!DadosGHD[Região])</f>
        <v>SD</v>
      </c>
      <c r="D5190" s="4" t="str">
        <f>_xlfn.XLOOKUP(A5190,[1]!DadosGHD[CD_GEOCMU],[1]!DadosGHD[uf])</f>
        <v>SP</v>
      </c>
      <c r="E5190" s="5" t="str">
        <f>_xlfn.XLOOKUP(A5190,[1]!DadosGHD[CD_GEOCMU],[1]!DadosGHD[MUNICIPIO])</f>
        <v>GUAIRA</v>
      </c>
      <c r="F5190" s="6">
        <v>58.752918243408203</v>
      </c>
      <c r="G5190" s="6">
        <v>58.820270538330099</v>
      </c>
      <c r="H5190" s="6">
        <v>58.868721008300803</v>
      </c>
      <c r="I5190" s="6">
        <v>53.880321502685597</v>
      </c>
      <c r="J5190" s="6">
        <v>58.862461090087898</v>
      </c>
      <c r="K5190" s="6">
        <v>58.919151306152301</v>
      </c>
      <c r="L5190" s="6">
        <v>57.589881896972699</v>
      </c>
    </row>
    <row r="5191" spans="1:12" x14ac:dyDescent="0.25">
      <c r="A5191">
        <v>3550407</v>
      </c>
      <c r="B5191" t="str">
        <f t="shared" si="81"/>
        <v>SAO PEDRO, SP, Brasil</v>
      </c>
      <c r="C5191" s="4" t="str">
        <f>_xlfn.XLOOKUP(A5191,[1]!DadosGHD[CD_GEOCMU],[1]!DadosGHD[Região])</f>
        <v>SD</v>
      </c>
      <c r="D5191" s="4" t="str">
        <f>_xlfn.XLOOKUP(A5191,[1]!DadosGHD[CD_GEOCMU],[1]!DadosGHD[uf])</f>
        <v>SP</v>
      </c>
      <c r="E5191" s="5" t="str">
        <f>_xlfn.XLOOKUP(A5191,[1]!DadosGHD[CD_GEOCMU],[1]!DadosGHD[MUNICIPIO])</f>
        <v>SAO PEDRO</v>
      </c>
      <c r="F5191" s="6">
        <v>58.7543334960938</v>
      </c>
      <c r="G5191" s="6">
        <v>53.754398345947301</v>
      </c>
      <c r="H5191" s="6">
        <v>53.824676513671903</v>
      </c>
      <c r="I5191" s="6">
        <v>53.867069244384801</v>
      </c>
      <c r="J5191" s="6">
        <v>53.731494903564503</v>
      </c>
      <c r="K5191" s="6">
        <v>48.877716064453097</v>
      </c>
      <c r="L5191" s="6">
        <v>48.5044555664063</v>
      </c>
    </row>
    <row r="5192" spans="1:12" x14ac:dyDescent="0.25">
      <c r="A5192">
        <v>3512506</v>
      </c>
      <c r="B5192" t="str">
        <f t="shared" si="81"/>
        <v>COROADOS, SP, Brasil</v>
      </c>
      <c r="C5192" s="4" t="str">
        <f>_xlfn.XLOOKUP(A5192,[1]!DadosGHD[CD_GEOCMU],[1]!DadosGHD[Região])</f>
        <v>SD</v>
      </c>
      <c r="D5192" s="4" t="str">
        <f>_xlfn.XLOOKUP(A5192,[1]!DadosGHD[CD_GEOCMU],[1]!DadosGHD[uf])</f>
        <v>SP</v>
      </c>
      <c r="E5192" s="5" t="str">
        <f>_xlfn.XLOOKUP(A5192,[1]!DadosGHD[CD_GEOCMU],[1]!DadosGHD[MUNICIPIO])</f>
        <v>COROADOS</v>
      </c>
      <c r="F5192" s="6">
        <v>58.754608154296903</v>
      </c>
      <c r="G5192" s="6">
        <v>53.7081909179688</v>
      </c>
      <c r="H5192" s="6">
        <v>48.8430786132813</v>
      </c>
      <c r="I5192" s="6">
        <v>48.797946929931598</v>
      </c>
      <c r="J5192" s="6">
        <v>48.785835266113303</v>
      </c>
      <c r="K5192" s="6">
        <v>48.815250396728501</v>
      </c>
      <c r="L5192" s="6">
        <v>35.152824401855497</v>
      </c>
    </row>
    <row r="5193" spans="1:12" x14ac:dyDescent="0.25">
      <c r="A5193">
        <v>4320230</v>
      </c>
      <c r="B5193" t="str">
        <f t="shared" si="81"/>
        <v>SEDE NOVA, RS, Brasil</v>
      </c>
      <c r="C5193" s="4" t="str">
        <f>_xlfn.XLOOKUP(A5193,[1]!DadosGHD[CD_GEOCMU],[1]!DadosGHD[Região])</f>
        <v>SL</v>
      </c>
      <c r="D5193" s="4" t="str">
        <f>_xlfn.XLOOKUP(A5193,[1]!DadosGHD[CD_GEOCMU],[1]!DadosGHD[uf])</f>
        <v>RS</v>
      </c>
      <c r="E5193" s="5" t="str">
        <f>_xlfn.XLOOKUP(A5193,[1]!DadosGHD[CD_GEOCMU],[1]!DadosGHD[MUNICIPIO])</f>
        <v>SEDE NOVA</v>
      </c>
      <c r="F5193" s="6">
        <v>58.756248474121101</v>
      </c>
      <c r="G5193" s="6">
        <v>63.961429595947301</v>
      </c>
      <c r="H5193" s="6">
        <v>64.026092529296903</v>
      </c>
      <c r="I5193" s="6">
        <v>64.000221252441406</v>
      </c>
      <c r="J5193" s="6">
        <v>64.039611816406307</v>
      </c>
      <c r="K5193" s="6">
        <v>58.982170104980497</v>
      </c>
      <c r="L5193" s="6">
        <v>44.058811187744098</v>
      </c>
    </row>
    <row r="5194" spans="1:12" x14ac:dyDescent="0.25">
      <c r="A5194">
        <v>5211909</v>
      </c>
      <c r="B5194" t="str">
        <f t="shared" si="81"/>
        <v>JATAI, GO, Brasil</v>
      </c>
      <c r="C5194" s="4" t="str">
        <f>_xlfn.XLOOKUP(A5194,[1]!DadosGHD[CD_GEOCMU],[1]!DadosGHD[Região])</f>
        <v>CO</v>
      </c>
      <c r="D5194" s="4" t="str">
        <f>_xlfn.XLOOKUP(A5194,[1]!DadosGHD[CD_GEOCMU],[1]!DadosGHD[uf])</f>
        <v>GO</v>
      </c>
      <c r="E5194" s="5" t="str">
        <f>_xlfn.XLOOKUP(A5194,[1]!DadosGHD[CD_GEOCMU],[1]!DadosGHD[MUNICIPIO])</f>
        <v>JATAI</v>
      </c>
      <c r="F5194" s="6">
        <v>58.758251190185597</v>
      </c>
      <c r="G5194" s="6">
        <v>58.843616485595703</v>
      </c>
      <c r="H5194" s="6">
        <v>58.9564819335938</v>
      </c>
      <c r="I5194" s="6">
        <v>58.965629577636697</v>
      </c>
      <c r="J5194" s="6">
        <v>58.969841003417997</v>
      </c>
      <c r="K5194" s="6">
        <v>59.059455871582003</v>
      </c>
      <c r="L5194" s="6">
        <v>53.008781433105497</v>
      </c>
    </row>
    <row r="5195" spans="1:12" x14ac:dyDescent="0.25">
      <c r="A5195">
        <v>5212204</v>
      </c>
      <c r="B5195" t="str">
        <f t="shared" si="81"/>
        <v>JUSSARA, GO, Brasil</v>
      </c>
      <c r="C5195" s="4" t="str">
        <f>_xlfn.XLOOKUP(A5195,[1]!DadosGHD[CD_GEOCMU],[1]!DadosGHD[Região])</f>
        <v>CO</v>
      </c>
      <c r="D5195" s="4" t="str">
        <f>_xlfn.XLOOKUP(A5195,[1]!DadosGHD[CD_GEOCMU],[1]!DadosGHD[uf])</f>
        <v>GO</v>
      </c>
      <c r="E5195" s="5" t="str">
        <f>_xlfn.XLOOKUP(A5195,[1]!DadosGHD[CD_GEOCMU],[1]!DadosGHD[MUNICIPIO])</f>
        <v>JUSSARA</v>
      </c>
      <c r="F5195" s="6">
        <v>58.758495330810597</v>
      </c>
      <c r="G5195" s="6">
        <v>58.867362976074197</v>
      </c>
      <c r="H5195" s="6">
        <v>63.991493225097699</v>
      </c>
      <c r="I5195" s="6">
        <v>64.000221252441406</v>
      </c>
      <c r="J5195" s="6">
        <v>63.9456596374512</v>
      </c>
      <c r="K5195" s="6">
        <v>64.132987976074205</v>
      </c>
      <c r="L5195" s="6">
        <v>44.052906036377003</v>
      </c>
    </row>
    <row r="5196" spans="1:12" x14ac:dyDescent="0.25">
      <c r="A5196">
        <v>3538808</v>
      </c>
      <c r="B5196" t="str">
        <f t="shared" si="81"/>
        <v>PIRAJU, SP, Brasil</v>
      </c>
      <c r="C5196" s="4" t="str">
        <f>_xlfn.XLOOKUP(A5196,[1]!DadosGHD[CD_GEOCMU],[1]!DadosGHD[Região])</f>
        <v>SD</v>
      </c>
      <c r="D5196" s="4" t="str">
        <f>_xlfn.XLOOKUP(A5196,[1]!DadosGHD[CD_GEOCMU],[1]!DadosGHD[uf])</f>
        <v>SP</v>
      </c>
      <c r="E5196" s="5" t="str">
        <f>_xlfn.XLOOKUP(A5196,[1]!DadosGHD[CD_GEOCMU],[1]!DadosGHD[MUNICIPIO])</f>
        <v>PIRAJU</v>
      </c>
      <c r="F5196" s="6">
        <v>58.758575439453097</v>
      </c>
      <c r="G5196" s="6">
        <v>58.796817779541001</v>
      </c>
      <c r="H5196" s="6">
        <v>58.857242584228501</v>
      </c>
      <c r="I5196" s="6">
        <v>58.807796478271499</v>
      </c>
      <c r="J5196" s="6">
        <v>58.926105499267599</v>
      </c>
      <c r="K5196" s="6">
        <v>58.9053955078125</v>
      </c>
      <c r="L5196" s="6">
        <v>57.565948486328097</v>
      </c>
    </row>
    <row r="5197" spans="1:12" x14ac:dyDescent="0.25">
      <c r="A5197">
        <v>4313359</v>
      </c>
      <c r="B5197" t="str">
        <f t="shared" si="81"/>
        <v>NOVA ROMA DO SUL, RS, Brasil</v>
      </c>
      <c r="C5197" s="4" t="str">
        <f>_xlfn.XLOOKUP(A5197,[1]!DadosGHD[CD_GEOCMU],[1]!DadosGHD[Região])</f>
        <v>SL</v>
      </c>
      <c r="D5197" s="4" t="str">
        <f>_xlfn.XLOOKUP(A5197,[1]!DadosGHD[CD_GEOCMU],[1]!DadosGHD[uf])</f>
        <v>RS</v>
      </c>
      <c r="E5197" s="5" t="str">
        <f>_xlfn.XLOOKUP(A5197,[1]!DadosGHD[CD_GEOCMU],[1]!DadosGHD[MUNICIPIO])</f>
        <v>NOVA ROMA DO SUL</v>
      </c>
      <c r="F5197" s="6">
        <v>58.758834838867202</v>
      </c>
      <c r="G5197" s="6">
        <v>63.959506988525398</v>
      </c>
      <c r="H5197" s="6">
        <v>53.902141571044901</v>
      </c>
      <c r="I5197" s="6">
        <v>58.832557678222699</v>
      </c>
      <c r="J5197" s="6">
        <v>63.953895568847699</v>
      </c>
      <c r="K5197" s="6">
        <v>59.041206359863303</v>
      </c>
      <c r="L5197" s="6">
        <v>57.589881896972699</v>
      </c>
    </row>
    <row r="5198" spans="1:12" x14ac:dyDescent="0.25">
      <c r="A5198">
        <v>4320552</v>
      </c>
      <c r="B5198" t="str">
        <f t="shared" si="81"/>
        <v>SERTAO SANTANA, RS, Brasil</v>
      </c>
      <c r="C5198" s="4" t="str">
        <f>_xlfn.XLOOKUP(A5198,[1]!DadosGHD[CD_GEOCMU],[1]!DadosGHD[Região])</f>
        <v>SL</v>
      </c>
      <c r="D5198" s="4" t="str">
        <f>_xlfn.XLOOKUP(A5198,[1]!DadosGHD[CD_GEOCMU],[1]!DadosGHD[uf])</f>
        <v>RS</v>
      </c>
      <c r="E5198" s="5" t="str">
        <f>_xlfn.XLOOKUP(A5198,[1]!DadosGHD[CD_GEOCMU],[1]!DadosGHD[MUNICIPIO])</f>
        <v>SERTAO SANTANA</v>
      </c>
      <c r="F5198" s="6">
        <v>58.759410858154297</v>
      </c>
      <c r="G5198" s="6">
        <v>58.888862609863303</v>
      </c>
      <c r="H5198" s="6">
        <v>58.907550811767599</v>
      </c>
      <c r="I5198" s="6">
        <v>63.951496124267599</v>
      </c>
      <c r="J5198" s="6">
        <v>63.953773498535199</v>
      </c>
      <c r="K5198" s="6">
        <v>64.13623046875</v>
      </c>
      <c r="L5198" s="6">
        <v>57.589881896972699</v>
      </c>
    </row>
    <row r="5199" spans="1:12" x14ac:dyDescent="0.25">
      <c r="A5199">
        <v>4204004</v>
      </c>
      <c r="B5199" t="str">
        <f t="shared" si="81"/>
        <v>CATANDUVAS, SC, Brasil</v>
      </c>
      <c r="C5199" s="4" t="str">
        <f>_xlfn.XLOOKUP(A5199,[1]!DadosGHD[CD_GEOCMU],[1]!DadosGHD[Região])</f>
        <v>SL</v>
      </c>
      <c r="D5199" s="4" t="str">
        <f>_xlfn.XLOOKUP(A5199,[1]!DadosGHD[CD_GEOCMU],[1]!DadosGHD[uf])</f>
        <v>SC</v>
      </c>
      <c r="E5199" s="5" t="str">
        <f>_xlfn.XLOOKUP(A5199,[1]!DadosGHD[CD_GEOCMU],[1]!DadosGHD[MUNICIPIO])</f>
        <v>CATANDUVAS</v>
      </c>
      <c r="F5199" s="6">
        <v>58.760223388671903</v>
      </c>
      <c r="G5199" s="6">
        <v>63.853816986083999</v>
      </c>
      <c r="H5199" s="6">
        <v>64.026092529296903</v>
      </c>
      <c r="I5199" s="6">
        <v>64.000221252441406</v>
      </c>
      <c r="J5199" s="6">
        <v>64.039611816406307</v>
      </c>
      <c r="K5199" s="6">
        <v>64.13623046875</v>
      </c>
      <c r="L5199" s="6">
        <v>57.525234222412102</v>
      </c>
    </row>
    <row r="5200" spans="1:12" x14ac:dyDescent="0.25">
      <c r="A5200">
        <v>4216701</v>
      </c>
      <c r="B5200" t="str">
        <f t="shared" si="81"/>
        <v>SAO JOSE DO CEDRO, SC, Brasil</v>
      </c>
      <c r="C5200" s="4" t="str">
        <f>_xlfn.XLOOKUP(A5200,[1]!DadosGHD[CD_GEOCMU],[1]!DadosGHD[Região])</f>
        <v>SL</v>
      </c>
      <c r="D5200" s="4" t="str">
        <f>_xlfn.XLOOKUP(A5200,[1]!DadosGHD[CD_GEOCMU],[1]!DadosGHD[uf])</f>
        <v>SC</v>
      </c>
      <c r="E5200" s="5" t="str">
        <f>_xlfn.XLOOKUP(A5200,[1]!DadosGHD[CD_GEOCMU],[1]!DadosGHD[MUNICIPIO])</f>
        <v>SAO JOSE DO CEDRO</v>
      </c>
      <c r="F5200" s="6">
        <v>58.760269165039098</v>
      </c>
      <c r="G5200" s="6">
        <v>63.847549438476598</v>
      </c>
      <c r="H5200" s="6">
        <v>58.968917846679702</v>
      </c>
      <c r="I5200" s="6">
        <v>58.966964721679702</v>
      </c>
      <c r="J5200" s="6">
        <v>64.039611816406307</v>
      </c>
      <c r="K5200" s="6">
        <v>64.13623046875</v>
      </c>
      <c r="L5200" s="6">
        <v>57.589881896972699</v>
      </c>
    </row>
    <row r="5201" spans="1:12" x14ac:dyDescent="0.25">
      <c r="A5201">
        <v>4304606</v>
      </c>
      <c r="B5201" t="str">
        <f t="shared" si="81"/>
        <v>CANOAS, RS, Brasil</v>
      </c>
      <c r="C5201" s="4" t="str">
        <f>_xlfn.XLOOKUP(A5201,[1]!DadosGHD[CD_GEOCMU],[1]!DadosGHD[Região])</f>
        <v>SL</v>
      </c>
      <c r="D5201" s="4" t="str">
        <f>_xlfn.XLOOKUP(A5201,[1]!DadosGHD[CD_GEOCMU],[1]!DadosGHD[uf])</f>
        <v>RS</v>
      </c>
      <c r="E5201" s="5" t="str">
        <f>_xlfn.XLOOKUP(A5201,[1]!DadosGHD[CD_GEOCMU],[1]!DadosGHD[MUNICIPIO])</f>
        <v>CANOAS</v>
      </c>
      <c r="F5201" s="6">
        <v>58.760894775390597</v>
      </c>
      <c r="G5201" s="6">
        <v>58.829517364502003</v>
      </c>
      <c r="H5201" s="6">
        <v>58.9130249023438</v>
      </c>
      <c r="I5201" s="6">
        <v>58.876205444335902</v>
      </c>
      <c r="J5201" s="6">
        <v>58.924140930175803</v>
      </c>
      <c r="K5201" s="6">
        <v>59.006950378417997</v>
      </c>
      <c r="L5201" s="6">
        <v>57.588348388671903</v>
      </c>
    </row>
    <row r="5202" spans="1:12" x14ac:dyDescent="0.25">
      <c r="A5202">
        <v>4118402</v>
      </c>
      <c r="B5202" t="str">
        <f t="shared" si="81"/>
        <v>PARANAVAI, PR, Brasil</v>
      </c>
      <c r="C5202" s="4" t="str">
        <f>_xlfn.XLOOKUP(A5202,[1]!DadosGHD[CD_GEOCMU],[1]!DadosGHD[Região])</f>
        <v>SL</v>
      </c>
      <c r="D5202" s="4" t="str">
        <f>_xlfn.XLOOKUP(A5202,[1]!DadosGHD[CD_GEOCMU],[1]!DadosGHD[uf])</f>
        <v>PR</v>
      </c>
      <c r="E5202" s="5" t="str">
        <f>_xlfn.XLOOKUP(A5202,[1]!DadosGHD[CD_GEOCMU],[1]!DadosGHD[MUNICIPIO])</f>
        <v>PARANAVAI</v>
      </c>
      <c r="F5202" s="6">
        <v>58.761734008789098</v>
      </c>
      <c r="G5202" s="6">
        <v>58.833438873291001</v>
      </c>
      <c r="H5202" s="6">
        <v>58.834743499755902</v>
      </c>
      <c r="I5202" s="6">
        <v>53.873176574707003</v>
      </c>
      <c r="J5202" s="6">
        <v>53.886154174804702</v>
      </c>
      <c r="K5202" s="6">
        <v>58.931125640869098</v>
      </c>
      <c r="L5202" s="6">
        <v>53.0254516601563</v>
      </c>
    </row>
    <row r="5203" spans="1:12" x14ac:dyDescent="0.25">
      <c r="A5203">
        <v>5107040</v>
      </c>
      <c r="B5203" t="str">
        <f t="shared" si="81"/>
        <v>PRIMAVERA DO LESTE, MT, Brasil</v>
      </c>
      <c r="C5203" s="4" t="str">
        <f>_xlfn.XLOOKUP(A5203,[1]!DadosGHD[CD_GEOCMU],[1]!DadosGHD[Região])</f>
        <v>CO</v>
      </c>
      <c r="D5203" s="4" t="str">
        <f>_xlfn.XLOOKUP(A5203,[1]!DadosGHD[CD_GEOCMU],[1]!DadosGHD[uf])</f>
        <v>MT</v>
      </c>
      <c r="E5203" s="5" t="str">
        <f>_xlfn.XLOOKUP(A5203,[1]!DadosGHD[CD_GEOCMU],[1]!DadosGHD[MUNICIPIO])</f>
        <v>PRIMAVERA DO LESTE</v>
      </c>
      <c r="F5203" s="6">
        <v>58.762008666992202</v>
      </c>
      <c r="G5203" s="6">
        <v>63.867145538330099</v>
      </c>
      <c r="H5203" s="6">
        <v>63.972156524658203</v>
      </c>
      <c r="I5203" s="6">
        <v>58.9678764343262</v>
      </c>
      <c r="J5203" s="6">
        <v>58.908740997314503</v>
      </c>
      <c r="K5203" s="6">
        <v>64.13623046875</v>
      </c>
      <c r="L5203" s="6">
        <v>57.561187744140597</v>
      </c>
    </row>
    <row r="5204" spans="1:12" x14ac:dyDescent="0.25">
      <c r="A5204">
        <v>3533700</v>
      </c>
      <c r="B5204" t="str">
        <f t="shared" si="81"/>
        <v>OCAUCU, SP, Brasil</v>
      </c>
      <c r="C5204" s="4" t="str">
        <f>_xlfn.XLOOKUP(A5204,[1]!DadosGHD[CD_GEOCMU],[1]!DadosGHD[Região])</f>
        <v>SD</v>
      </c>
      <c r="D5204" s="4" t="str">
        <f>_xlfn.XLOOKUP(A5204,[1]!DadosGHD[CD_GEOCMU],[1]!DadosGHD[uf])</f>
        <v>SP</v>
      </c>
      <c r="E5204" s="5" t="str">
        <f>_xlfn.XLOOKUP(A5204,[1]!DadosGHD[CD_GEOCMU],[1]!DadosGHD[MUNICIPIO])</f>
        <v>OCAUCU</v>
      </c>
      <c r="F5204" s="6">
        <v>58.762763977050803</v>
      </c>
      <c r="G5204" s="6">
        <v>58.9071655273438</v>
      </c>
      <c r="H5204" s="6">
        <v>63.964912414550803</v>
      </c>
      <c r="I5204" s="6">
        <v>64.000221252441406</v>
      </c>
      <c r="J5204" s="6">
        <v>64.039611816406307</v>
      </c>
      <c r="K5204" s="6">
        <v>59.036163330078097</v>
      </c>
      <c r="L5204" s="6">
        <v>48.500202178955099</v>
      </c>
    </row>
    <row r="5205" spans="1:12" x14ac:dyDescent="0.25">
      <c r="A5205">
        <v>4218954</v>
      </c>
      <c r="B5205" t="str">
        <f t="shared" si="81"/>
        <v>URUPEMA, SC, Brasil</v>
      </c>
      <c r="C5205" s="4" t="str">
        <f>_xlfn.XLOOKUP(A5205,[1]!DadosGHD[CD_GEOCMU],[1]!DadosGHD[Região])</f>
        <v>SL</v>
      </c>
      <c r="D5205" s="4" t="str">
        <f>_xlfn.XLOOKUP(A5205,[1]!DadosGHD[CD_GEOCMU],[1]!DadosGHD[uf])</f>
        <v>SC</v>
      </c>
      <c r="E5205" s="5" t="str">
        <f>_xlfn.XLOOKUP(A5205,[1]!DadosGHD[CD_GEOCMU],[1]!DadosGHD[MUNICIPIO])</f>
        <v>URUPEMA</v>
      </c>
      <c r="F5205" s="6">
        <v>58.763370513916001</v>
      </c>
      <c r="G5205" s="6">
        <v>43.758434295654297</v>
      </c>
      <c r="H5205" s="6">
        <v>58.941764831542997</v>
      </c>
      <c r="I5205" s="6">
        <v>58.912624359130902</v>
      </c>
      <c r="J5205" s="6">
        <v>53.867839813232401</v>
      </c>
      <c r="K5205" s="6">
        <v>59.017913818359403</v>
      </c>
      <c r="L5205" s="6">
        <v>53.068180084228501</v>
      </c>
    </row>
    <row r="5206" spans="1:12" x14ac:dyDescent="0.25">
      <c r="A5206">
        <v>3512704</v>
      </c>
      <c r="B5206" t="str">
        <f t="shared" si="81"/>
        <v>CORUMBATAI, SP, Brasil</v>
      </c>
      <c r="C5206" s="4" t="str">
        <f>_xlfn.XLOOKUP(A5206,[1]!DadosGHD[CD_GEOCMU],[1]!DadosGHD[Região])</f>
        <v>SD</v>
      </c>
      <c r="D5206" s="4" t="str">
        <f>_xlfn.XLOOKUP(A5206,[1]!DadosGHD[CD_GEOCMU],[1]!DadosGHD[uf])</f>
        <v>SP</v>
      </c>
      <c r="E5206" s="5" t="str">
        <f>_xlfn.XLOOKUP(A5206,[1]!DadosGHD[CD_GEOCMU],[1]!DadosGHD[MUNICIPIO])</f>
        <v>CORUMBATAI</v>
      </c>
      <c r="F5206" s="6">
        <v>58.763572692871101</v>
      </c>
      <c r="G5206" s="6">
        <v>58.7363891601563</v>
      </c>
      <c r="H5206" s="6">
        <v>58.824184417724602</v>
      </c>
      <c r="I5206" s="6">
        <v>53.881324768066399</v>
      </c>
      <c r="J5206" s="6">
        <v>53.828205108642599</v>
      </c>
      <c r="K5206" s="6">
        <v>53.818851470947301</v>
      </c>
      <c r="L5206" s="6">
        <v>39.564498901367202</v>
      </c>
    </row>
    <row r="5207" spans="1:12" x14ac:dyDescent="0.25">
      <c r="A5207">
        <v>4117909</v>
      </c>
      <c r="B5207" t="str">
        <f t="shared" si="81"/>
        <v>PALOTINA, PR, Brasil</v>
      </c>
      <c r="C5207" s="4" t="str">
        <f>_xlfn.XLOOKUP(A5207,[1]!DadosGHD[CD_GEOCMU],[1]!DadosGHD[Região])</f>
        <v>SL</v>
      </c>
      <c r="D5207" s="4" t="str">
        <f>_xlfn.XLOOKUP(A5207,[1]!DadosGHD[CD_GEOCMU],[1]!DadosGHD[uf])</f>
        <v>PR</v>
      </c>
      <c r="E5207" s="5" t="str">
        <f>_xlfn.XLOOKUP(A5207,[1]!DadosGHD[CD_GEOCMU],[1]!DadosGHD[MUNICIPIO])</f>
        <v>PALOTINA</v>
      </c>
      <c r="F5207" s="6">
        <v>58.764244079589801</v>
      </c>
      <c r="G5207" s="6">
        <v>63.886871337890597</v>
      </c>
      <c r="H5207" s="6">
        <v>64.026092529296903</v>
      </c>
      <c r="I5207" s="6">
        <v>64.000221252441406</v>
      </c>
      <c r="J5207" s="6">
        <v>64.039611816406307</v>
      </c>
      <c r="K5207" s="6">
        <v>59.123779296875</v>
      </c>
      <c r="L5207" s="6">
        <v>48.5274467468262</v>
      </c>
    </row>
    <row r="5208" spans="1:12" x14ac:dyDescent="0.25">
      <c r="A5208">
        <v>3163706</v>
      </c>
      <c r="B5208" t="str">
        <f t="shared" si="81"/>
        <v>SAO LOURENCO, MG, Brasil</v>
      </c>
      <c r="C5208" s="4" t="str">
        <f>_xlfn.XLOOKUP(A5208,[1]!DadosGHD[CD_GEOCMU],[1]!DadosGHD[Região])</f>
        <v>SD</v>
      </c>
      <c r="D5208" s="4" t="str">
        <f>_xlfn.XLOOKUP(A5208,[1]!DadosGHD[CD_GEOCMU],[1]!DadosGHD[uf])</f>
        <v>MG</v>
      </c>
      <c r="E5208" s="5" t="str">
        <f>_xlfn.XLOOKUP(A5208,[1]!DadosGHD[CD_GEOCMU],[1]!DadosGHD[MUNICIPIO])</f>
        <v>SAO LOURENCO</v>
      </c>
      <c r="F5208" s="6">
        <v>58.764312744140597</v>
      </c>
      <c r="G5208" s="6">
        <v>58.780296325683601</v>
      </c>
      <c r="H5208" s="6">
        <v>58.915966033935597</v>
      </c>
      <c r="I5208" s="6">
        <v>58.860580444335902</v>
      </c>
      <c r="J5208" s="6">
        <v>58.911392211914098</v>
      </c>
      <c r="K5208" s="6">
        <v>58.946048736572301</v>
      </c>
      <c r="L5208" s="6">
        <v>57.589881896972699</v>
      </c>
    </row>
    <row r="5209" spans="1:12" x14ac:dyDescent="0.25">
      <c r="A5209">
        <v>3530607</v>
      </c>
      <c r="B5209" t="str">
        <f t="shared" si="81"/>
        <v>MOGI DAS CRUZES, SP, Brasil</v>
      </c>
      <c r="C5209" s="4" t="str">
        <f>_xlfn.XLOOKUP(A5209,[1]!DadosGHD[CD_GEOCMU],[1]!DadosGHD[Região])</f>
        <v>SD</v>
      </c>
      <c r="D5209" s="4" t="str">
        <f>_xlfn.XLOOKUP(A5209,[1]!DadosGHD[CD_GEOCMU],[1]!DadosGHD[uf])</f>
        <v>SP</v>
      </c>
      <c r="E5209" s="5" t="str">
        <f>_xlfn.XLOOKUP(A5209,[1]!DadosGHD[CD_GEOCMU],[1]!DadosGHD[MUNICIPIO])</f>
        <v>MOGI DAS CRUZES</v>
      </c>
      <c r="F5209" s="6">
        <v>58.764862060546903</v>
      </c>
      <c r="G5209" s="6">
        <v>58.847438812255902</v>
      </c>
      <c r="H5209" s="6">
        <v>58.877109527587898</v>
      </c>
      <c r="I5209" s="6">
        <v>53.866611480712898</v>
      </c>
      <c r="J5209" s="6">
        <v>53.825309753417997</v>
      </c>
      <c r="K5209" s="6">
        <v>53.811893463134801</v>
      </c>
      <c r="L5209" s="6">
        <v>53.023170471191399</v>
      </c>
    </row>
    <row r="5210" spans="1:12" x14ac:dyDescent="0.25">
      <c r="A5210">
        <v>4128302</v>
      </c>
      <c r="B5210" t="str">
        <f t="shared" si="81"/>
        <v>UNIFLOR, PR, Brasil</v>
      </c>
      <c r="C5210" s="4" t="str">
        <f>_xlfn.XLOOKUP(A5210,[1]!DadosGHD[CD_GEOCMU],[1]!DadosGHD[Região])</f>
        <v>SL</v>
      </c>
      <c r="D5210" s="4" t="str">
        <f>_xlfn.XLOOKUP(A5210,[1]!DadosGHD[CD_GEOCMU],[1]!DadosGHD[uf])</f>
        <v>PR</v>
      </c>
      <c r="E5210" s="5" t="str">
        <f>_xlfn.XLOOKUP(A5210,[1]!DadosGHD[CD_GEOCMU],[1]!DadosGHD[MUNICIPIO])</f>
        <v>UNIFLOR</v>
      </c>
      <c r="F5210" s="6">
        <v>58.764865875244098</v>
      </c>
      <c r="G5210" s="6">
        <v>53.7230224609375</v>
      </c>
      <c r="H5210" s="6">
        <v>48.785881042480497</v>
      </c>
      <c r="I5210" s="6">
        <v>48.698516845703097</v>
      </c>
      <c r="J5210" s="6">
        <v>48.736167907714801</v>
      </c>
      <c r="K5210" s="6">
        <v>38.873497009277301</v>
      </c>
      <c r="L5210" s="6">
        <v>44.067214965820298</v>
      </c>
    </row>
    <row r="5211" spans="1:12" x14ac:dyDescent="0.25">
      <c r="A5211">
        <v>3546405</v>
      </c>
      <c r="B5211" t="str">
        <f t="shared" si="81"/>
        <v>SANTA CRUZ DO RIO PARDO, SP, Brasil</v>
      </c>
      <c r="C5211" s="4" t="str">
        <f>_xlfn.XLOOKUP(A5211,[1]!DadosGHD[CD_GEOCMU],[1]!DadosGHD[Região])</f>
        <v>SD</v>
      </c>
      <c r="D5211" s="4" t="str">
        <f>_xlfn.XLOOKUP(A5211,[1]!DadosGHD[CD_GEOCMU],[1]!DadosGHD[uf])</f>
        <v>SP</v>
      </c>
      <c r="E5211" s="5" t="str">
        <f>_xlfn.XLOOKUP(A5211,[1]!DadosGHD[CD_GEOCMU],[1]!DadosGHD[MUNICIPIO])</f>
        <v>SANTA CRUZ DO RIO PARDO</v>
      </c>
      <c r="F5211" s="6">
        <v>58.765098571777301</v>
      </c>
      <c r="G5211" s="6">
        <v>58.780239105224602</v>
      </c>
      <c r="H5211" s="6">
        <v>53.887821197509801</v>
      </c>
      <c r="I5211" s="6">
        <v>58.969661712646499</v>
      </c>
      <c r="J5211" s="6">
        <v>63.9269828796387</v>
      </c>
      <c r="K5211" s="6">
        <v>58.957710266113303</v>
      </c>
      <c r="L5211" s="6">
        <v>57.541500091552699</v>
      </c>
    </row>
    <row r="5212" spans="1:12" x14ac:dyDescent="0.25">
      <c r="A5212">
        <v>4102000</v>
      </c>
      <c r="B5212" t="str">
        <f t="shared" si="81"/>
        <v>ASSIS CHATEAUBRIAND, PR, Brasil</v>
      </c>
      <c r="C5212" s="4" t="str">
        <f>_xlfn.XLOOKUP(A5212,[1]!DadosGHD[CD_GEOCMU],[1]!DadosGHD[Região])</f>
        <v>SL</v>
      </c>
      <c r="D5212" s="4" t="str">
        <f>_xlfn.XLOOKUP(A5212,[1]!DadosGHD[CD_GEOCMU],[1]!DadosGHD[uf])</f>
        <v>PR</v>
      </c>
      <c r="E5212" s="5" t="str">
        <f>_xlfn.XLOOKUP(A5212,[1]!DadosGHD[CD_GEOCMU],[1]!DadosGHD[MUNICIPIO])</f>
        <v>ASSIS CHATEAUBRIAND</v>
      </c>
      <c r="F5212" s="6">
        <v>58.765670776367202</v>
      </c>
      <c r="G5212" s="6">
        <v>58.914363861083999</v>
      </c>
      <c r="H5212" s="6">
        <v>58.957656860351598</v>
      </c>
      <c r="I5212" s="6">
        <v>58.970474243164098</v>
      </c>
      <c r="J5212" s="6">
        <v>58.972198486328097</v>
      </c>
      <c r="K5212" s="6">
        <v>59.025825500488303</v>
      </c>
      <c r="L5212" s="6">
        <v>39.592716217041001</v>
      </c>
    </row>
    <row r="5213" spans="1:12" x14ac:dyDescent="0.25">
      <c r="A5213">
        <v>4104659</v>
      </c>
      <c r="B5213" t="str">
        <f t="shared" si="81"/>
        <v>CARAMBEI, PR, Brasil</v>
      </c>
      <c r="C5213" s="4" t="str">
        <f>_xlfn.XLOOKUP(A5213,[1]!DadosGHD[CD_GEOCMU],[1]!DadosGHD[Região])</f>
        <v>SL</v>
      </c>
      <c r="D5213" s="4" t="str">
        <f>_xlfn.XLOOKUP(A5213,[1]!DadosGHD[CD_GEOCMU],[1]!DadosGHD[uf])</f>
        <v>PR</v>
      </c>
      <c r="E5213" s="5" t="str">
        <f>_xlfn.XLOOKUP(A5213,[1]!DadosGHD[CD_GEOCMU],[1]!DadosGHD[MUNICIPIO])</f>
        <v>CARAMBEI</v>
      </c>
      <c r="F5213" s="6">
        <v>58.766059875488303</v>
      </c>
      <c r="G5213" s="6">
        <v>58.750186920166001</v>
      </c>
      <c r="H5213" s="6">
        <v>58.836109161377003</v>
      </c>
      <c r="I5213" s="6">
        <v>53.822437286377003</v>
      </c>
      <c r="J5213" s="6">
        <v>48.840702056884801</v>
      </c>
      <c r="K5213" s="6">
        <v>48.872791290283203</v>
      </c>
      <c r="L5213" s="6">
        <v>53.019397735595703</v>
      </c>
    </row>
    <row r="5214" spans="1:12" x14ac:dyDescent="0.25">
      <c r="A5214">
        <v>3515400</v>
      </c>
      <c r="B5214" t="str">
        <f t="shared" si="81"/>
        <v>FARTURA, SP, Brasil</v>
      </c>
      <c r="C5214" s="4" t="str">
        <f>_xlfn.XLOOKUP(A5214,[1]!DadosGHD[CD_GEOCMU],[1]!DadosGHD[Região])</f>
        <v>SD</v>
      </c>
      <c r="D5214" s="4" t="str">
        <f>_xlfn.XLOOKUP(A5214,[1]!DadosGHD[CD_GEOCMU],[1]!DadosGHD[uf])</f>
        <v>SP</v>
      </c>
      <c r="E5214" s="5" t="str">
        <f>_xlfn.XLOOKUP(A5214,[1]!DadosGHD[CD_GEOCMU],[1]!DadosGHD[MUNICIPIO])</f>
        <v>FARTURA</v>
      </c>
      <c r="F5214" s="6">
        <v>58.766628265380902</v>
      </c>
      <c r="G5214" s="6">
        <v>58.922531127929702</v>
      </c>
      <c r="H5214" s="6">
        <v>63.954010009765597</v>
      </c>
      <c r="I5214" s="6">
        <v>58.9336547851563</v>
      </c>
      <c r="J5214" s="6">
        <v>58.862827301025398</v>
      </c>
      <c r="K5214" s="6">
        <v>58.934318542480497</v>
      </c>
      <c r="L5214" s="6">
        <v>57.511764526367202</v>
      </c>
    </row>
    <row r="5215" spans="1:12" x14ac:dyDescent="0.25">
      <c r="A5215">
        <v>4312807</v>
      </c>
      <c r="B5215" t="str">
        <f t="shared" si="81"/>
        <v>NOVA ARACA, RS, Brasil</v>
      </c>
      <c r="C5215" s="4" t="str">
        <f>_xlfn.XLOOKUP(A5215,[1]!DadosGHD[CD_GEOCMU],[1]!DadosGHD[Região])</f>
        <v>SL</v>
      </c>
      <c r="D5215" s="4" t="str">
        <f>_xlfn.XLOOKUP(A5215,[1]!DadosGHD[CD_GEOCMU],[1]!DadosGHD[uf])</f>
        <v>RS</v>
      </c>
      <c r="E5215" s="5" t="str">
        <f>_xlfn.XLOOKUP(A5215,[1]!DadosGHD[CD_GEOCMU],[1]!DadosGHD[MUNICIPIO])</f>
        <v>NOVA ARACA</v>
      </c>
      <c r="F5215" s="6">
        <v>58.767166137695298</v>
      </c>
      <c r="G5215" s="6">
        <v>63.883983612060597</v>
      </c>
      <c r="H5215" s="6">
        <v>64.026092529296903</v>
      </c>
      <c r="I5215" s="6">
        <v>64.000221252441406</v>
      </c>
      <c r="J5215" s="6">
        <v>64.039611816406307</v>
      </c>
      <c r="K5215" s="6">
        <v>64.13623046875</v>
      </c>
      <c r="L5215" s="6">
        <v>57.588150024414098</v>
      </c>
    </row>
    <row r="5216" spans="1:12" x14ac:dyDescent="0.25">
      <c r="A5216">
        <v>3134400</v>
      </c>
      <c r="B5216" t="str">
        <f t="shared" si="81"/>
        <v>ITURAMA, MG, Brasil</v>
      </c>
      <c r="C5216" s="4" t="str">
        <f>_xlfn.XLOOKUP(A5216,[1]!DadosGHD[CD_GEOCMU],[1]!DadosGHD[Região])</f>
        <v>SD</v>
      </c>
      <c r="D5216" s="4" t="str">
        <f>_xlfn.XLOOKUP(A5216,[1]!DadosGHD[CD_GEOCMU],[1]!DadosGHD[uf])</f>
        <v>MG</v>
      </c>
      <c r="E5216" s="5" t="str">
        <f>_xlfn.XLOOKUP(A5216,[1]!DadosGHD[CD_GEOCMU],[1]!DadosGHD[MUNICIPIO])</f>
        <v>ITURAMA</v>
      </c>
      <c r="F5216" s="6">
        <v>58.767326354980497</v>
      </c>
      <c r="G5216" s="6">
        <v>58.8237495422363</v>
      </c>
      <c r="H5216" s="6">
        <v>58.882011413574197</v>
      </c>
      <c r="I5216" s="6">
        <v>58.8013725280762</v>
      </c>
      <c r="J5216" s="6">
        <v>58.864376068115199</v>
      </c>
      <c r="K5216" s="6">
        <v>58.951839447021499</v>
      </c>
      <c r="L5216" s="6">
        <v>48.544116973877003</v>
      </c>
    </row>
    <row r="5217" spans="1:12" x14ac:dyDescent="0.25">
      <c r="A5217">
        <v>5107065</v>
      </c>
      <c r="B5217" t="str">
        <f t="shared" si="81"/>
        <v>QUERENCIA, MT, Brasil</v>
      </c>
      <c r="C5217" s="4" t="str">
        <f>_xlfn.XLOOKUP(A5217,[1]!DadosGHD[CD_GEOCMU],[1]!DadosGHD[Região])</f>
        <v>CO</v>
      </c>
      <c r="D5217" s="4" t="str">
        <f>_xlfn.XLOOKUP(A5217,[1]!DadosGHD[CD_GEOCMU],[1]!DadosGHD[uf])</f>
        <v>MT</v>
      </c>
      <c r="E5217" s="5" t="str">
        <f>_xlfn.XLOOKUP(A5217,[1]!DadosGHD[CD_GEOCMU],[1]!DadosGHD[MUNICIPIO])</f>
        <v>QUERENCIA</v>
      </c>
      <c r="F5217" s="6">
        <v>58.769695281982401</v>
      </c>
      <c r="G5217" s="6">
        <v>58.9169311523438</v>
      </c>
      <c r="H5217" s="6">
        <v>63.9601440429688</v>
      </c>
      <c r="I5217" s="6">
        <v>64.000221252441406</v>
      </c>
      <c r="J5217" s="6">
        <v>64.039611816406307</v>
      </c>
      <c r="K5217" s="6">
        <v>64.13623046875</v>
      </c>
      <c r="L5217" s="6">
        <v>44.022117614746101</v>
      </c>
    </row>
    <row r="5218" spans="1:12" x14ac:dyDescent="0.25">
      <c r="A5218">
        <v>2704302</v>
      </c>
      <c r="B5218" t="str">
        <f t="shared" si="81"/>
        <v>MACEIO, AL, Brasil</v>
      </c>
      <c r="C5218" s="4" t="str">
        <f>_xlfn.XLOOKUP(A5218,[1]!DadosGHD[CD_GEOCMU],[1]!DadosGHD[Região])</f>
        <v>NE</v>
      </c>
      <c r="D5218" s="4" t="str">
        <f>_xlfn.XLOOKUP(A5218,[1]!DadosGHD[CD_GEOCMU],[1]!DadosGHD[uf])</f>
        <v>AL</v>
      </c>
      <c r="E5218" s="5" t="str">
        <f>_xlfn.XLOOKUP(A5218,[1]!DadosGHD[CD_GEOCMU],[1]!DadosGHD[MUNICIPIO])</f>
        <v>MACEIO</v>
      </c>
      <c r="F5218" s="6">
        <v>58.771751403808601</v>
      </c>
      <c r="G5218" s="6">
        <v>58.8038330078125</v>
      </c>
      <c r="H5218" s="6">
        <v>58.827114105224602</v>
      </c>
      <c r="I5218" s="6">
        <v>53.863765716552699</v>
      </c>
      <c r="J5218" s="6">
        <v>53.848354339599602</v>
      </c>
      <c r="K5218" s="6">
        <v>53.918685913085902</v>
      </c>
      <c r="L5218" s="6">
        <v>48.562267303466797</v>
      </c>
    </row>
    <row r="5219" spans="1:12" x14ac:dyDescent="0.25">
      <c r="A5219">
        <v>3551702</v>
      </c>
      <c r="B5219" t="str">
        <f t="shared" si="81"/>
        <v>SERTAOZINHO, SP, Brasil</v>
      </c>
      <c r="C5219" s="4" t="str">
        <f>_xlfn.XLOOKUP(A5219,[1]!DadosGHD[CD_GEOCMU],[1]!DadosGHD[Região])</f>
        <v>SD</v>
      </c>
      <c r="D5219" s="4" t="str">
        <f>_xlfn.XLOOKUP(A5219,[1]!DadosGHD[CD_GEOCMU],[1]!DadosGHD[uf])</f>
        <v>SP</v>
      </c>
      <c r="E5219" s="5" t="str">
        <f>_xlfn.XLOOKUP(A5219,[1]!DadosGHD[CD_GEOCMU],[1]!DadosGHD[MUNICIPIO])</f>
        <v>SERTAOZINHO</v>
      </c>
      <c r="F5219" s="6">
        <v>58.771976470947301</v>
      </c>
      <c r="G5219" s="6">
        <v>58.853416442871101</v>
      </c>
      <c r="H5219" s="6">
        <v>58.914806365966797</v>
      </c>
      <c r="I5219" s="6">
        <v>58.836677551269503</v>
      </c>
      <c r="J5219" s="6">
        <v>53.880012512207003</v>
      </c>
      <c r="K5219" s="6">
        <v>53.938014984130902</v>
      </c>
      <c r="L5219" s="6">
        <v>53.0621948242188</v>
      </c>
    </row>
    <row r="5220" spans="1:12" x14ac:dyDescent="0.25">
      <c r="A5220">
        <v>3533601</v>
      </c>
      <c r="B5220" t="str">
        <f t="shared" si="81"/>
        <v>NUPORANGA, SP, Brasil</v>
      </c>
      <c r="C5220" s="4" t="str">
        <f>_xlfn.XLOOKUP(A5220,[1]!DadosGHD[CD_GEOCMU],[1]!DadosGHD[Região])</f>
        <v>SD</v>
      </c>
      <c r="D5220" s="4" t="str">
        <f>_xlfn.XLOOKUP(A5220,[1]!DadosGHD[CD_GEOCMU],[1]!DadosGHD[uf])</f>
        <v>SP</v>
      </c>
      <c r="E5220" s="5" t="str">
        <f>_xlfn.XLOOKUP(A5220,[1]!DadosGHD[CD_GEOCMU],[1]!DadosGHD[MUNICIPIO])</f>
        <v>NUPORANGA</v>
      </c>
      <c r="F5220" s="6">
        <v>58.773143768310597</v>
      </c>
      <c r="G5220" s="6">
        <v>58.876743316650398</v>
      </c>
      <c r="H5220" s="6">
        <v>58.852424621582003</v>
      </c>
      <c r="I5220" s="6">
        <v>53.862892150878899</v>
      </c>
      <c r="J5220" s="6">
        <v>58.898941040039098</v>
      </c>
      <c r="K5220" s="6">
        <v>59.019577026367202</v>
      </c>
      <c r="L5220" s="6">
        <v>57.497810363769503</v>
      </c>
    </row>
    <row r="5221" spans="1:12" x14ac:dyDescent="0.25">
      <c r="A5221">
        <v>4322251</v>
      </c>
      <c r="B5221" t="str">
        <f t="shared" si="81"/>
        <v>TUPANDI, RS, Brasil</v>
      </c>
      <c r="C5221" s="4" t="str">
        <f>_xlfn.XLOOKUP(A5221,[1]!DadosGHD[CD_GEOCMU],[1]!DadosGHD[Região])</f>
        <v>SL</v>
      </c>
      <c r="D5221" s="4" t="str">
        <f>_xlfn.XLOOKUP(A5221,[1]!DadosGHD[CD_GEOCMU],[1]!DadosGHD[uf])</f>
        <v>RS</v>
      </c>
      <c r="E5221" s="5" t="str">
        <f>_xlfn.XLOOKUP(A5221,[1]!DadosGHD[CD_GEOCMU],[1]!DadosGHD[MUNICIPIO])</f>
        <v>TUPANDI</v>
      </c>
      <c r="F5221" s="6">
        <v>58.773464202880902</v>
      </c>
      <c r="G5221" s="6">
        <v>63.966358184814503</v>
      </c>
      <c r="H5221" s="6">
        <v>64.026092529296903</v>
      </c>
      <c r="I5221" s="6">
        <v>63.958106994628899</v>
      </c>
      <c r="J5221" s="6">
        <v>63.975494384765597</v>
      </c>
      <c r="K5221" s="6">
        <v>58.937004089355497</v>
      </c>
      <c r="L5221" s="6">
        <v>57.572353363037102</v>
      </c>
    </row>
    <row r="5222" spans="1:12" x14ac:dyDescent="0.25">
      <c r="A5222">
        <v>5007695</v>
      </c>
      <c r="B5222" t="str">
        <f t="shared" si="81"/>
        <v>SAO GABRIEL DO OESTE, MS, Brasil</v>
      </c>
      <c r="C5222" s="4" t="str">
        <f>_xlfn.XLOOKUP(A5222,[1]!DadosGHD[CD_GEOCMU],[1]!DadosGHD[Região])</f>
        <v>CO</v>
      </c>
      <c r="D5222" s="4" t="str">
        <f>_xlfn.XLOOKUP(A5222,[1]!DadosGHD[CD_GEOCMU],[1]!DadosGHD[uf])</f>
        <v>MS</v>
      </c>
      <c r="E5222" s="5" t="str">
        <f>_xlfn.XLOOKUP(A5222,[1]!DadosGHD[CD_GEOCMU],[1]!DadosGHD[MUNICIPIO])</f>
        <v>SAO GABRIEL DO OESTE</v>
      </c>
      <c r="F5222" s="6">
        <v>58.773902893066399</v>
      </c>
      <c r="G5222" s="6">
        <v>58.843269348144503</v>
      </c>
      <c r="H5222" s="6">
        <v>58.954051971435597</v>
      </c>
      <c r="I5222" s="6">
        <v>58.980060577392599</v>
      </c>
      <c r="J5222" s="6">
        <v>53.862506866455099</v>
      </c>
      <c r="K5222" s="6">
        <v>53.864700317382798</v>
      </c>
      <c r="L5222" s="6">
        <v>39.583873748779297</v>
      </c>
    </row>
    <row r="5223" spans="1:12" x14ac:dyDescent="0.25">
      <c r="A5223">
        <v>3540002</v>
      </c>
      <c r="B5223" t="str">
        <f t="shared" si="81"/>
        <v>POMPEIA, SP, Brasil</v>
      </c>
      <c r="C5223" s="4" t="str">
        <f>_xlfn.XLOOKUP(A5223,[1]!DadosGHD[CD_GEOCMU],[1]!DadosGHD[Região])</f>
        <v>SD</v>
      </c>
      <c r="D5223" s="4" t="str">
        <f>_xlfn.XLOOKUP(A5223,[1]!DadosGHD[CD_GEOCMU],[1]!DadosGHD[uf])</f>
        <v>SP</v>
      </c>
      <c r="E5223" s="5" t="str">
        <f>_xlfn.XLOOKUP(A5223,[1]!DadosGHD[CD_GEOCMU],[1]!DadosGHD[MUNICIPIO])</f>
        <v>POMPEIA</v>
      </c>
      <c r="F5223" s="6">
        <v>58.774448394775398</v>
      </c>
      <c r="G5223" s="6">
        <v>58.892974853515597</v>
      </c>
      <c r="H5223" s="6">
        <v>64.026092529296903</v>
      </c>
      <c r="I5223" s="6">
        <v>63.967960357666001</v>
      </c>
      <c r="J5223" s="6">
        <v>58.918983459472699</v>
      </c>
      <c r="K5223" s="6">
        <v>58.958045959472699</v>
      </c>
      <c r="L5223" s="6">
        <v>57.492073059082003</v>
      </c>
    </row>
    <row r="5224" spans="1:12" x14ac:dyDescent="0.25">
      <c r="A5224">
        <v>4101150</v>
      </c>
      <c r="B5224" t="str">
        <f t="shared" si="81"/>
        <v>ANGULO, PR, Brasil</v>
      </c>
      <c r="C5224" s="4" t="str">
        <f>_xlfn.XLOOKUP(A5224,[1]!DadosGHD[CD_GEOCMU],[1]!DadosGHD[Região])</f>
        <v>SL</v>
      </c>
      <c r="D5224" s="4" t="str">
        <f>_xlfn.XLOOKUP(A5224,[1]!DadosGHD[CD_GEOCMU],[1]!DadosGHD[uf])</f>
        <v>PR</v>
      </c>
      <c r="E5224" s="5" t="str">
        <f>_xlfn.XLOOKUP(A5224,[1]!DadosGHD[CD_GEOCMU],[1]!DadosGHD[MUNICIPIO])</f>
        <v>ANGULO</v>
      </c>
      <c r="F5224" s="6">
        <v>58.774539947509801</v>
      </c>
      <c r="G5224" s="6">
        <v>63.966358184814503</v>
      </c>
      <c r="H5224" s="6">
        <v>64.026092529296903</v>
      </c>
      <c r="I5224" s="6">
        <v>53.867111206054702</v>
      </c>
      <c r="J5224" s="6">
        <v>53.842319488525398</v>
      </c>
      <c r="K5224" s="6">
        <v>58.922439575195298</v>
      </c>
      <c r="L5224" s="6">
        <v>57.537036895752003</v>
      </c>
    </row>
    <row r="5225" spans="1:12" x14ac:dyDescent="0.25">
      <c r="A5225">
        <v>3554102</v>
      </c>
      <c r="B5225" t="str">
        <f t="shared" si="81"/>
        <v>TAUBATE, SP, Brasil</v>
      </c>
      <c r="C5225" s="4" t="str">
        <f>_xlfn.XLOOKUP(A5225,[1]!DadosGHD[CD_GEOCMU],[1]!DadosGHD[Região])</f>
        <v>SD</v>
      </c>
      <c r="D5225" s="4" t="str">
        <f>_xlfn.XLOOKUP(A5225,[1]!DadosGHD[CD_GEOCMU],[1]!DadosGHD[uf])</f>
        <v>SP</v>
      </c>
      <c r="E5225" s="5" t="str">
        <f>_xlfn.XLOOKUP(A5225,[1]!DadosGHD[CD_GEOCMU],[1]!DadosGHD[MUNICIPIO])</f>
        <v>TAUBATE</v>
      </c>
      <c r="F5225" s="6">
        <v>58.774959564208999</v>
      </c>
      <c r="G5225" s="6">
        <v>58.832065582275398</v>
      </c>
      <c r="H5225" s="6">
        <v>58.876205444335902</v>
      </c>
      <c r="I5225" s="6">
        <v>58.797863006591797</v>
      </c>
      <c r="J5225" s="6">
        <v>53.876544952392599</v>
      </c>
      <c r="K5225" s="6">
        <v>53.885875701904297</v>
      </c>
      <c r="L5225" s="6">
        <v>57.521461486816399</v>
      </c>
    </row>
    <row r="5226" spans="1:12" x14ac:dyDescent="0.25">
      <c r="A5226">
        <v>4107801</v>
      </c>
      <c r="B5226" t="str">
        <f t="shared" si="81"/>
        <v>FLORAI, PR, Brasil</v>
      </c>
      <c r="C5226" s="4" t="str">
        <f>_xlfn.XLOOKUP(A5226,[1]!DadosGHD[CD_GEOCMU],[1]!DadosGHD[Região])</f>
        <v>SL</v>
      </c>
      <c r="D5226" s="4" t="str">
        <f>_xlfn.XLOOKUP(A5226,[1]!DadosGHD[CD_GEOCMU],[1]!DadosGHD[uf])</f>
        <v>PR</v>
      </c>
      <c r="E5226" s="5" t="str">
        <f>_xlfn.XLOOKUP(A5226,[1]!DadosGHD[CD_GEOCMU],[1]!DadosGHD[MUNICIPIO])</f>
        <v>FLORAI</v>
      </c>
      <c r="F5226" s="6">
        <v>58.776695251464801</v>
      </c>
      <c r="G5226" s="6">
        <v>63.963169097900398</v>
      </c>
      <c r="H5226" s="6">
        <v>58.970573425292997</v>
      </c>
      <c r="I5226" s="6">
        <v>53.805877685546903</v>
      </c>
      <c r="J5226" s="6">
        <v>53.731983184814503</v>
      </c>
      <c r="K5226" s="6">
        <v>48.866710662841797</v>
      </c>
      <c r="L5226" s="6">
        <v>39.599998474121101</v>
      </c>
    </row>
    <row r="5227" spans="1:12" x14ac:dyDescent="0.25">
      <c r="A5227">
        <v>4322905</v>
      </c>
      <c r="B5227" t="str">
        <f t="shared" si="81"/>
        <v>VIADUTOS, RS, Brasil</v>
      </c>
      <c r="C5227" s="4" t="str">
        <f>_xlfn.XLOOKUP(A5227,[1]!DadosGHD[CD_GEOCMU],[1]!DadosGHD[Região])</f>
        <v>SL</v>
      </c>
      <c r="D5227" s="4" t="str">
        <f>_xlfn.XLOOKUP(A5227,[1]!DadosGHD[CD_GEOCMU],[1]!DadosGHD[uf])</f>
        <v>RS</v>
      </c>
      <c r="E5227" s="5" t="str">
        <f>_xlfn.XLOOKUP(A5227,[1]!DadosGHD[CD_GEOCMU],[1]!DadosGHD[MUNICIPIO])</f>
        <v>VIADUTOS</v>
      </c>
      <c r="F5227" s="6">
        <v>58.777046203613303</v>
      </c>
      <c r="G5227" s="6">
        <v>63.966358184814503</v>
      </c>
      <c r="H5227" s="6">
        <v>64.026092529296903</v>
      </c>
      <c r="I5227" s="6">
        <v>64.000221252441406</v>
      </c>
      <c r="J5227" s="6">
        <v>64.039611816406307</v>
      </c>
      <c r="K5227" s="6">
        <v>64.13623046875</v>
      </c>
      <c r="L5227" s="6">
        <v>57.557239532470703</v>
      </c>
    </row>
    <row r="5228" spans="1:12" x14ac:dyDescent="0.25">
      <c r="A5228">
        <v>3507753</v>
      </c>
      <c r="B5228" t="str">
        <f t="shared" si="81"/>
        <v>BREJO ALEGRE, SP, Brasil</v>
      </c>
      <c r="C5228" s="4" t="str">
        <f>_xlfn.XLOOKUP(A5228,[1]!DadosGHD[CD_GEOCMU],[1]!DadosGHD[Região])</f>
        <v>SD</v>
      </c>
      <c r="D5228" s="4" t="str">
        <f>_xlfn.XLOOKUP(A5228,[1]!DadosGHD[CD_GEOCMU],[1]!DadosGHD[uf])</f>
        <v>SP</v>
      </c>
      <c r="E5228" s="5" t="str">
        <f>_xlfn.XLOOKUP(A5228,[1]!DadosGHD[CD_GEOCMU],[1]!DadosGHD[MUNICIPIO])</f>
        <v>BREJO ALEGRE</v>
      </c>
      <c r="F5228" s="6">
        <v>58.777214050292997</v>
      </c>
      <c r="G5228" s="6">
        <v>38.729560852050803</v>
      </c>
      <c r="H5228" s="6">
        <v>38.752616882324197</v>
      </c>
      <c r="I5228" s="6">
        <v>38.729270935058601</v>
      </c>
      <c r="J5228" s="6">
        <v>38.768196105957003</v>
      </c>
      <c r="K5228" s="6">
        <v>38.790626525878899</v>
      </c>
      <c r="L5228" s="6">
        <v>39.566421508789098</v>
      </c>
    </row>
    <row r="5229" spans="1:12" x14ac:dyDescent="0.25">
      <c r="A5229">
        <v>4302352</v>
      </c>
      <c r="B5229" t="str">
        <f t="shared" si="81"/>
        <v>BOM PRINCIPIO, RS, Brasil</v>
      </c>
      <c r="C5229" s="4" t="str">
        <f>_xlfn.XLOOKUP(A5229,[1]!DadosGHD[CD_GEOCMU],[1]!DadosGHD[Região])</f>
        <v>SL</v>
      </c>
      <c r="D5229" s="4" t="str">
        <f>_xlfn.XLOOKUP(A5229,[1]!DadosGHD[CD_GEOCMU],[1]!DadosGHD[uf])</f>
        <v>RS</v>
      </c>
      <c r="E5229" s="5" t="str">
        <f>_xlfn.XLOOKUP(A5229,[1]!DadosGHD[CD_GEOCMU],[1]!DadosGHD[MUNICIPIO])</f>
        <v>BOM PRINCIPIO</v>
      </c>
      <c r="F5229" s="6">
        <v>58.7773628234863</v>
      </c>
      <c r="G5229" s="6">
        <v>58.814781188964801</v>
      </c>
      <c r="H5229" s="6">
        <v>58.855209350585902</v>
      </c>
      <c r="I5229" s="6">
        <v>58.853137969970703</v>
      </c>
      <c r="J5229" s="6">
        <v>58.970458984375</v>
      </c>
      <c r="K5229" s="6">
        <v>64.090034484863295</v>
      </c>
      <c r="L5229" s="6">
        <v>57.568412780761697</v>
      </c>
    </row>
    <row r="5230" spans="1:12" x14ac:dyDescent="0.25">
      <c r="A5230">
        <v>3541208</v>
      </c>
      <c r="B5230" t="str">
        <f t="shared" si="81"/>
        <v>PRESIDENTE BERNARDES, SP, Brasil</v>
      </c>
      <c r="C5230" s="4" t="str">
        <f>_xlfn.XLOOKUP(A5230,[1]!DadosGHD[CD_GEOCMU],[1]!DadosGHD[Região])</f>
        <v>SD</v>
      </c>
      <c r="D5230" s="4" t="str">
        <f>_xlfn.XLOOKUP(A5230,[1]!DadosGHD[CD_GEOCMU],[1]!DadosGHD[uf])</f>
        <v>SP</v>
      </c>
      <c r="E5230" s="5" t="str">
        <f>_xlfn.XLOOKUP(A5230,[1]!DadosGHD[CD_GEOCMU],[1]!DadosGHD[MUNICIPIO])</f>
        <v>PRESIDENTE BERNARDES</v>
      </c>
      <c r="F5230" s="6">
        <v>58.778041839599602</v>
      </c>
      <c r="G5230" s="6">
        <v>53.820137023925803</v>
      </c>
      <c r="H5230" s="6">
        <v>53.883098602294901</v>
      </c>
      <c r="I5230" s="6">
        <v>53.841053009033203</v>
      </c>
      <c r="J5230" s="6">
        <v>53.878910064697301</v>
      </c>
      <c r="K5230" s="6">
        <v>53.990394592285199</v>
      </c>
      <c r="L5230" s="6">
        <v>53.017887115478501</v>
      </c>
    </row>
    <row r="5231" spans="1:12" x14ac:dyDescent="0.25">
      <c r="A5231">
        <v>3500501</v>
      </c>
      <c r="B5231" t="str">
        <f t="shared" si="81"/>
        <v>AGUAS DE LINDOIA, SP, Brasil</v>
      </c>
      <c r="C5231" s="4" t="str">
        <f>_xlfn.XLOOKUP(A5231,[1]!DadosGHD[CD_GEOCMU],[1]!DadosGHD[Região])</f>
        <v>SD</v>
      </c>
      <c r="D5231" s="4" t="str">
        <f>_xlfn.XLOOKUP(A5231,[1]!DadosGHD[CD_GEOCMU],[1]!DadosGHD[uf])</f>
        <v>SP</v>
      </c>
      <c r="E5231" s="5" t="str">
        <f>_xlfn.XLOOKUP(A5231,[1]!DadosGHD[CD_GEOCMU],[1]!DadosGHD[MUNICIPIO])</f>
        <v>AGUAS DE LINDOIA</v>
      </c>
      <c r="F5231" s="6">
        <v>58.778663635253899</v>
      </c>
      <c r="G5231" s="6">
        <v>58.761341094970703</v>
      </c>
      <c r="H5231" s="6">
        <v>53.833564758300803</v>
      </c>
      <c r="I5231" s="6">
        <v>53.7302055358887</v>
      </c>
      <c r="J5231" s="6">
        <v>48.7694702148438</v>
      </c>
      <c r="K5231" s="6">
        <v>48.847091674804702</v>
      </c>
      <c r="L5231" s="6">
        <v>44.037712097167997</v>
      </c>
    </row>
    <row r="5232" spans="1:12" x14ac:dyDescent="0.25">
      <c r="A5232">
        <v>3553609</v>
      </c>
      <c r="B5232" t="str">
        <f t="shared" si="81"/>
        <v>TAPIRATIBA, SP, Brasil</v>
      </c>
      <c r="C5232" s="4" t="str">
        <f>_xlfn.XLOOKUP(A5232,[1]!DadosGHD[CD_GEOCMU],[1]!DadosGHD[Região])</f>
        <v>SD</v>
      </c>
      <c r="D5232" s="4" t="str">
        <f>_xlfn.XLOOKUP(A5232,[1]!DadosGHD[CD_GEOCMU],[1]!DadosGHD[uf])</f>
        <v>SP</v>
      </c>
      <c r="E5232" s="5" t="str">
        <f>_xlfn.XLOOKUP(A5232,[1]!DadosGHD[CD_GEOCMU],[1]!DadosGHD[MUNICIPIO])</f>
        <v>TAPIRATIBA</v>
      </c>
      <c r="F5232" s="6">
        <v>58.779495239257798</v>
      </c>
      <c r="G5232" s="6">
        <v>58.796905517578097</v>
      </c>
      <c r="H5232" s="6">
        <v>58.934814453125</v>
      </c>
      <c r="I5232" s="6">
        <v>63.902168273925803</v>
      </c>
      <c r="J5232" s="6">
        <v>58.989963531494098</v>
      </c>
      <c r="K5232" s="6">
        <v>59.027141571044901</v>
      </c>
      <c r="L5232" s="6">
        <v>57.534999847412102</v>
      </c>
    </row>
    <row r="5233" spans="1:12" x14ac:dyDescent="0.25">
      <c r="A5233">
        <v>4216057</v>
      </c>
      <c r="B5233" t="str">
        <f t="shared" si="81"/>
        <v>SAO CRISTOVAO DO SUL, SC, Brasil</v>
      </c>
      <c r="C5233" s="4" t="str">
        <f>_xlfn.XLOOKUP(A5233,[1]!DadosGHD[CD_GEOCMU],[1]!DadosGHD[Região])</f>
        <v>SL</v>
      </c>
      <c r="D5233" s="4" t="str">
        <f>_xlfn.XLOOKUP(A5233,[1]!DadosGHD[CD_GEOCMU],[1]!DadosGHD[uf])</f>
        <v>SC</v>
      </c>
      <c r="E5233" s="5" t="str">
        <f>_xlfn.XLOOKUP(A5233,[1]!DadosGHD[CD_GEOCMU],[1]!DadosGHD[MUNICIPIO])</f>
        <v>SAO CRISTOVAO DO SUL</v>
      </c>
      <c r="F5233" s="6">
        <v>58.780109405517599</v>
      </c>
      <c r="G5233" s="6">
        <v>53.781341552734403</v>
      </c>
      <c r="H5233" s="6">
        <v>53.844173431396499</v>
      </c>
      <c r="I5233" s="6">
        <v>53.777652740478501</v>
      </c>
      <c r="J5233" s="6">
        <v>53.807483673095703</v>
      </c>
      <c r="K5233" s="6">
        <v>53.837337493896499</v>
      </c>
      <c r="L5233" s="6">
        <v>35.141975402832003</v>
      </c>
    </row>
    <row r="5234" spans="1:12" x14ac:dyDescent="0.25">
      <c r="A5234">
        <v>3528007</v>
      </c>
      <c r="B5234" t="str">
        <f t="shared" si="81"/>
        <v>MACATUBA, SP, Brasil</v>
      </c>
      <c r="C5234" s="4" t="str">
        <f>_xlfn.XLOOKUP(A5234,[1]!DadosGHD[CD_GEOCMU],[1]!DadosGHD[Região])</f>
        <v>SD</v>
      </c>
      <c r="D5234" s="4" t="str">
        <f>_xlfn.XLOOKUP(A5234,[1]!DadosGHD[CD_GEOCMU],[1]!DadosGHD[uf])</f>
        <v>SP</v>
      </c>
      <c r="E5234" s="5" t="str">
        <f>_xlfn.XLOOKUP(A5234,[1]!DadosGHD[CD_GEOCMU],[1]!DadosGHD[MUNICIPIO])</f>
        <v>MACATUBA</v>
      </c>
      <c r="F5234" s="6">
        <v>58.7809448242188</v>
      </c>
      <c r="G5234" s="6">
        <v>58.764591217041001</v>
      </c>
      <c r="H5234" s="6">
        <v>53.8705444335938</v>
      </c>
      <c r="I5234" s="6">
        <v>53.769863128662102</v>
      </c>
      <c r="J5234" s="6">
        <v>58.947547912597699</v>
      </c>
      <c r="K5234" s="6">
        <v>58.936023712158203</v>
      </c>
      <c r="L5234" s="6">
        <v>57.526939392089801</v>
      </c>
    </row>
    <row r="5235" spans="1:12" x14ac:dyDescent="0.25">
      <c r="A5235">
        <v>3506102</v>
      </c>
      <c r="B5235" t="str">
        <f t="shared" si="81"/>
        <v>BEBEDOURO, SP, Brasil</v>
      </c>
      <c r="C5235" s="4" t="str">
        <f>_xlfn.XLOOKUP(A5235,[1]!DadosGHD[CD_GEOCMU],[1]!DadosGHD[Região])</f>
        <v>SD</v>
      </c>
      <c r="D5235" s="4" t="str">
        <f>_xlfn.XLOOKUP(A5235,[1]!DadosGHD[CD_GEOCMU],[1]!DadosGHD[uf])</f>
        <v>SP</v>
      </c>
      <c r="E5235" s="5" t="str">
        <f>_xlfn.XLOOKUP(A5235,[1]!DadosGHD[CD_GEOCMU],[1]!DadosGHD[MUNICIPIO])</f>
        <v>BEBEDOURO</v>
      </c>
      <c r="F5235" s="6">
        <v>58.782470703125</v>
      </c>
      <c r="G5235" s="6">
        <v>58.827030181884801</v>
      </c>
      <c r="H5235" s="6">
        <v>58.821941375732401</v>
      </c>
      <c r="I5235" s="6">
        <v>53.8473930358887</v>
      </c>
      <c r="J5235" s="6">
        <v>53.788219451904297</v>
      </c>
      <c r="K5235" s="6">
        <v>48.906234741210902</v>
      </c>
      <c r="L5235" s="6">
        <v>57.589881896972699</v>
      </c>
    </row>
    <row r="5236" spans="1:12" x14ac:dyDescent="0.25">
      <c r="A5236">
        <v>3556206</v>
      </c>
      <c r="B5236" t="str">
        <f t="shared" si="81"/>
        <v>VALINHOS, SP, Brasil</v>
      </c>
      <c r="C5236" s="4" t="str">
        <f>_xlfn.XLOOKUP(A5236,[1]!DadosGHD[CD_GEOCMU],[1]!DadosGHD[Região])</f>
        <v>SD</v>
      </c>
      <c r="D5236" s="4" t="str">
        <f>_xlfn.XLOOKUP(A5236,[1]!DadosGHD[CD_GEOCMU],[1]!DadosGHD[uf])</f>
        <v>SP</v>
      </c>
      <c r="E5236" s="5" t="str">
        <f>_xlfn.XLOOKUP(A5236,[1]!DadosGHD[CD_GEOCMU],[1]!DadosGHD[MUNICIPIO])</f>
        <v>VALINHOS</v>
      </c>
      <c r="F5236" s="6">
        <v>58.782962799072301</v>
      </c>
      <c r="G5236" s="6">
        <v>58.851432800292997</v>
      </c>
      <c r="H5236" s="6">
        <v>58.897548675537102</v>
      </c>
      <c r="I5236" s="6">
        <v>58.845630645752003</v>
      </c>
      <c r="J5236" s="6">
        <v>58.8991508483887</v>
      </c>
      <c r="K5236" s="6">
        <v>58.956649780273402</v>
      </c>
      <c r="L5236" s="6">
        <v>57.580245971679702</v>
      </c>
    </row>
    <row r="5237" spans="1:12" x14ac:dyDescent="0.25">
      <c r="A5237">
        <v>1716703</v>
      </c>
      <c r="B5237" t="str">
        <f t="shared" si="81"/>
        <v>COLMEIA, TO, Brasil</v>
      </c>
      <c r="C5237" s="4" t="str">
        <f>_xlfn.XLOOKUP(A5237,[1]!DadosGHD[CD_GEOCMU],[1]!DadosGHD[Região])</f>
        <v>NO</v>
      </c>
      <c r="D5237" s="4" t="str">
        <f>_xlfn.XLOOKUP(A5237,[1]!DadosGHD[CD_GEOCMU],[1]!DadosGHD[uf])</f>
        <v>TO</v>
      </c>
      <c r="E5237" s="5" t="str">
        <f>_xlfn.XLOOKUP(A5237,[1]!DadosGHD[CD_GEOCMU],[1]!DadosGHD[MUNICIPIO])</f>
        <v>COLMEIA</v>
      </c>
      <c r="F5237" s="6">
        <v>58.783443450927699</v>
      </c>
      <c r="G5237" s="6">
        <v>63.904178619384801</v>
      </c>
      <c r="H5237" s="6">
        <v>64.026092529296903</v>
      </c>
      <c r="I5237" s="6">
        <v>64.000221252441406</v>
      </c>
      <c r="J5237" s="6">
        <v>64.039611816406307</v>
      </c>
      <c r="K5237" s="6">
        <v>64.13623046875</v>
      </c>
      <c r="L5237" s="6">
        <v>44.024913787841797</v>
      </c>
    </row>
    <row r="5238" spans="1:12" x14ac:dyDescent="0.25">
      <c r="A5238">
        <v>4128104</v>
      </c>
      <c r="B5238" t="str">
        <f t="shared" si="81"/>
        <v>UMUARAMA, PR, Brasil</v>
      </c>
      <c r="C5238" s="4" t="str">
        <f>_xlfn.XLOOKUP(A5238,[1]!DadosGHD[CD_GEOCMU],[1]!DadosGHD[Região])</f>
        <v>SL</v>
      </c>
      <c r="D5238" s="4" t="str">
        <f>_xlfn.XLOOKUP(A5238,[1]!DadosGHD[CD_GEOCMU],[1]!DadosGHD[uf])</f>
        <v>PR</v>
      </c>
      <c r="E5238" s="5" t="str">
        <f>_xlfn.XLOOKUP(A5238,[1]!DadosGHD[CD_GEOCMU],[1]!DadosGHD[MUNICIPIO])</f>
        <v>UMUARAMA</v>
      </c>
      <c r="F5238" s="6">
        <v>58.784595489502003</v>
      </c>
      <c r="G5238" s="6">
        <v>58.883216857910199</v>
      </c>
      <c r="H5238" s="6">
        <v>63.940155029296903</v>
      </c>
      <c r="I5238" s="6">
        <v>63.970912933349602</v>
      </c>
      <c r="J5238" s="6">
        <v>63.985710144042997</v>
      </c>
      <c r="K5238" s="6">
        <v>59.098320007324197</v>
      </c>
      <c r="L5238" s="6">
        <v>57.565093994140597</v>
      </c>
    </row>
    <row r="5239" spans="1:12" x14ac:dyDescent="0.25">
      <c r="A5239">
        <v>3171006</v>
      </c>
      <c r="B5239" t="str">
        <f t="shared" si="81"/>
        <v>VAZANTE, MG, Brasil</v>
      </c>
      <c r="C5239" s="4" t="str">
        <f>_xlfn.XLOOKUP(A5239,[1]!DadosGHD[CD_GEOCMU],[1]!DadosGHD[Região])</f>
        <v>SD</v>
      </c>
      <c r="D5239" s="4" t="str">
        <f>_xlfn.XLOOKUP(A5239,[1]!DadosGHD[CD_GEOCMU],[1]!DadosGHD[uf])</f>
        <v>MG</v>
      </c>
      <c r="E5239" s="5" t="str">
        <f>_xlfn.XLOOKUP(A5239,[1]!DadosGHD[CD_GEOCMU],[1]!DadosGHD[MUNICIPIO])</f>
        <v>VAZANTE</v>
      </c>
      <c r="F5239" s="6">
        <v>58.785022735595703</v>
      </c>
      <c r="G5239" s="6">
        <v>58.774471282958999</v>
      </c>
      <c r="H5239" s="6">
        <v>58.831649780273402</v>
      </c>
      <c r="I5239" s="6">
        <v>53.8222846984863</v>
      </c>
      <c r="J5239" s="6">
        <v>53.843090057373097</v>
      </c>
      <c r="K5239" s="6">
        <v>53.876995086669901</v>
      </c>
      <c r="L5239" s="6">
        <v>44.037998199462898</v>
      </c>
    </row>
    <row r="5240" spans="1:12" x14ac:dyDescent="0.25">
      <c r="A5240">
        <v>3505807</v>
      </c>
      <c r="B5240" t="str">
        <f t="shared" si="81"/>
        <v>BASTOS, SP, Brasil</v>
      </c>
      <c r="C5240" s="4" t="str">
        <f>_xlfn.XLOOKUP(A5240,[1]!DadosGHD[CD_GEOCMU],[1]!DadosGHD[Região])</f>
        <v>SD</v>
      </c>
      <c r="D5240" s="4" t="str">
        <f>_xlfn.XLOOKUP(A5240,[1]!DadosGHD[CD_GEOCMU],[1]!DadosGHD[uf])</f>
        <v>SP</v>
      </c>
      <c r="E5240" s="5" t="str">
        <f>_xlfn.XLOOKUP(A5240,[1]!DadosGHD[CD_GEOCMU],[1]!DadosGHD[MUNICIPIO])</f>
        <v>BASTOS</v>
      </c>
      <c r="F5240" s="6">
        <v>58.786540985107401</v>
      </c>
      <c r="G5240" s="6">
        <v>58.908493041992202</v>
      </c>
      <c r="H5240" s="6">
        <v>58.935237884521499</v>
      </c>
      <c r="I5240" s="6">
        <v>58.891571044921903</v>
      </c>
      <c r="J5240" s="6">
        <v>58.84912109375</v>
      </c>
      <c r="K5240" s="6">
        <v>58.954795837402301</v>
      </c>
      <c r="L5240" s="6">
        <v>52.995410919189503</v>
      </c>
    </row>
    <row r="5241" spans="1:12" x14ac:dyDescent="0.25">
      <c r="A5241">
        <v>3122801</v>
      </c>
      <c r="B5241" t="str">
        <f t="shared" si="81"/>
        <v>DOM VICOSO, MG, Brasil</v>
      </c>
      <c r="C5241" s="4" t="str">
        <f>_xlfn.XLOOKUP(A5241,[1]!DadosGHD[CD_GEOCMU],[1]!DadosGHD[Região])</f>
        <v>SD</v>
      </c>
      <c r="D5241" s="4" t="str">
        <f>_xlfn.XLOOKUP(A5241,[1]!DadosGHD[CD_GEOCMU],[1]!DadosGHD[uf])</f>
        <v>MG</v>
      </c>
      <c r="E5241" s="5" t="str">
        <f>_xlfn.XLOOKUP(A5241,[1]!DadosGHD[CD_GEOCMU],[1]!DadosGHD[MUNICIPIO])</f>
        <v>DOM VICOSO</v>
      </c>
      <c r="F5241" s="6">
        <v>58.7865600585938</v>
      </c>
      <c r="G5241" s="6">
        <v>43.764579772949197</v>
      </c>
      <c r="H5241" s="6">
        <v>38.809120178222699</v>
      </c>
      <c r="I5241" s="6">
        <v>28.9489440917969</v>
      </c>
      <c r="J5241" s="6">
        <v>33.819282531738303</v>
      </c>
      <c r="K5241" s="6">
        <v>38.8195610046387</v>
      </c>
      <c r="L5241" s="6">
        <v>44.063442230224602</v>
      </c>
    </row>
    <row r="5242" spans="1:12" x14ac:dyDescent="0.25">
      <c r="A5242">
        <v>3204302</v>
      </c>
      <c r="B5242" t="str">
        <f t="shared" si="81"/>
        <v>PRESIDENTE KENNEDY, ES, Brasil</v>
      </c>
      <c r="C5242" s="4" t="str">
        <f>_xlfn.XLOOKUP(A5242,[1]!DadosGHD[CD_GEOCMU],[1]!DadosGHD[Região])</f>
        <v>SD</v>
      </c>
      <c r="D5242" s="4" t="str">
        <f>_xlfn.XLOOKUP(A5242,[1]!DadosGHD[CD_GEOCMU],[1]!DadosGHD[uf])</f>
        <v>ES</v>
      </c>
      <c r="E5242" s="5" t="str">
        <f>_xlfn.XLOOKUP(A5242,[1]!DadosGHD[CD_GEOCMU],[1]!DadosGHD[MUNICIPIO])</f>
        <v>PRESIDENTE KENNEDY</v>
      </c>
      <c r="F5242" s="6">
        <v>58.786815643310597</v>
      </c>
      <c r="G5242" s="6">
        <v>58.796134948730497</v>
      </c>
      <c r="H5242" s="6">
        <v>58.8169136047363</v>
      </c>
      <c r="I5242" s="6">
        <v>53.726345062255902</v>
      </c>
      <c r="J5242" s="6">
        <v>58.9349975585938</v>
      </c>
      <c r="K5242" s="6">
        <v>64.13623046875</v>
      </c>
      <c r="L5242" s="6">
        <v>44.019508361816399</v>
      </c>
    </row>
    <row r="5243" spans="1:12" x14ac:dyDescent="0.25">
      <c r="A5243">
        <v>5101258</v>
      </c>
      <c r="B5243" t="str">
        <f t="shared" si="81"/>
        <v>ARAPUTANGA, MT, Brasil</v>
      </c>
      <c r="C5243" s="4" t="str">
        <f>_xlfn.XLOOKUP(A5243,[1]!DadosGHD[CD_GEOCMU],[1]!DadosGHD[Região])</f>
        <v>CO</v>
      </c>
      <c r="D5243" s="4" t="str">
        <f>_xlfn.XLOOKUP(A5243,[1]!DadosGHD[CD_GEOCMU],[1]!DadosGHD[uf])</f>
        <v>MT</v>
      </c>
      <c r="E5243" s="5" t="str">
        <f>_xlfn.XLOOKUP(A5243,[1]!DadosGHD[CD_GEOCMU],[1]!DadosGHD[MUNICIPIO])</f>
        <v>ARAPUTANGA</v>
      </c>
      <c r="F5243" s="6">
        <v>58.7890625</v>
      </c>
      <c r="G5243" s="6">
        <v>58.806797027587898</v>
      </c>
      <c r="H5243" s="6">
        <v>53.899021148681598</v>
      </c>
      <c r="I5243" s="6">
        <v>58.802902221679702</v>
      </c>
      <c r="J5243" s="6">
        <v>53.883655548095703</v>
      </c>
      <c r="K5243" s="6">
        <v>53.860683441162102</v>
      </c>
      <c r="L5243" s="6">
        <v>39.571292877197301</v>
      </c>
    </row>
    <row r="5244" spans="1:12" x14ac:dyDescent="0.25">
      <c r="A5244">
        <v>3550803</v>
      </c>
      <c r="B5244" t="str">
        <f t="shared" si="81"/>
        <v>SAO SEBASTIAO DA GRAMA, SP, Brasil</v>
      </c>
      <c r="C5244" s="4" t="str">
        <f>_xlfn.XLOOKUP(A5244,[1]!DadosGHD[CD_GEOCMU],[1]!DadosGHD[Região])</f>
        <v>SD</v>
      </c>
      <c r="D5244" s="4" t="str">
        <f>_xlfn.XLOOKUP(A5244,[1]!DadosGHD[CD_GEOCMU],[1]!DadosGHD[uf])</f>
        <v>SP</v>
      </c>
      <c r="E5244" s="5" t="str">
        <f>_xlfn.XLOOKUP(A5244,[1]!DadosGHD[CD_GEOCMU],[1]!DadosGHD[MUNICIPIO])</f>
        <v>SAO SEBASTIAO DA GRAMA</v>
      </c>
      <c r="F5244" s="6">
        <v>58.789154052734403</v>
      </c>
      <c r="G5244" s="6">
        <v>58.764915466308601</v>
      </c>
      <c r="H5244" s="6">
        <v>58.875186920166001</v>
      </c>
      <c r="I5244" s="6">
        <v>58.865711212158203</v>
      </c>
      <c r="J5244" s="6">
        <v>58.927207946777301</v>
      </c>
      <c r="K5244" s="6">
        <v>59.031318664550803</v>
      </c>
      <c r="L5244" s="6">
        <v>57.589881896972699</v>
      </c>
    </row>
    <row r="5245" spans="1:12" x14ac:dyDescent="0.25">
      <c r="A5245">
        <v>3516200</v>
      </c>
      <c r="B5245" t="str">
        <f t="shared" si="81"/>
        <v>FRANCA, SP, Brasil</v>
      </c>
      <c r="C5245" s="4" t="str">
        <f>_xlfn.XLOOKUP(A5245,[1]!DadosGHD[CD_GEOCMU],[1]!DadosGHD[Região])</f>
        <v>SD</v>
      </c>
      <c r="D5245" s="4" t="str">
        <f>_xlfn.XLOOKUP(A5245,[1]!DadosGHD[CD_GEOCMU],[1]!DadosGHD[uf])</f>
        <v>SP</v>
      </c>
      <c r="E5245" s="5" t="str">
        <f>_xlfn.XLOOKUP(A5245,[1]!DadosGHD[CD_GEOCMU],[1]!DadosGHD[MUNICIPIO])</f>
        <v>FRANCA</v>
      </c>
      <c r="F5245" s="6">
        <v>58.789554595947301</v>
      </c>
      <c r="G5245" s="6">
        <v>58.8677368164063</v>
      </c>
      <c r="H5245" s="6">
        <v>58.926677703857401</v>
      </c>
      <c r="I5245" s="6">
        <v>58.898159027099602</v>
      </c>
      <c r="J5245" s="6">
        <v>58.951038360595703</v>
      </c>
      <c r="K5245" s="6">
        <v>59.011817932128899</v>
      </c>
      <c r="L5245" s="6">
        <v>57.576164245605497</v>
      </c>
    </row>
    <row r="5246" spans="1:12" x14ac:dyDescent="0.25">
      <c r="A5246">
        <v>3534609</v>
      </c>
      <c r="B5246" t="str">
        <f t="shared" si="81"/>
        <v>OSVALDO CRUZ, SP, Brasil</v>
      </c>
      <c r="C5246" s="4" t="str">
        <f>_xlfn.XLOOKUP(A5246,[1]!DadosGHD[CD_GEOCMU],[1]!DadosGHD[Região])</f>
        <v>SD</v>
      </c>
      <c r="D5246" s="4" t="str">
        <f>_xlfn.XLOOKUP(A5246,[1]!DadosGHD[CD_GEOCMU],[1]!DadosGHD[uf])</f>
        <v>SP</v>
      </c>
      <c r="E5246" s="5" t="str">
        <f>_xlfn.XLOOKUP(A5246,[1]!DadosGHD[CD_GEOCMU],[1]!DadosGHD[MUNICIPIO])</f>
        <v>OSVALDO CRUZ</v>
      </c>
      <c r="F5246" s="6">
        <v>58.7904052734375</v>
      </c>
      <c r="G5246" s="6">
        <v>58.8442192077637</v>
      </c>
      <c r="H5246" s="6">
        <v>53.829250335693402</v>
      </c>
      <c r="I5246" s="6">
        <v>53.7520141601563</v>
      </c>
      <c r="J5246" s="6">
        <v>53.786262512207003</v>
      </c>
      <c r="K5246" s="6">
        <v>48.883609771728501</v>
      </c>
      <c r="L5246" s="6">
        <v>44.075263977050803</v>
      </c>
    </row>
    <row r="5247" spans="1:12" x14ac:dyDescent="0.25">
      <c r="A5247">
        <v>3524303</v>
      </c>
      <c r="B5247" t="str">
        <f t="shared" si="81"/>
        <v>JABOTICABAL, SP, Brasil</v>
      </c>
      <c r="C5247" s="4" t="str">
        <f>_xlfn.XLOOKUP(A5247,[1]!DadosGHD[CD_GEOCMU],[1]!DadosGHD[Região])</f>
        <v>SD</v>
      </c>
      <c r="D5247" s="4" t="str">
        <f>_xlfn.XLOOKUP(A5247,[1]!DadosGHD[CD_GEOCMU],[1]!DadosGHD[uf])</f>
        <v>SP</v>
      </c>
      <c r="E5247" s="5" t="str">
        <f>_xlfn.XLOOKUP(A5247,[1]!DadosGHD[CD_GEOCMU],[1]!DadosGHD[MUNICIPIO])</f>
        <v>JABOTICABAL</v>
      </c>
      <c r="F5247" s="6">
        <v>58.791255950927699</v>
      </c>
      <c r="G5247" s="6">
        <v>58.876388549804702</v>
      </c>
      <c r="H5247" s="6">
        <v>58.938194274902301</v>
      </c>
      <c r="I5247" s="6">
        <v>58.888664245605497</v>
      </c>
      <c r="J5247" s="6">
        <v>58.890495300292997</v>
      </c>
      <c r="K5247" s="6">
        <v>53.986774444580099</v>
      </c>
      <c r="L5247" s="6">
        <v>53.062892913818402</v>
      </c>
    </row>
    <row r="5248" spans="1:12" x14ac:dyDescent="0.25">
      <c r="A5248">
        <v>3543105</v>
      </c>
      <c r="B5248" t="str">
        <f t="shared" si="81"/>
        <v>RIBEIRAO CORRENTE, SP, Brasil</v>
      </c>
      <c r="C5248" s="4" t="str">
        <f>_xlfn.XLOOKUP(A5248,[1]!DadosGHD[CD_GEOCMU],[1]!DadosGHD[Região])</f>
        <v>SD</v>
      </c>
      <c r="D5248" s="4" t="str">
        <f>_xlfn.XLOOKUP(A5248,[1]!DadosGHD[CD_GEOCMU],[1]!DadosGHD[uf])</f>
        <v>SP</v>
      </c>
      <c r="E5248" s="5" t="str">
        <f>_xlfn.XLOOKUP(A5248,[1]!DadosGHD[CD_GEOCMU],[1]!DadosGHD[MUNICIPIO])</f>
        <v>RIBEIRAO CORRENTE</v>
      </c>
      <c r="F5248" s="6">
        <v>58.792552947998097</v>
      </c>
      <c r="G5248" s="6">
        <v>58.781047821044901</v>
      </c>
      <c r="H5248" s="6">
        <v>58.872795104980497</v>
      </c>
      <c r="I5248" s="6">
        <v>58.784576416015597</v>
      </c>
      <c r="J5248" s="6">
        <v>58.842517852783203</v>
      </c>
      <c r="K5248" s="6">
        <v>58.969898223877003</v>
      </c>
      <c r="L5248" s="6">
        <v>57.531913757324197</v>
      </c>
    </row>
    <row r="5249" spans="1:12" x14ac:dyDescent="0.25">
      <c r="A5249">
        <v>3537008</v>
      </c>
      <c r="B5249" t="str">
        <f t="shared" si="81"/>
        <v>PEDREGULHO, SP, Brasil</v>
      </c>
      <c r="C5249" s="4" t="str">
        <f>_xlfn.XLOOKUP(A5249,[1]!DadosGHD[CD_GEOCMU],[1]!DadosGHD[Região])</f>
        <v>SD</v>
      </c>
      <c r="D5249" s="4" t="str">
        <f>_xlfn.XLOOKUP(A5249,[1]!DadosGHD[CD_GEOCMU],[1]!DadosGHD[uf])</f>
        <v>SP</v>
      </c>
      <c r="E5249" s="5" t="str">
        <f>_xlfn.XLOOKUP(A5249,[1]!DadosGHD[CD_GEOCMU],[1]!DadosGHD[MUNICIPIO])</f>
        <v>PEDREGULHO</v>
      </c>
      <c r="F5249" s="6">
        <v>58.792594909667997</v>
      </c>
      <c r="G5249" s="6">
        <v>58.773033142089801</v>
      </c>
      <c r="H5249" s="6">
        <v>53.9099311828613</v>
      </c>
      <c r="I5249" s="6">
        <v>53.805484771728501</v>
      </c>
      <c r="J5249" s="6">
        <v>53.834308624267599</v>
      </c>
      <c r="K5249" s="6">
        <v>48.904296875</v>
      </c>
      <c r="L5249" s="6">
        <v>39.587982177734403</v>
      </c>
    </row>
    <row r="5250" spans="1:12" x14ac:dyDescent="0.25">
      <c r="A5250">
        <v>3509205</v>
      </c>
      <c r="B5250" t="str">
        <f t="shared" si="81"/>
        <v>CAJAMAR, SP, Brasil</v>
      </c>
      <c r="C5250" s="4" t="str">
        <f>_xlfn.XLOOKUP(A5250,[1]!DadosGHD[CD_GEOCMU],[1]!DadosGHD[Região])</f>
        <v>SD</v>
      </c>
      <c r="D5250" s="4" t="str">
        <f>_xlfn.XLOOKUP(A5250,[1]!DadosGHD[CD_GEOCMU],[1]!DadosGHD[uf])</f>
        <v>SP</v>
      </c>
      <c r="E5250" s="5" t="str">
        <f>_xlfn.XLOOKUP(A5250,[1]!DadosGHD[CD_GEOCMU],[1]!DadosGHD[MUNICIPIO])</f>
        <v>CAJAMAR</v>
      </c>
      <c r="F5250" s="6">
        <v>58.793663024902301</v>
      </c>
      <c r="G5250" s="6">
        <v>58.791030883789098</v>
      </c>
      <c r="H5250" s="6">
        <v>53.853321075439503</v>
      </c>
      <c r="I5250" s="6">
        <v>53.8441772460938</v>
      </c>
      <c r="J5250" s="6">
        <v>53.842594146728501</v>
      </c>
      <c r="K5250" s="6">
        <v>53.842933654785199</v>
      </c>
      <c r="L5250" s="6">
        <v>44.048526763916001</v>
      </c>
    </row>
    <row r="5251" spans="1:12" x14ac:dyDescent="0.25">
      <c r="A5251">
        <v>3542008</v>
      </c>
      <c r="B5251" t="str">
        <f t="shared" si="81"/>
        <v>QUINTANA, SP, Brasil</v>
      </c>
      <c r="C5251" s="4" t="str">
        <f>_xlfn.XLOOKUP(A5251,[1]!DadosGHD[CD_GEOCMU],[1]!DadosGHD[Região])</f>
        <v>SD</v>
      </c>
      <c r="D5251" s="4" t="str">
        <f>_xlfn.XLOOKUP(A5251,[1]!DadosGHD[CD_GEOCMU],[1]!DadosGHD[uf])</f>
        <v>SP</v>
      </c>
      <c r="E5251" s="5" t="str">
        <f>_xlfn.XLOOKUP(A5251,[1]!DadosGHD[CD_GEOCMU],[1]!DadosGHD[MUNICIPIO])</f>
        <v>QUINTANA</v>
      </c>
      <c r="F5251" s="6">
        <v>58.794914245605497</v>
      </c>
      <c r="G5251" s="6">
        <v>53.703914642333999</v>
      </c>
      <c r="H5251" s="6">
        <v>53.751056671142599</v>
      </c>
      <c r="I5251" s="6">
        <v>53.735618591308601</v>
      </c>
      <c r="J5251" s="6">
        <v>53.771995544433601</v>
      </c>
      <c r="K5251" s="6">
        <v>48.785263061523402</v>
      </c>
      <c r="L5251" s="6">
        <v>48.492919921875</v>
      </c>
    </row>
    <row r="5252" spans="1:12" x14ac:dyDescent="0.25">
      <c r="A5252">
        <v>3501509</v>
      </c>
      <c r="B5252" t="str">
        <f t="shared" ref="B5252:B5315" si="82">_xlfn.CONCAT(E5252, ", ", D5252, ", Brasil")</f>
        <v>ALVINLANDIA, SP, Brasil</v>
      </c>
      <c r="C5252" s="4" t="str">
        <f>_xlfn.XLOOKUP(A5252,[1]!DadosGHD[CD_GEOCMU],[1]!DadosGHD[Região])</f>
        <v>SD</v>
      </c>
      <c r="D5252" s="4" t="str">
        <f>_xlfn.XLOOKUP(A5252,[1]!DadosGHD[CD_GEOCMU],[1]!DadosGHD[uf])</f>
        <v>SP</v>
      </c>
      <c r="E5252" s="5" t="str">
        <f>_xlfn.XLOOKUP(A5252,[1]!DadosGHD[CD_GEOCMU],[1]!DadosGHD[MUNICIPIO])</f>
        <v>ALVINLANDIA</v>
      </c>
      <c r="F5252" s="6">
        <v>58.795375823974602</v>
      </c>
      <c r="G5252" s="6">
        <v>53.769966125488303</v>
      </c>
      <c r="H5252" s="6">
        <v>53.870105743408203</v>
      </c>
      <c r="I5252" s="6">
        <v>58.847423553466797</v>
      </c>
      <c r="J5252" s="6">
        <v>58.811576843261697</v>
      </c>
      <c r="K5252" s="6">
        <v>53.882190704345703</v>
      </c>
      <c r="L5252" s="6">
        <v>57.499256134033203</v>
      </c>
    </row>
    <row r="5253" spans="1:12" x14ac:dyDescent="0.25">
      <c r="A5253">
        <v>4301404</v>
      </c>
      <c r="B5253" t="str">
        <f t="shared" si="82"/>
        <v>ARVOREZINHA, RS, Brasil</v>
      </c>
      <c r="C5253" s="4" t="str">
        <f>_xlfn.XLOOKUP(A5253,[1]!DadosGHD[CD_GEOCMU],[1]!DadosGHD[Região])</f>
        <v>SL</v>
      </c>
      <c r="D5253" s="4" t="str">
        <f>_xlfn.XLOOKUP(A5253,[1]!DadosGHD[CD_GEOCMU],[1]!DadosGHD[uf])</f>
        <v>RS</v>
      </c>
      <c r="E5253" s="5" t="str">
        <f>_xlfn.XLOOKUP(A5253,[1]!DadosGHD[CD_GEOCMU],[1]!DadosGHD[MUNICIPIO])</f>
        <v>ARVOREZINHA</v>
      </c>
      <c r="F5253" s="6">
        <v>58.795486450195298</v>
      </c>
      <c r="G5253" s="6">
        <v>58.813880920410199</v>
      </c>
      <c r="H5253" s="6">
        <v>59.001964569091797</v>
      </c>
      <c r="I5253" s="6">
        <v>63.959938049316399</v>
      </c>
      <c r="J5253" s="6">
        <v>63.918346405029297</v>
      </c>
      <c r="K5253" s="6">
        <v>58.979904174804702</v>
      </c>
      <c r="L5253" s="6">
        <v>44.041110992431598</v>
      </c>
    </row>
    <row r="5254" spans="1:12" x14ac:dyDescent="0.25">
      <c r="A5254">
        <v>3502507</v>
      </c>
      <c r="B5254" t="str">
        <f t="shared" si="82"/>
        <v>APARECIDA, SP, Brasil</v>
      </c>
      <c r="C5254" s="4" t="str">
        <f>_xlfn.XLOOKUP(A5254,[1]!DadosGHD[CD_GEOCMU],[1]!DadosGHD[Região])</f>
        <v>SD</v>
      </c>
      <c r="D5254" s="4" t="str">
        <f>_xlfn.XLOOKUP(A5254,[1]!DadosGHD[CD_GEOCMU],[1]!DadosGHD[uf])</f>
        <v>SP</v>
      </c>
      <c r="E5254" s="5" t="str">
        <f>_xlfn.XLOOKUP(A5254,[1]!DadosGHD[CD_GEOCMU],[1]!DadosGHD[MUNICIPIO])</f>
        <v>APARECIDA</v>
      </c>
      <c r="F5254" s="6">
        <v>58.797737121582003</v>
      </c>
      <c r="G5254" s="6">
        <v>58.824672698974602</v>
      </c>
      <c r="H5254" s="6">
        <v>58.869831085205099</v>
      </c>
      <c r="I5254" s="6">
        <v>58.8074340820313</v>
      </c>
      <c r="J5254" s="6">
        <v>53.826065063476598</v>
      </c>
      <c r="K5254" s="6">
        <v>53.968631744384801</v>
      </c>
      <c r="L5254" s="6">
        <v>57.588436126708999</v>
      </c>
    </row>
    <row r="5255" spans="1:12" x14ac:dyDescent="0.25">
      <c r="A5255">
        <v>4320503</v>
      </c>
      <c r="B5255" t="str">
        <f t="shared" si="82"/>
        <v>SERTAO, RS, Brasil</v>
      </c>
      <c r="C5255" s="4" t="str">
        <f>_xlfn.XLOOKUP(A5255,[1]!DadosGHD[CD_GEOCMU],[1]!DadosGHD[Região])</f>
        <v>SL</v>
      </c>
      <c r="D5255" s="4" t="str">
        <f>_xlfn.XLOOKUP(A5255,[1]!DadosGHD[CD_GEOCMU],[1]!DadosGHD[uf])</f>
        <v>RS</v>
      </c>
      <c r="E5255" s="5" t="str">
        <f>_xlfn.XLOOKUP(A5255,[1]!DadosGHD[CD_GEOCMU],[1]!DadosGHD[MUNICIPIO])</f>
        <v>SERTAO</v>
      </c>
      <c r="F5255" s="6">
        <v>58.798652648925803</v>
      </c>
      <c r="G5255" s="6">
        <v>63.966358184814503</v>
      </c>
      <c r="H5255" s="6">
        <v>64.026092529296903</v>
      </c>
      <c r="I5255" s="6">
        <v>64.000221252441406</v>
      </c>
      <c r="J5255" s="6">
        <v>64.039611816406307</v>
      </c>
      <c r="K5255" s="6">
        <v>64.13623046875</v>
      </c>
      <c r="L5255" s="6">
        <v>53.004093170166001</v>
      </c>
    </row>
    <row r="5256" spans="1:12" x14ac:dyDescent="0.25">
      <c r="A5256">
        <v>3140506</v>
      </c>
      <c r="B5256" t="str">
        <f t="shared" si="82"/>
        <v>MARTINHO CAMPOS, MG, Brasil</v>
      </c>
      <c r="C5256" s="4" t="str">
        <f>_xlfn.XLOOKUP(A5256,[1]!DadosGHD[CD_GEOCMU],[1]!DadosGHD[Região])</f>
        <v>SD</v>
      </c>
      <c r="D5256" s="4" t="str">
        <f>_xlfn.XLOOKUP(A5256,[1]!DadosGHD[CD_GEOCMU],[1]!DadosGHD[uf])</f>
        <v>MG</v>
      </c>
      <c r="E5256" s="5" t="str">
        <f>_xlfn.XLOOKUP(A5256,[1]!DadosGHD[CD_GEOCMU],[1]!DadosGHD[MUNICIPIO])</f>
        <v>MARTINHO CAMPOS</v>
      </c>
      <c r="F5256" s="6">
        <v>58.799591064453097</v>
      </c>
      <c r="G5256" s="6">
        <v>53.810501098632798</v>
      </c>
      <c r="H5256" s="6">
        <v>64.026092529296903</v>
      </c>
      <c r="I5256" s="6">
        <v>64.000221252441406</v>
      </c>
      <c r="J5256" s="6">
        <v>63.9940795898438</v>
      </c>
      <c r="K5256" s="6">
        <v>64.134994506835895</v>
      </c>
      <c r="L5256" s="6">
        <v>57.589881896972699</v>
      </c>
    </row>
    <row r="5257" spans="1:12" x14ac:dyDescent="0.25">
      <c r="A5257">
        <v>4308201</v>
      </c>
      <c r="B5257" t="str">
        <f t="shared" si="82"/>
        <v>FLORES DA CUNHA, RS, Brasil</v>
      </c>
      <c r="C5257" s="4" t="str">
        <f>_xlfn.XLOOKUP(A5257,[1]!DadosGHD[CD_GEOCMU],[1]!DadosGHD[Região])</f>
        <v>SL</v>
      </c>
      <c r="D5257" s="4" t="str">
        <f>_xlfn.XLOOKUP(A5257,[1]!DadosGHD[CD_GEOCMU],[1]!DadosGHD[uf])</f>
        <v>RS</v>
      </c>
      <c r="E5257" s="5" t="str">
        <f>_xlfn.XLOOKUP(A5257,[1]!DadosGHD[CD_GEOCMU],[1]!DadosGHD[MUNICIPIO])</f>
        <v>FLORES DA CUNHA</v>
      </c>
      <c r="F5257" s="6">
        <v>58.800094604492202</v>
      </c>
      <c r="G5257" s="6">
        <v>63.908378601074197</v>
      </c>
      <c r="H5257" s="6">
        <v>64.026092529296903</v>
      </c>
      <c r="I5257" s="6">
        <v>63.910564422607401</v>
      </c>
      <c r="J5257" s="6">
        <v>64.039611816406307</v>
      </c>
      <c r="K5257" s="6">
        <v>64.13623046875</v>
      </c>
      <c r="L5257" s="6">
        <v>57.589881896972699</v>
      </c>
    </row>
    <row r="5258" spans="1:12" x14ac:dyDescent="0.25">
      <c r="A5258">
        <v>4311106</v>
      </c>
      <c r="B5258" t="str">
        <f t="shared" si="82"/>
        <v>JAGUARI, RS, Brasil</v>
      </c>
      <c r="C5258" s="4" t="str">
        <f>_xlfn.XLOOKUP(A5258,[1]!DadosGHD[CD_GEOCMU],[1]!DadosGHD[Região])</f>
        <v>SL</v>
      </c>
      <c r="D5258" s="4" t="str">
        <f>_xlfn.XLOOKUP(A5258,[1]!DadosGHD[CD_GEOCMU],[1]!DadosGHD[uf])</f>
        <v>RS</v>
      </c>
      <c r="E5258" s="5" t="str">
        <f>_xlfn.XLOOKUP(A5258,[1]!DadosGHD[CD_GEOCMU],[1]!DadosGHD[MUNICIPIO])</f>
        <v>JAGUARI</v>
      </c>
      <c r="F5258" s="6">
        <v>58.802398681640597</v>
      </c>
      <c r="G5258" s="6">
        <v>58.913410186767599</v>
      </c>
      <c r="H5258" s="6">
        <v>63.963035583496101</v>
      </c>
      <c r="I5258" s="6">
        <v>63.932102203369098</v>
      </c>
      <c r="J5258" s="6">
        <v>63.933391571044901</v>
      </c>
      <c r="K5258" s="6">
        <v>59.039089202880902</v>
      </c>
      <c r="L5258" s="6">
        <v>44.027030944824197</v>
      </c>
    </row>
    <row r="5259" spans="1:12" x14ac:dyDescent="0.25">
      <c r="A5259">
        <v>4314407</v>
      </c>
      <c r="B5259" t="str">
        <f t="shared" si="82"/>
        <v>PELOTAS, RS, Brasil</v>
      </c>
      <c r="C5259" s="4" t="str">
        <f>_xlfn.XLOOKUP(A5259,[1]!DadosGHD[CD_GEOCMU],[1]!DadosGHD[Região])</f>
        <v>SL</v>
      </c>
      <c r="D5259" s="4" t="str">
        <f>_xlfn.XLOOKUP(A5259,[1]!DadosGHD[CD_GEOCMU],[1]!DadosGHD[uf])</f>
        <v>RS</v>
      </c>
      <c r="E5259" s="5" t="str">
        <f>_xlfn.XLOOKUP(A5259,[1]!DadosGHD[CD_GEOCMU],[1]!DadosGHD[MUNICIPIO])</f>
        <v>PELOTAS</v>
      </c>
      <c r="F5259" s="6">
        <v>58.804122924804702</v>
      </c>
      <c r="G5259" s="6">
        <v>58.841190338134801</v>
      </c>
      <c r="H5259" s="6">
        <v>58.925582885742202</v>
      </c>
      <c r="I5259" s="6">
        <v>58.919197082519503</v>
      </c>
      <c r="J5259" s="6">
        <v>58.954833984375</v>
      </c>
      <c r="K5259" s="6">
        <v>58.965469360351598</v>
      </c>
      <c r="L5259" s="6">
        <v>57.569656372070298</v>
      </c>
    </row>
    <row r="5260" spans="1:12" x14ac:dyDescent="0.25">
      <c r="A5260">
        <v>3556453</v>
      </c>
      <c r="B5260" t="str">
        <f t="shared" si="82"/>
        <v>VARGEM GRANDE PAULISTA, SP, Brasil</v>
      </c>
      <c r="C5260" s="4" t="str">
        <f>_xlfn.XLOOKUP(A5260,[1]!DadosGHD[CD_GEOCMU],[1]!DadosGHD[Região])</f>
        <v>SD</v>
      </c>
      <c r="D5260" s="4" t="str">
        <f>_xlfn.XLOOKUP(A5260,[1]!DadosGHD[CD_GEOCMU],[1]!DadosGHD[uf])</f>
        <v>SP</v>
      </c>
      <c r="E5260" s="5" t="str">
        <f>_xlfn.XLOOKUP(A5260,[1]!DadosGHD[CD_GEOCMU],[1]!DadosGHD[MUNICIPIO])</f>
        <v>VARGEM GRANDE PAULISTA</v>
      </c>
      <c r="F5260" s="6">
        <v>58.804229736328097</v>
      </c>
      <c r="G5260" s="6">
        <v>58.759292602539098</v>
      </c>
      <c r="H5260" s="6">
        <v>53.860179901123097</v>
      </c>
      <c r="I5260" s="6">
        <v>53.7645072937012</v>
      </c>
      <c r="J5260" s="6">
        <v>48.725536346435597</v>
      </c>
      <c r="K5260" s="6">
        <v>43.8729438781738</v>
      </c>
      <c r="L5260" s="6">
        <v>48.501842498779297</v>
      </c>
    </row>
    <row r="5261" spans="1:12" x14ac:dyDescent="0.25">
      <c r="A5261">
        <v>4211405</v>
      </c>
      <c r="B5261" t="str">
        <f t="shared" si="82"/>
        <v>NOVA ERECHIM, SC, Brasil</v>
      </c>
      <c r="C5261" s="4" t="str">
        <f>_xlfn.XLOOKUP(A5261,[1]!DadosGHD[CD_GEOCMU],[1]!DadosGHD[Região])</f>
        <v>SL</v>
      </c>
      <c r="D5261" s="4" t="str">
        <f>_xlfn.XLOOKUP(A5261,[1]!DadosGHD[CD_GEOCMU],[1]!DadosGHD[uf])</f>
        <v>SC</v>
      </c>
      <c r="E5261" s="5" t="str">
        <f>_xlfn.XLOOKUP(A5261,[1]!DadosGHD[CD_GEOCMU],[1]!DadosGHD[MUNICIPIO])</f>
        <v>NOVA ERECHIM</v>
      </c>
      <c r="F5261" s="6">
        <v>58.805145263671903</v>
      </c>
      <c r="G5261" s="6">
        <v>63.946491241455099</v>
      </c>
      <c r="H5261" s="6">
        <v>64.026092529296903</v>
      </c>
      <c r="I5261" s="6">
        <v>64.000221252441406</v>
      </c>
      <c r="J5261" s="6">
        <v>64.039611816406307</v>
      </c>
      <c r="K5261" s="6">
        <v>64.13623046875</v>
      </c>
      <c r="L5261" s="6">
        <v>53.034053802490199</v>
      </c>
    </row>
    <row r="5262" spans="1:12" x14ac:dyDescent="0.25">
      <c r="A5262">
        <v>3302403</v>
      </c>
      <c r="B5262" t="str">
        <f t="shared" si="82"/>
        <v>MACAE, RJ, Brasil</v>
      </c>
      <c r="C5262" s="4" t="str">
        <f>_xlfn.XLOOKUP(A5262,[1]!DadosGHD[CD_GEOCMU],[1]!DadosGHD[Região])</f>
        <v>SD</v>
      </c>
      <c r="D5262" s="4" t="str">
        <f>_xlfn.XLOOKUP(A5262,[1]!DadosGHD[CD_GEOCMU],[1]!DadosGHD[uf])</f>
        <v>RJ</v>
      </c>
      <c r="E5262" s="5" t="str">
        <f>_xlfn.XLOOKUP(A5262,[1]!DadosGHD[CD_GEOCMU],[1]!DadosGHD[MUNICIPIO])</f>
        <v>MACAE</v>
      </c>
      <c r="F5262" s="6">
        <v>58.805686950683601</v>
      </c>
      <c r="G5262" s="6">
        <v>58.784702301025398</v>
      </c>
      <c r="H5262" s="6">
        <v>53.879360198974602</v>
      </c>
      <c r="I5262" s="6">
        <v>53.787189483642599</v>
      </c>
      <c r="J5262" s="6">
        <v>48.837314605712898</v>
      </c>
      <c r="K5262" s="6">
        <v>48.830852508544901</v>
      </c>
      <c r="L5262" s="6">
        <v>48.512264251708999</v>
      </c>
    </row>
    <row r="5263" spans="1:12" x14ac:dyDescent="0.25">
      <c r="A5263">
        <v>4302204</v>
      </c>
      <c r="B5263" t="str">
        <f t="shared" si="82"/>
        <v>BOA VISTA DO BURICA, RS, Brasil</v>
      </c>
      <c r="C5263" s="4" t="str">
        <f>_xlfn.XLOOKUP(A5263,[1]!DadosGHD[CD_GEOCMU],[1]!DadosGHD[Região])</f>
        <v>SL</v>
      </c>
      <c r="D5263" s="4" t="str">
        <f>_xlfn.XLOOKUP(A5263,[1]!DadosGHD[CD_GEOCMU],[1]!DadosGHD[uf])</f>
        <v>RS</v>
      </c>
      <c r="E5263" s="5" t="str">
        <f>_xlfn.XLOOKUP(A5263,[1]!DadosGHD[CD_GEOCMU],[1]!DadosGHD[MUNICIPIO])</f>
        <v>BOA VISTA DO BURICA</v>
      </c>
      <c r="F5263" s="6">
        <v>58.805763244628899</v>
      </c>
      <c r="G5263" s="6">
        <v>63.843223571777301</v>
      </c>
      <c r="H5263" s="6">
        <v>63.998264312744098</v>
      </c>
      <c r="I5263" s="6">
        <v>63.928749084472699</v>
      </c>
      <c r="J5263" s="6">
        <v>63.9234619140625</v>
      </c>
      <c r="K5263" s="6">
        <v>64.13623046875</v>
      </c>
      <c r="L5263" s="6">
        <v>57.589881896972699</v>
      </c>
    </row>
    <row r="5264" spans="1:12" x14ac:dyDescent="0.25">
      <c r="A5264">
        <v>3170107</v>
      </c>
      <c r="B5264" t="str">
        <f t="shared" si="82"/>
        <v>UBERABA, MG, Brasil</v>
      </c>
      <c r="C5264" s="4" t="str">
        <f>_xlfn.XLOOKUP(A5264,[1]!DadosGHD[CD_GEOCMU],[1]!DadosGHD[Região])</f>
        <v>SD</v>
      </c>
      <c r="D5264" s="4" t="str">
        <f>_xlfn.XLOOKUP(A5264,[1]!DadosGHD[CD_GEOCMU],[1]!DadosGHD[uf])</f>
        <v>MG</v>
      </c>
      <c r="E5264" s="5" t="str">
        <f>_xlfn.XLOOKUP(A5264,[1]!DadosGHD[CD_GEOCMU],[1]!DadosGHD[MUNICIPIO])</f>
        <v>UBERABA</v>
      </c>
      <c r="F5264" s="6">
        <v>58.806312561035199</v>
      </c>
      <c r="G5264" s="6">
        <v>58.900379180908203</v>
      </c>
      <c r="H5264" s="6">
        <v>58.943618774414098</v>
      </c>
      <c r="I5264" s="6">
        <v>58.899101257324197</v>
      </c>
      <c r="J5264" s="6">
        <v>58.931793212890597</v>
      </c>
      <c r="K5264" s="6">
        <v>58.977325439453097</v>
      </c>
      <c r="L5264" s="6">
        <v>57.569534301757798</v>
      </c>
    </row>
    <row r="5265" spans="1:12" x14ac:dyDescent="0.25">
      <c r="A5265">
        <v>4308458</v>
      </c>
      <c r="B5265" t="str">
        <f t="shared" si="82"/>
        <v>FORTALEZA DOS VALOS, RS, Brasil</v>
      </c>
      <c r="C5265" s="4" t="str">
        <f>_xlfn.XLOOKUP(A5265,[1]!DadosGHD[CD_GEOCMU],[1]!DadosGHD[Região])</f>
        <v>SL</v>
      </c>
      <c r="D5265" s="4" t="str">
        <f>_xlfn.XLOOKUP(A5265,[1]!DadosGHD[CD_GEOCMU],[1]!DadosGHD[uf])</f>
        <v>RS</v>
      </c>
      <c r="E5265" s="5" t="str">
        <f>_xlfn.XLOOKUP(A5265,[1]!DadosGHD[CD_GEOCMU],[1]!DadosGHD[MUNICIPIO])</f>
        <v>FORTALEZA DOS VALOS</v>
      </c>
      <c r="F5265" s="6">
        <v>58.806640625</v>
      </c>
      <c r="G5265" s="6">
        <v>63.949775695800803</v>
      </c>
      <c r="H5265" s="6">
        <v>64.026092529296903</v>
      </c>
      <c r="I5265" s="6">
        <v>64.000221252441406</v>
      </c>
      <c r="J5265" s="6">
        <v>64.039611816406307</v>
      </c>
      <c r="K5265" s="6">
        <v>64.13623046875</v>
      </c>
      <c r="L5265" s="6">
        <v>57.589881896972699</v>
      </c>
    </row>
    <row r="5266" spans="1:12" x14ac:dyDescent="0.25">
      <c r="A5266">
        <v>3513900</v>
      </c>
      <c r="B5266" t="str">
        <f t="shared" si="82"/>
        <v>DIVINOLANDIA, SP, Brasil</v>
      </c>
      <c r="C5266" s="4" t="str">
        <f>_xlfn.XLOOKUP(A5266,[1]!DadosGHD[CD_GEOCMU],[1]!DadosGHD[Região])</f>
        <v>SD</v>
      </c>
      <c r="D5266" s="4" t="str">
        <f>_xlfn.XLOOKUP(A5266,[1]!DadosGHD[CD_GEOCMU],[1]!DadosGHD[uf])</f>
        <v>SP</v>
      </c>
      <c r="E5266" s="5" t="str">
        <f>_xlfn.XLOOKUP(A5266,[1]!DadosGHD[CD_GEOCMU],[1]!DadosGHD[MUNICIPIO])</f>
        <v>DIVINOLANDIA</v>
      </c>
      <c r="F5266" s="6">
        <v>58.807151794433601</v>
      </c>
      <c r="G5266" s="6">
        <v>63.839282989502003</v>
      </c>
      <c r="H5266" s="6">
        <v>63.942153930664098</v>
      </c>
      <c r="I5266" s="6">
        <v>63.903743743896499</v>
      </c>
      <c r="J5266" s="6">
        <v>63.981410980224602</v>
      </c>
      <c r="K5266" s="6">
        <v>59.117504119873097</v>
      </c>
      <c r="L5266" s="6">
        <v>57.505233764648402</v>
      </c>
    </row>
    <row r="5267" spans="1:12" x14ac:dyDescent="0.25">
      <c r="A5267">
        <v>4313904</v>
      </c>
      <c r="B5267" t="str">
        <f t="shared" si="82"/>
        <v>PANAMBI, RS, Brasil</v>
      </c>
      <c r="C5267" s="4" t="str">
        <f>_xlfn.XLOOKUP(A5267,[1]!DadosGHD[CD_GEOCMU],[1]!DadosGHD[Região])</f>
        <v>SL</v>
      </c>
      <c r="D5267" s="4" t="str">
        <f>_xlfn.XLOOKUP(A5267,[1]!DadosGHD[CD_GEOCMU],[1]!DadosGHD[uf])</f>
        <v>RS</v>
      </c>
      <c r="E5267" s="5" t="str">
        <f>_xlfn.XLOOKUP(A5267,[1]!DadosGHD[CD_GEOCMU],[1]!DadosGHD[MUNICIPIO])</f>
        <v>PANAMBI</v>
      </c>
      <c r="F5267" s="6">
        <v>58.807483673095703</v>
      </c>
      <c r="G5267" s="6">
        <v>58.822418212890597</v>
      </c>
      <c r="H5267" s="6">
        <v>58.823982238769503</v>
      </c>
      <c r="I5267" s="6">
        <v>58.875404357910199</v>
      </c>
      <c r="J5267" s="6">
        <v>58.949569702148402</v>
      </c>
      <c r="K5267" s="6">
        <v>59.077903747558601</v>
      </c>
      <c r="L5267" s="6">
        <v>57.520397186279297</v>
      </c>
    </row>
    <row r="5268" spans="1:12" x14ac:dyDescent="0.25">
      <c r="A5268">
        <v>3505302</v>
      </c>
      <c r="B5268" t="str">
        <f t="shared" si="82"/>
        <v>BARRA BONITA, SP, Brasil</v>
      </c>
      <c r="C5268" s="4" t="str">
        <f>_xlfn.XLOOKUP(A5268,[1]!DadosGHD[CD_GEOCMU],[1]!DadosGHD[Região])</f>
        <v>SD</v>
      </c>
      <c r="D5268" s="4" t="str">
        <f>_xlfn.XLOOKUP(A5268,[1]!DadosGHD[CD_GEOCMU],[1]!DadosGHD[uf])</f>
        <v>SP</v>
      </c>
      <c r="E5268" s="5" t="str">
        <f>_xlfn.XLOOKUP(A5268,[1]!DadosGHD[CD_GEOCMU],[1]!DadosGHD[MUNICIPIO])</f>
        <v>BARRA BONITA</v>
      </c>
      <c r="F5268" s="6">
        <v>58.807750701904297</v>
      </c>
      <c r="G5268" s="6">
        <v>58.855155944824197</v>
      </c>
      <c r="H5268" s="6">
        <v>58.879386901855497</v>
      </c>
      <c r="I5268" s="6">
        <v>53.788520812988303</v>
      </c>
      <c r="J5268" s="6">
        <v>58.871402740478501</v>
      </c>
      <c r="K5268" s="6">
        <v>58.934432983398402</v>
      </c>
      <c r="L5268" s="6">
        <v>57.575260162353501</v>
      </c>
    </row>
    <row r="5269" spans="1:12" x14ac:dyDescent="0.25">
      <c r="A5269">
        <v>4103305</v>
      </c>
      <c r="B5269" t="str">
        <f t="shared" si="82"/>
        <v>BORRAZOPOLIS, PR, Brasil</v>
      </c>
      <c r="C5269" s="4" t="str">
        <f>_xlfn.XLOOKUP(A5269,[1]!DadosGHD[CD_GEOCMU],[1]!DadosGHD[Região])</f>
        <v>SL</v>
      </c>
      <c r="D5269" s="4" t="str">
        <f>_xlfn.XLOOKUP(A5269,[1]!DadosGHD[CD_GEOCMU],[1]!DadosGHD[uf])</f>
        <v>PR</v>
      </c>
      <c r="E5269" s="5" t="str">
        <f>_xlfn.XLOOKUP(A5269,[1]!DadosGHD[CD_GEOCMU],[1]!DadosGHD[MUNICIPIO])</f>
        <v>BORRAZOPOLIS</v>
      </c>
      <c r="F5269" s="6">
        <v>58.808307647705099</v>
      </c>
      <c r="G5269" s="6">
        <v>58.917755126953097</v>
      </c>
      <c r="H5269" s="6">
        <v>58.991912841796903</v>
      </c>
      <c r="I5269" s="6">
        <v>58.966342926025398</v>
      </c>
      <c r="J5269" s="6">
        <v>63.9080810546875</v>
      </c>
      <c r="K5269" s="6">
        <v>59.123043060302699</v>
      </c>
      <c r="L5269" s="6">
        <v>44.052440643310597</v>
      </c>
    </row>
    <row r="5270" spans="1:12" x14ac:dyDescent="0.25">
      <c r="A5270">
        <v>3161908</v>
      </c>
      <c r="B5270" t="str">
        <f t="shared" si="82"/>
        <v>SAO GONCALO DO RIO ABAIXO, MG, Brasil</v>
      </c>
      <c r="C5270" s="4" t="str">
        <f>_xlfn.XLOOKUP(A5270,[1]!DadosGHD[CD_GEOCMU],[1]!DadosGHD[Região])</f>
        <v>SD</v>
      </c>
      <c r="D5270" s="4" t="str">
        <f>_xlfn.XLOOKUP(A5270,[1]!DadosGHD[CD_GEOCMU],[1]!DadosGHD[uf])</f>
        <v>MG</v>
      </c>
      <c r="E5270" s="5" t="str">
        <f>_xlfn.XLOOKUP(A5270,[1]!DadosGHD[CD_GEOCMU],[1]!DadosGHD[MUNICIPIO])</f>
        <v>SAO GONCALO DO RIO ABAIXO</v>
      </c>
      <c r="F5270" s="6">
        <v>58.808868408203097</v>
      </c>
      <c r="G5270" s="6">
        <v>58.820510864257798</v>
      </c>
      <c r="H5270" s="6">
        <v>58.878822326660199</v>
      </c>
      <c r="I5270" s="6">
        <v>58.861240386962898</v>
      </c>
      <c r="J5270" s="6">
        <v>58.85546875</v>
      </c>
      <c r="K5270" s="6">
        <v>58.907749176025398</v>
      </c>
      <c r="L5270" s="6">
        <v>53.017799377441399</v>
      </c>
    </row>
    <row r="5271" spans="1:12" x14ac:dyDescent="0.25">
      <c r="A5271">
        <v>5003702</v>
      </c>
      <c r="B5271" t="str">
        <f t="shared" si="82"/>
        <v>DOURADOS, MS, Brasil</v>
      </c>
      <c r="C5271" s="4" t="str">
        <f>_xlfn.XLOOKUP(A5271,[1]!DadosGHD[CD_GEOCMU],[1]!DadosGHD[Região])</f>
        <v>CO</v>
      </c>
      <c r="D5271" s="4" t="str">
        <f>_xlfn.XLOOKUP(A5271,[1]!DadosGHD[CD_GEOCMU],[1]!DadosGHD[uf])</f>
        <v>MS</v>
      </c>
      <c r="E5271" s="5" t="str">
        <f>_xlfn.XLOOKUP(A5271,[1]!DadosGHD[CD_GEOCMU],[1]!DadosGHD[MUNICIPIO])</f>
        <v>DOURADOS</v>
      </c>
      <c r="F5271" s="6">
        <v>58.809593200683601</v>
      </c>
      <c r="G5271" s="6">
        <v>58.883445739746101</v>
      </c>
      <c r="H5271" s="6">
        <v>58.945407867431598</v>
      </c>
      <c r="I5271" s="6">
        <v>58.934123992919901</v>
      </c>
      <c r="J5271" s="6">
        <v>63.921031951904297</v>
      </c>
      <c r="K5271" s="6">
        <v>64.094177246093807</v>
      </c>
      <c r="L5271" s="6">
        <v>53.068492889404297</v>
      </c>
    </row>
    <row r="5272" spans="1:12" x14ac:dyDescent="0.25">
      <c r="A5272">
        <v>3128907</v>
      </c>
      <c r="B5272" t="str">
        <f t="shared" si="82"/>
        <v>GUIMARANIA, MG, Brasil</v>
      </c>
      <c r="C5272" s="4" t="str">
        <f>_xlfn.XLOOKUP(A5272,[1]!DadosGHD[CD_GEOCMU],[1]!DadosGHD[Região])</f>
        <v>SD</v>
      </c>
      <c r="D5272" s="4" t="str">
        <f>_xlfn.XLOOKUP(A5272,[1]!DadosGHD[CD_GEOCMU],[1]!DadosGHD[uf])</f>
        <v>MG</v>
      </c>
      <c r="E5272" s="5" t="str">
        <f>_xlfn.XLOOKUP(A5272,[1]!DadosGHD[CD_GEOCMU],[1]!DadosGHD[MUNICIPIO])</f>
        <v>GUIMARANIA</v>
      </c>
      <c r="F5272" s="6">
        <v>58.809722900390597</v>
      </c>
      <c r="G5272" s="6">
        <v>58.865726470947301</v>
      </c>
      <c r="H5272" s="6">
        <v>64.026092529296903</v>
      </c>
      <c r="I5272" s="6">
        <v>64.000221252441406</v>
      </c>
      <c r="J5272" s="6">
        <v>64.039611816406307</v>
      </c>
      <c r="K5272" s="6">
        <v>59.093772888183601</v>
      </c>
      <c r="L5272" s="6">
        <v>53.001243591308601</v>
      </c>
    </row>
    <row r="5273" spans="1:12" x14ac:dyDescent="0.25">
      <c r="A5273">
        <v>5218805</v>
      </c>
      <c r="B5273" t="str">
        <f t="shared" si="82"/>
        <v>RIO VERDE, GO, Brasil</v>
      </c>
      <c r="C5273" s="4" t="str">
        <f>_xlfn.XLOOKUP(A5273,[1]!DadosGHD[CD_GEOCMU],[1]!DadosGHD[Região])</f>
        <v>CO</v>
      </c>
      <c r="D5273" s="4" t="str">
        <f>_xlfn.XLOOKUP(A5273,[1]!DadosGHD[CD_GEOCMU],[1]!DadosGHD[uf])</f>
        <v>GO</v>
      </c>
      <c r="E5273" s="5" t="str">
        <f>_xlfn.XLOOKUP(A5273,[1]!DadosGHD[CD_GEOCMU],[1]!DadosGHD[MUNICIPIO])</f>
        <v>RIO VERDE</v>
      </c>
      <c r="F5273" s="6">
        <v>58.810050964355497</v>
      </c>
      <c r="G5273" s="6">
        <v>58.881866455078097</v>
      </c>
      <c r="H5273" s="6">
        <v>58.909351348877003</v>
      </c>
      <c r="I5273" s="6">
        <v>58.8716430664063</v>
      </c>
      <c r="J5273" s="6">
        <v>58.931720733642599</v>
      </c>
      <c r="K5273" s="6">
        <v>58.979591369628899</v>
      </c>
      <c r="L5273" s="6">
        <v>53.060745239257798</v>
      </c>
    </row>
    <row r="5274" spans="1:12" x14ac:dyDescent="0.25">
      <c r="A5274">
        <v>5220603</v>
      </c>
      <c r="B5274" t="str">
        <f t="shared" si="82"/>
        <v>SILVANIA, GO, Brasil</v>
      </c>
      <c r="C5274" s="4" t="str">
        <f>_xlfn.XLOOKUP(A5274,[1]!DadosGHD[CD_GEOCMU],[1]!DadosGHD[Região])</f>
        <v>CO</v>
      </c>
      <c r="D5274" s="4" t="str">
        <f>_xlfn.XLOOKUP(A5274,[1]!DadosGHD[CD_GEOCMU],[1]!DadosGHD[uf])</f>
        <v>GO</v>
      </c>
      <c r="E5274" s="5" t="str">
        <f>_xlfn.XLOOKUP(A5274,[1]!DadosGHD[CD_GEOCMU],[1]!DadosGHD[MUNICIPIO])</f>
        <v>SILVANIA</v>
      </c>
      <c r="F5274" s="6">
        <v>58.8105278015137</v>
      </c>
      <c r="G5274" s="6">
        <v>63.891929626464801</v>
      </c>
      <c r="H5274" s="6">
        <v>64.017814636230497</v>
      </c>
      <c r="I5274" s="6">
        <v>63.899776458740199</v>
      </c>
      <c r="J5274" s="6">
        <v>58.883785247802699</v>
      </c>
      <c r="K5274" s="6">
        <v>53.9554634094238</v>
      </c>
      <c r="L5274" s="6">
        <v>48.490299224853501</v>
      </c>
    </row>
    <row r="5275" spans="1:12" x14ac:dyDescent="0.25">
      <c r="A5275">
        <v>3502408</v>
      </c>
      <c r="B5275" t="str">
        <f t="shared" si="82"/>
        <v>ANHUMAS, SP, Brasil</v>
      </c>
      <c r="C5275" s="4" t="str">
        <f>_xlfn.XLOOKUP(A5275,[1]!DadosGHD[CD_GEOCMU],[1]!DadosGHD[Região])</f>
        <v>SD</v>
      </c>
      <c r="D5275" s="4" t="str">
        <f>_xlfn.XLOOKUP(A5275,[1]!DadosGHD[CD_GEOCMU],[1]!DadosGHD[uf])</f>
        <v>SP</v>
      </c>
      <c r="E5275" s="5" t="str">
        <f>_xlfn.XLOOKUP(A5275,[1]!DadosGHD[CD_GEOCMU],[1]!DadosGHD[MUNICIPIO])</f>
        <v>ANHUMAS</v>
      </c>
      <c r="F5275" s="6">
        <v>58.811103820800803</v>
      </c>
      <c r="G5275" s="6">
        <v>58.784908294677699</v>
      </c>
      <c r="H5275" s="6">
        <v>53.858104705810597</v>
      </c>
      <c r="I5275" s="6">
        <v>53.8154296875</v>
      </c>
      <c r="J5275" s="6">
        <v>48.822376251220703</v>
      </c>
      <c r="K5275" s="6">
        <v>48.825450897216797</v>
      </c>
      <c r="L5275" s="6">
        <v>48.50927734375</v>
      </c>
    </row>
    <row r="5276" spans="1:12" x14ac:dyDescent="0.25">
      <c r="A5276">
        <v>3516903</v>
      </c>
      <c r="B5276" t="str">
        <f t="shared" si="82"/>
        <v>GENERAL SALGADO, SP, Brasil</v>
      </c>
      <c r="C5276" s="4" t="str">
        <f>_xlfn.XLOOKUP(A5276,[1]!DadosGHD[CD_GEOCMU],[1]!DadosGHD[Região])</f>
        <v>SD</v>
      </c>
      <c r="D5276" s="4" t="str">
        <f>_xlfn.XLOOKUP(A5276,[1]!DadosGHD[CD_GEOCMU],[1]!DadosGHD[uf])</f>
        <v>SP</v>
      </c>
      <c r="E5276" s="5" t="str">
        <f>_xlfn.XLOOKUP(A5276,[1]!DadosGHD[CD_GEOCMU],[1]!DadosGHD[MUNICIPIO])</f>
        <v>GENERAL SALGADO</v>
      </c>
      <c r="F5276" s="6">
        <v>58.8113403320313</v>
      </c>
      <c r="G5276" s="6">
        <v>63.8647651672363</v>
      </c>
      <c r="H5276" s="6">
        <v>59.000167846679702</v>
      </c>
      <c r="I5276" s="6">
        <v>63.949474334716797</v>
      </c>
      <c r="J5276" s="6">
        <v>63.958999633789098</v>
      </c>
      <c r="K5276" s="6">
        <v>58.945858001708999</v>
      </c>
      <c r="L5276" s="6">
        <v>44.061046600341797</v>
      </c>
    </row>
    <row r="5277" spans="1:12" x14ac:dyDescent="0.25">
      <c r="A5277">
        <v>4208609</v>
      </c>
      <c r="B5277" t="str">
        <f t="shared" si="82"/>
        <v>JABORA, SC, Brasil</v>
      </c>
      <c r="C5277" s="4" t="str">
        <f>_xlfn.XLOOKUP(A5277,[1]!DadosGHD[CD_GEOCMU],[1]!DadosGHD[Região])</f>
        <v>SL</v>
      </c>
      <c r="D5277" s="4" t="str">
        <f>_xlfn.XLOOKUP(A5277,[1]!DadosGHD[CD_GEOCMU],[1]!DadosGHD[uf])</f>
        <v>SC</v>
      </c>
      <c r="E5277" s="5" t="str">
        <f>_xlfn.XLOOKUP(A5277,[1]!DadosGHD[CD_GEOCMU],[1]!DadosGHD[MUNICIPIO])</f>
        <v>JABORA</v>
      </c>
      <c r="F5277" s="6">
        <v>58.813640594482401</v>
      </c>
      <c r="G5277" s="6">
        <v>63.966358184814503</v>
      </c>
      <c r="H5277" s="6">
        <v>64.026092529296903</v>
      </c>
      <c r="I5277" s="6">
        <v>64.000221252441406</v>
      </c>
      <c r="J5277" s="6">
        <v>64.039611816406307</v>
      </c>
      <c r="K5277" s="6">
        <v>64.13623046875</v>
      </c>
      <c r="L5277" s="6">
        <v>48.545337677002003</v>
      </c>
    </row>
    <row r="5278" spans="1:12" x14ac:dyDescent="0.25">
      <c r="A5278">
        <v>3520806</v>
      </c>
      <c r="B5278" t="str">
        <f t="shared" si="82"/>
        <v>INUBIA PAULISTA, SP, Brasil</v>
      </c>
      <c r="C5278" s="4" t="str">
        <f>_xlfn.XLOOKUP(A5278,[1]!DadosGHD[CD_GEOCMU],[1]!DadosGHD[Região])</f>
        <v>SD</v>
      </c>
      <c r="D5278" s="4" t="str">
        <f>_xlfn.XLOOKUP(A5278,[1]!DadosGHD[CD_GEOCMU],[1]!DadosGHD[uf])</f>
        <v>SP</v>
      </c>
      <c r="E5278" s="5" t="str">
        <f>_xlfn.XLOOKUP(A5278,[1]!DadosGHD[CD_GEOCMU],[1]!DadosGHD[MUNICIPIO])</f>
        <v>INUBIA PAULISTA</v>
      </c>
      <c r="F5278" s="6">
        <v>58.814949035644503</v>
      </c>
      <c r="G5278" s="6">
        <v>58.780853271484403</v>
      </c>
      <c r="H5278" s="6">
        <v>53.8179931640625</v>
      </c>
      <c r="I5278" s="6">
        <v>58.827339172363303</v>
      </c>
      <c r="J5278" s="6">
        <v>48.8258247375488</v>
      </c>
      <c r="K5278" s="6">
        <v>48.9055786132813</v>
      </c>
      <c r="L5278" s="6">
        <v>48.5193901062012</v>
      </c>
    </row>
    <row r="5279" spans="1:12" x14ac:dyDescent="0.25">
      <c r="A5279">
        <v>3514700</v>
      </c>
      <c r="B5279" t="str">
        <f t="shared" si="82"/>
        <v>ECHAPORA, SP, Brasil</v>
      </c>
      <c r="C5279" s="4" t="str">
        <f>_xlfn.XLOOKUP(A5279,[1]!DadosGHD[CD_GEOCMU],[1]!DadosGHD[Região])</f>
        <v>SD</v>
      </c>
      <c r="D5279" s="4" t="str">
        <f>_xlfn.XLOOKUP(A5279,[1]!DadosGHD[CD_GEOCMU],[1]!DadosGHD[uf])</f>
        <v>SP</v>
      </c>
      <c r="E5279" s="5" t="str">
        <f>_xlfn.XLOOKUP(A5279,[1]!DadosGHD[CD_GEOCMU],[1]!DadosGHD[MUNICIPIO])</f>
        <v>ECHAPORA</v>
      </c>
      <c r="F5279" s="6">
        <v>58.816017150878899</v>
      </c>
      <c r="G5279" s="6">
        <v>53.798984527587898</v>
      </c>
      <c r="H5279" s="6">
        <v>53.894081115722699</v>
      </c>
      <c r="I5279" s="6">
        <v>53.860275268554702</v>
      </c>
      <c r="J5279" s="6">
        <v>53.884372711181598</v>
      </c>
      <c r="K5279" s="6">
        <v>53.8946342468262</v>
      </c>
      <c r="L5279" s="6">
        <v>44.053337097167997</v>
      </c>
    </row>
    <row r="5280" spans="1:12" x14ac:dyDescent="0.25">
      <c r="A5280">
        <v>3548302</v>
      </c>
      <c r="B5280" t="str">
        <f t="shared" si="82"/>
        <v>SANTO EXPEDITO, SP, Brasil</v>
      </c>
      <c r="C5280" s="4" t="str">
        <f>_xlfn.XLOOKUP(A5280,[1]!DadosGHD[CD_GEOCMU],[1]!DadosGHD[Região])</f>
        <v>SD</v>
      </c>
      <c r="D5280" s="4" t="str">
        <f>_xlfn.XLOOKUP(A5280,[1]!DadosGHD[CD_GEOCMU],[1]!DadosGHD[uf])</f>
        <v>SP</v>
      </c>
      <c r="E5280" s="5" t="str">
        <f>_xlfn.XLOOKUP(A5280,[1]!DadosGHD[CD_GEOCMU],[1]!DadosGHD[MUNICIPIO])</f>
        <v>SANTO EXPEDITO</v>
      </c>
      <c r="F5280" s="6">
        <v>58.8164672851563</v>
      </c>
      <c r="G5280" s="6">
        <v>58.813179016113303</v>
      </c>
      <c r="H5280" s="6">
        <v>58.902442932128899</v>
      </c>
      <c r="I5280" s="6">
        <v>58.842723846435597</v>
      </c>
      <c r="J5280" s="6">
        <v>63.912521362304702</v>
      </c>
      <c r="K5280" s="6">
        <v>59.121421813964801</v>
      </c>
      <c r="L5280" s="6">
        <v>57.589881896972699</v>
      </c>
    </row>
    <row r="5281" spans="1:12" x14ac:dyDescent="0.25">
      <c r="A5281">
        <v>4321303</v>
      </c>
      <c r="B5281" t="str">
        <f t="shared" si="82"/>
        <v>TAQUARI, RS, Brasil</v>
      </c>
      <c r="C5281" s="4" t="str">
        <f>_xlfn.XLOOKUP(A5281,[1]!DadosGHD[CD_GEOCMU],[1]!DadosGHD[Região])</f>
        <v>SL</v>
      </c>
      <c r="D5281" s="4" t="str">
        <f>_xlfn.XLOOKUP(A5281,[1]!DadosGHD[CD_GEOCMU],[1]!DadosGHD[uf])</f>
        <v>RS</v>
      </c>
      <c r="E5281" s="5" t="str">
        <f>_xlfn.XLOOKUP(A5281,[1]!DadosGHD[CD_GEOCMU],[1]!DadosGHD[MUNICIPIO])</f>
        <v>TAQUARI</v>
      </c>
      <c r="F5281" s="6">
        <v>58.816551208496101</v>
      </c>
      <c r="G5281" s="6">
        <v>58.859672546386697</v>
      </c>
      <c r="H5281" s="6">
        <v>58.846977233886697</v>
      </c>
      <c r="I5281" s="6">
        <v>58.796623229980497</v>
      </c>
      <c r="J5281" s="6">
        <v>58.823516845703097</v>
      </c>
      <c r="K5281" s="6">
        <v>53.900753021240199</v>
      </c>
      <c r="L5281" s="6">
        <v>53.059432983398402</v>
      </c>
    </row>
    <row r="5282" spans="1:12" x14ac:dyDescent="0.25">
      <c r="A5282">
        <v>3528106</v>
      </c>
      <c r="B5282" t="str">
        <f t="shared" si="82"/>
        <v>MACAUBAL, SP, Brasil</v>
      </c>
      <c r="C5282" s="4" t="str">
        <f>_xlfn.XLOOKUP(A5282,[1]!DadosGHD[CD_GEOCMU],[1]!DadosGHD[Região])</f>
        <v>SD</v>
      </c>
      <c r="D5282" s="4" t="str">
        <f>_xlfn.XLOOKUP(A5282,[1]!DadosGHD[CD_GEOCMU],[1]!DadosGHD[uf])</f>
        <v>SP</v>
      </c>
      <c r="E5282" s="5" t="str">
        <f>_xlfn.XLOOKUP(A5282,[1]!DadosGHD[CD_GEOCMU],[1]!DadosGHD[MUNICIPIO])</f>
        <v>MACAUBAL</v>
      </c>
      <c r="F5282" s="6">
        <v>58.816860198974602</v>
      </c>
      <c r="G5282" s="6">
        <v>63.966358184814503</v>
      </c>
      <c r="H5282" s="6">
        <v>64.018363952636705</v>
      </c>
      <c r="I5282" s="6">
        <v>58.884048461914098</v>
      </c>
      <c r="J5282" s="6">
        <v>53.814212799072301</v>
      </c>
      <c r="K5282" s="6">
        <v>48.877853393554702</v>
      </c>
      <c r="L5282" s="6">
        <v>39.602935791015597</v>
      </c>
    </row>
    <row r="5283" spans="1:12" x14ac:dyDescent="0.25">
      <c r="A5283">
        <v>4306304</v>
      </c>
      <c r="B5283" t="str">
        <f t="shared" si="82"/>
        <v>DAVID CANABARRO, RS, Brasil</v>
      </c>
      <c r="C5283" s="4" t="str">
        <f>_xlfn.XLOOKUP(A5283,[1]!DadosGHD[CD_GEOCMU],[1]!DadosGHD[Região])</f>
        <v>SL</v>
      </c>
      <c r="D5283" s="4" t="str">
        <f>_xlfn.XLOOKUP(A5283,[1]!DadosGHD[CD_GEOCMU],[1]!DadosGHD[uf])</f>
        <v>RS</v>
      </c>
      <c r="E5283" s="5" t="str">
        <f>_xlfn.XLOOKUP(A5283,[1]!DadosGHD[CD_GEOCMU],[1]!DadosGHD[MUNICIPIO])</f>
        <v>DAVID CANABARRO</v>
      </c>
      <c r="F5283" s="6">
        <v>58.817123413085902</v>
      </c>
      <c r="G5283" s="6">
        <v>63.966358184814503</v>
      </c>
      <c r="H5283" s="6">
        <v>63.977165222167997</v>
      </c>
      <c r="I5283" s="6">
        <v>58.855911254882798</v>
      </c>
      <c r="J5283" s="6">
        <v>58.937755584716797</v>
      </c>
      <c r="K5283" s="6">
        <v>59.003650665283203</v>
      </c>
      <c r="L5283" s="6">
        <v>53.060585021972699</v>
      </c>
    </row>
    <row r="5284" spans="1:12" x14ac:dyDescent="0.25">
      <c r="A5284">
        <v>3205069</v>
      </c>
      <c r="B5284" t="str">
        <f t="shared" si="82"/>
        <v>VENDA NOVA DO IMIGRANTE, ES, Brasil</v>
      </c>
      <c r="C5284" s="4" t="str">
        <f>_xlfn.XLOOKUP(A5284,[1]!DadosGHD[CD_GEOCMU],[1]!DadosGHD[Região])</f>
        <v>SD</v>
      </c>
      <c r="D5284" s="4" t="str">
        <f>_xlfn.XLOOKUP(A5284,[1]!DadosGHD[CD_GEOCMU],[1]!DadosGHD[uf])</f>
        <v>ES</v>
      </c>
      <c r="E5284" s="5" t="str">
        <f>_xlfn.XLOOKUP(A5284,[1]!DadosGHD[CD_GEOCMU],[1]!DadosGHD[MUNICIPIO])</f>
        <v>VENDA NOVA DO IMIGRANTE</v>
      </c>
      <c r="F5284" s="6">
        <v>58.818756103515597</v>
      </c>
      <c r="G5284" s="6">
        <v>58.910163879394503</v>
      </c>
      <c r="H5284" s="6">
        <v>58.951812744140597</v>
      </c>
      <c r="I5284" s="6">
        <v>58.862335205078097</v>
      </c>
      <c r="J5284" s="6">
        <v>53.875114440917997</v>
      </c>
      <c r="K5284" s="6">
        <v>53.879867553710902</v>
      </c>
      <c r="L5284" s="6">
        <v>44.018241882324197</v>
      </c>
    </row>
    <row r="5285" spans="1:12" x14ac:dyDescent="0.25">
      <c r="A5285">
        <v>3527405</v>
      </c>
      <c r="B5285" t="str">
        <f t="shared" si="82"/>
        <v>LUCELIA, SP, Brasil</v>
      </c>
      <c r="C5285" s="4" t="str">
        <f>_xlfn.XLOOKUP(A5285,[1]!DadosGHD[CD_GEOCMU],[1]!DadosGHD[Região])</f>
        <v>SD</v>
      </c>
      <c r="D5285" s="4" t="str">
        <f>_xlfn.XLOOKUP(A5285,[1]!DadosGHD[CD_GEOCMU],[1]!DadosGHD[uf])</f>
        <v>SP</v>
      </c>
      <c r="E5285" s="5" t="str">
        <f>_xlfn.XLOOKUP(A5285,[1]!DadosGHD[CD_GEOCMU],[1]!DadosGHD[MUNICIPIO])</f>
        <v>LUCELIA</v>
      </c>
      <c r="F5285" s="6">
        <v>58.819015502929702</v>
      </c>
      <c r="G5285" s="6">
        <v>58.841739654541001</v>
      </c>
      <c r="H5285" s="6">
        <v>53.910465240478501</v>
      </c>
      <c r="I5285" s="6">
        <v>53.718231201171903</v>
      </c>
      <c r="J5285" s="6">
        <v>48.752849578857401</v>
      </c>
      <c r="K5285" s="6">
        <v>53.834377288818402</v>
      </c>
      <c r="L5285" s="6">
        <v>48.495845794677699</v>
      </c>
    </row>
    <row r="5286" spans="1:12" x14ac:dyDescent="0.25">
      <c r="A5286">
        <v>4311791</v>
      </c>
      <c r="B5286" t="str">
        <f t="shared" si="82"/>
        <v>MARATA, RS, Brasil</v>
      </c>
      <c r="C5286" s="4" t="str">
        <f>_xlfn.XLOOKUP(A5286,[1]!DadosGHD[CD_GEOCMU],[1]!DadosGHD[Região])</f>
        <v>SL</v>
      </c>
      <c r="D5286" s="4" t="str">
        <f>_xlfn.XLOOKUP(A5286,[1]!DadosGHD[CD_GEOCMU],[1]!DadosGHD[uf])</f>
        <v>RS</v>
      </c>
      <c r="E5286" s="5" t="str">
        <f>_xlfn.XLOOKUP(A5286,[1]!DadosGHD[CD_GEOCMU],[1]!DadosGHD[MUNICIPIO])</f>
        <v>MARATA</v>
      </c>
      <c r="F5286" s="6">
        <v>58.821693420410199</v>
      </c>
      <c r="G5286" s="6">
        <v>58.847640991210902</v>
      </c>
      <c r="H5286" s="6">
        <v>58.973060607910199</v>
      </c>
      <c r="I5286" s="6">
        <v>63.911716461181598</v>
      </c>
      <c r="J5286" s="6">
        <v>64.011390686035199</v>
      </c>
      <c r="K5286" s="6">
        <v>64.13623046875</v>
      </c>
      <c r="L5286" s="6">
        <v>57.544349670410199</v>
      </c>
    </row>
    <row r="5287" spans="1:12" x14ac:dyDescent="0.25">
      <c r="A5287">
        <v>4202909</v>
      </c>
      <c r="B5287" t="str">
        <f t="shared" si="82"/>
        <v>BRUSQUE, SC, Brasil</v>
      </c>
      <c r="C5287" s="4" t="str">
        <f>_xlfn.XLOOKUP(A5287,[1]!DadosGHD[CD_GEOCMU],[1]!DadosGHD[Região])</f>
        <v>SL</v>
      </c>
      <c r="D5287" s="4" t="str">
        <f>_xlfn.XLOOKUP(A5287,[1]!DadosGHD[CD_GEOCMU],[1]!DadosGHD[uf])</f>
        <v>SC</v>
      </c>
      <c r="E5287" s="5" t="str">
        <f>_xlfn.XLOOKUP(A5287,[1]!DadosGHD[CD_GEOCMU],[1]!DadosGHD[MUNICIPIO])</f>
        <v>BRUSQUE</v>
      </c>
      <c r="F5287" s="6">
        <v>58.8217163085938</v>
      </c>
      <c r="G5287" s="6">
        <v>58.913368225097699</v>
      </c>
      <c r="H5287" s="6">
        <v>58.995044708252003</v>
      </c>
      <c r="I5287" s="6">
        <v>58.969261169433601</v>
      </c>
      <c r="J5287" s="6">
        <v>63.941646575927699</v>
      </c>
      <c r="K5287" s="6">
        <v>59.032707214355497</v>
      </c>
      <c r="L5287" s="6">
        <v>57.5632934570313</v>
      </c>
    </row>
    <row r="5288" spans="1:12" x14ac:dyDescent="0.25">
      <c r="A5288">
        <v>4321857</v>
      </c>
      <c r="B5288" t="str">
        <f t="shared" si="82"/>
        <v>TRES PALMEIRAS, RS, Brasil</v>
      </c>
      <c r="C5288" s="4" t="str">
        <f>_xlfn.XLOOKUP(A5288,[1]!DadosGHD[CD_GEOCMU],[1]!DadosGHD[Região])</f>
        <v>SL</v>
      </c>
      <c r="D5288" s="4" t="str">
        <f>_xlfn.XLOOKUP(A5288,[1]!DadosGHD[CD_GEOCMU],[1]!DadosGHD[uf])</f>
        <v>RS</v>
      </c>
      <c r="E5288" s="5" t="str">
        <f>_xlfn.XLOOKUP(A5288,[1]!DadosGHD[CD_GEOCMU],[1]!DadosGHD[MUNICIPIO])</f>
        <v>TRES PALMEIRAS</v>
      </c>
      <c r="F5288" s="6">
        <v>58.822864532470703</v>
      </c>
      <c r="G5288" s="6">
        <v>58.872272491455099</v>
      </c>
      <c r="H5288" s="6">
        <v>58.929271697998097</v>
      </c>
      <c r="I5288" s="6">
        <v>58.9006156921387</v>
      </c>
      <c r="J5288" s="6">
        <v>58.960483551025398</v>
      </c>
      <c r="K5288" s="6">
        <v>59.046703338623097</v>
      </c>
      <c r="L5288" s="6">
        <v>39.590385437011697</v>
      </c>
    </row>
    <row r="5289" spans="1:12" x14ac:dyDescent="0.25">
      <c r="A5289">
        <v>4124509</v>
      </c>
      <c r="B5289" t="str">
        <f t="shared" si="82"/>
        <v>SANTO INACIO, PR, Brasil</v>
      </c>
      <c r="C5289" s="4" t="str">
        <f>_xlfn.XLOOKUP(A5289,[1]!DadosGHD[CD_GEOCMU],[1]!DadosGHD[Região])</f>
        <v>SL</v>
      </c>
      <c r="D5289" s="4" t="str">
        <f>_xlfn.XLOOKUP(A5289,[1]!DadosGHD[CD_GEOCMU],[1]!DadosGHD[uf])</f>
        <v>PR</v>
      </c>
      <c r="E5289" s="5" t="str">
        <f>_xlfn.XLOOKUP(A5289,[1]!DadosGHD[CD_GEOCMU],[1]!DadosGHD[MUNICIPIO])</f>
        <v>SANTO INACIO</v>
      </c>
      <c r="F5289" s="6">
        <v>58.824367523193402</v>
      </c>
      <c r="G5289" s="6">
        <v>63.961292266845703</v>
      </c>
      <c r="H5289" s="6">
        <v>64.026092529296903</v>
      </c>
      <c r="I5289" s="6">
        <v>64.000221252441406</v>
      </c>
      <c r="J5289" s="6">
        <v>64.010032653808594</v>
      </c>
      <c r="K5289" s="6">
        <v>59.092453002929702</v>
      </c>
      <c r="L5289" s="6">
        <v>53.044242858886697</v>
      </c>
    </row>
    <row r="5290" spans="1:12" x14ac:dyDescent="0.25">
      <c r="A5290">
        <v>4203105</v>
      </c>
      <c r="B5290" t="str">
        <f t="shared" si="82"/>
        <v>CAIBI, SC, Brasil</v>
      </c>
      <c r="C5290" s="4" t="str">
        <f>_xlfn.XLOOKUP(A5290,[1]!DadosGHD[CD_GEOCMU],[1]!DadosGHD[Região])</f>
        <v>SL</v>
      </c>
      <c r="D5290" s="4" t="str">
        <f>_xlfn.XLOOKUP(A5290,[1]!DadosGHD[CD_GEOCMU],[1]!DadosGHD[uf])</f>
        <v>SC</v>
      </c>
      <c r="E5290" s="5" t="str">
        <f>_xlfn.XLOOKUP(A5290,[1]!DadosGHD[CD_GEOCMU],[1]!DadosGHD[MUNICIPIO])</f>
        <v>CAIBI</v>
      </c>
      <c r="F5290" s="6">
        <v>58.825187683105497</v>
      </c>
      <c r="G5290" s="6">
        <v>63.926132202148402</v>
      </c>
      <c r="H5290" s="6">
        <v>58.9959106445313</v>
      </c>
      <c r="I5290" s="6">
        <v>58.842117309570298</v>
      </c>
      <c r="J5290" s="6">
        <v>53.741432189941399</v>
      </c>
      <c r="K5290" s="6">
        <v>64.13623046875</v>
      </c>
      <c r="L5290" s="6">
        <v>57.589881896972699</v>
      </c>
    </row>
    <row r="5291" spans="1:12" x14ac:dyDescent="0.25">
      <c r="A5291">
        <v>3542107</v>
      </c>
      <c r="B5291" t="str">
        <f t="shared" si="82"/>
        <v>RAFARD, SP, Brasil</v>
      </c>
      <c r="C5291" s="4" t="str">
        <f>_xlfn.XLOOKUP(A5291,[1]!DadosGHD[CD_GEOCMU],[1]!DadosGHD[Região])</f>
        <v>SD</v>
      </c>
      <c r="D5291" s="4" t="str">
        <f>_xlfn.XLOOKUP(A5291,[1]!DadosGHD[CD_GEOCMU],[1]!DadosGHD[uf])</f>
        <v>SP</v>
      </c>
      <c r="E5291" s="5" t="str">
        <f>_xlfn.XLOOKUP(A5291,[1]!DadosGHD[CD_GEOCMU],[1]!DadosGHD[MUNICIPIO])</f>
        <v>RAFARD</v>
      </c>
      <c r="F5291" s="6">
        <v>58.8266410827637</v>
      </c>
      <c r="G5291" s="6">
        <v>58.8195190429688</v>
      </c>
      <c r="H5291" s="6">
        <v>53.889080047607401</v>
      </c>
      <c r="I5291" s="6">
        <v>53.7880859375</v>
      </c>
      <c r="J5291" s="6">
        <v>53.810943603515597</v>
      </c>
      <c r="K5291" s="6">
        <v>53.906703948974602</v>
      </c>
      <c r="L5291" s="6">
        <v>53.055931091308601</v>
      </c>
    </row>
    <row r="5292" spans="1:12" x14ac:dyDescent="0.25">
      <c r="A5292">
        <v>4317509</v>
      </c>
      <c r="B5292" t="str">
        <f t="shared" si="82"/>
        <v>SANTO ANGELO, RS, Brasil</v>
      </c>
      <c r="C5292" s="4" t="str">
        <f>_xlfn.XLOOKUP(A5292,[1]!DadosGHD[CD_GEOCMU],[1]!DadosGHD[Região])</f>
        <v>SL</v>
      </c>
      <c r="D5292" s="4" t="str">
        <f>_xlfn.XLOOKUP(A5292,[1]!DadosGHD[CD_GEOCMU],[1]!DadosGHD[uf])</f>
        <v>RS</v>
      </c>
      <c r="E5292" s="5" t="str">
        <f>_xlfn.XLOOKUP(A5292,[1]!DadosGHD[CD_GEOCMU],[1]!DadosGHD[MUNICIPIO])</f>
        <v>SANTO ANGELO</v>
      </c>
      <c r="F5292" s="6">
        <v>58.828014373779297</v>
      </c>
      <c r="G5292" s="6">
        <v>58.762924194335902</v>
      </c>
      <c r="H5292" s="6">
        <v>58.871585845947301</v>
      </c>
      <c r="I5292" s="6">
        <v>58.918899536132798</v>
      </c>
      <c r="J5292" s="6">
        <v>63.957218170166001</v>
      </c>
      <c r="K5292" s="6">
        <v>64.119560241699205</v>
      </c>
      <c r="L5292" s="6">
        <v>57.589881896972699</v>
      </c>
    </row>
    <row r="5293" spans="1:12" x14ac:dyDescent="0.25">
      <c r="A5293">
        <v>4103453</v>
      </c>
      <c r="B5293" t="str">
        <f t="shared" si="82"/>
        <v>CAFELANDIA, PR, Brasil</v>
      </c>
      <c r="C5293" s="4" t="str">
        <f>_xlfn.XLOOKUP(A5293,[1]!DadosGHD[CD_GEOCMU],[1]!DadosGHD[Região])</f>
        <v>SL</v>
      </c>
      <c r="D5293" s="4" t="str">
        <f>_xlfn.XLOOKUP(A5293,[1]!DadosGHD[CD_GEOCMU],[1]!DadosGHD[uf])</f>
        <v>PR</v>
      </c>
      <c r="E5293" s="5" t="str">
        <f>_xlfn.XLOOKUP(A5293,[1]!DadosGHD[CD_GEOCMU],[1]!DadosGHD[MUNICIPIO])</f>
        <v>CAFELANDIA</v>
      </c>
      <c r="F5293" s="6">
        <v>58.829582214355497</v>
      </c>
      <c r="G5293" s="6">
        <v>58.757053375244098</v>
      </c>
      <c r="H5293" s="6">
        <v>53.894386291503899</v>
      </c>
      <c r="I5293" s="6">
        <v>58.805488586425803</v>
      </c>
      <c r="J5293" s="6">
        <v>53.890876770019503</v>
      </c>
      <c r="K5293" s="6">
        <v>53.941692352294901</v>
      </c>
      <c r="L5293" s="6">
        <v>48.520114898681598</v>
      </c>
    </row>
    <row r="5294" spans="1:12" x14ac:dyDescent="0.25">
      <c r="A5294">
        <v>4309407</v>
      </c>
      <c r="B5294" t="str">
        <f t="shared" si="82"/>
        <v>GUAPORE, RS, Brasil</v>
      </c>
      <c r="C5294" s="4" t="str">
        <f>_xlfn.XLOOKUP(A5294,[1]!DadosGHD[CD_GEOCMU],[1]!DadosGHD[Região])</f>
        <v>SL</v>
      </c>
      <c r="D5294" s="4" t="str">
        <f>_xlfn.XLOOKUP(A5294,[1]!DadosGHD[CD_GEOCMU],[1]!DadosGHD[uf])</f>
        <v>RS</v>
      </c>
      <c r="E5294" s="5" t="str">
        <f>_xlfn.XLOOKUP(A5294,[1]!DadosGHD[CD_GEOCMU],[1]!DadosGHD[MUNICIPIO])</f>
        <v>GUAPORE</v>
      </c>
      <c r="F5294" s="6">
        <v>58.831443786621101</v>
      </c>
      <c r="G5294" s="6">
        <v>63.966358184814503</v>
      </c>
      <c r="H5294" s="6">
        <v>63.948173522949197</v>
      </c>
      <c r="I5294" s="6">
        <v>64.000221252441406</v>
      </c>
      <c r="J5294" s="6">
        <v>64.039611816406307</v>
      </c>
      <c r="K5294" s="6">
        <v>59.118988037109403</v>
      </c>
      <c r="L5294" s="6">
        <v>57.576877593994098</v>
      </c>
    </row>
    <row r="5295" spans="1:12" x14ac:dyDescent="0.25">
      <c r="A5295">
        <v>3506409</v>
      </c>
      <c r="B5295" t="str">
        <f t="shared" si="82"/>
        <v>BILAC, SP, Brasil</v>
      </c>
      <c r="C5295" s="4" t="str">
        <f>_xlfn.XLOOKUP(A5295,[1]!DadosGHD[CD_GEOCMU],[1]!DadosGHD[Região])</f>
        <v>SD</v>
      </c>
      <c r="D5295" s="4" t="str">
        <f>_xlfn.XLOOKUP(A5295,[1]!DadosGHD[CD_GEOCMU],[1]!DadosGHD[uf])</f>
        <v>SP</v>
      </c>
      <c r="E5295" s="5" t="str">
        <f>_xlfn.XLOOKUP(A5295,[1]!DadosGHD[CD_GEOCMU],[1]!DadosGHD[MUNICIPIO])</f>
        <v>BILAC</v>
      </c>
      <c r="F5295" s="6">
        <v>58.835933685302699</v>
      </c>
      <c r="G5295" s="6">
        <v>58.852134704589801</v>
      </c>
      <c r="H5295" s="6">
        <v>53.8083686828613</v>
      </c>
      <c r="I5295" s="6">
        <v>48.6790580749512</v>
      </c>
      <c r="J5295" s="6">
        <v>43.796089172363303</v>
      </c>
      <c r="K5295" s="6">
        <v>43.879367828369098</v>
      </c>
      <c r="L5295" s="6">
        <v>53.000457763671903</v>
      </c>
    </row>
    <row r="5296" spans="1:12" x14ac:dyDescent="0.25">
      <c r="A5296">
        <v>3532009</v>
      </c>
      <c r="B5296" t="str">
        <f t="shared" si="82"/>
        <v>MORUNGABA, SP, Brasil</v>
      </c>
      <c r="C5296" s="4" t="str">
        <f>_xlfn.XLOOKUP(A5296,[1]!DadosGHD[CD_GEOCMU],[1]!DadosGHD[Região])</f>
        <v>SD</v>
      </c>
      <c r="D5296" s="4" t="str">
        <f>_xlfn.XLOOKUP(A5296,[1]!DadosGHD[CD_GEOCMU],[1]!DadosGHD[uf])</f>
        <v>SP</v>
      </c>
      <c r="E5296" s="5" t="str">
        <f>_xlfn.XLOOKUP(A5296,[1]!DadosGHD[CD_GEOCMU],[1]!DadosGHD[MUNICIPIO])</f>
        <v>MORUNGABA</v>
      </c>
      <c r="F5296" s="6">
        <v>58.836502075195298</v>
      </c>
      <c r="G5296" s="6">
        <v>58.734550476074197</v>
      </c>
      <c r="H5296" s="6">
        <v>53.779850006103501</v>
      </c>
      <c r="I5296" s="6">
        <v>53.808372497558601</v>
      </c>
      <c r="J5296" s="6">
        <v>53.893829345703097</v>
      </c>
      <c r="K5296" s="6">
        <v>53.951343536377003</v>
      </c>
      <c r="L5296" s="6">
        <v>52.978096008300803</v>
      </c>
    </row>
    <row r="5297" spans="1:12" x14ac:dyDescent="0.25">
      <c r="A5297">
        <v>5216452</v>
      </c>
      <c r="B5297" t="str">
        <f t="shared" si="82"/>
        <v>PEROLANDIA, GO, Brasil</v>
      </c>
      <c r="C5297" s="4" t="str">
        <f>_xlfn.XLOOKUP(A5297,[1]!DadosGHD[CD_GEOCMU],[1]!DadosGHD[Região])</f>
        <v>CO</v>
      </c>
      <c r="D5297" s="4" t="str">
        <f>_xlfn.XLOOKUP(A5297,[1]!DadosGHD[CD_GEOCMU],[1]!DadosGHD[uf])</f>
        <v>GO</v>
      </c>
      <c r="E5297" s="5" t="str">
        <f>_xlfn.XLOOKUP(A5297,[1]!DadosGHD[CD_GEOCMU],[1]!DadosGHD[MUNICIPIO])</f>
        <v>PEROLANDIA</v>
      </c>
      <c r="F5297" s="6">
        <v>58.836601257324197</v>
      </c>
      <c r="G5297" s="6">
        <v>53.780971527099602</v>
      </c>
      <c r="H5297" s="6">
        <v>58.864841461181598</v>
      </c>
      <c r="I5297" s="6">
        <v>58.842849731445298</v>
      </c>
      <c r="J5297" s="6">
        <v>58.803054809570298</v>
      </c>
      <c r="K5297" s="6">
        <v>48.908119201660199</v>
      </c>
      <c r="L5297" s="6">
        <v>35.158866882324197</v>
      </c>
    </row>
    <row r="5298" spans="1:12" x14ac:dyDescent="0.25">
      <c r="A5298">
        <v>3114303</v>
      </c>
      <c r="B5298" t="str">
        <f t="shared" si="82"/>
        <v>CARMO DO PARANAIBA, MG, Brasil</v>
      </c>
      <c r="C5298" s="4" t="str">
        <f>_xlfn.XLOOKUP(A5298,[1]!DadosGHD[CD_GEOCMU],[1]!DadosGHD[Região])</f>
        <v>SD</v>
      </c>
      <c r="D5298" s="4" t="str">
        <f>_xlfn.XLOOKUP(A5298,[1]!DadosGHD[CD_GEOCMU],[1]!DadosGHD[uf])</f>
        <v>MG</v>
      </c>
      <c r="E5298" s="5" t="str">
        <f>_xlfn.XLOOKUP(A5298,[1]!DadosGHD[CD_GEOCMU],[1]!DadosGHD[MUNICIPIO])</f>
        <v>CARMO DO PARANAIBA</v>
      </c>
      <c r="F5298" s="6">
        <v>58.8370361328125</v>
      </c>
      <c r="G5298" s="6">
        <v>58.901771545410199</v>
      </c>
      <c r="H5298" s="6">
        <v>63.9304809570313</v>
      </c>
      <c r="I5298" s="6">
        <v>63.9197998046875</v>
      </c>
      <c r="J5298" s="6">
        <v>63.990268707275398</v>
      </c>
      <c r="K5298" s="6">
        <v>59.074996948242202</v>
      </c>
      <c r="L5298" s="6">
        <v>53.039218902587898</v>
      </c>
    </row>
    <row r="5299" spans="1:12" x14ac:dyDescent="0.25">
      <c r="A5299">
        <v>3150703</v>
      </c>
      <c r="B5299" t="str">
        <f t="shared" si="82"/>
        <v>PIRAJUBA, MG, Brasil</v>
      </c>
      <c r="C5299" s="4" t="str">
        <f>_xlfn.XLOOKUP(A5299,[1]!DadosGHD[CD_GEOCMU],[1]!DadosGHD[Região])</f>
        <v>SD</v>
      </c>
      <c r="D5299" s="4" t="str">
        <f>_xlfn.XLOOKUP(A5299,[1]!DadosGHD[CD_GEOCMU],[1]!DadosGHD[uf])</f>
        <v>MG</v>
      </c>
      <c r="E5299" s="5" t="str">
        <f>_xlfn.XLOOKUP(A5299,[1]!DadosGHD[CD_GEOCMU],[1]!DadosGHD[MUNICIPIO])</f>
        <v>PIRAJUBA</v>
      </c>
      <c r="F5299" s="6">
        <v>58.837375640869098</v>
      </c>
      <c r="G5299" s="6">
        <v>58.8005180358887</v>
      </c>
      <c r="H5299" s="6">
        <v>48.8600044250488</v>
      </c>
      <c r="I5299" s="6">
        <v>53.794143676757798</v>
      </c>
      <c r="J5299" s="6">
        <v>53.827705383300803</v>
      </c>
      <c r="K5299" s="6">
        <v>53.853603363037102</v>
      </c>
      <c r="L5299" s="6">
        <v>53.021934509277301</v>
      </c>
    </row>
    <row r="5300" spans="1:12" x14ac:dyDescent="0.25">
      <c r="A5300">
        <v>4305116</v>
      </c>
      <c r="B5300" t="str">
        <f t="shared" si="82"/>
        <v>CENTENARIO, RS, Brasil</v>
      </c>
      <c r="C5300" s="4" t="str">
        <f>_xlfn.XLOOKUP(A5300,[1]!DadosGHD[CD_GEOCMU],[1]!DadosGHD[Região])</f>
        <v>SL</v>
      </c>
      <c r="D5300" s="4" t="str">
        <f>_xlfn.XLOOKUP(A5300,[1]!DadosGHD[CD_GEOCMU],[1]!DadosGHD[uf])</f>
        <v>RS</v>
      </c>
      <c r="E5300" s="5" t="str">
        <f>_xlfn.XLOOKUP(A5300,[1]!DadosGHD[CD_GEOCMU],[1]!DadosGHD[MUNICIPIO])</f>
        <v>CENTENARIO</v>
      </c>
      <c r="F5300" s="6">
        <v>58.838176727294901</v>
      </c>
      <c r="G5300" s="6">
        <v>63.966358184814503</v>
      </c>
      <c r="H5300" s="6">
        <v>64.026092529296903</v>
      </c>
      <c r="I5300" s="6">
        <v>64.000221252441406</v>
      </c>
      <c r="J5300" s="6">
        <v>64.039611816406307</v>
      </c>
      <c r="K5300" s="6">
        <v>64.13623046875</v>
      </c>
      <c r="L5300" s="6">
        <v>57.589881896972699</v>
      </c>
    </row>
    <row r="5301" spans="1:12" x14ac:dyDescent="0.25">
      <c r="A5301">
        <v>4309100</v>
      </c>
      <c r="B5301" t="str">
        <f t="shared" si="82"/>
        <v>GRAMADO, RS, Brasil</v>
      </c>
      <c r="C5301" s="4" t="str">
        <f>_xlfn.XLOOKUP(A5301,[1]!DadosGHD[CD_GEOCMU],[1]!DadosGHD[Região])</f>
        <v>SL</v>
      </c>
      <c r="D5301" s="4" t="str">
        <f>_xlfn.XLOOKUP(A5301,[1]!DadosGHD[CD_GEOCMU],[1]!DadosGHD[uf])</f>
        <v>RS</v>
      </c>
      <c r="E5301" s="5" t="str">
        <f>_xlfn.XLOOKUP(A5301,[1]!DadosGHD[CD_GEOCMU],[1]!DadosGHD[MUNICIPIO])</f>
        <v>GRAMADO</v>
      </c>
      <c r="F5301" s="6">
        <v>58.8396606445313</v>
      </c>
      <c r="G5301" s="6">
        <v>58.785579681396499</v>
      </c>
      <c r="H5301" s="6">
        <v>53.892601013183601</v>
      </c>
      <c r="I5301" s="6">
        <v>58.900882720947301</v>
      </c>
      <c r="J5301" s="6">
        <v>63.941974639892599</v>
      </c>
      <c r="K5301" s="6">
        <v>59.124221801757798</v>
      </c>
      <c r="L5301" s="6">
        <v>57.5843315124512</v>
      </c>
    </row>
    <row r="5302" spans="1:12" x14ac:dyDescent="0.25">
      <c r="A5302">
        <v>3544905</v>
      </c>
      <c r="B5302" t="str">
        <f t="shared" si="82"/>
        <v>SALES OLIVEIRA, SP, Brasil</v>
      </c>
      <c r="C5302" s="4" t="str">
        <f>_xlfn.XLOOKUP(A5302,[1]!DadosGHD[CD_GEOCMU],[1]!DadosGHD[Região])</f>
        <v>SD</v>
      </c>
      <c r="D5302" s="4" t="str">
        <f>_xlfn.XLOOKUP(A5302,[1]!DadosGHD[CD_GEOCMU],[1]!DadosGHD[uf])</f>
        <v>SP</v>
      </c>
      <c r="E5302" s="5" t="str">
        <f>_xlfn.XLOOKUP(A5302,[1]!DadosGHD[CD_GEOCMU],[1]!DadosGHD[MUNICIPIO])</f>
        <v>SALES OLIVEIRA</v>
      </c>
      <c r="F5302" s="6">
        <v>58.840457916259801</v>
      </c>
      <c r="G5302" s="6">
        <v>58.914363861083999</v>
      </c>
      <c r="H5302" s="6">
        <v>58.945262908935597</v>
      </c>
      <c r="I5302" s="6">
        <v>58.832317352294901</v>
      </c>
      <c r="J5302" s="6">
        <v>58.806697845458999</v>
      </c>
      <c r="K5302" s="6">
        <v>53.980216979980497</v>
      </c>
      <c r="L5302" s="6">
        <v>57.504692077636697</v>
      </c>
    </row>
    <row r="5303" spans="1:12" x14ac:dyDescent="0.25">
      <c r="A5303">
        <v>2111300</v>
      </c>
      <c r="B5303" t="str">
        <f t="shared" si="82"/>
        <v>SAO LUIS, MA, Brasil</v>
      </c>
      <c r="C5303" s="4" t="str">
        <f>_xlfn.XLOOKUP(A5303,[1]!DadosGHD[CD_GEOCMU],[1]!DadosGHD[Região])</f>
        <v>NE</v>
      </c>
      <c r="D5303" s="4" t="str">
        <f>_xlfn.XLOOKUP(A5303,[1]!DadosGHD[CD_GEOCMU],[1]!DadosGHD[uf])</f>
        <v>MA</v>
      </c>
      <c r="E5303" s="5" t="str">
        <f>_xlfn.XLOOKUP(A5303,[1]!DadosGHD[CD_GEOCMU],[1]!DadosGHD[MUNICIPIO])</f>
        <v>SAO LUIS</v>
      </c>
      <c r="F5303" s="6">
        <v>58.840904235839801</v>
      </c>
      <c r="G5303" s="6">
        <v>63.844398498535199</v>
      </c>
      <c r="H5303" s="6">
        <v>63.9745903015137</v>
      </c>
      <c r="I5303" s="6">
        <v>63.900428771972699</v>
      </c>
      <c r="J5303" s="6">
        <v>63.914070129394503</v>
      </c>
      <c r="K5303" s="6">
        <v>59.001380920410199</v>
      </c>
      <c r="L5303" s="6">
        <v>57.4983940124512</v>
      </c>
    </row>
    <row r="5304" spans="1:12" x14ac:dyDescent="0.25">
      <c r="A5304">
        <v>3170701</v>
      </c>
      <c r="B5304" t="str">
        <f t="shared" si="82"/>
        <v>VARGINHA, MG, Brasil</v>
      </c>
      <c r="C5304" s="4" t="str">
        <f>_xlfn.XLOOKUP(A5304,[1]!DadosGHD[CD_GEOCMU],[1]!DadosGHD[Região])</f>
        <v>SD</v>
      </c>
      <c r="D5304" s="4" t="str">
        <f>_xlfn.XLOOKUP(A5304,[1]!DadosGHD[CD_GEOCMU],[1]!DadosGHD[uf])</f>
        <v>MG</v>
      </c>
      <c r="E5304" s="5" t="str">
        <f>_xlfn.XLOOKUP(A5304,[1]!DadosGHD[CD_GEOCMU],[1]!DadosGHD[MUNICIPIO])</f>
        <v>VARGINHA</v>
      </c>
      <c r="F5304" s="6">
        <v>58.841514587402301</v>
      </c>
      <c r="G5304" s="6">
        <v>58.894920349121101</v>
      </c>
      <c r="H5304" s="6">
        <v>63.938796997070298</v>
      </c>
      <c r="I5304" s="6">
        <v>63.932819366455099</v>
      </c>
      <c r="J5304" s="6">
        <v>63.974090576171903</v>
      </c>
      <c r="K5304" s="6">
        <v>59.056571960449197</v>
      </c>
      <c r="L5304" s="6">
        <v>57.560230255127003</v>
      </c>
    </row>
    <row r="5305" spans="1:12" x14ac:dyDescent="0.25">
      <c r="A5305">
        <v>4306106</v>
      </c>
      <c r="B5305" t="str">
        <f t="shared" si="82"/>
        <v>CRUZ ALTA, RS, Brasil</v>
      </c>
      <c r="C5305" s="4" t="str">
        <f>_xlfn.XLOOKUP(A5305,[1]!DadosGHD[CD_GEOCMU],[1]!DadosGHD[Região])</f>
        <v>SL</v>
      </c>
      <c r="D5305" s="4" t="str">
        <f>_xlfn.XLOOKUP(A5305,[1]!DadosGHD[CD_GEOCMU],[1]!DadosGHD[uf])</f>
        <v>RS</v>
      </c>
      <c r="E5305" s="5" t="str">
        <f>_xlfn.XLOOKUP(A5305,[1]!DadosGHD[CD_GEOCMU],[1]!DadosGHD[MUNICIPIO])</f>
        <v>CRUZ ALTA</v>
      </c>
      <c r="F5305" s="6">
        <v>58.841926574707003</v>
      </c>
      <c r="G5305" s="6">
        <v>58.877605438232401</v>
      </c>
      <c r="H5305" s="6">
        <v>63.961215972900398</v>
      </c>
      <c r="I5305" s="6">
        <v>64.000221252441406</v>
      </c>
      <c r="J5305" s="6">
        <v>64.017196655273395</v>
      </c>
      <c r="K5305" s="6">
        <v>59.1181030273438</v>
      </c>
      <c r="L5305" s="6">
        <v>57.517284393310597</v>
      </c>
    </row>
    <row r="5306" spans="1:12" x14ac:dyDescent="0.25">
      <c r="A5306">
        <v>4216354</v>
      </c>
      <c r="B5306" t="str">
        <f t="shared" si="82"/>
        <v>SAO JOAO DO ITAPERIU, SC, Brasil</v>
      </c>
      <c r="C5306" s="4" t="str">
        <f>_xlfn.XLOOKUP(A5306,[1]!DadosGHD[CD_GEOCMU],[1]!DadosGHD[Região])</f>
        <v>SL</v>
      </c>
      <c r="D5306" s="4" t="str">
        <f>_xlfn.XLOOKUP(A5306,[1]!DadosGHD[CD_GEOCMU],[1]!DadosGHD[uf])</f>
        <v>SC</v>
      </c>
      <c r="E5306" s="5" t="str">
        <f>_xlfn.XLOOKUP(A5306,[1]!DadosGHD[CD_GEOCMU],[1]!DadosGHD[MUNICIPIO])</f>
        <v>SAO JOAO DO ITAPERIU</v>
      </c>
      <c r="F5306" s="6">
        <v>58.843376159667997</v>
      </c>
      <c r="G5306" s="6">
        <v>63.838558197021499</v>
      </c>
      <c r="H5306" s="6">
        <v>58.988117218017599</v>
      </c>
      <c r="I5306" s="6">
        <v>58.972099304199197</v>
      </c>
      <c r="J5306" s="6">
        <v>53.842082977294901</v>
      </c>
      <c r="K5306" s="6">
        <v>58.949012756347699</v>
      </c>
      <c r="L5306" s="6">
        <v>57.583869934082003</v>
      </c>
    </row>
    <row r="5307" spans="1:12" x14ac:dyDescent="0.25">
      <c r="A5307">
        <v>3547809</v>
      </c>
      <c r="B5307" t="str">
        <f t="shared" si="82"/>
        <v>SANTO ANDRE, SP, Brasil</v>
      </c>
      <c r="C5307" s="4" t="str">
        <f>_xlfn.XLOOKUP(A5307,[1]!DadosGHD[CD_GEOCMU],[1]!DadosGHD[Região])</f>
        <v>SD</v>
      </c>
      <c r="D5307" s="4" t="str">
        <f>_xlfn.XLOOKUP(A5307,[1]!DadosGHD[CD_GEOCMU],[1]!DadosGHD[uf])</f>
        <v>SP</v>
      </c>
      <c r="E5307" s="5" t="str">
        <f>_xlfn.XLOOKUP(A5307,[1]!DadosGHD[CD_GEOCMU],[1]!DadosGHD[MUNICIPIO])</f>
        <v>SANTO ANDRE</v>
      </c>
      <c r="F5307" s="6">
        <v>58.843414306640597</v>
      </c>
      <c r="G5307" s="6">
        <v>58.866928100585902</v>
      </c>
      <c r="H5307" s="6">
        <v>58.900184631347699</v>
      </c>
      <c r="I5307" s="6">
        <v>58.842498779296903</v>
      </c>
      <c r="J5307" s="6">
        <v>58.834197998046903</v>
      </c>
      <c r="K5307" s="6">
        <v>53.938919067382798</v>
      </c>
      <c r="L5307" s="6">
        <v>57.506591796875</v>
      </c>
    </row>
    <row r="5308" spans="1:12" x14ac:dyDescent="0.25">
      <c r="A5308">
        <v>4216602</v>
      </c>
      <c r="B5308" t="str">
        <f t="shared" si="82"/>
        <v>SAO JOSE, SC, Brasil</v>
      </c>
      <c r="C5308" s="4" t="str">
        <f>_xlfn.XLOOKUP(A5308,[1]!DadosGHD[CD_GEOCMU],[1]!DadosGHD[Região])</f>
        <v>SL</v>
      </c>
      <c r="D5308" s="4" t="str">
        <f>_xlfn.XLOOKUP(A5308,[1]!DadosGHD[CD_GEOCMU],[1]!DadosGHD[uf])</f>
        <v>SC</v>
      </c>
      <c r="E5308" s="5" t="str">
        <f>_xlfn.XLOOKUP(A5308,[1]!DadosGHD[CD_GEOCMU],[1]!DadosGHD[MUNICIPIO])</f>
        <v>SAO JOSE</v>
      </c>
      <c r="F5308" s="6">
        <v>58.843898773193402</v>
      </c>
      <c r="G5308" s="6">
        <v>58.886344909667997</v>
      </c>
      <c r="H5308" s="6">
        <v>58.920314788818402</v>
      </c>
      <c r="I5308" s="6">
        <v>58.871730804443402</v>
      </c>
      <c r="J5308" s="6">
        <v>58.916286468505902</v>
      </c>
      <c r="K5308" s="6">
        <v>58.982593536377003</v>
      </c>
      <c r="L5308" s="6">
        <v>57.5764350891113</v>
      </c>
    </row>
    <row r="5309" spans="1:12" x14ac:dyDescent="0.25">
      <c r="A5309">
        <v>4306452</v>
      </c>
      <c r="B5309" t="str">
        <f t="shared" si="82"/>
        <v>DOIS LAJEADOS, RS, Brasil</v>
      </c>
      <c r="C5309" s="4" t="str">
        <f>_xlfn.XLOOKUP(A5309,[1]!DadosGHD[CD_GEOCMU],[1]!DadosGHD[Região])</f>
        <v>SL</v>
      </c>
      <c r="D5309" s="4" t="str">
        <f>_xlfn.XLOOKUP(A5309,[1]!DadosGHD[CD_GEOCMU],[1]!DadosGHD[uf])</f>
        <v>RS</v>
      </c>
      <c r="E5309" s="5" t="str">
        <f>_xlfn.XLOOKUP(A5309,[1]!DadosGHD[CD_GEOCMU],[1]!DadosGHD[MUNICIPIO])</f>
        <v>DOIS LAJEADOS</v>
      </c>
      <c r="F5309" s="6">
        <v>58.843902587890597</v>
      </c>
      <c r="G5309" s="6">
        <v>63.966358184814503</v>
      </c>
      <c r="H5309" s="6">
        <v>64.026092529296903</v>
      </c>
      <c r="I5309" s="6">
        <v>64.000221252441406</v>
      </c>
      <c r="J5309" s="6">
        <v>64.039611816406307</v>
      </c>
      <c r="K5309" s="6">
        <v>64.13623046875</v>
      </c>
      <c r="L5309" s="6">
        <v>48.527824401855497</v>
      </c>
    </row>
    <row r="5310" spans="1:12" x14ac:dyDescent="0.25">
      <c r="A5310">
        <v>5216403</v>
      </c>
      <c r="B5310" t="str">
        <f t="shared" si="82"/>
        <v>PARAUNA, GO, Brasil</v>
      </c>
      <c r="C5310" s="4" t="str">
        <f>_xlfn.XLOOKUP(A5310,[1]!DadosGHD[CD_GEOCMU],[1]!DadosGHD[Região])</f>
        <v>CO</v>
      </c>
      <c r="D5310" s="4" t="str">
        <f>_xlfn.XLOOKUP(A5310,[1]!DadosGHD[CD_GEOCMU],[1]!DadosGHD[uf])</f>
        <v>GO</v>
      </c>
      <c r="E5310" s="5" t="str">
        <f>_xlfn.XLOOKUP(A5310,[1]!DadosGHD[CD_GEOCMU],[1]!DadosGHD[MUNICIPIO])</f>
        <v>PARAUNA</v>
      </c>
      <c r="F5310" s="6">
        <v>58.844188690185597</v>
      </c>
      <c r="G5310" s="6">
        <v>58.916160583496101</v>
      </c>
      <c r="H5310" s="6">
        <v>63.945640563964801</v>
      </c>
      <c r="I5310" s="6">
        <v>63.923271179199197</v>
      </c>
      <c r="J5310" s="6">
        <v>63.956886291503899</v>
      </c>
      <c r="K5310" s="6">
        <v>64.1190185546875</v>
      </c>
      <c r="L5310" s="6">
        <v>44.064990997314503</v>
      </c>
    </row>
    <row r="5311" spans="1:12" x14ac:dyDescent="0.25">
      <c r="A5311">
        <v>4203907</v>
      </c>
      <c r="B5311" t="str">
        <f t="shared" si="82"/>
        <v>CAPINZAL, SC, Brasil</v>
      </c>
      <c r="C5311" s="4" t="str">
        <f>_xlfn.XLOOKUP(A5311,[1]!DadosGHD[CD_GEOCMU],[1]!DadosGHD[Região])</f>
        <v>SL</v>
      </c>
      <c r="D5311" s="4" t="str">
        <f>_xlfn.XLOOKUP(A5311,[1]!DadosGHD[CD_GEOCMU],[1]!DadosGHD[uf])</f>
        <v>SC</v>
      </c>
      <c r="E5311" s="5" t="str">
        <f>_xlfn.XLOOKUP(A5311,[1]!DadosGHD[CD_GEOCMU],[1]!DadosGHD[MUNICIPIO])</f>
        <v>CAPINZAL</v>
      </c>
      <c r="F5311" s="6">
        <v>58.844482421875</v>
      </c>
      <c r="G5311" s="6">
        <v>63.919925689697301</v>
      </c>
      <c r="H5311" s="6">
        <v>64.026092529296903</v>
      </c>
      <c r="I5311" s="6">
        <v>63.989913940429702</v>
      </c>
      <c r="J5311" s="6">
        <v>64.039611816406307</v>
      </c>
      <c r="K5311" s="6">
        <v>59.033920288085902</v>
      </c>
      <c r="L5311" s="6">
        <v>48.551506042480497</v>
      </c>
    </row>
    <row r="5312" spans="1:12" x14ac:dyDescent="0.25">
      <c r="A5312">
        <v>2800308</v>
      </c>
      <c r="B5312" t="str">
        <f t="shared" si="82"/>
        <v>ARACAJU, SE, Brasil</v>
      </c>
      <c r="C5312" s="4" t="str">
        <f>_xlfn.XLOOKUP(A5312,[1]!DadosGHD[CD_GEOCMU],[1]!DadosGHD[Região])</f>
        <v>NE</v>
      </c>
      <c r="D5312" s="4" t="str">
        <f>_xlfn.XLOOKUP(A5312,[1]!DadosGHD[CD_GEOCMU],[1]!DadosGHD[uf])</f>
        <v>SE</v>
      </c>
      <c r="E5312" s="5" t="str">
        <f>_xlfn.XLOOKUP(A5312,[1]!DadosGHD[CD_GEOCMU],[1]!DadosGHD[MUNICIPIO])</f>
        <v>ARACAJU</v>
      </c>
      <c r="F5312" s="6">
        <v>58.846244812011697</v>
      </c>
      <c r="G5312" s="6">
        <v>58.885665893554702</v>
      </c>
      <c r="H5312" s="6">
        <v>58.9299926757813</v>
      </c>
      <c r="I5312" s="6">
        <v>58.865364074707003</v>
      </c>
      <c r="J5312" s="6">
        <v>58.852336883544901</v>
      </c>
      <c r="K5312" s="6">
        <v>53.972694396972699</v>
      </c>
      <c r="L5312" s="6">
        <v>53.064884185791001</v>
      </c>
    </row>
    <row r="5313" spans="1:12" x14ac:dyDescent="0.25">
      <c r="A5313">
        <v>4118105</v>
      </c>
      <c r="B5313" t="str">
        <f t="shared" si="82"/>
        <v>PARANACITY, PR, Brasil</v>
      </c>
      <c r="C5313" s="4" t="str">
        <f>_xlfn.XLOOKUP(A5313,[1]!DadosGHD[CD_GEOCMU],[1]!DadosGHD[Região])</f>
        <v>SL</v>
      </c>
      <c r="D5313" s="4" t="str">
        <f>_xlfn.XLOOKUP(A5313,[1]!DadosGHD[CD_GEOCMU],[1]!DadosGHD[uf])</f>
        <v>PR</v>
      </c>
      <c r="E5313" s="5" t="str">
        <f>_xlfn.XLOOKUP(A5313,[1]!DadosGHD[CD_GEOCMU],[1]!DadosGHD[MUNICIPIO])</f>
        <v>PARANACITY</v>
      </c>
      <c r="F5313" s="6">
        <v>58.849037170410199</v>
      </c>
      <c r="G5313" s="6">
        <v>58.8660697937012</v>
      </c>
      <c r="H5313" s="6">
        <v>58.858612060546903</v>
      </c>
      <c r="I5313" s="6">
        <v>58.833278656005902</v>
      </c>
      <c r="J5313" s="6">
        <v>53.884735107421903</v>
      </c>
      <c r="K5313" s="6">
        <v>53.911090850830099</v>
      </c>
      <c r="L5313" s="6">
        <v>48.559852600097699</v>
      </c>
    </row>
    <row r="5314" spans="1:12" x14ac:dyDescent="0.25">
      <c r="A5314">
        <v>4323457</v>
      </c>
      <c r="B5314" t="str">
        <f t="shared" si="82"/>
        <v>VILA NOVA DO SUL, RS, Brasil</v>
      </c>
      <c r="C5314" s="4" t="str">
        <f>_xlfn.XLOOKUP(A5314,[1]!DadosGHD[CD_GEOCMU],[1]!DadosGHD[Região])</f>
        <v>SL</v>
      </c>
      <c r="D5314" s="4" t="str">
        <f>_xlfn.XLOOKUP(A5314,[1]!DadosGHD[CD_GEOCMU],[1]!DadosGHD[uf])</f>
        <v>RS</v>
      </c>
      <c r="E5314" s="5" t="str">
        <f>_xlfn.XLOOKUP(A5314,[1]!DadosGHD[CD_GEOCMU],[1]!DadosGHD[MUNICIPIO])</f>
        <v>VILA NOVA DO SUL</v>
      </c>
      <c r="F5314" s="6">
        <v>58.852298736572301</v>
      </c>
      <c r="G5314" s="6">
        <v>63.966358184814503</v>
      </c>
      <c r="H5314" s="6">
        <v>58.963043212890597</v>
      </c>
      <c r="I5314" s="6">
        <v>58.930931091308601</v>
      </c>
      <c r="J5314" s="6">
        <v>53.876350402832003</v>
      </c>
      <c r="K5314" s="6">
        <v>48.8829956054688</v>
      </c>
      <c r="L5314" s="6">
        <v>48.554718017578097</v>
      </c>
    </row>
    <row r="5315" spans="1:12" x14ac:dyDescent="0.25">
      <c r="A5315">
        <v>4110607</v>
      </c>
      <c r="B5315" t="str">
        <f t="shared" si="82"/>
        <v>IPORA, PR, Brasil</v>
      </c>
      <c r="C5315" s="4" t="str">
        <f>_xlfn.XLOOKUP(A5315,[1]!DadosGHD[CD_GEOCMU],[1]!DadosGHD[Região])</f>
        <v>SL</v>
      </c>
      <c r="D5315" s="4" t="str">
        <f>_xlfn.XLOOKUP(A5315,[1]!DadosGHD[CD_GEOCMU],[1]!DadosGHD[uf])</f>
        <v>PR</v>
      </c>
      <c r="E5315" s="5" t="str">
        <f>_xlfn.XLOOKUP(A5315,[1]!DadosGHD[CD_GEOCMU],[1]!DadosGHD[MUNICIPIO])</f>
        <v>IPORA</v>
      </c>
      <c r="F5315" s="6">
        <v>58.852733612060597</v>
      </c>
      <c r="G5315" s="6">
        <v>63.869697570800803</v>
      </c>
      <c r="H5315" s="6">
        <v>63.950771331787102</v>
      </c>
      <c r="I5315" s="6">
        <v>58.950351715087898</v>
      </c>
      <c r="J5315" s="6">
        <v>58.9057006835938</v>
      </c>
      <c r="K5315" s="6">
        <v>53.964637756347699</v>
      </c>
      <c r="L5315" s="6">
        <v>44.024971008300803</v>
      </c>
    </row>
    <row r="5316" spans="1:12" x14ac:dyDescent="0.25">
      <c r="A5316">
        <v>4320602</v>
      </c>
      <c r="B5316" t="str">
        <f t="shared" ref="B5316:B5379" si="83">_xlfn.CONCAT(E5316, ", ", D5316, ", Brasil")</f>
        <v>SEVERIANO DE ALMEIDA, RS, Brasil</v>
      </c>
      <c r="C5316" s="4" t="str">
        <f>_xlfn.XLOOKUP(A5316,[1]!DadosGHD[CD_GEOCMU],[1]!DadosGHD[Região])</f>
        <v>SL</v>
      </c>
      <c r="D5316" s="4" t="str">
        <f>_xlfn.XLOOKUP(A5316,[1]!DadosGHD[CD_GEOCMU],[1]!DadosGHD[uf])</f>
        <v>RS</v>
      </c>
      <c r="E5316" s="5" t="str">
        <f>_xlfn.XLOOKUP(A5316,[1]!DadosGHD[CD_GEOCMU],[1]!DadosGHD[MUNICIPIO])</f>
        <v>SEVERIANO DE ALMEIDA</v>
      </c>
      <c r="F5316" s="6">
        <v>58.853515625</v>
      </c>
      <c r="G5316" s="6">
        <v>63.966358184814503</v>
      </c>
      <c r="H5316" s="6">
        <v>64.026092529296903</v>
      </c>
      <c r="I5316" s="6">
        <v>64.000221252441406</v>
      </c>
      <c r="J5316" s="6">
        <v>64.039611816406307</v>
      </c>
      <c r="K5316" s="6">
        <v>64.13623046875</v>
      </c>
      <c r="L5316" s="6">
        <v>57.589881896972699</v>
      </c>
    </row>
    <row r="5317" spans="1:12" x14ac:dyDescent="0.25">
      <c r="A5317">
        <v>5214838</v>
      </c>
      <c r="B5317" t="str">
        <f t="shared" si="83"/>
        <v>NOVA CRIXAS, GO, Brasil</v>
      </c>
      <c r="C5317" s="4" t="str">
        <f>_xlfn.XLOOKUP(A5317,[1]!DadosGHD[CD_GEOCMU],[1]!DadosGHD[Região])</f>
        <v>CO</v>
      </c>
      <c r="D5317" s="4" t="str">
        <f>_xlfn.XLOOKUP(A5317,[1]!DadosGHD[CD_GEOCMU],[1]!DadosGHD[uf])</f>
        <v>GO</v>
      </c>
      <c r="E5317" s="5" t="str">
        <f>_xlfn.XLOOKUP(A5317,[1]!DadosGHD[CD_GEOCMU],[1]!DadosGHD[MUNICIPIO])</f>
        <v>NOVA CRIXAS</v>
      </c>
      <c r="F5317" s="6">
        <v>58.853759765625</v>
      </c>
      <c r="G5317" s="6">
        <v>58.862602233886697</v>
      </c>
      <c r="H5317" s="6">
        <v>58.966201782226598</v>
      </c>
      <c r="I5317" s="6">
        <v>58.953346252441399</v>
      </c>
      <c r="J5317" s="6">
        <v>63.908103942871101</v>
      </c>
      <c r="K5317" s="6">
        <v>64.101593017578097</v>
      </c>
      <c r="L5317" s="6">
        <v>39.5799369812012</v>
      </c>
    </row>
    <row r="5318" spans="1:12" x14ac:dyDescent="0.25">
      <c r="A5318">
        <v>3164902</v>
      </c>
      <c r="B5318" t="str">
        <f t="shared" si="83"/>
        <v>SAO SEBASTIAO DO RIO VERDE, MG, Brasil</v>
      </c>
      <c r="C5318" s="4" t="str">
        <f>_xlfn.XLOOKUP(A5318,[1]!DadosGHD[CD_GEOCMU],[1]!DadosGHD[Região])</f>
        <v>SD</v>
      </c>
      <c r="D5318" s="4" t="str">
        <f>_xlfn.XLOOKUP(A5318,[1]!DadosGHD[CD_GEOCMU],[1]!DadosGHD[uf])</f>
        <v>MG</v>
      </c>
      <c r="E5318" s="5" t="str">
        <f>_xlfn.XLOOKUP(A5318,[1]!DadosGHD[CD_GEOCMU],[1]!DadosGHD[MUNICIPIO])</f>
        <v>SAO SEBASTIAO DO RIO VERDE</v>
      </c>
      <c r="F5318" s="6">
        <v>58.855014801025398</v>
      </c>
      <c r="G5318" s="6">
        <v>58.840373992919901</v>
      </c>
      <c r="H5318" s="6">
        <v>53.896011352539098</v>
      </c>
      <c r="I5318" s="6">
        <v>48.702903747558601</v>
      </c>
      <c r="J5318" s="6">
        <v>48.774463653564503</v>
      </c>
      <c r="K5318" s="6">
        <v>48.9069633483887</v>
      </c>
      <c r="L5318" s="6">
        <v>52.988304138183601</v>
      </c>
    </row>
    <row r="5319" spans="1:12" x14ac:dyDescent="0.25">
      <c r="A5319">
        <v>5003900</v>
      </c>
      <c r="B5319" t="str">
        <f t="shared" si="83"/>
        <v>FIGUEIRAO, MS, Brasil</v>
      </c>
      <c r="C5319" s="4" t="str">
        <f>_xlfn.XLOOKUP(A5319,[1]!DadosGHD[CD_GEOCMU],[1]!DadosGHD[Região])</f>
        <v>CO</v>
      </c>
      <c r="D5319" s="4" t="str">
        <f>_xlfn.XLOOKUP(A5319,[1]!DadosGHD[CD_GEOCMU],[1]!DadosGHD[uf])</f>
        <v>MS</v>
      </c>
      <c r="E5319" s="5" t="str">
        <f>_xlfn.XLOOKUP(A5319,[1]!DadosGHD[CD_GEOCMU],[1]!DadosGHD[MUNICIPIO])</f>
        <v>FIGUEIRAO</v>
      </c>
      <c r="F5319" s="6">
        <v>58.856231689453097</v>
      </c>
      <c r="G5319" s="6">
        <v>53.814037322998097</v>
      </c>
      <c r="H5319" s="6">
        <v>53.853572845458999</v>
      </c>
      <c r="I5319" s="6">
        <v>53.799388885498097</v>
      </c>
      <c r="J5319" s="6">
        <v>48.8030395507813</v>
      </c>
      <c r="K5319" s="6">
        <v>48.832679748535199</v>
      </c>
      <c r="L5319" s="6">
        <v>35.128074645996101</v>
      </c>
    </row>
    <row r="5320" spans="1:12" x14ac:dyDescent="0.25">
      <c r="A5320">
        <v>4121802</v>
      </c>
      <c r="B5320" t="str">
        <f t="shared" si="83"/>
        <v>RIBEIRAO CLARO, PR, Brasil</v>
      </c>
      <c r="C5320" s="4" t="str">
        <f>_xlfn.XLOOKUP(A5320,[1]!DadosGHD[CD_GEOCMU],[1]!DadosGHD[Região])</f>
        <v>SL</v>
      </c>
      <c r="D5320" s="4" t="str">
        <f>_xlfn.XLOOKUP(A5320,[1]!DadosGHD[CD_GEOCMU],[1]!DadosGHD[uf])</f>
        <v>PR</v>
      </c>
      <c r="E5320" s="5" t="str">
        <f>_xlfn.XLOOKUP(A5320,[1]!DadosGHD[CD_GEOCMU],[1]!DadosGHD[MUNICIPIO])</f>
        <v>RIBEIRAO CLARO</v>
      </c>
      <c r="F5320" s="6">
        <v>58.857246398925803</v>
      </c>
      <c r="G5320" s="6">
        <v>63.879558563232401</v>
      </c>
      <c r="H5320" s="6">
        <v>64.026092529296903</v>
      </c>
      <c r="I5320" s="6">
        <v>64.000221252441406</v>
      </c>
      <c r="J5320" s="6">
        <v>64.039611816406307</v>
      </c>
      <c r="K5320" s="6">
        <v>64.13623046875</v>
      </c>
      <c r="L5320" s="6">
        <v>48.515129089355497</v>
      </c>
    </row>
    <row r="5321" spans="1:12" x14ac:dyDescent="0.25">
      <c r="A5321">
        <v>3546603</v>
      </c>
      <c r="B5321" t="str">
        <f t="shared" si="83"/>
        <v>SANTA FE DO SUL, SP, Brasil</v>
      </c>
      <c r="C5321" s="4" t="str">
        <f>_xlfn.XLOOKUP(A5321,[1]!DadosGHD[CD_GEOCMU],[1]!DadosGHD[Região])</f>
        <v>SD</v>
      </c>
      <c r="D5321" s="4" t="str">
        <f>_xlfn.XLOOKUP(A5321,[1]!DadosGHD[CD_GEOCMU],[1]!DadosGHD[uf])</f>
        <v>SP</v>
      </c>
      <c r="E5321" s="5" t="str">
        <f>_xlfn.XLOOKUP(A5321,[1]!DadosGHD[CD_GEOCMU],[1]!DadosGHD[MUNICIPIO])</f>
        <v>SANTA FE DO SUL</v>
      </c>
      <c r="F5321" s="6">
        <v>58.858039855957003</v>
      </c>
      <c r="G5321" s="6">
        <v>58.9146919250488</v>
      </c>
      <c r="H5321" s="6">
        <v>58.915126800537102</v>
      </c>
      <c r="I5321" s="6">
        <v>53.854114532470703</v>
      </c>
      <c r="J5321" s="6">
        <v>53.879070281982401</v>
      </c>
      <c r="K5321" s="6">
        <v>53.970172882080099</v>
      </c>
      <c r="L5321" s="6">
        <v>44.035617828369098</v>
      </c>
    </row>
    <row r="5322" spans="1:12" x14ac:dyDescent="0.25">
      <c r="A5322">
        <v>4212239</v>
      </c>
      <c r="B5322" t="str">
        <f t="shared" si="83"/>
        <v>PARAISO, SC, Brasil</v>
      </c>
      <c r="C5322" s="4" t="str">
        <f>_xlfn.XLOOKUP(A5322,[1]!DadosGHD[CD_GEOCMU],[1]!DadosGHD[Região])</f>
        <v>SL</v>
      </c>
      <c r="D5322" s="4" t="str">
        <f>_xlfn.XLOOKUP(A5322,[1]!DadosGHD[CD_GEOCMU],[1]!DadosGHD[uf])</f>
        <v>SC</v>
      </c>
      <c r="E5322" s="5" t="str">
        <f>_xlfn.XLOOKUP(A5322,[1]!DadosGHD[CD_GEOCMU],[1]!DadosGHD[MUNICIPIO])</f>
        <v>PARAISO</v>
      </c>
      <c r="F5322" s="6">
        <v>58.858314514160199</v>
      </c>
      <c r="G5322" s="6">
        <v>63.966358184814503</v>
      </c>
      <c r="H5322" s="6">
        <v>63.962203979492202</v>
      </c>
      <c r="I5322" s="6">
        <v>64.000221252441406</v>
      </c>
      <c r="J5322" s="6">
        <v>64.039611816406307</v>
      </c>
      <c r="K5322" s="6">
        <v>64.133491516113295</v>
      </c>
      <c r="L5322" s="6">
        <v>48.546588897705099</v>
      </c>
    </row>
    <row r="5323" spans="1:12" x14ac:dyDescent="0.25">
      <c r="A5323">
        <v>4114104</v>
      </c>
      <c r="B5323" t="str">
        <f t="shared" si="83"/>
        <v>MANDAGUACU, PR, Brasil</v>
      </c>
      <c r="C5323" s="4" t="str">
        <f>_xlfn.XLOOKUP(A5323,[1]!DadosGHD[CD_GEOCMU],[1]!DadosGHD[Região])</f>
        <v>SL</v>
      </c>
      <c r="D5323" s="4" t="str">
        <f>_xlfn.XLOOKUP(A5323,[1]!DadosGHD[CD_GEOCMU],[1]!DadosGHD[uf])</f>
        <v>PR</v>
      </c>
      <c r="E5323" s="5" t="str">
        <f>_xlfn.XLOOKUP(A5323,[1]!DadosGHD[CD_GEOCMU],[1]!DadosGHD[MUNICIPIO])</f>
        <v>MANDAGUACU</v>
      </c>
      <c r="F5323" s="6">
        <v>63.764244079589801</v>
      </c>
      <c r="G5323" s="6">
        <v>63.935504913330099</v>
      </c>
      <c r="H5323" s="6">
        <v>63.956985473632798</v>
      </c>
      <c r="I5323" s="6">
        <v>58.950180053710902</v>
      </c>
      <c r="J5323" s="6">
        <v>58.871082305908203</v>
      </c>
      <c r="K5323" s="6">
        <v>58.928150177002003</v>
      </c>
      <c r="L5323" s="6">
        <v>44.078517913818402</v>
      </c>
    </row>
    <row r="5324" spans="1:12" x14ac:dyDescent="0.25">
      <c r="A5324">
        <v>3107604</v>
      </c>
      <c r="B5324" t="str">
        <f t="shared" si="83"/>
        <v>BOM JESUS DA PENHA, MG, Brasil</v>
      </c>
      <c r="C5324" s="4" t="str">
        <f>_xlfn.XLOOKUP(A5324,[1]!DadosGHD[CD_GEOCMU],[1]!DadosGHD[Região])</f>
        <v>SD</v>
      </c>
      <c r="D5324" s="4" t="str">
        <f>_xlfn.XLOOKUP(A5324,[1]!DadosGHD[CD_GEOCMU],[1]!DadosGHD[uf])</f>
        <v>MG</v>
      </c>
      <c r="E5324" s="5" t="str">
        <f>_xlfn.XLOOKUP(A5324,[1]!DadosGHD[CD_GEOCMU],[1]!DadosGHD[MUNICIPIO])</f>
        <v>BOM JESUS DA PENHA</v>
      </c>
      <c r="F5324" s="6">
        <v>63.764255523681598</v>
      </c>
      <c r="G5324" s="6">
        <v>58.877006530761697</v>
      </c>
      <c r="H5324" s="6">
        <v>58.979263305664098</v>
      </c>
      <c r="I5324" s="6">
        <v>58.842456817627003</v>
      </c>
      <c r="J5324" s="6">
        <v>58.8648872375488</v>
      </c>
      <c r="K5324" s="6">
        <v>58.995208740234403</v>
      </c>
      <c r="L5324" s="6">
        <v>48.5043754577637</v>
      </c>
    </row>
    <row r="5325" spans="1:12" x14ac:dyDescent="0.25">
      <c r="A5325">
        <v>3556008</v>
      </c>
      <c r="B5325" t="str">
        <f t="shared" si="83"/>
        <v>URUPES, SP, Brasil</v>
      </c>
      <c r="C5325" s="4" t="str">
        <f>_xlfn.XLOOKUP(A5325,[1]!DadosGHD[CD_GEOCMU],[1]!DadosGHD[Região])</f>
        <v>SD</v>
      </c>
      <c r="D5325" s="4" t="str">
        <f>_xlfn.XLOOKUP(A5325,[1]!DadosGHD[CD_GEOCMU],[1]!DadosGHD[uf])</f>
        <v>SP</v>
      </c>
      <c r="E5325" s="5" t="str">
        <f>_xlfn.XLOOKUP(A5325,[1]!DadosGHD[CD_GEOCMU],[1]!DadosGHD[MUNICIPIO])</f>
        <v>URUPES</v>
      </c>
      <c r="F5325" s="6">
        <v>63.765922546386697</v>
      </c>
      <c r="G5325" s="6">
        <v>58.879806518554702</v>
      </c>
      <c r="H5325" s="6">
        <v>58.832351684570298</v>
      </c>
      <c r="I5325" s="6">
        <v>58.8749389648438</v>
      </c>
      <c r="J5325" s="6">
        <v>58.989006042480497</v>
      </c>
      <c r="K5325" s="6">
        <v>53.945121765136697</v>
      </c>
      <c r="L5325" s="6">
        <v>57.589881896972699</v>
      </c>
    </row>
    <row r="5326" spans="1:12" x14ac:dyDescent="0.25">
      <c r="A5326">
        <v>4306734</v>
      </c>
      <c r="B5326" t="str">
        <f t="shared" si="83"/>
        <v>DOUTOR MAURICIO CARDOSO, RS, Brasil</v>
      </c>
      <c r="C5326" s="4" t="str">
        <f>_xlfn.XLOOKUP(A5326,[1]!DadosGHD[CD_GEOCMU],[1]!DadosGHD[Região])</f>
        <v>SL</v>
      </c>
      <c r="D5326" s="4" t="str">
        <f>_xlfn.XLOOKUP(A5326,[1]!DadosGHD[CD_GEOCMU],[1]!DadosGHD[uf])</f>
        <v>RS</v>
      </c>
      <c r="E5326" s="5" t="str">
        <f>_xlfn.XLOOKUP(A5326,[1]!DadosGHD[CD_GEOCMU],[1]!DadosGHD[MUNICIPIO])</f>
        <v>DOUTOR MAURICIO CARDOSO</v>
      </c>
      <c r="F5326" s="6">
        <v>63.766117095947301</v>
      </c>
      <c r="G5326" s="6">
        <v>63.966358184814503</v>
      </c>
      <c r="H5326" s="6">
        <v>64.026092529296903</v>
      </c>
      <c r="I5326" s="6">
        <v>64.000221252441406</v>
      </c>
      <c r="J5326" s="6">
        <v>64.039611816406307</v>
      </c>
      <c r="K5326" s="6">
        <v>64.13623046875</v>
      </c>
      <c r="L5326" s="6">
        <v>57.507102966308601</v>
      </c>
    </row>
    <row r="5327" spans="1:12" x14ac:dyDescent="0.25">
      <c r="A5327">
        <v>4114005</v>
      </c>
      <c r="B5327" t="str">
        <f t="shared" si="83"/>
        <v>MAMBORE, PR, Brasil</v>
      </c>
      <c r="C5327" s="4" t="str">
        <f>_xlfn.XLOOKUP(A5327,[1]!DadosGHD[CD_GEOCMU],[1]!DadosGHD[Região])</f>
        <v>SL</v>
      </c>
      <c r="D5327" s="4" t="str">
        <f>_xlfn.XLOOKUP(A5327,[1]!DadosGHD[CD_GEOCMU],[1]!DadosGHD[uf])</f>
        <v>PR</v>
      </c>
      <c r="E5327" s="5" t="str">
        <f>_xlfn.XLOOKUP(A5327,[1]!DadosGHD[CD_GEOCMU],[1]!DadosGHD[MUNICIPIO])</f>
        <v>MAMBORE</v>
      </c>
      <c r="F5327" s="6">
        <v>63.766170501708999</v>
      </c>
      <c r="G5327" s="6">
        <v>58.857997894287102</v>
      </c>
      <c r="H5327" s="6">
        <v>63.951004028320298</v>
      </c>
      <c r="I5327" s="6">
        <v>63.984138488769503</v>
      </c>
      <c r="J5327" s="6">
        <v>63.965164184570298</v>
      </c>
      <c r="K5327" s="6">
        <v>58.969146728515597</v>
      </c>
      <c r="L5327" s="6">
        <v>39.610603332519503</v>
      </c>
    </row>
    <row r="5328" spans="1:12" x14ac:dyDescent="0.25">
      <c r="A5328">
        <v>3527108</v>
      </c>
      <c r="B5328" t="str">
        <f t="shared" si="83"/>
        <v>LINS, SP, Brasil</v>
      </c>
      <c r="C5328" s="4" t="str">
        <f>_xlfn.XLOOKUP(A5328,[1]!DadosGHD[CD_GEOCMU],[1]!DadosGHD[Região])</f>
        <v>SD</v>
      </c>
      <c r="D5328" s="4" t="str">
        <f>_xlfn.XLOOKUP(A5328,[1]!DadosGHD[CD_GEOCMU],[1]!DadosGHD[uf])</f>
        <v>SP</v>
      </c>
      <c r="E5328" s="5" t="str">
        <f>_xlfn.XLOOKUP(A5328,[1]!DadosGHD[CD_GEOCMU],[1]!DadosGHD[MUNICIPIO])</f>
        <v>LINS</v>
      </c>
      <c r="F5328" s="6">
        <v>63.766635894775398</v>
      </c>
      <c r="G5328" s="6">
        <v>63.860630035400398</v>
      </c>
      <c r="H5328" s="6">
        <v>58.974353790283203</v>
      </c>
      <c r="I5328" s="6">
        <v>58.837146759033203</v>
      </c>
      <c r="J5328" s="6">
        <v>58.924648284912102</v>
      </c>
      <c r="K5328" s="6">
        <v>58.921756744384801</v>
      </c>
      <c r="L5328" s="6">
        <v>57.588954925537102</v>
      </c>
    </row>
    <row r="5329" spans="1:12" x14ac:dyDescent="0.25">
      <c r="A5329">
        <v>5101803</v>
      </c>
      <c r="B5329" t="str">
        <f t="shared" si="83"/>
        <v>BARRA DO GARCAS, MT, Brasil</v>
      </c>
      <c r="C5329" s="4" t="str">
        <f>_xlfn.XLOOKUP(A5329,[1]!DadosGHD[CD_GEOCMU],[1]!DadosGHD[Região])</f>
        <v>CO</v>
      </c>
      <c r="D5329" s="4" t="str">
        <f>_xlfn.XLOOKUP(A5329,[1]!DadosGHD[CD_GEOCMU],[1]!DadosGHD[uf])</f>
        <v>MT</v>
      </c>
      <c r="E5329" s="5" t="str">
        <f>_xlfn.XLOOKUP(A5329,[1]!DadosGHD[CD_GEOCMU],[1]!DadosGHD[MUNICIPIO])</f>
        <v>BARRA DO GARCAS</v>
      </c>
      <c r="F5329" s="6">
        <v>63.766750335693402</v>
      </c>
      <c r="G5329" s="6">
        <v>58.851238250732401</v>
      </c>
      <c r="H5329" s="6">
        <v>58.905239105224602</v>
      </c>
      <c r="I5329" s="6">
        <v>58.937488555908203</v>
      </c>
      <c r="J5329" s="6">
        <v>58.9328422546387</v>
      </c>
      <c r="K5329" s="6">
        <v>53.933917999267599</v>
      </c>
      <c r="L5329" s="6">
        <v>39.594127655029297</v>
      </c>
    </row>
    <row r="5330" spans="1:12" x14ac:dyDescent="0.25">
      <c r="A5330">
        <v>4309605</v>
      </c>
      <c r="B5330" t="str">
        <f t="shared" si="83"/>
        <v>HORIZONTINA, RS, Brasil</v>
      </c>
      <c r="C5330" s="4" t="str">
        <f>_xlfn.XLOOKUP(A5330,[1]!DadosGHD[CD_GEOCMU],[1]!DadosGHD[Região])</f>
        <v>SL</v>
      </c>
      <c r="D5330" s="4" t="str">
        <f>_xlfn.XLOOKUP(A5330,[1]!DadosGHD[CD_GEOCMU],[1]!DadosGHD[uf])</f>
        <v>RS</v>
      </c>
      <c r="E5330" s="5" t="str">
        <f>_xlfn.XLOOKUP(A5330,[1]!DadosGHD[CD_GEOCMU],[1]!DadosGHD[MUNICIPIO])</f>
        <v>HORIZONTINA</v>
      </c>
      <c r="F5330" s="6">
        <v>63.767284393310597</v>
      </c>
      <c r="G5330" s="6">
        <v>63.885196685791001</v>
      </c>
      <c r="H5330" s="6">
        <v>63.942619323730497</v>
      </c>
      <c r="I5330" s="6">
        <v>64.000221252441406</v>
      </c>
      <c r="J5330" s="6">
        <v>64.039611816406307</v>
      </c>
      <c r="K5330" s="6">
        <v>64.13623046875</v>
      </c>
      <c r="L5330" s="6">
        <v>57.492568969726598</v>
      </c>
    </row>
    <row r="5331" spans="1:12" x14ac:dyDescent="0.25">
      <c r="A5331">
        <v>3149200</v>
      </c>
      <c r="B5331" t="str">
        <f t="shared" si="83"/>
        <v>PEDRINOPOLIS, MG, Brasil</v>
      </c>
      <c r="C5331" s="4" t="str">
        <f>_xlfn.XLOOKUP(A5331,[1]!DadosGHD[CD_GEOCMU],[1]!DadosGHD[Região])</f>
        <v>SD</v>
      </c>
      <c r="D5331" s="4" t="str">
        <f>_xlfn.XLOOKUP(A5331,[1]!DadosGHD[CD_GEOCMU],[1]!DadosGHD[uf])</f>
        <v>MG</v>
      </c>
      <c r="E5331" s="5" t="str">
        <f>_xlfn.XLOOKUP(A5331,[1]!DadosGHD[CD_GEOCMU],[1]!DadosGHD[MUNICIPIO])</f>
        <v>PEDRINOPOLIS</v>
      </c>
      <c r="F5331" s="6">
        <v>63.767875671386697</v>
      </c>
      <c r="G5331" s="6">
        <v>58.7619018554688</v>
      </c>
      <c r="H5331" s="6">
        <v>48.789772033691399</v>
      </c>
      <c r="I5331" s="6">
        <v>48.766349792480497</v>
      </c>
      <c r="J5331" s="6">
        <v>48.819778442382798</v>
      </c>
      <c r="K5331" s="6">
        <v>48.812198638916001</v>
      </c>
      <c r="L5331" s="6">
        <v>39.5828857421875</v>
      </c>
    </row>
    <row r="5332" spans="1:12" x14ac:dyDescent="0.25">
      <c r="A5332">
        <v>4219309</v>
      </c>
      <c r="B5332" t="str">
        <f t="shared" si="83"/>
        <v>VIDEIRA, SC, Brasil</v>
      </c>
      <c r="C5332" s="4" t="str">
        <f>_xlfn.XLOOKUP(A5332,[1]!DadosGHD[CD_GEOCMU],[1]!DadosGHD[Região])</f>
        <v>SL</v>
      </c>
      <c r="D5332" s="4" t="str">
        <f>_xlfn.XLOOKUP(A5332,[1]!DadosGHD[CD_GEOCMU],[1]!DadosGHD[uf])</f>
        <v>SC</v>
      </c>
      <c r="E5332" s="5" t="str">
        <f>_xlfn.XLOOKUP(A5332,[1]!DadosGHD[CD_GEOCMU],[1]!DadosGHD[MUNICIPIO])</f>
        <v>VIDEIRA</v>
      </c>
      <c r="F5332" s="6">
        <v>63.7685356140137</v>
      </c>
      <c r="G5332" s="6">
        <v>63.937709808349602</v>
      </c>
      <c r="H5332" s="6">
        <v>64.026092529296903</v>
      </c>
      <c r="I5332" s="6">
        <v>64.000221252441406</v>
      </c>
      <c r="J5332" s="6">
        <v>63.954910278320298</v>
      </c>
      <c r="K5332" s="6">
        <v>64.100234985351605</v>
      </c>
      <c r="L5332" s="6">
        <v>57.589881896972699</v>
      </c>
    </row>
    <row r="5333" spans="1:12" x14ac:dyDescent="0.25">
      <c r="A5333">
        <v>3548906</v>
      </c>
      <c r="B5333" t="str">
        <f t="shared" si="83"/>
        <v>SAO CARLOS, SP, Brasil</v>
      </c>
      <c r="C5333" s="4" t="str">
        <f>_xlfn.XLOOKUP(A5333,[1]!DadosGHD[CD_GEOCMU],[1]!DadosGHD[Região])</f>
        <v>SD</v>
      </c>
      <c r="D5333" s="4" t="str">
        <f>_xlfn.XLOOKUP(A5333,[1]!DadosGHD[CD_GEOCMU],[1]!DadosGHD[uf])</f>
        <v>SP</v>
      </c>
      <c r="E5333" s="5" t="str">
        <f>_xlfn.XLOOKUP(A5333,[1]!DadosGHD[CD_GEOCMU],[1]!DadosGHD[MUNICIPIO])</f>
        <v>SAO CARLOS</v>
      </c>
      <c r="F5333" s="6">
        <v>63.769969940185597</v>
      </c>
      <c r="G5333" s="6">
        <v>58.925380706787102</v>
      </c>
      <c r="H5333" s="6">
        <v>58.9653129577637</v>
      </c>
      <c r="I5333" s="6">
        <v>58.922157287597699</v>
      </c>
      <c r="J5333" s="6">
        <v>58.971145629882798</v>
      </c>
      <c r="K5333" s="6">
        <v>59.0084419250488</v>
      </c>
      <c r="L5333" s="6">
        <v>57.582595825195298</v>
      </c>
    </row>
    <row r="5334" spans="1:12" x14ac:dyDescent="0.25">
      <c r="A5334">
        <v>3541406</v>
      </c>
      <c r="B5334" t="str">
        <f t="shared" si="83"/>
        <v>PRESIDENTE PRUDENTE, SP, Brasil</v>
      </c>
      <c r="C5334" s="4" t="str">
        <f>_xlfn.XLOOKUP(A5334,[1]!DadosGHD[CD_GEOCMU],[1]!DadosGHD[Região])</f>
        <v>SD</v>
      </c>
      <c r="D5334" s="4" t="str">
        <f>_xlfn.XLOOKUP(A5334,[1]!DadosGHD[CD_GEOCMU],[1]!DadosGHD[uf])</f>
        <v>SP</v>
      </c>
      <c r="E5334" s="5" t="str">
        <f>_xlfn.XLOOKUP(A5334,[1]!DadosGHD[CD_GEOCMU],[1]!DadosGHD[MUNICIPIO])</f>
        <v>PRESIDENTE PRUDENTE</v>
      </c>
      <c r="F5334" s="6">
        <v>63.7706298828125</v>
      </c>
      <c r="G5334" s="6">
        <v>63.841133117675803</v>
      </c>
      <c r="H5334" s="6">
        <v>63.936191558837898</v>
      </c>
      <c r="I5334" s="6">
        <v>64.000221252441406</v>
      </c>
      <c r="J5334" s="6">
        <v>64.039611816406307</v>
      </c>
      <c r="K5334" s="6">
        <v>64.13623046875</v>
      </c>
      <c r="L5334" s="6">
        <v>57.589881896972699</v>
      </c>
    </row>
    <row r="5335" spans="1:12" x14ac:dyDescent="0.25">
      <c r="A5335">
        <v>3549904</v>
      </c>
      <c r="B5335" t="str">
        <f t="shared" si="83"/>
        <v>SAO JOSE DOS CAMPOS, SP, Brasil</v>
      </c>
      <c r="C5335" s="4" t="str">
        <f>_xlfn.XLOOKUP(A5335,[1]!DadosGHD[CD_GEOCMU],[1]!DadosGHD[Região])</f>
        <v>SD</v>
      </c>
      <c r="D5335" s="4" t="str">
        <f>_xlfn.XLOOKUP(A5335,[1]!DadosGHD[CD_GEOCMU],[1]!DadosGHD[uf])</f>
        <v>SP</v>
      </c>
      <c r="E5335" s="5" t="str">
        <f>_xlfn.XLOOKUP(A5335,[1]!DadosGHD[CD_GEOCMU],[1]!DadosGHD[MUNICIPIO])</f>
        <v>SAO JOSE DOS CAMPOS</v>
      </c>
      <c r="F5335" s="6">
        <v>63.774391174316399</v>
      </c>
      <c r="G5335" s="6">
        <v>58.916492462158203</v>
      </c>
      <c r="H5335" s="6">
        <v>58.9512329101563</v>
      </c>
      <c r="I5335" s="6">
        <v>58.898956298828097</v>
      </c>
      <c r="J5335" s="6">
        <v>58.901187896728501</v>
      </c>
      <c r="K5335" s="6">
        <v>58.920173645019503</v>
      </c>
      <c r="L5335" s="6">
        <v>57.516231536865199</v>
      </c>
    </row>
    <row r="5336" spans="1:12" x14ac:dyDescent="0.25">
      <c r="A5336">
        <v>3138807</v>
      </c>
      <c r="B5336" t="str">
        <f t="shared" si="83"/>
        <v>LUZ, MG, Brasil</v>
      </c>
      <c r="C5336" s="4" t="str">
        <f>_xlfn.XLOOKUP(A5336,[1]!DadosGHD[CD_GEOCMU],[1]!DadosGHD[Região])</f>
        <v>SD</v>
      </c>
      <c r="D5336" s="4" t="str">
        <f>_xlfn.XLOOKUP(A5336,[1]!DadosGHD[CD_GEOCMU],[1]!DadosGHD[uf])</f>
        <v>MG</v>
      </c>
      <c r="E5336" s="5" t="str">
        <f>_xlfn.XLOOKUP(A5336,[1]!DadosGHD[CD_GEOCMU],[1]!DadosGHD[MUNICIPIO])</f>
        <v>LUZ</v>
      </c>
      <c r="F5336" s="6">
        <v>63.7765502929688</v>
      </c>
      <c r="G5336" s="6">
        <v>58.7999267578125</v>
      </c>
      <c r="H5336" s="6">
        <v>58.844200134277301</v>
      </c>
      <c r="I5336" s="6">
        <v>58.803581237792997</v>
      </c>
      <c r="J5336" s="6">
        <v>58.854015350341797</v>
      </c>
      <c r="K5336" s="6">
        <v>53.9194526672363</v>
      </c>
      <c r="L5336" s="6">
        <v>48.5314331054688</v>
      </c>
    </row>
    <row r="5337" spans="1:12" x14ac:dyDescent="0.25">
      <c r="A5337">
        <v>4304630</v>
      </c>
      <c r="B5337" t="str">
        <f t="shared" si="83"/>
        <v>CAPAO DA CANOA, RS, Brasil</v>
      </c>
      <c r="C5337" s="4" t="str">
        <f>_xlfn.XLOOKUP(A5337,[1]!DadosGHD[CD_GEOCMU],[1]!DadosGHD[Região])</f>
        <v>SL</v>
      </c>
      <c r="D5337" s="4" t="str">
        <f>_xlfn.XLOOKUP(A5337,[1]!DadosGHD[CD_GEOCMU],[1]!DadosGHD[uf])</f>
        <v>RS</v>
      </c>
      <c r="E5337" s="5" t="str">
        <f>_xlfn.XLOOKUP(A5337,[1]!DadosGHD[CD_GEOCMU],[1]!DadosGHD[MUNICIPIO])</f>
        <v>CAPAO DA CANOA</v>
      </c>
      <c r="F5337" s="6">
        <v>63.776981353759801</v>
      </c>
      <c r="G5337" s="6">
        <v>58.843372344970703</v>
      </c>
      <c r="H5337" s="6">
        <v>58.8569946289063</v>
      </c>
      <c r="I5337" s="6">
        <v>58.831291198730497</v>
      </c>
      <c r="J5337" s="6">
        <v>58.880359649658203</v>
      </c>
      <c r="K5337" s="6">
        <v>58.991592407226598</v>
      </c>
      <c r="L5337" s="6">
        <v>57.589881896972699</v>
      </c>
    </row>
    <row r="5338" spans="1:12" x14ac:dyDescent="0.25">
      <c r="A5338">
        <v>3202504</v>
      </c>
      <c r="B5338" t="str">
        <f t="shared" si="83"/>
        <v>IBIRACU, ES, Brasil</v>
      </c>
      <c r="C5338" s="4" t="str">
        <f>_xlfn.XLOOKUP(A5338,[1]!DadosGHD[CD_GEOCMU],[1]!DadosGHD[Região])</f>
        <v>SD</v>
      </c>
      <c r="D5338" s="4" t="str">
        <f>_xlfn.XLOOKUP(A5338,[1]!DadosGHD[CD_GEOCMU],[1]!DadosGHD[uf])</f>
        <v>ES</v>
      </c>
      <c r="E5338" s="5" t="str">
        <f>_xlfn.XLOOKUP(A5338,[1]!DadosGHD[CD_GEOCMU],[1]!DadosGHD[MUNICIPIO])</f>
        <v>IBIRACU</v>
      </c>
      <c r="F5338" s="6">
        <v>63.7777290344238</v>
      </c>
      <c r="G5338" s="6">
        <v>58.730663299560597</v>
      </c>
      <c r="H5338" s="6">
        <v>58.842357635498097</v>
      </c>
      <c r="I5338" s="6">
        <v>53.874008178710902</v>
      </c>
      <c r="J5338" s="6">
        <v>58.914524078369098</v>
      </c>
      <c r="K5338" s="6">
        <v>53.943107604980497</v>
      </c>
      <c r="L5338" s="6">
        <v>44.045417785644503</v>
      </c>
    </row>
    <row r="5339" spans="1:12" x14ac:dyDescent="0.25">
      <c r="A5339">
        <v>4205308</v>
      </c>
      <c r="B5339" t="str">
        <f t="shared" si="83"/>
        <v>FAXINAL DOS GUEDES, SC, Brasil</v>
      </c>
      <c r="C5339" s="4" t="str">
        <f>_xlfn.XLOOKUP(A5339,[1]!DadosGHD[CD_GEOCMU],[1]!DadosGHD[Região])</f>
        <v>SL</v>
      </c>
      <c r="D5339" s="4" t="str">
        <f>_xlfn.XLOOKUP(A5339,[1]!DadosGHD[CD_GEOCMU],[1]!DadosGHD[uf])</f>
        <v>SC</v>
      </c>
      <c r="E5339" s="5" t="str">
        <f>_xlfn.XLOOKUP(A5339,[1]!DadosGHD[CD_GEOCMU],[1]!DadosGHD[MUNICIPIO])</f>
        <v>FAXINAL DOS GUEDES</v>
      </c>
      <c r="F5339" s="6">
        <v>63.780124664306598</v>
      </c>
      <c r="G5339" s="6">
        <v>63.839042663574197</v>
      </c>
      <c r="H5339" s="6">
        <v>58.929908752441399</v>
      </c>
      <c r="I5339" s="6">
        <v>58.8089599609375</v>
      </c>
      <c r="J5339" s="6">
        <v>58.896461486816399</v>
      </c>
      <c r="K5339" s="6">
        <v>64.13623046875</v>
      </c>
      <c r="L5339" s="6">
        <v>57.508155822753899</v>
      </c>
    </row>
    <row r="5340" spans="1:12" x14ac:dyDescent="0.25">
      <c r="A5340">
        <v>4304358</v>
      </c>
      <c r="B5340" t="str">
        <f t="shared" si="83"/>
        <v>CANDIOTA, RS, Brasil</v>
      </c>
      <c r="C5340" s="4" t="str">
        <f>_xlfn.XLOOKUP(A5340,[1]!DadosGHD[CD_GEOCMU],[1]!DadosGHD[Região])</f>
        <v>SL</v>
      </c>
      <c r="D5340" s="4" t="str">
        <f>_xlfn.XLOOKUP(A5340,[1]!DadosGHD[CD_GEOCMU],[1]!DadosGHD[uf])</f>
        <v>RS</v>
      </c>
      <c r="E5340" s="5" t="str">
        <f>_xlfn.XLOOKUP(A5340,[1]!DadosGHD[CD_GEOCMU],[1]!DadosGHD[MUNICIPIO])</f>
        <v>CANDIOTA</v>
      </c>
      <c r="F5340" s="6">
        <v>63.781078338623097</v>
      </c>
      <c r="G5340" s="6">
        <v>58.787445068359403</v>
      </c>
      <c r="H5340" s="6">
        <v>58.859462738037102</v>
      </c>
      <c r="I5340" s="6">
        <v>58.932144165039098</v>
      </c>
      <c r="J5340" s="6">
        <v>58.815608978271499</v>
      </c>
      <c r="K5340" s="6">
        <v>58.952365875244098</v>
      </c>
      <c r="L5340" s="6">
        <v>53.034004211425803</v>
      </c>
    </row>
    <row r="5341" spans="1:12" x14ac:dyDescent="0.25">
      <c r="A5341">
        <v>4111902</v>
      </c>
      <c r="B5341" t="str">
        <f t="shared" si="83"/>
        <v>JAGUAPITA, PR, Brasil</v>
      </c>
      <c r="C5341" s="4" t="str">
        <f>_xlfn.XLOOKUP(A5341,[1]!DadosGHD[CD_GEOCMU],[1]!DadosGHD[Região])</f>
        <v>SL</v>
      </c>
      <c r="D5341" s="4" t="str">
        <f>_xlfn.XLOOKUP(A5341,[1]!DadosGHD[CD_GEOCMU],[1]!DadosGHD[uf])</f>
        <v>PR</v>
      </c>
      <c r="E5341" s="5" t="str">
        <f>_xlfn.XLOOKUP(A5341,[1]!DadosGHD[CD_GEOCMU],[1]!DadosGHD[MUNICIPIO])</f>
        <v>JAGUAPITA</v>
      </c>
      <c r="F5341" s="6">
        <v>63.785114288330099</v>
      </c>
      <c r="G5341" s="6">
        <v>58.872138977050803</v>
      </c>
      <c r="H5341" s="6">
        <v>58.961578369140597</v>
      </c>
      <c r="I5341" s="6">
        <v>64.000221252441406</v>
      </c>
      <c r="J5341" s="6">
        <v>64.039611816406307</v>
      </c>
      <c r="K5341" s="6">
        <v>64.13623046875</v>
      </c>
      <c r="L5341" s="6">
        <v>53.0531005859375</v>
      </c>
    </row>
    <row r="5342" spans="1:12" x14ac:dyDescent="0.25">
      <c r="A5342">
        <v>5103205</v>
      </c>
      <c r="B5342" t="str">
        <f t="shared" si="83"/>
        <v>COLIDER, MT, Brasil</v>
      </c>
      <c r="C5342" s="4" t="str">
        <f>_xlfn.XLOOKUP(A5342,[1]!DadosGHD[CD_GEOCMU],[1]!DadosGHD[Região])</f>
        <v>CO</v>
      </c>
      <c r="D5342" s="4" t="str">
        <f>_xlfn.XLOOKUP(A5342,[1]!DadosGHD[CD_GEOCMU],[1]!DadosGHD[uf])</f>
        <v>MT</v>
      </c>
      <c r="E5342" s="5" t="str">
        <f>_xlfn.XLOOKUP(A5342,[1]!DadosGHD[CD_GEOCMU],[1]!DadosGHD[MUNICIPIO])</f>
        <v>COLIDER</v>
      </c>
      <c r="F5342" s="6">
        <v>63.786170959472699</v>
      </c>
      <c r="G5342" s="6">
        <v>63.949657440185597</v>
      </c>
      <c r="H5342" s="6">
        <v>58.915714263916001</v>
      </c>
      <c r="I5342" s="6">
        <v>58.888435363769503</v>
      </c>
      <c r="J5342" s="6">
        <v>58.911720275878899</v>
      </c>
      <c r="K5342" s="6">
        <v>58.980289459228501</v>
      </c>
      <c r="L5342" s="6">
        <v>52.9939575195313</v>
      </c>
    </row>
    <row r="5343" spans="1:12" x14ac:dyDescent="0.25">
      <c r="A5343">
        <v>4308508</v>
      </c>
      <c r="B5343" t="str">
        <f t="shared" si="83"/>
        <v>FREDERICO WESTPHALEN, RS, Brasil</v>
      </c>
      <c r="C5343" s="4" t="str">
        <f>_xlfn.XLOOKUP(A5343,[1]!DadosGHD[CD_GEOCMU],[1]!DadosGHD[Região])</f>
        <v>SL</v>
      </c>
      <c r="D5343" s="4" t="str">
        <f>_xlfn.XLOOKUP(A5343,[1]!DadosGHD[CD_GEOCMU],[1]!DadosGHD[uf])</f>
        <v>RS</v>
      </c>
      <c r="E5343" s="5" t="str">
        <f>_xlfn.XLOOKUP(A5343,[1]!DadosGHD[CD_GEOCMU],[1]!DadosGHD[MUNICIPIO])</f>
        <v>FREDERICO WESTPHALEN</v>
      </c>
      <c r="F5343" s="6">
        <v>63.787757873535199</v>
      </c>
      <c r="G5343" s="6">
        <v>63.860103607177699</v>
      </c>
      <c r="H5343" s="6">
        <v>58.885910034179702</v>
      </c>
      <c r="I5343" s="6">
        <v>58.959598541259801</v>
      </c>
      <c r="J5343" s="6">
        <v>64.036651611328097</v>
      </c>
      <c r="K5343" s="6">
        <v>59.111202239990199</v>
      </c>
      <c r="L5343" s="6">
        <v>57.589881896972699</v>
      </c>
    </row>
    <row r="5344" spans="1:12" x14ac:dyDescent="0.25">
      <c r="A5344">
        <v>4208203</v>
      </c>
      <c r="B5344" t="str">
        <f t="shared" si="83"/>
        <v>ITAJAI, SC, Brasil</v>
      </c>
      <c r="C5344" s="4" t="str">
        <f>_xlfn.XLOOKUP(A5344,[1]!DadosGHD[CD_GEOCMU],[1]!DadosGHD[Região])</f>
        <v>SL</v>
      </c>
      <c r="D5344" s="4" t="str">
        <f>_xlfn.XLOOKUP(A5344,[1]!DadosGHD[CD_GEOCMU],[1]!DadosGHD[uf])</f>
        <v>SC</v>
      </c>
      <c r="E5344" s="5" t="str">
        <f>_xlfn.XLOOKUP(A5344,[1]!DadosGHD[CD_GEOCMU],[1]!DadosGHD[MUNICIPIO])</f>
        <v>ITAJAI</v>
      </c>
      <c r="F5344" s="6">
        <v>63.7878227233887</v>
      </c>
      <c r="G5344" s="6">
        <v>63.877388000488303</v>
      </c>
      <c r="H5344" s="6">
        <v>58.983356475830099</v>
      </c>
      <c r="I5344" s="6">
        <v>58.921443939208999</v>
      </c>
      <c r="J5344" s="6">
        <v>64.039611816406307</v>
      </c>
      <c r="K5344" s="6">
        <v>64.13623046875</v>
      </c>
      <c r="L5344" s="6">
        <v>57.560310363769503</v>
      </c>
    </row>
    <row r="5345" spans="1:12" x14ac:dyDescent="0.25">
      <c r="A5345">
        <v>3536505</v>
      </c>
      <c r="B5345" t="str">
        <f t="shared" si="83"/>
        <v>PAULINIA, SP, Brasil</v>
      </c>
      <c r="C5345" s="4" t="str">
        <f>_xlfn.XLOOKUP(A5345,[1]!DadosGHD[CD_GEOCMU],[1]!DadosGHD[Região])</f>
        <v>SD</v>
      </c>
      <c r="D5345" s="4" t="str">
        <f>_xlfn.XLOOKUP(A5345,[1]!DadosGHD[CD_GEOCMU],[1]!DadosGHD[uf])</f>
        <v>SP</v>
      </c>
      <c r="E5345" s="5" t="str">
        <f>_xlfn.XLOOKUP(A5345,[1]!DadosGHD[CD_GEOCMU],[1]!DadosGHD[MUNICIPIO])</f>
        <v>PAULINIA</v>
      </c>
      <c r="F5345" s="6">
        <v>63.788074493408203</v>
      </c>
      <c r="G5345" s="6">
        <v>58.907863616943402</v>
      </c>
      <c r="H5345" s="6">
        <v>58.931663513183601</v>
      </c>
      <c r="I5345" s="6">
        <v>58.890548706054702</v>
      </c>
      <c r="J5345" s="6">
        <v>58.9358520507813</v>
      </c>
      <c r="K5345" s="6">
        <v>58.961887359619098</v>
      </c>
      <c r="L5345" s="6">
        <v>57.580821990966797</v>
      </c>
    </row>
    <row r="5346" spans="1:12" x14ac:dyDescent="0.25">
      <c r="A5346">
        <v>3532603</v>
      </c>
      <c r="B5346" t="str">
        <f t="shared" si="83"/>
        <v>NHANDEARA, SP, Brasil</v>
      </c>
      <c r="C5346" s="4" t="str">
        <f>_xlfn.XLOOKUP(A5346,[1]!DadosGHD[CD_GEOCMU],[1]!DadosGHD[Região])</f>
        <v>SD</v>
      </c>
      <c r="D5346" s="4" t="str">
        <f>_xlfn.XLOOKUP(A5346,[1]!DadosGHD[CD_GEOCMU],[1]!DadosGHD[uf])</f>
        <v>SP</v>
      </c>
      <c r="E5346" s="5" t="str">
        <f>_xlfn.XLOOKUP(A5346,[1]!DadosGHD[CD_GEOCMU],[1]!DadosGHD[MUNICIPIO])</f>
        <v>NHANDEARA</v>
      </c>
      <c r="F5346" s="6">
        <v>63.788780212402301</v>
      </c>
      <c r="G5346" s="6">
        <v>58.887088775634801</v>
      </c>
      <c r="H5346" s="6">
        <v>53.883205413818402</v>
      </c>
      <c r="I5346" s="6">
        <v>48.819812774658203</v>
      </c>
      <c r="J5346" s="6">
        <v>48.731605529785199</v>
      </c>
      <c r="K5346" s="6">
        <v>48.770984649658203</v>
      </c>
      <c r="L5346" s="6">
        <v>39.569713592529297</v>
      </c>
    </row>
    <row r="5347" spans="1:12" x14ac:dyDescent="0.25">
      <c r="A5347">
        <v>4308607</v>
      </c>
      <c r="B5347" t="str">
        <f t="shared" si="83"/>
        <v>GARIBALDI, RS, Brasil</v>
      </c>
      <c r="C5347" s="4" t="str">
        <f>_xlfn.XLOOKUP(A5347,[1]!DadosGHD[CD_GEOCMU],[1]!DadosGHD[Região])</f>
        <v>SL</v>
      </c>
      <c r="D5347" s="4" t="str">
        <f>_xlfn.XLOOKUP(A5347,[1]!DadosGHD[CD_GEOCMU],[1]!DadosGHD[uf])</f>
        <v>RS</v>
      </c>
      <c r="E5347" s="5" t="str">
        <f>_xlfn.XLOOKUP(A5347,[1]!DadosGHD[CD_GEOCMU],[1]!DadosGHD[MUNICIPIO])</f>
        <v>GARIBALDI</v>
      </c>
      <c r="F5347" s="6">
        <v>63.791328430175803</v>
      </c>
      <c r="G5347" s="6">
        <v>63.966358184814503</v>
      </c>
      <c r="H5347" s="6">
        <v>64.026092529296903</v>
      </c>
      <c r="I5347" s="6">
        <v>64.000221252441406</v>
      </c>
      <c r="J5347" s="6">
        <v>58.898029327392599</v>
      </c>
      <c r="K5347" s="6">
        <v>64.13623046875</v>
      </c>
      <c r="L5347" s="6">
        <v>57.589881896972699</v>
      </c>
    </row>
    <row r="5348" spans="1:12" x14ac:dyDescent="0.25">
      <c r="A5348">
        <v>3507506</v>
      </c>
      <c r="B5348" t="str">
        <f t="shared" si="83"/>
        <v>BOTUCATU, SP, Brasil</v>
      </c>
      <c r="C5348" s="4" t="str">
        <f>_xlfn.XLOOKUP(A5348,[1]!DadosGHD[CD_GEOCMU],[1]!DadosGHD[Região])</f>
        <v>SD</v>
      </c>
      <c r="D5348" s="4" t="str">
        <f>_xlfn.XLOOKUP(A5348,[1]!DadosGHD[CD_GEOCMU],[1]!DadosGHD[uf])</f>
        <v>SP</v>
      </c>
      <c r="E5348" s="5" t="str">
        <f>_xlfn.XLOOKUP(A5348,[1]!DadosGHD[CD_GEOCMU],[1]!DadosGHD[MUNICIPIO])</f>
        <v>BOTUCATU</v>
      </c>
      <c r="F5348" s="6">
        <v>63.792221069335902</v>
      </c>
      <c r="G5348" s="6">
        <v>63.915325164794901</v>
      </c>
      <c r="H5348" s="6">
        <v>63.950649261474602</v>
      </c>
      <c r="I5348" s="6">
        <v>58.976669311523402</v>
      </c>
      <c r="J5348" s="6">
        <v>63.9234809875488</v>
      </c>
      <c r="K5348" s="6">
        <v>59.048103332519503</v>
      </c>
      <c r="L5348" s="6">
        <v>57.589881896972699</v>
      </c>
    </row>
    <row r="5349" spans="1:12" x14ac:dyDescent="0.25">
      <c r="A5349">
        <v>4314787</v>
      </c>
      <c r="B5349" t="str">
        <f t="shared" si="83"/>
        <v>PONTE PRETA, RS, Brasil</v>
      </c>
      <c r="C5349" s="4" t="str">
        <f>_xlfn.XLOOKUP(A5349,[1]!DadosGHD[CD_GEOCMU],[1]!DadosGHD[Região])</f>
        <v>SL</v>
      </c>
      <c r="D5349" s="4" t="str">
        <f>_xlfn.XLOOKUP(A5349,[1]!DadosGHD[CD_GEOCMU],[1]!DadosGHD[uf])</f>
        <v>RS</v>
      </c>
      <c r="E5349" s="5" t="str">
        <f>_xlfn.XLOOKUP(A5349,[1]!DadosGHD[CD_GEOCMU],[1]!DadosGHD[MUNICIPIO])</f>
        <v>PONTE PRETA</v>
      </c>
      <c r="F5349" s="6">
        <v>63.794063568115199</v>
      </c>
      <c r="G5349" s="6">
        <v>63.966358184814503</v>
      </c>
      <c r="H5349" s="6">
        <v>64.026092529296903</v>
      </c>
      <c r="I5349" s="6">
        <v>64.000221252441406</v>
      </c>
      <c r="J5349" s="6">
        <v>64.039611816406307</v>
      </c>
      <c r="K5349" s="6">
        <v>58.985809326171903</v>
      </c>
      <c r="L5349" s="6">
        <v>44.0244331359863</v>
      </c>
    </row>
    <row r="5350" spans="1:12" x14ac:dyDescent="0.25">
      <c r="A5350">
        <v>4105409</v>
      </c>
      <c r="B5350" t="str">
        <f t="shared" si="83"/>
        <v>CHOPINZINHO, PR, Brasil</v>
      </c>
      <c r="C5350" s="4" t="str">
        <f>_xlfn.XLOOKUP(A5350,[1]!DadosGHD[CD_GEOCMU],[1]!DadosGHD[Região])</f>
        <v>SL</v>
      </c>
      <c r="D5350" s="4" t="str">
        <f>_xlfn.XLOOKUP(A5350,[1]!DadosGHD[CD_GEOCMU],[1]!DadosGHD[uf])</f>
        <v>PR</v>
      </c>
      <c r="E5350" s="5" t="str">
        <f>_xlfn.XLOOKUP(A5350,[1]!DadosGHD[CD_GEOCMU],[1]!DadosGHD[MUNICIPIO])</f>
        <v>CHOPINZINHO</v>
      </c>
      <c r="F5350" s="6">
        <v>63.797660827636697</v>
      </c>
      <c r="G5350" s="6">
        <v>63.839256286621101</v>
      </c>
      <c r="H5350" s="6">
        <v>63.929328918457003</v>
      </c>
      <c r="I5350" s="6">
        <v>58.9450073242188</v>
      </c>
      <c r="J5350" s="6">
        <v>63.938976287841797</v>
      </c>
      <c r="K5350" s="6">
        <v>59.120517730712898</v>
      </c>
      <c r="L5350" s="6">
        <v>52.989734649658203</v>
      </c>
    </row>
    <row r="5351" spans="1:12" x14ac:dyDescent="0.25">
      <c r="A5351">
        <v>3531902</v>
      </c>
      <c r="B5351" t="str">
        <f t="shared" si="83"/>
        <v>MORRO AGUDO, SP, Brasil</v>
      </c>
      <c r="C5351" s="4" t="str">
        <f>_xlfn.XLOOKUP(A5351,[1]!DadosGHD[CD_GEOCMU],[1]!DadosGHD[Região])</f>
        <v>SD</v>
      </c>
      <c r="D5351" s="4" t="str">
        <f>_xlfn.XLOOKUP(A5351,[1]!DadosGHD[CD_GEOCMU],[1]!DadosGHD[uf])</f>
        <v>SP</v>
      </c>
      <c r="E5351" s="5" t="str">
        <f>_xlfn.XLOOKUP(A5351,[1]!DadosGHD[CD_GEOCMU],[1]!DadosGHD[MUNICIPIO])</f>
        <v>MORRO AGUDO</v>
      </c>
      <c r="F5351" s="6">
        <v>63.798419952392599</v>
      </c>
      <c r="G5351" s="6">
        <v>58.9017143249512</v>
      </c>
      <c r="H5351" s="6">
        <v>58.919704437255902</v>
      </c>
      <c r="I5351" s="6">
        <v>58.803386688232401</v>
      </c>
      <c r="J5351" s="6">
        <v>58.8703804016113</v>
      </c>
      <c r="K5351" s="6">
        <v>53.928195953369098</v>
      </c>
      <c r="L5351" s="6">
        <v>53.044437408447301</v>
      </c>
    </row>
    <row r="5352" spans="1:12" x14ac:dyDescent="0.25">
      <c r="A5352">
        <v>3543808</v>
      </c>
      <c r="B5352" t="str">
        <f t="shared" si="83"/>
        <v>RINOPOLIS, SP, Brasil</v>
      </c>
      <c r="C5352" s="4" t="str">
        <f>_xlfn.XLOOKUP(A5352,[1]!DadosGHD[CD_GEOCMU],[1]!DadosGHD[Região])</f>
        <v>SD</v>
      </c>
      <c r="D5352" s="4" t="str">
        <f>_xlfn.XLOOKUP(A5352,[1]!DadosGHD[CD_GEOCMU],[1]!DadosGHD[uf])</f>
        <v>SP</v>
      </c>
      <c r="E5352" s="5" t="str">
        <f>_xlfn.XLOOKUP(A5352,[1]!DadosGHD[CD_GEOCMU],[1]!DadosGHD[MUNICIPIO])</f>
        <v>RINOPOLIS</v>
      </c>
      <c r="F5352" s="6">
        <v>63.798904418945298</v>
      </c>
      <c r="G5352" s="6">
        <v>63.848049163818402</v>
      </c>
      <c r="H5352" s="6">
        <v>58.931800842285199</v>
      </c>
      <c r="I5352" s="6">
        <v>58.868778228759801</v>
      </c>
      <c r="J5352" s="6">
        <v>43.805454254150398</v>
      </c>
      <c r="K5352" s="6">
        <v>43.880435943603501</v>
      </c>
      <c r="L5352" s="6">
        <v>39.597522735595703</v>
      </c>
    </row>
    <row r="5353" spans="1:12" x14ac:dyDescent="0.25">
      <c r="A5353">
        <v>2507507</v>
      </c>
      <c r="B5353" t="str">
        <f t="shared" si="83"/>
        <v>JOAO PESSOA, PB, Brasil</v>
      </c>
      <c r="C5353" s="4" t="str">
        <f>_xlfn.XLOOKUP(A5353,[1]!DadosGHD[CD_GEOCMU],[1]!DadosGHD[Região])</f>
        <v>NE</v>
      </c>
      <c r="D5353" s="4" t="str">
        <f>_xlfn.XLOOKUP(A5353,[1]!DadosGHD[CD_GEOCMU],[1]!DadosGHD[uf])</f>
        <v>PB</v>
      </c>
      <c r="E5353" s="5" t="str">
        <f>_xlfn.XLOOKUP(A5353,[1]!DadosGHD[CD_GEOCMU],[1]!DadosGHD[MUNICIPIO])</f>
        <v>JOAO PESSOA</v>
      </c>
      <c r="F5353" s="6">
        <v>63.799205780029297</v>
      </c>
      <c r="G5353" s="6">
        <v>63.855876922607401</v>
      </c>
      <c r="H5353" s="6">
        <v>59.006805419921903</v>
      </c>
      <c r="I5353" s="6">
        <v>58.951442718505902</v>
      </c>
      <c r="J5353" s="6">
        <v>58.9845161437988</v>
      </c>
      <c r="K5353" s="6">
        <v>59.022712707519503</v>
      </c>
      <c r="L5353" s="6">
        <v>57.525794982910199</v>
      </c>
    </row>
    <row r="5354" spans="1:12" x14ac:dyDescent="0.25">
      <c r="A5354">
        <v>3133758</v>
      </c>
      <c r="B5354" t="str">
        <f t="shared" si="83"/>
        <v>ITAU DE MINAS, MG, Brasil</v>
      </c>
      <c r="C5354" s="4" t="str">
        <f>_xlfn.XLOOKUP(A5354,[1]!DadosGHD[CD_GEOCMU],[1]!DadosGHD[Região])</f>
        <v>SD</v>
      </c>
      <c r="D5354" s="4" t="str">
        <f>_xlfn.XLOOKUP(A5354,[1]!DadosGHD[CD_GEOCMU],[1]!DadosGHD[uf])</f>
        <v>MG</v>
      </c>
      <c r="E5354" s="5" t="str">
        <f>_xlfn.XLOOKUP(A5354,[1]!DadosGHD[CD_GEOCMU],[1]!DadosGHD[MUNICIPIO])</f>
        <v>ITAU DE MINAS</v>
      </c>
      <c r="F5354" s="6">
        <v>63.800952911377003</v>
      </c>
      <c r="G5354" s="6">
        <v>63.871753692627003</v>
      </c>
      <c r="H5354" s="6">
        <v>59.006217956542997</v>
      </c>
      <c r="I5354" s="6">
        <v>63.931926727294901</v>
      </c>
      <c r="J5354" s="6">
        <v>58.823745727539098</v>
      </c>
      <c r="K5354" s="6">
        <v>58.9416694641113</v>
      </c>
      <c r="L5354" s="6">
        <v>57.505138397216797</v>
      </c>
    </row>
    <row r="5355" spans="1:12" x14ac:dyDescent="0.25">
      <c r="A5355">
        <v>4121406</v>
      </c>
      <c r="B5355" t="str">
        <f t="shared" si="83"/>
        <v>REALEZA, PR, Brasil</v>
      </c>
      <c r="C5355" s="4" t="str">
        <f>_xlfn.XLOOKUP(A5355,[1]!DadosGHD[CD_GEOCMU],[1]!DadosGHD[Região])</f>
        <v>SL</v>
      </c>
      <c r="D5355" s="4" t="str">
        <f>_xlfn.XLOOKUP(A5355,[1]!DadosGHD[CD_GEOCMU],[1]!DadosGHD[uf])</f>
        <v>PR</v>
      </c>
      <c r="E5355" s="5" t="str">
        <f>_xlfn.XLOOKUP(A5355,[1]!DadosGHD[CD_GEOCMU],[1]!DadosGHD[MUNICIPIO])</f>
        <v>REALEZA</v>
      </c>
      <c r="F5355" s="6">
        <v>63.802963256835902</v>
      </c>
      <c r="G5355" s="6">
        <v>63.896644592285199</v>
      </c>
      <c r="H5355" s="6">
        <v>58.992645263671903</v>
      </c>
      <c r="I5355" s="6">
        <v>63.934829711914098</v>
      </c>
      <c r="J5355" s="6">
        <v>63.991382598877003</v>
      </c>
      <c r="K5355" s="6">
        <v>64.13623046875</v>
      </c>
      <c r="L5355" s="6">
        <v>53.058841705322301</v>
      </c>
    </row>
    <row r="5356" spans="1:12" x14ac:dyDescent="0.25">
      <c r="A5356">
        <v>4211702</v>
      </c>
      <c r="B5356" t="str">
        <f t="shared" si="83"/>
        <v>ORLEANS, SC, Brasil</v>
      </c>
      <c r="C5356" s="4" t="str">
        <f>_xlfn.XLOOKUP(A5356,[1]!DadosGHD[CD_GEOCMU],[1]!DadosGHD[Região])</f>
        <v>SL</v>
      </c>
      <c r="D5356" s="4" t="str">
        <f>_xlfn.XLOOKUP(A5356,[1]!DadosGHD[CD_GEOCMU],[1]!DadosGHD[uf])</f>
        <v>SC</v>
      </c>
      <c r="E5356" s="5" t="str">
        <f>_xlfn.XLOOKUP(A5356,[1]!DadosGHD[CD_GEOCMU],[1]!DadosGHD[MUNICIPIO])</f>
        <v>ORLEANS</v>
      </c>
      <c r="F5356" s="6">
        <v>63.803798675537102</v>
      </c>
      <c r="G5356" s="6">
        <v>63.844902038574197</v>
      </c>
      <c r="H5356" s="6">
        <v>58.820323944091797</v>
      </c>
      <c r="I5356" s="6">
        <v>58.8295288085938</v>
      </c>
      <c r="J5356" s="6">
        <v>53.858615875244098</v>
      </c>
      <c r="K5356" s="6">
        <v>53.859745025634801</v>
      </c>
      <c r="L5356" s="6">
        <v>53.064899444580099</v>
      </c>
    </row>
    <row r="5357" spans="1:12" x14ac:dyDescent="0.25">
      <c r="A5357">
        <v>3144805</v>
      </c>
      <c r="B5357" t="str">
        <f t="shared" si="83"/>
        <v>NOVA LIMA, MG, Brasil</v>
      </c>
      <c r="C5357" s="4" t="str">
        <f>_xlfn.XLOOKUP(A5357,[1]!DadosGHD[CD_GEOCMU],[1]!DadosGHD[Região])</f>
        <v>SD</v>
      </c>
      <c r="D5357" s="4" t="str">
        <f>_xlfn.XLOOKUP(A5357,[1]!DadosGHD[CD_GEOCMU],[1]!DadosGHD[uf])</f>
        <v>MG</v>
      </c>
      <c r="E5357" s="5" t="str">
        <f>_xlfn.XLOOKUP(A5357,[1]!DadosGHD[CD_GEOCMU],[1]!DadosGHD[MUNICIPIO])</f>
        <v>NOVA LIMA</v>
      </c>
      <c r="F5357" s="6">
        <v>63.8043022155762</v>
      </c>
      <c r="G5357" s="6">
        <v>58.895843505859403</v>
      </c>
      <c r="H5357" s="6">
        <v>58.963333129882798</v>
      </c>
      <c r="I5357" s="6">
        <v>58.919700622558601</v>
      </c>
      <c r="J5357" s="6">
        <v>58.925399780273402</v>
      </c>
      <c r="K5357" s="6">
        <v>58.914279937744098</v>
      </c>
      <c r="L5357" s="6">
        <v>53.063278198242202</v>
      </c>
    </row>
    <row r="5358" spans="1:12" x14ac:dyDescent="0.25">
      <c r="A5358">
        <v>4120200</v>
      </c>
      <c r="B5358" t="str">
        <f t="shared" si="83"/>
        <v>PORTO RICO, PR, Brasil</v>
      </c>
      <c r="C5358" s="4" t="str">
        <f>_xlfn.XLOOKUP(A5358,[1]!DadosGHD[CD_GEOCMU],[1]!DadosGHD[Região])</f>
        <v>SL</v>
      </c>
      <c r="D5358" s="4" t="str">
        <f>_xlfn.XLOOKUP(A5358,[1]!DadosGHD[CD_GEOCMU],[1]!DadosGHD[uf])</f>
        <v>PR</v>
      </c>
      <c r="E5358" s="5" t="str">
        <f>_xlfn.XLOOKUP(A5358,[1]!DadosGHD[CD_GEOCMU],[1]!DadosGHD[MUNICIPIO])</f>
        <v>PORTO RICO</v>
      </c>
      <c r="F5358" s="6">
        <v>63.804359436035199</v>
      </c>
      <c r="G5358" s="6">
        <v>58.863548278808601</v>
      </c>
      <c r="H5358" s="6">
        <v>58.918609619140597</v>
      </c>
      <c r="I5358" s="6">
        <v>58.945037841796903</v>
      </c>
      <c r="J5358" s="6">
        <v>48.831047058105497</v>
      </c>
      <c r="K5358" s="6">
        <v>48.882545471191399</v>
      </c>
      <c r="L5358" s="6">
        <v>39.595794677734403</v>
      </c>
    </row>
    <row r="5359" spans="1:12" x14ac:dyDescent="0.25">
      <c r="A5359">
        <v>4305207</v>
      </c>
      <c r="B5359" t="str">
        <f t="shared" si="83"/>
        <v>CERRO LARGO, RS, Brasil</v>
      </c>
      <c r="C5359" s="4" t="str">
        <f>_xlfn.XLOOKUP(A5359,[1]!DadosGHD[CD_GEOCMU],[1]!DadosGHD[Região])</f>
        <v>SL</v>
      </c>
      <c r="D5359" s="4" t="str">
        <f>_xlfn.XLOOKUP(A5359,[1]!DadosGHD[CD_GEOCMU],[1]!DadosGHD[uf])</f>
        <v>RS</v>
      </c>
      <c r="E5359" s="5" t="str">
        <f>_xlfn.XLOOKUP(A5359,[1]!DadosGHD[CD_GEOCMU],[1]!DadosGHD[MUNICIPIO])</f>
        <v>CERRO LARGO</v>
      </c>
      <c r="F5359" s="6">
        <v>63.807304382324197</v>
      </c>
      <c r="G5359" s="6">
        <v>63.881618499755902</v>
      </c>
      <c r="H5359" s="6">
        <v>64.023078918457003</v>
      </c>
      <c r="I5359" s="6">
        <v>64.000221252441406</v>
      </c>
      <c r="J5359" s="6">
        <v>64.039611816406307</v>
      </c>
      <c r="K5359" s="6">
        <v>64.13623046875</v>
      </c>
      <c r="L5359" s="6">
        <v>57.589881896972699</v>
      </c>
    </row>
    <row r="5360" spans="1:12" x14ac:dyDescent="0.25">
      <c r="A5360">
        <v>3519055</v>
      </c>
      <c r="B5360" t="str">
        <f t="shared" si="83"/>
        <v>HOLAMBRA, SP, Brasil</v>
      </c>
      <c r="C5360" s="4" t="str">
        <f>_xlfn.XLOOKUP(A5360,[1]!DadosGHD[CD_GEOCMU],[1]!DadosGHD[Região])</f>
        <v>SD</v>
      </c>
      <c r="D5360" s="4" t="str">
        <f>_xlfn.XLOOKUP(A5360,[1]!DadosGHD[CD_GEOCMU],[1]!DadosGHD[uf])</f>
        <v>SP</v>
      </c>
      <c r="E5360" s="5" t="str">
        <f>_xlfn.XLOOKUP(A5360,[1]!DadosGHD[CD_GEOCMU],[1]!DadosGHD[MUNICIPIO])</f>
        <v>HOLAMBRA</v>
      </c>
      <c r="F5360" s="6">
        <v>63.809764862060597</v>
      </c>
      <c r="G5360" s="6">
        <v>63.913669586181598</v>
      </c>
      <c r="H5360" s="6">
        <v>63.993099212646499</v>
      </c>
      <c r="I5360" s="6">
        <v>63.935909271240199</v>
      </c>
      <c r="J5360" s="6">
        <v>64.016082763671903</v>
      </c>
      <c r="K5360" s="6">
        <v>64.13623046875</v>
      </c>
      <c r="L5360" s="6">
        <v>57.506965637207003</v>
      </c>
    </row>
    <row r="5361" spans="1:12" x14ac:dyDescent="0.25">
      <c r="A5361">
        <v>3504206</v>
      </c>
      <c r="B5361" t="str">
        <f t="shared" si="83"/>
        <v>AURIFLAMA, SP, Brasil</v>
      </c>
      <c r="C5361" s="4" t="str">
        <f>_xlfn.XLOOKUP(A5361,[1]!DadosGHD[CD_GEOCMU],[1]!DadosGHD[Região])</f>
        <v>SD</v>
      </c>
      <c r="D5361" s="4" t="str">
        <f>_xlfn.XLOOKUP(A5361,[1]!DadosGHD[CD_GEOCMU],[1]!DadosGHD[uf])</f>
        <v>SP</v>
      </c>
      <c r="E5361" s="5" t="str">
        <f>_xlfn.XLOOKUP(A5361,[1]!DadosGHD[CD_GEOCMU],[1]!DadosGHD[MUNICIPIO])</f>
        <v>AURIFLAMA</v>
      </c>
      <c r="F5361" s="6">
        <v>63.809867858886697</v>
      </c>
      <c r="G5361" s="6">
        <v>58.892807006835902</v>
      </c>
      <c r="H5361" s="6">
        <v>53.908561706542997</v>
      </c>
      <c r="I5361" s="6">
        <v>53.716072082519503</v>
      </c>
      <c r="J5361" s="6">
        <v>48.8290405273438</v>
      </c>
      <c r="K5361" s="6">
        <v>48.807975769042997</v>
      </c>
      <c r="L5361" s="6">
        <v>35.145759582519503</v>
      </c>
    </row>
    <row r="5362" spans="1:12" x14ac:dyDescent="0.25">
      <c r="A5362">
        <v>4118501</v>
      </c>
      <c r="B5362" t="str">
        <f t="shared" si="83"/>
        <v>PATO BRANCO, PR, Brasil</v>
      </c>
      <c r="C5362" s="4" t="str">
        <f>_xlfn.XLOOKUP(A5362,[1]!DadosGHD[CD_GEOCMU],[1]!DadosGHD[Região])</f>
        <v>SL</v>
      </c>
      <c r="D5362" s="4" t="str">
        <f>_xlfn.XLOOKUP(A5362,[1]!DadosGHD[CD_GEOCMU],[1]!DadosGHD[uf])</f>
        <v>PR</v>
      </c>
      <c r="E5362" s="5" t="str">
        <f>_xlfn.XLOOKUP(A5362,[1]!DadosGHD[CD_GEOCMU],[1]!DadosGHD[MUNICIPIO])</f>
        <v>PATO BRANCO</v>
      </c>
      <c r="F5362" s="6">
        <v>63.810874938964801</v>
      </c>
      <c r="G5362" s="6">
        <v>63.839893341064503</v>
      </c>
      <c r="H5362" s="6">
        <v>63.938503265380902</v>
      </c>
      <c r="I5362" s="6">
        <v>63.900993347167997</v>
      </c>
      <c r="J5362" s="6">
        <v>63.947513580322301</v>
      </c>
      <c r="K5362" s="6">
        <v>64.13623046875</v>
      </c>
      <c r="L5362" s="6">
        <v>57.589881896972699</v>
      </c>
    </row>
    <row r="5363" spans="1:12" x14ac:dyDescent="0.25">
      <c r="A5363">
        <v>4213104</v>
      </c>
      <c r="B5363" t="str">
        <f t="shared" si="83"/>
        <v>PIRATUBA, SC, Brasil</v>
      </c>
      <c r="C5363" s="4" t="str">
        <f>_xlfn.XLOOKUP(A5363,[1]!DadosGHD[CD_GEOCMU],[1]!DadosGHD[Região])</f>
        <v>SL</v>
      </c>
      <c r="D5363" s="4" t="str">
        <f>_xlfn.XLOOKUP(A5363,[1]!DadosGHD[CD_GEOCMU],[1]!DadosGHD[uf])</f>
        <v>SC</v>
      </c>
      <c r="E5363" s="5" t="str">
        <f>_xlfn.XLOOKUP(A5363,[1]!DadosGHD[CD_GEOCMU],[1]!DadosGHD[MUNICIPIO])</f>
        <v>PIRATUBA</v>
      </c>
      <c r="F5363" s="6">
        <v>63.812347412109403</v>
      </c>
      <c r="G5363" s="6">
        <v>63.966358184814503</v>
      </c>
      <c r="H5363" s="6">
        <v>64.026092529296903</v>
      </c>
      <c r="I5363" s="6">
        <v>64.000221252441406</v>
      </c>
      <c r="J5363" s="6">
        <v>64.039611816406307</v>
      </c>
      <c r="K5363" s="6">
        <v>64.13623046875</v>
      </c>
      <c r="L5363" s="6">
        <v>57.589881896972699</v>
      </c>
    </row>
    <row r="5364" spans="1:12" x14ac:dyDescent="0.25">
      <c r="A5364">
        <v>4104808</v>
      </c>
      <c r="B5364" t="str">
        <f t="shared" si="83"/>
        <v>CASCAVEL, PR, Brasil</v>
      </c>
      <c r="C5364" s="4" t="str">
        <f>_xlfn.XLOOKUP(A5364,[1]!DadosGHD[CD_GEOCMU],[1]!DadosGHD[Região])</f>
        <v>SL</v>
      </c>
      <c r="D5364" s="4" t="str">
        <f>_xlfn.XLOOKUP(A5364,[1]!DadosGHD[CD_GEOCMU],[1]!DadosGHD[uf])</f>
        <v>PR</v>
      </c>
      <c r="E5364" s="5" t="str">
        <f>_xlfn.XLOOKUP(A5364,[1]!DadosGHD[CD_GEOCMU],[1]!DadosGHD[MUNICIPIO])</f>
        <v>CASCAVEL</v>
      </c>
      <c r="F5364" s="6">
        <v>63.813484191894503</v>
      </c>
      <c r="G5364" s="6">
        <v>63.912811279296903</v>
      </c>
      <c r="H5364" s="6">
        <v>63.979923248291001</v>
      </c>
      <c r="I5364" s="6">
        <v>58.9592895507813</v>
      </c>
      <c r="J5364" s="6">
        <v>63.928886413574197</v>
      </c>
      <c r="K5364" s="6">
        <v>64.097648620605497</v>
      </c>
      <c r="L5364" s="6">
        <v>57.5601615905762</v>
      </c>
    </row>
    <row r="5365" spans="1:12" x14ac:dyDescent="0.25">
      <c r="A5365">
        <v>4112108</v>
      </c>
      <c r="B5365" t="str">
        <f t="shared" si="83"/>
        <v>JANDAIA DO SUL, PR, Brasil</v>
      </c>
      <c r="C5365" s="4" t="str">
        <f>_xlfn.XLOOKUP(A5365,[1]!DadosGHD[CD_GEOCMU],[1]!DadosGHD[Região])</f>
        <v>SL</v>
      </c>
      <c r="D5365" s="4" t="str">
        <f>_xlfn.XLOOKUP(A5365,[1]!DadosGHD[CD_GEOCMU],[1]!DadosGHD[uf])</f>
        <v>PR</v>
      </c>
      <c r="E5365" s="5" t="str">
        <f>_xlfn.XLOOKUP(A5365,[1]!DadosGHD[CD_GEOCMU],[1]!DadosGHD[MUNICIPIO])</f>
        <v>JANDAIA DO SUL</v>
      </c>
      <c r="F5365" s="6">
        <v>63.8138618469238</v>
      </c>
      <c r="G5365" s="6">
        <v>63.8670043945313</v>
      </c>
      <c r="H5365" s="6">
        <v>63.944023132324197</v>
      </c>
      <c r="I5365" s="6">
        <v>58.979652404785199</v>
      </c>
      <c r="J5365" s="6">
        <v>63.9268798828125</v>
      </c>
      <c r="K5365" s="6">
        <v>59.075588226318402</v>
      </c>
      <c r="L5365" s="6">
        <v>48.538219451904297</v>
      </c>
    </row>
    <row r="5366" spans="1:12" x14ac:dyDescent="0.25">
      <c r="A5366">
        <v>3528858</v>
      </c>
      <c r="B5366" t="str">
        <f t="shared" si="83"/>
        <v>MARAPOAMA, SP, Brasil</v>
      </c>
      <c r="C5366" s="4" t="str">
        <f>_xlfn.XLOOKUP(A5366,[1]!DadosGHD[CD_GEOCMU],[1]!DadosGHD[Região])</f>
        <v>SD</v>
      </c>
      <c r="D5366" s="4" t="str">
        <f>_xlfn.XLOOKUP(A5366,[1]!DadosGHD[CD_GEOCMU],[1]!DadosGHD[uf])</f>
        <v>SP</v>
      </c>
      <c r="E5366" s="5" t="str">
        <f>_xlfn.XLOOKUP(A5366,[1]!DadosGHD[CD_GEOCMU],[1]!DadosGHD[MUNICIPIO])</f>
        <v>MARAPOAMA</v>
      </c>
      <c r="F5366" s="6">
        <v>63.8146362304688</v>
      </c>
      <c r="G5366" s="6">
        <v>58.742015838623097</v>
      </c>
      <c r="H5366" s="6">
        <v>53.851097106933601</v>
      </c>
      <c r="I5366" s="6">
        <v>53.779571533203097</v>
      </c>
      <c r="J5366" s="6">
        <v>53.784812927246101</v>
      </c>
      <c r="K5366" s="6">
        <v>53.839046478271499</v>
      </c>
      <c r="L5366" s="6">
        <v>48.528293609619098</v>
      </c>
    </row>
    <row r="5367" spans="1:12" x14ac:dyDescent="0.25">
      <c r="A5367">
        <v>4202008</v>
      </c>
      <c r="B5367" t="str">
        <f t="shared" si="83"/>
        <v>BALNEARIO CAMBORIU, SC, Brasil</v>
      </c>
      <c r="C5367" s="4" t="str">
        <f>_xlfn.XLOOKUP(A5367,[1]!DadosGHD[CD_GEOCMU],[1]!DadosGHD[Região])</f>
        <v>SL</v>
      </c>
      <c r="D5367" s="4" t="str">
        <f>_xlfn.XLOOKUP(A5367,[1]!DadosGHD[CD_GEOCMU],[1]!DadosGHD[uf])</f>
        <v>SC</v>
      </c>
      <c r="E5367" s="5" t="str">
        <f>_xlfn.XLOOKUP(A5367,[1]!DadosGHD[CD_GEOCMU],[1]!DadosGHD[MUNICIPIO])</f>
        <v>BALNEARIO CAMBORIU</v>
      </c>
      <c r="F5367" s="6">
        <v>63.815383911132798</v>
      </c>
      <c r="G5367" s="6">
        <v>63.841049194335902</v>
      </c>
      <c r="H5367" s="6">
        <v>58.947006225585902</v>
      </c>
      <c r="I5367" s="6">
        <v>58.880081176757798</v>
      </c>
      <c r="J5367" s="6">
        <v>58.921184539794901</v>
      </c>
      <c r="K5367" s="6">
        <v>58.989471435546903</v>
      </c>
      <c r="L5367" s="6">
        <v>57.589881896972699</v>
      </c>
    </row>
    <row r="5368" spans="1:12" x14ac:dyDescent="0.25">
      <c r="A5368">
        <v>3145000</v>
      </c>
      <c r="B5368" t="str">
        <f t="shared" si="83"/>
        <v>NOVA PONTE, MG, Brasil</v>
      </c>
      <c r="C5368" s="4" t="str">
        <f>_xlfn.XLOOKUP(A5368,[1]!DadosGHD[CD_GEOCMU],[1]!DadosGHD[Região])</f>
        <v>SD</v>
      </c>
      <c r="D5368" s="4" t="str">
        <f>_xlfn.XLOOKUP(A5368,[1]!DadosGHD[CD_GEOCMU],[1]!DadosGHD[uf])</f>
        <v>MG</v>
      </c>
      <c r="E5368" s="5" t="str">
        <f>_xlfn.XLOOKUP(A5368,[1]!DadosGHD[CD_GEOCMU],[1]!DadosGHD[MUNICIPIO])</f>
        <v>NOVA PONTE</v>
      </c>
      <c r="F5368" s="6">
        <v>63.815826416015597</v>
      </c>
      <c r="G5368" s="6">
        <v>63.902660369873097</v>
      </c>
      <c r="H5368" s="6">
        <v>58.989547729492202</v>
      </c>
      <c r="I5368" s="6">
        <v>58.878818511962898</v>
      </c>
      <c r="J5368" s="6">
        <v>58.822196960449197</v>
      </c>
      <c r="K5368" s="6">
        <v>58.916740417480497</v>
      </c>
      <c r="L5368" s="6">
        <v>53.012748718261697</v>
      </c>
    </row>
    <row r="5369" spans="1:12" x14ac:dyDescent="0.25">
      <c r="A5369">
        <v>4317806</v>
      </c>
      <c r="B5369" t="str">
        <f t="shared" si="83"/>
        <v>SANTO AUGUSTO, RS, Brasil</v>
      </c>
      <c r="C5369" s="4" t="str">
        <f>_xlfn.XLOOKUP(A5369,[1]!DadosGHD[CD_GEOCMU],[1]!DadosGHD[Região])</f>
        <v>SL</v>
      </c>
      <c r="D5369" s="4" t="str">
        <f>_xlfn.XLOOKUP(A5369,[1]!DadosGHD[CD_GEOCMU],[1]!DadosGHD[uf])</f>
        <v>RS</v>
      </c>
      <c r="E5369" s="5" t="str">
        <f>_xlfn.XLOOKUP(A5369,[1]!DadosGHD[CD_GEOCMU],[1]!DadosGHD[MUNICIPIO])</f>
        <v>SANTO AUGUSTO</v>
      </c>
      <c r="F5369" s="6">
        <v>63.816280364990199</v>
      </c>
      <c r="G5369" s="6">
        <v>63.931396484375</v>
      </c>
      <c r="H5369" s="6">
        <v>64.026092529296903</v>
      </c>
      <c r="I5369" s="6">
        <v>63.966224670410199</v>
      </c>
      <c r="J5369" s="6">
        <v>63.949111938476598</v>
      </c>
      <c r="K5369" s="6">
        <v>64.082809448242202</v>
      </c>
      <c r="L5369" s="6">
        <v>48.547161102294901</v>
      </c>
    </row>
    <row r="5370" spans="1:12" x14ac:dyDescent="0.25">
      <c r="A5370">
        <v>4316600</v>
      </c>
      <c r="B5370" t="str">
        <f t="shared" si="83"/>
        <v>SANANDUVA, RS, Brasil</v>
      </c>
      <c r="C5370" s="4" t="str">
        <f>_xlfn.XLOOKUP(A5370,[1]!DadosGHD[CD_GEOCMU],[1]!DadosGHD[Região])</f>
        <v>SL</v>
      </c>
      <c r="D5370" s="4" t="str">
        <f>_xlfn.XLOOKUP(A5370,[1]!DadosGHD[CD_GEOCMU],[1]!DadosGHD[uf])</f>
        <v>RS</v>
      </c>
      <c r="E5370" s="5" t="str">
        <f>_xlfn.XLOOKUP(A5370,[1]!DadosGHD[CD_GEOCMU],[1]!DadosGHD[MUNICIPIO])</f>
        <v>SANANDUVA</v>
      </c>
      <c r="F5370" s="6">
        <v>63.817432403564503</v>
      </c>
      <c r="G5370" s="6">
        <v>63.871585845947301</v>
      </c>
      <c r="H5370" s="6">
        <v>59.002002716064503</v>
      </c>
      <c r="I5370" s="6">
        <v>63.986858367919901</v>
      </c>
      <c r="J5370" s="6">
        <v>64.039611816406307</v>
      </c>
      <c r="K5370" s="6">
        <v>64.13623046875</v>
      </c>
      <c r="L5370" s="6">
        <v>53.020713806152301</v>
      </c>
    </row>
    <row r="5371" spans="1:12" x14ac:dyDescent="0.25">
      <c r="A5371">
        <v>5205901</v>
      </c>
      <c r="B5371" t="str">
        <f t="shared" si="83"/>
        <v>CORUMBAIBA, GO, Brasil</v>
      </c>
      <c r="C5371" s="4" t="str">
        <f>_xlfn.XLOOKUP(A5371,[1]!DadosGHD[CD_GEOCMU],[1]!DadosGHD[Região])</f>
        <v>CO</v>
      </c>
      <c r="D5371" s="4" t="str">
        <f>_xlfn.XLOOKUP(A5371,[1]!DadosGHD[CD_GEOCMU],[1]!DadosGHD[uf])</f>
        <v>GO</v>
      </c>
      <c r="E5371" s="5" t="str">
        <f>_xlfn.XLOOKUP(A5371,[1]!DadosGHD[CD_GEOCMU],[1]!DadosGHD[MUNICIPIO])</f>
        <v>CORUMBAIBA</v>
      </c>
      <c r="F5371" s="6">
        <v>63.817829132080099</v>
      </c>
      <c r="G5371" s="6">
        <v>63.966358184814503</v>
      </c>
      <c r="H5371" s="6">
        <v>64.026092529296903</v>
      </c>
      <c r="I5371" s="6">
        <v>64.000221252441406</v>
      </c>
      <c r="J5371" s="6">
        <v>64.039611816406307</v>
      </c>
      <c r="K5371" s="6">
        <v>64.13623046875</v>
      </c>
      <c r="L5371" s="6">
        <v>53.027797698974602</v>
      </c>
    </row>
    <row r="5372" spans="1:12" x14ac:dyDescent="0.25">
      <c r="A5372">
        <v>3552205</v>
      </c>
      <c r="B5372" t="str">
        <f t="shared" si="83"/>
        <v>SOROCABA, SP, Brasil</v>
      </c>
      <c r="C5372" s="4" t="str">
        <f>_xlfn.XLOOKUP(A5372,[1]!DadosGHD[CD_GEOCMU],[1]!DadosGHD[Região])</f>
        <v>SD</v>
      </c>
      <c r="D5372" s="4" t="str">
        <f>_xlfn.XLOOKUP(A5372,[1]!DadosGHD[CD_GEOCMU],[1]!DadosGHD[uf])</f>
        <v>SP</v>
      </c>
      <c r="E5372" s="5" t="str">
        <f>_xlfn.XLOOKUP(A5372,[1]!DadosGHD[CD_GEOCMU],[1]!DadosGHD[MUNICIPIO])</f>
        <v>SOROCABA</v>
      </c>
      <c r="F5372" s="6">
        <v>63.818305969238303</v>
      </c>
      <c r="G5372" s="6">
        <v>63.8550415039063</v>
      </c>
      <c r="H5372" s="6">
        <v>58.973953247070298</v>
      </c>
      <c r="I5372" s="6">
        <v>58.952888488769503</v>
      </c>
      <c r="J5372" s="6">
        <v>58.9778442382813</v>
      </c>
      <c r="K5372" s="6">
        <v>59.001129150390597</v>
      </c>
      <c r="L5372" s="6">
        <v>57.522670745849602</v>
      </c>
    </row>
    <row r="5373" spans="1:12" x14ac:dyDescent="0.25">
      <c r="A5373">
        <v>4214201</v>
      </c>
      <c r="B5373" t="str">
        <f t="shared" si="83"/>
        <v>QUILOMBO, SC, Brasil</v>
      </c>
      <c r="C5373" s="4" t="str">
        <f>_xlfn.XLOOKUP(A5373,[1]!DadosGHD[CD_GEOCMU],[1]!DadosGHD[Região])</f>
        <v>SL</v>
      </c>
      <c r="D5373" s="4" t="str">
        <f>_xlfn.XLOOKUP(A5373,[1]!DadosGHD[CD_GEOCMU],[1]!DadosGHD[uf])</f>
        <v>SC</v>
      </c>
      <c r="E5373" s="5" t="str">
        <f>_xlfn.XLOOKUP(A5373,[1]!DadosGHD[CD_GEOCMU],[1]!DadosGHD[MUNICIPIO])</f>
        <v>QUILOMBO</v>
      </c>
      <c r="F5373" s="6">
        <v>63.819828033447301</v>
      </c>
      <c r="G5373" s="6">
        <v>63.966358184814503</v>
      </c>
      <c r="H5373" s="6">
        <v>64.026092529296903</v>
      </c>
      <c r="I5373" s="6">
        <v>64.000221252441406</v>
      </c>
      <c r="J5373" s="6">
        <v>64.039611816406307</v>
      </c>
      <c r="K5373" s="6">
        <v>64.13623046875</v>
      </c>
      <c r="L5373" s="6">
        <v>48.4953002929688</v>
      </c>
    </row>
    <row r="5374" spans="1:12" x14ac:dyDescent="0.25">
      <c r="A5374">
        <v>3510104</v>
      </c>
      <c r="B5374" t="str">
        <f t="shared" si="83"/>
        <v>CANDIDO RODRIGUES, SP, Brasil</v>
      </c>
      <c r="C5374" s="4" t="str">
        <f>_xlfn.XLOOKUP(A5374,[1]!DadosGHD[CD_GEOCMU],[1]!DadosGHD[Região])</f>
        <v>SD</v>
      </c>
      <c r="D5374" s="4" t="str">
        <f>_xlfn.XLOOKUP(A5374,[1]!DadosGHD[CD_GEOCMU],[1]!DadosGHD[uf])</f>
        <v>SP</v>
      </c>
      <c r="E5374" s="5" t="str">
        <f>_xlfn.XLOOKUP(A5374,[1]!DadosGHD[CD_GEOCMU],[1]!DadosGHD[MUNICIPIO])</f>
        <v>CANDIDO RODRIGUES</v>
      </c>
      <c r="F5374" s="6">
        <v>63.820075988769503</v>
      </c>
      <c r="G5374" s="6">
        <v>58.901725769042997</v>
      </c>
      <c r="H5374" s="6">
        <v>58.983100891113303</v>
      </c>
      <c r="I5374" s="6">
        <v>58.901660919189503</v>
      </c>
      <c r="J5374" s="6">
        <v>58.846755981445298</v>
      </c>
      <c r="K5374" s="6">
        <v>53.941715240478501</v>
      </c>
      <c r="L5374" s="6">
        <v>44.027919769287102</v>
      </c>
    </row>
    <row r="5375" spans="1:12" x14ac:dyDescent="0.25">
      <c r="A5375">
        <v>4320909</v>
      </c>
      <c r="B5375" t="str">
        <f t="shared" si="83"/>
        <v>TAPEJARA, RS, Brasil</v>
      </c>
      <c r="C5375" s="4" t="str">
        <f>_xlfn.XLOOKUP(A5375,[1]!DadosGHD[CD_GEOCMU],[1]!DadosGHD[Região])</f>
        <v>SL</v>
      </c>
      <c r="D5375" s="4" t="str">
        <f>_xlfn.XLOOKUP(A5375,[1]!DadosGHD[CD_GEOCMU],[1]!DadosGHD[uf])</f>
        <v>RS</v>
      </c>
      <c r="E5375" s="5" t="str">
        <f>_xlfn.XLOOKUP(A5375,[1]!DadosGHD[CD_GEOCMU],[1]!DadosGHD[MUNICIPIO])</f>
        <v>TAPEJARA</v>
      </c>
      <c r="F5375" s="6">
        <v>63.820987701416001</v>
      </c>
      <c r="G5375" s="6">
        <v>63.932735443115199</v>
      </c>
      <c r="H5375" s="6">
        <v>58.958972930908203</v>
      </c>
      <c r="I5375" s="6">
        <v>63.912635803222699</v>
      </c>
      <c r="J5375" s="6">
        <v>58.966968536377003</v>
      </c>
      <c r="K5375" s="6">
        <v>58.984340667724602</v>
      </c>
      <c r="L5375" s="6">
        <v>48.534553527832003</v>
      </c>
    </row>
    <row r="5376" spans="1:12" x14ac:dyDescent="0.25">
      <c r="A5376">
        <v>5219001</v>
      </c>
      <c r="B5376" t="str">
        <f t="shared" si="83"/>
        <v>SANCLERLANDIA, GO, Brasil</v>
      </c>
      <c r="C5376" s="4" t="str">
        <f>_xlfn.XLOOKUP(A5376,[1]!DadosGHD[CD_GEOCMU],[1]!DadosGHD[Região])</f>
        <v>CO</v>
      </c>
      <c r="D5376" s="4" t="str">
        <f>_xlfn.XLOOKUP(A5376,[1]!DadosGHD[CD_GEOCMU],[1]!DadosGHD[uf])</f>
        <v>GO</v>
      </c>
      <c r="E5376" s="5" t="str">
        <f>_xlfn.XLOOKUP(A5376,[1]!DadosGHD[CD_GEOCMU],[1]!DadosGHD[MUNICIPIO])</f>
        <v>SANCLERLANDIA</v>
      </c>
      <c r="F5376" s="6">
        <v>63.821811676025398</v>
      </c>
      <c r="G5376" s="6">
        <v>63.911296844482401</v>
      </c>
      <c r="H5376" s="6">
        <v>64.026092529296903</v>
      </c>
      <c r="I5376" s="6">
        <v>64.000221252441406</v>
      </c>
      <c r="J5376" s="6">
        <v>64.039611816406307</v>
      </c>
      <c r="K5376" s="6">
        <v>64.13623046875</v>
      </c>
      <c r="L5376" s="6">
        <v>53.063430786132798</v>
      </c>
    </row>
    <row r="5377" spans="1:12" x14ac:dyDescent="0.25">
      <c r="A5377">
        <v>4312609</v>
      </c>
      <c r="B5377" t="str">
        <f t="shared" si="83"/>
        <v>MUCUM, RS, Brasil</v>
      </c>
      <c r="C5377" s="4" t="str">
        <f>_xlfn.XLOOKUP(A5377,[1]!DadosGHD[CD_GEOCMU],[1]!DadosGHD[Região])</f>
        <v>SL</v>
      </c>
      <c r="D5377" s="4" t="str">
        <f>_xlfn.XLOOKUP(A5377,[1]!DadosGHD[CD_GEOCMU],[1]!DadosGHD[uf])</f>
        <v>RS</v>
      </c>
      <c r="E5377" s="5" t="str">
        <f>_xlfn.XLOOKUP(A5377,[1]!DadosGHD[CD_GEOCMU],[1]!DadosGHD[MUNICIPIO])</f>
        <v>MUCUM</v>
      </c>
      <c r="F5377" s="6">
        <v>63.823253631591797</v>
      </c>
      <c r="G5377" s="6">
        <v>63.966358184814503</v>
      </c>
      <c r="H5377" s="6">
        <v>64.026092529296903</v>
      </c>
      <c r="I5377" s="6">
        <v>64.000221252441406</v>
      </c>
      <c r="J5377" s="6">
        <v>64.039611816406307</v>
      </c>
      <c r="K5377" s="6">
        <v>64.13623046875</v>
      </c>
      <c r="L5377" s="6">
        <v>57.589881896972699</v>
      </c>
    </row>
    <row r="5378" spans="1:12" x14ac:dyDescent="0.25">
      <c r="A5378">
        <v>3556701</v>
      </c>
      <c r="B5378" t="str">
        <f t="shared" si="83"/>
        <v>VINHEDO, SP, Brasil</v>
      </c>
      <c r="C5378" s="4" t="str">
        <f>_xlfn.XLOOKUP(A5378,[1]!DadosGHD[CD_GEOCMU],[1]!DadosGHD[Região])</f>
        <v>SD</v>
      </c>
      <c r="D5378" s="4" t="str">
        <f>_xlfn.XLOOKUP(A5378,[1]!DadosGHD[CD_GEOCMU],[1]!DadosGHD[uf])</f>
        <v>SP</v>
      </c>
      <c r="E5378" s="5" t="str">
        <f>_xlfn.XLOOKUP(A5378,[1]!DadosGHD[CD_GEOCMU],[1]!DadosGHD[MUNICIPIO])</f>
        <v>VINHEDO</v>
      </c>
      <c r="F5378" s="6">
        <v>63.824871063232401</v>
      </c>
      <c r="G5378" s="6">
        <v>58.918952941894503</v>
      </c>
      <c r="H5378" s="6">
        <v>58.9435424804688</v>
      </c>
      <c r="I5378" s="6">
        <v>58.890357971191399</v>
      </c>
      <c r="J5378" s="6">
        <v>58.916744232177699</v>
      </c>
      <c r="K5378" s="6">
        <v>58.9870796203613</v>
      </c>
      <c r="L5378" s="6">
        <v>57.589881896972699</v>
      </c>
    </row>
    <row r="5379" spans="1:12" x14ac:dyDescent="0.25">
      <c r="A5379">
        <v>3506201</v>
      </c>
      <c r="B5379" t="str">
        <f t="shared" si="83"/>
        <v>BENTO DE ABREU, SP, Brasil</v>
      </c>
      <c r="C5379" s="4" t="str">
        <f>_xlfn.XLOOKUP(A5379,[1]!DadosGHD[CD_GEOCMU],[1]!DadosGHD[Região])</f>
        <v>SD</v>
      </c>
      <c r="D5379" s="4" t="str">
        <f>_xlfn.XLOOKUP(A5379,[1]!DadosGHD[CD_GEOCMU],[1]!DadosGHD[uf])</f>
        <v>SP</v>
      </c>
      <c r="E5379" s="5" t="str">
        <f>_xlfn.XLOOKUP(A5379,[1]!DadosGHD[CD_GEOCMU],[1]!DadosGHD[MUNICIPIO])</f>
        <v>BENTO DE ABREU</v>
      </c>
      <c r="F5379" s="6">
        <v>63.827522277832003</v>
      </c>
      <c r="G5379" s="6">
        <v>58.800724029541001</v>
      </c>
      <c r="H5379" s="6">
        <v>48.793716430664098</v>
      </c>
      <c r="I5379" s="6">
        <v>53.807979583740199</v>
      </c>
      <c r="J5379" s="6">
        <v>53.883983612060597</v>
      </c>
      <c r="K5379" s="6">
        <v>48.883312225341797</v>
      </c>
      <c r="L5379" s="6">
        <v>44.070713043212898</v>
      </c>
    </row>
    <row r="5380" spans="1:12" x14ac:dyDescent="0.25">
      <c r="A5380">
        <v>3514502</v>
      </c>
      <c r="B5380" t="str">
        <f t="shared" ref="B5380:B5443" si="84">_xlfn.CONCAT(E5380, ", ", D5380, ", Brasil")</f>
        <v>DUARTINA, SP, Brasil</v>
      </c>
      <c r="C5380" s="4" t="str">
        <f>_xlfn.XLOOKUP(A5380,[1]!DadosGHD[CD_GEOCMU],[1]!DadosGHD[Região])</f>
        <v>SD</v>
      </c>
      <c r="D5380" s="4" t="str">
        <f>_xlfn.XLOOKUP(A5380,[1]!DadosGHD[CD_GEOCMU],[1]!DadosGHD[uf])</f>
        <v>SP</v>
      </c>
      <c r="E5380" s="5" t="str">
        <f>_xlfn.XLOOKUP(A5380,[1]!DadosGHD[CD_GEOCMU],[1]!DadosGHD[MUNICIPIO])</f>
        <v>DUARTINA</v>
      </c>
      <c r="F5380" s="6">
        <v>63.829216003417997</v>
      </c>
      <c r="G5380" s="6">
        <v>63.841594696044901</v>
      </c>
      <c r="H5380" s="6">
        <v>63.9596557617188</v>
      </c>
      <c r="I5380" s="6">
        <v>58.946220397949197</v>
      </c>
      <c r="J5380" s="6">
        <v>64.026664733886705</v>
      </c>
      <c r="K5380" s="6">
        <v>59.103076934814503</v>
      </c>
      <c r="L5380" s="6">
        <v>57.568283081054702</v>
      </c>
    </row>
    <row r="5381" spans="1:12" x14ac:dyDescent="0.25">
      <c r="A5381">
        <v>5208509</v>
      </c>
      <c r="B5381" t="str">
        <f t="shared" si="84"/>
        <v>GOIANDIRA, GO, Brasil</v>
      </c>
      <c r="C5381" s="4" t="str">
        <f>_xlfn.XLOOKUP(A5381,[1]!DadosGHD[CD_GEOCMU],[1]!DadosGHD[Região])</f>
        <v>CO</v>
      </c>
      <c r="D5381" s="4" t="str">
        <f>_xlfn.XLOOKUP(A5381,[1]!DadosGHD[CD_GEOCMU],[1]!DadosGHD[uf])</f>
        <v>GO</v>
      </c>
      <c r="E5381" s="5" t="str">
        <f>_xlfn.XLOOKUP(A5381,[1]!DadosGHD[CD_GEOCMU],[1]!DadosGHD[MUNICIPIO])</f>
        <v>GOIANDIRA</v>
      </c>
      <c r="F5381" s="6">
        <v>63.832920074462898</v>
      </c>
      <c r="G5381" s="6">
        <v>63.966358184814503</v>
      </c>
      <c r="H5381" s="6">
        <v>64.026092529296903</v>
      </c>
      <c r="I5381" s="6">
        <v>64.000221252441406</v>
      </c>
      <c r="J5381" s="6">
        <v>64.039611816406307</v>
      </c>
      <c r="K5381" s="6">
        <v>64.13623046875</v>
      </c>
      <c r="L5381" s="6">
        <v>53.061290740966797</v>
      </c>
    </row>
    <row r="5382" spans="1:12" x14ac:dyDescent="0.25">
      <c r="A5382">
        <v>4313102</v>
      </c>
      <c r="B5382" t="str">
        <f t="shared" si="84"/>
        <v>NOVA PALMA, RS, Brasil</v>
      </c>
      <c r="C5382" s="4" t="str">
        <f>_xlfn.XLOOKUP(A5382,[1]!DadosGHD[CD_GEOCMU],[1]!DadosGHD[Região])</f>
        <v>SL</v>
      </c>
      <c r="D5382" s="4" t="str">
        <f>_xlfn.XLOOKUP(A5382,[1]!DadosGHD[CD_GEOCMU],[1]!DadosGHD[uf])</f>
        <v>RS</v>
      </c>
      <c r="E5382" s="5" t="str">
        <f>_xlfn.XLOOKUP(A5382,[1]!DadosGHD[CD_GEOCMU],[1]!DadosGHD[MUNICIPIO])</f>
        <v>NOVA PALMA</v>
      </c>
      <c r="F5382" s="6">
        <v>63.833171844482401</v>
      </c>
      <c r="G5382" s="6">
        <v>63.966358184814503</v>
      </c>
      <c r="H5382" s="6">
        <v>64.026092529296903</v>
      </c>
      <c r="I5382" s="6">
        <v>64.000221252441406</v>
      </c>
      <c r="J5382" s="6">
        <v>64.029357910156307</v>
      </c>
      <c r="K5382" s="6">
        <v>64.127944946289105</v>
      </c>
      <c r="L5382" s="6">
        <v>44.066368103027301</v>
      </c>
    </row>
    <row r="5383" spans="1:12" x14ac:dyDescent="0.25">
      <c r="A5383">
        <v>4314423</v>
      </c>
      <c r="B5383" t="str">
        <f t="shared" si="84"/>
        <v>PICADA CAFE, RS, Brasil</v>
      </c>
      <c r="C5383" s="4" t="str">
        <f>_xlfn.XLOOKUP(A5383,[1]!DadosGHD[CD_GEOCMU],[1]!DadosGHD[Região])</f>
        <v>SL</v>
      </c>
      <c r="D5383" s="4" t="str">
        <f>_xlfn.XLOOKUP(A5383,[1]!DadosGHD[CD_GEOCMU],[1]!DadosGHD[uf])</f>
        <v>RS</v>
      </c>
      <c r="E5383" s="5" t="str">
        <f>_xlfn.XLOOKUP(A5383,[1]!DadosGHD[CD_GEOCMU],[1]!DadosGHD[MUNICIPIO])</f>
        <v>PICADA CAFE</v>
      </c>
      <c r="F5383" s="6">
        <v>63.8331909179688</v>
      </c>
      <c r="G5383" s="6">
        <v>58.920574188232401</v>
      </c>
      <c r="H5383" s="6">
        <v>58.987823486328097</v>
      </c>
      <c r="I5383" s="6">
        <v>63.949058532714801</v>
      </c>
      <c r="J5383" s="6">
        <v>58.828033447265597</v>
      </c>
      <c r="K5383" s="6">
        <v>59.106441497802699</v>
      </c>
      <c r="L5383" s="6">
        <v>57.589881896972699</v>
      </c>
    </row>
    <row r="5384" spans="1:12" x14ac:dyDescent="0.25">
      <c r="A5384">
        <v>3501608</v>
      </c>
      <c r="B5384" t="str">
        <f t="shared" si="84"/>
        <v>AMERICANA, SP, Brasil</v>
      </c>
      <c r="C5384" s="4" t="str">
        <f>_xlfn.XLOOKUP(A5384,[1]!DadosGHD[CD_GEOCMU],[1]!DadosGHD[Região])</f>
        <v>SD</v>
      </c>
      <c r="D5384" s="4" t="str">
        <f>_xlfn.XLOOKUP(A5384,[1]!DadosGHD[CD_GEOCMU],[1]!DadosGHD[uf])</f>
        <v>SP</v>
      </c>
      <c r="E5384" s="5" t="str">
        <f>_xlfn.XLOOKUP(A5384,[1]!DadosGHD[CD_GEOCMU],[1]!DadosGHD[MUNICIPIO])</f>
        <v>AMERICANA</v>
      </c>
      <c r="F5384" s="6">
        <v>63.834465026855497</v>
      </c>
      <c r="G5384" s="6">
        <v>63.931247711181598</v>
      </c>
      <c r="H5384" s="6">
        <v>63.987533569335902</v>
      </c>
      <c r="I5384" s="6">
        <v>63.927146911621101</v>
      </c>
      <c r="J5384" s="6">
        <v>63.952136993408203</v>
      </c>
      <c r="K5384" s="6">
        <v>59.054969787597699</v>
      </c>
      <c r="L5384" s="6">
        <v>57.588645935058601</v>
      </c>
    </row>
    <row r="5385" spans="1:12" x14ac:dyDescent="0.25">
      <c r="A5385">
        <v>4205605</v>
      </c>
      <c r="B5385" t="str">
        <f t="shared" si="84"/>
        <v>GALVAO, SC, Brasil</v>
      </c>
      <c r="C5385" s="4" t="str">
        <f>_xlfn.XLOOKUP(A5385,[1]!DadosGHD[CD_GEOCMU],[1]!DadosGHD[Região])</f>
        <v>SL</v>
      </c>
      <c r="D5385" s="4" t="str">
        <f>_xlfn.XLOOKUP(A5385,[1]!DadosGHD[CD_GEOCMU],[1]!DadosGHD[uf])</f>
        <v>SC</v>
      </c>
      <c r="E5385" s="5" t="str">
        <f>_xlfn.XLOOKUP(A5385,[1]!DadosGHD[CD_GEOCMU],[1]!DadosGHD[MUNICIPIO])</f>
        <v>GALVAO</v>
      </c>
      <c r="F5385" s="6">
        <v>63.835201263427699</v>
      </c>
      <c r="G5385" s="6">
        <v>63.966358184814503</v>
      </c>
      <c r="H5385" s="6">
        <v>64.026092529296903</v>
      </c>
      <c r="I5385" s="6">
        <v>64.000221252441406</v>
      </c>
      <c r="J5385" s="6">
        <v>64.039611816406307</v>
      </c>
      <c r="K5385" s="6">
        <v>64.13623046875</v>
      </c>
      <c r="L5385" s="6">
        <v>57.589881896972699</v>
      </c>
    </row>
    <row r="5386" spans="1:12" x14ac:dyDescent="0.25">
      <c r="A5386">
        <v>4214508</v>
      </c>
      <c r="B5386" t="str">
        <f t="shared" si="84"/>
        <v>RIO DO CAMPO, SC, Brasil</v>
      </c>
      <c r="C5386" s="4" t="str">
        <f>_xlfn.XLOOKUP(A5386,[1]!DadosGHD[CD_GEOCMU],[1]!DadosGHD[Região])</f>
        <v>SL</v>
      </c>
      <c r="D5386" s="4" t="str">
        <f>_xlfn.XLOOKUP(A5386,[1]!DadosGHD[CD_GEOCMU],[1]!DadosGHD[uf])</f>
        <v>SC</v>
      </c>
      <c r="E5386" s="5" t="str">
        <f>_xlfn.XLOOKUP(A5386,[1]!DadosGHD[CD_GEOCMU],[1]!DadosGHD[MUNICIPIO])</f>
        <v>RIO DO CAMPO</v>
      </c>
      <c r="F5386" s="6">
        <v>63.835655212402301</v>
      </c>
      <c r="G5386" s="6">
        <v>63.966358184814503</v>
      </c>
      <c r="H5386" s="6">
        <v>64.026092529296903</v>
      </c>
      <c r="I5386" s="6">
        <v>63.949428558349602</v>
      </c>
      <c r="J5386" s="6">
        <v>63.985198974609403</v>
      </c>
      <c r="K5386" s="6">
        <v>59.085483551025398</v>
      </c>
      <c r="L5386" s="6">
        <v>35.152412414550803</v>
      </c>
    </row>
    <row r="5387" spans="1:12" x14ac:dyDescent="0.25">
      <c r="A5387">
        <v>3535804</v>
      </c>
      <c r="B5387" t="str">
        <f t="shared" si="84"/>
        <v>PARANAPANEMA, SP, Brasil</v>
      </c>
      <c r="C5387" s="4" t="str">
        <f>_xlfn.XLOOKUP(A5387,[1]!DadosGHD[CD_GEOCMU],[1]!DadosGHD[Região])</f>
        <v>SD</v>
      </c>
      <c r="D5387" s="4" t="str">
        <f>_xlfn.XLOOKUP(A5387,[1]!DadosGHD[CD_GEOCMU],[1]!DadosGHD[uf])</f>
        <v>SP</v>
      </c>
      <c r="E5387" s="5" t="str">
        <f>_xlfn.XLOOKUP(A5387,[1]!DadosGHD[CD_GEOCMU],[1]!DadosGHD[MUNICIPIO])</f>
        <v>PARANAPANEMA</v>
      </c>
      <c r="F5387" s="6">
        <v>63.836906433105497</v>
      </c>
      <c r="G5387" s="6">
        <v>63.859375</v>
      </c>
      <c r="H5387" s="6">
        <v>63.945720672607401</v>
      </c>
      <c r="I5387" s="6">
        <v>63.912162780761697</v>
      </c>
      <c r="J5387" s="6">
        <v>64.039611816406307</v>
      </c>
      <c r="K5387" s="6">
        <v>64.13623046875</v>
      </c>
      <c r="L5387" s="6">
        <v>57.566051483154297</v>
      </c>
    </row>
    <row r="5388" spans="1:12" x14ac:dyDescent="0.25">
      <c r="A5388">
        <v>3518800</v>
      </c>
      <c r="B5388" t="str">
        <f t="shared" si="84"/>
        <v>GUARULHOS, SP, Brasil</v>
      </c>
      <c r="C5388" s="4" t="str">
        <f>_xlfn.XLOOKUP(A5388,[1]!DadosGHD[CD_GEOCMU],[1]!DadosGHD[Região])</f>
        <v>SD</v>
      </c>
      <c r="D5388" s="4" t="str">
        <f>_xlfn.XLOOKUP(A5388,[1]!DadosGHD[CD_GEOCMU],[1]!DadosGHD[uf])</f>
        <v>SP</v>
      </c>
      <c r="E5388" s="5" t="str">
        <f>_xlfn.XLOOKUP(A5388,[1]!DadosGHD[CD_GEOCMU],[1]!DadosGHD[MUNICIPIO])</f>
        <v>GUARULHOS</v>
      </c>
      <c r="F5388" s="6">
        <v>63.8393363952637</v>
      </c>
      <c r="G5388" s="6">
        <v>63.865158081054702</v>
      </c>
      <c r="H5388" s="6">
        <v>58.9952583312988</v>
      </c>
      <c r="I5388" s="6">
        <v>58.950122833252003</v>
      </c>
      <c r="J5388" s="6">
        <v>58.960105895996101</v>
      </c>
      <c r="K5388" s="6">
        <v>58.982551574707003</v>
      </c>
      <c r="L5388" s="6">
        <v>57.520957946777301</v>
      </c>
    </row>
    <row r="5389" spans="1:12" x14ac:dyDescent="0.25">
      <c r="A5389">
        <v>3512407</v>
      </c>
      <c r="B5389" t="str">
        <f t="shared" si="84"/>
        <v>CORDEIROPOLIS, SP, Brasil</v>
      </c>
      <c r="C5389" s="4" t="str">
        <f>_xlfn.XLOOKUP(A5389,[1]!DadosGHD[CD_GEOCMU],[1]!DadosGHD[Região])</f>
        <v>SD</v>
      </c>
      <c r="D5389" s="4" t="str">
        <f>_xlfn.XLOOKUP(A5389,[1]!DadosGHD[CD_GEOCMU],[1]!DadosGHD[uf])</f>
        <v>SP</v>
      </c>
      <c r="E5389" s="5" t="str">
        <f>_xlfn.XLOOKUP(A5389,[1]!DadosGHD[CD_GEOCMU],[1]!DadosGHD[MUNICIPIO])</f>
        <v>CORDEIROPOLIS</v>
      </c>
      <c r="F5389" s="6">
        <v>63.839405059814503</v>
      </c>
      <c r="G5389" s="6">
        <v>58.867324829101598</v>
      </c>
      <c r="H5389" s="6">
        <v>53.891933441162102</v>
      </c>
      <c r="I5389" s="6">
        <v>58.896213531494098</v>
      </c>
      <c r="J5389" s="6">
        <v>58.866481781005902</v>
      </c>
      <c r="K5389" s="6">
        <v>53.9151611328125</v>
      </c>
      <c r="L5389" s="6">
        <v>48.552310943603501</v>
      </c>
    </row>
    <row r="5390" spans="1:12" x14ac:dyDescent="0.25">
      <c r="A5390">
        <v>4117107</v>
      </c>
      <c r="B5390" t="str">
        <f t="shared" si="84"/>
        <v>NOVA LONDRINA, PR, Brasil</v>
      </c>
      <c r="C5390" s="4" t="str">
        <f>_xlfn.XLOOKUP(A5390,[1]!DadosGHD[CD_GEOCMU],[1]!DadosGHD[Região])</f>
        <v>SL</v>
      </c>
      <c r="D5390" s="4" t="str">
        <f>_xlfn.XLOOKUP(A5390,[1]!DadosGHD[CD_GEOCMU],[1]!DadosGHD[uf])</f>
        <v>PR</v>
      </c>
      <c r="E5390" s="5" t="str">
        <f>_xlfn.XLOOKUP(A5390,[1]!DadosGHD[CD_GEOCMU],[1]!DadosGHD[MUNICIPIO])</f>
        <v>NOVA LONDRINA</v>
      </c>
      <c r="F5390" s="6">
        <v>63.839473724365199</v>
      </c>
      <c r="G5390" s="6">
        <v>63.879360198974602</v>
      </c>
      <c r="H5390" s="6">
        <v>58.9585151672363</v>
      </c>
      <c r="I5390" s="6">
        <v>58.8728637695313</v>
      </c>
      <c r="J5390" s="6">
        <v>63.910881042480497</v>
      </c>
      <c r="K5390" s="6">
        <v>58.951156616210902</v>
      </c>
      <c r="L5390" s="6">
        <v>48.493846893310597</v>
      </c>
    </row>
    <row r="5391" spans="1:12" x14ac:dyDescent="0.25">
      <c r="A5391">
        <v>4313201</v>
      </c>
      <c r="B5391" t="str">
        <f t="shared" si="84"/>
        <v>NOVA PETROPOLIS, RS, Brasil</v>
      </c>
      <c r="C5391" s="4" t="str">
        <f>_xlfn.XLOOKUP(A5391,[1]!DadosGHD[CD_GEOCMU],[1]!DadosGHD[Região])</f>
        <v>SL</v>
      </c>
      <c r="D5391" s="4" t="str">
        <f>_xlfn.XLOOKUP(A5391,[1]!DadosGHD[CD_GEOCMU],[1]!DadosGHD[uf])</f>
        <v>RS</v>
      </c>
      <c r="E5391" s="5" t="str">
        <f>_xlfn.XLOOKUP(A5391,[1]!DadosGHD[CD_GEOCMU],[1]!DadosGHD[MUNICIPIO])</f>
        <v>NOVA PETROPOLIS</v>
      </c>
      <c r="F5391" s="6">
        <v>63.840366363525398</v>
      </c>
      <c r="G5391" s="6">
        <v>63.966358184814503</v>
      </c>
      <c r="H5391" s="6">
        <v>64.026092529296903</v>
      </c>
      <c r="I5391" s="6">
        <v>64.000221252441406</v>
      </c>
      <c r="J5391" s="6">
        <v>64.039611816406307</v>
      </c>
      <c r="K5391" s="6">
        <v>64.13623046875</v>
      </c>
      <c r="L5391" s="6">
        <v>57.519710540771499</v>
      </c>
    </row>
    <row r="5392" spans="1:12" x14ac:dyDescent="0.25">
      <c r="A5392">
        <v>4116703</v>
      </c>
      <c r="B5392" t="str">
        <f t="shared" si="84"/>
        <v>NOVA AURORA, PR, Brasil</v>
      </c>
      <c r="C5392" s="4" t="str">
        <f>_xlfn.XLOOKUP(A5392,[1]!DadosGHD[CD_GEOCMU],[1]!DadosGHD[Região])</f>
        <v>SL</v>
      </c>
      <c r="D5392" s="4" t="str">
        <f>_xlfn.XLOOKUP(A5392,[1]!DadosGHD[CD_GEOCMU],[1]!DadosGHD[uf])</f>
        <v>PR</v>
      </c>
      <c r="E5392" s="5" t="str">
        <f>_xlfn.XLOOKUP(A5392,[1]!DadosGHD[CD_GEOCMU],[1]!DadosGHD[MUNICIPIO])</f>
        <v>NOVA AURORA</v>
      </c>
      <c r="F5392" s="6">
        <v>63.840709686279297</v>
      </c>
      <c r="G5392" s="6">
        <v>63.966358184814503</v>
      </c>
      <c r="H5392" s="6">
        <v>64.026092529296903</v>
      </c>
      <c r="I5392" s="6">
        <v>64.000221252441406</v>
      </c>
      <c r="J5392" s="6">
        <v>64.039611816406307</v>
      </c>
      <c r="K5392" s="6">
        <v>64.13623046875</v>
      </c>
      <c r="L5392" s="6">
        <v>48.498451232910199</v>
      </c>
    </row>
    <row r="5393" spans="1:12" x14ac:dyDescent="0.25">
      <c r="A5393">
        <v>4305306</v>
      </c>
      <c r="B5393" t="str">
        <f t="shared" si="84"/>
        <v>CHAPADA, RS, Brasil</v>
      </c>
      <c r="C5393" s="4" t="str">
        <f>_xlfn.XLOOKUP(A5393,[1]!DadosGHD[CD_GEOCMU],[1]!DadosGHD[Região])</f>
        <v>SL</v>
      </c>
      <c r="D5393" s="4" t="str">
        <f>_xlfn.XLOOKUP(A5393,[1]!DadosGHD[CD_GEOCMU],[1]!DadosGHD[uf])</f>
        <v>RS</v>
      </c>
      <c r="E5393" s="5" t="str">
        <f>_xlfn.XLOOKUP(A5393,[1]!DadosGHD[CD_GEOCMU],[1]!DadosGHD[MUNICIPIO])</f>
        <v>CHAPADA</v>
      </c>
      <c r="F5393" s="6">
        <v>63.842277526855497</v>
      </c>
      <c r="G5393" s="6">
        <v>63.966358184814503</v>
      </c>
      <c r="H5393" s="6">
        <v>64.026092529296903</v>
      </c>
      <c r="I5393" s="6">
        <v>64.000221252441406</v>
      </c>
      <c r="J5393" s="6">
        <v>64.039611816406307</v>
      </c>
      <c r="K5393" s="6">
        <v>59.104297637939503</v>
      </c>
      <c r="L5393" s="6">
        <v>48.533992767333999</v>
      </c>
    </row>
    <row r="5394" spans="1:12" x14ac:dyDescent="0.25">
      <c r="A5394">
        <v>4300802</v>
      </c>
      <c r="B5394" t="str">
        <f t="shared" si="84"/>
        <v>ANTONIO PRADO, RS, Brasil</v>
      </c>
      <c r="C5394" s="4" t="str">
        <f>_xlfn.XLOOKUP(A5394,[1]!DadosGHD[CD_GEOCMU],[1]!DadosGHD[Região])</f>
        <v>SL</v>
      </c>
      <c r="D5394" s="4" t="str">
        <f>_xlfn.XLOOKUP(A5394,[1]!DadosGHD[CD_GEOCMU],[1]!DadosGHD[uf])</f>
        <v>RS</v>
      </c>
      <c r="E5394" s="5" t="str">
        <f>_xlfn.XLOOKUP(A5394,[1]!DadosGHD[CD_GEOCMU],[1]!DadosGHD[MUNICIPIO])</f>
        <v>ANTONIO PRADO</v>
      </c>
      <c r="F5394" s="6">
        <v>63.8436889648438</v>
      </c>
      <c r="G5394" s="6">
        <v>63.966358184814503</v>
      </c>
      <c r="H5394" s="6">
        <v>64.026092529296903</v>
      </c>
      <c r="I5394" s="6">
        <v>64.000221252441406</v>
      </c>
      <c r="J5394" s="6">
        <v>64.039611816406307</v>
      </c>
      <c r="K5394" s="6">
        <v>64.13623046875</v>
      </c>
      <c r="L5394" s="6">
        <v>57.589881896972699</v>
      </c>
    </row>
    <row r="5395" spans="1:12" x14ac:dyDescent="0.25">
      <c r="A5395">
        <v>4307864</v>
      </c>
      <c r="B5395" t="str">
        <f t="shared" si="84"/>
        <v>FAGUNDES VARELA, RS, Brasil</v>
      </c>
      <c r="C5395" s="4" t="str">
        <f>_xlfn.XLOOKUP(A5395,[1]!DadosGHD[CD_GEOCMU],[1]!DadosGHD[Região])</f>
        <v>SL</v>
      </c>
      <c r="D5395" s="4" t="str">
        <f>_xlfn.XLOOKUP(A5395,[1]!DadosGHD[CD_GEOCMU],[1]!DadosGHD[uf])</f>
        <v>RS</v>
      </c>
      <c r="E5395" s="5" t="str">
        <f>_xlfn.XLOOKUP(A5395,[1]!DadosGHD[CD_GEOCMU],[1]!DadosGHD[MUNICIPIO])</f>
        <v>FAGUNDES VARELA</v>
      </c>
      <c r="F5395" s="6">
        <v>63.844215393066399</v>
      </c>
      <c r="G5395" s="6">
        <v>63.966358184814503</v>
      </c>
      <c r="H5395" s="6">
        <v>64.026092529296903</v>
      </c>
      <c r="I5395" s="6">
        <v>64.000221252441406</v>
      </c>
      <c r="J5395" s="6">
        <v>63.984642028808601</v>
      </c>
      <c r="K5395" s="6">
        <v>59.136367797851598</v>
      </c>
      <c r="L5395" s="6">
        <v>57.589881896972699</v>
      </c>
    </row>
    <row r="5396" spans="1:12" x14ac:dyDescent="0.25">
      <c r="A5396">
        <v>3501202</v>
      </c>
      <c r="B5396" t="str">
        <f t="shared" si="84"/>
        <v>ALVARES FLORENCE, SP, Brasil</v>
      </c>
      <c r="C5396" s="4" t="str">
        <f>_xlfn.XLOOKUP(A5396,[1]!DadosGHD[CD_GEOCMU],[1]!DadosGHD[Região])</f>
        <v>SD</v>
      </c>
      <c r="D5396" s="4" t="str">
        <f>_xlfn.XLOOKUP(A5396,[1]!DadosGHD[CD_GEOCMU],[1]!DadosGHD[uf])</f>
        <v>SP</v>
      </c>
      <c r="E5396" s="5" t="str">
        <f>_xlfn.XLOOKUP(A5396,[1]!DadosGHD[CD_GEOCMU],[1]!DadosGHD[MUNICIPIO])</f>
        <v>ALVARES FLORENCE</v>
      </c>
      <c r="F5396" s="6">
        <v>63.844528198242202</v>
      </c>
      <c r="G5396" s="6">
        <v>63.896659851074197</v>
      </c>
      <c r="H5396" s="6">
        <v>63.9620361328125</v>
      </c>
      <c r="I5396" s="6">
        <v>63.900180816650398</v>
      </c>
      <c r="J5396" s="6">
        <v>58.863719940185597</v>
      </c>
      <c r="K5396" s="6">
        <v>53.982887268066399</v>
      </c>
      <c r="L5396" s="6">
        <v>44.050796508789098</v>
      </c>
    </row>
    <row r="5397" spans="1:12" x14ac:dyDescent="0.25">
      <c r="A5397">
        <v>3538303</v>
      </c>
      <c r="B5397" t="str">
        <f t="shared" si="84"/>
        <v>PIQUEROBI, SP, Brasil</v>
      </c>
      <c r="C5397" s="4" t="str">
        <f>_xlfn.XLOOKUP(A5397,[1]!DadosGHD[CD_GEOCMU],[1]!DadosGHD[Região])</f>
        <v>SD</v>
      </c>
      <c r="D5397" s="4" t="str">
        <f>_xlfn.XLOOKUP(A5397,[1]!DadosGHD[CD_GEOCMU],[1]!DadosGHD[uf])</f>
        <v>SP</v>
      </c>
      <c r="E5397" s="5" t="str">
        <f>_xlfn.XLOOKUP(A5397,[1]!DadosGHD[CD_GEOCMU],[1]!DadosGHD[MUNICIPIO])</f>
        <v>PIQUEROBI</v>
      </c>
      <c r="F5397" s="6">
        <v>63.846511840820298</v>
      </c>
      <c r="G5397" s="6">
        <v>58.846565246582003</v>
      </c>
      <c r="H5397" s="6">
        <v>58.952774047851598</v>
      </c>
      <c r="I5397" s="6">
        <v>58.900638580322301</v>
      </c>
      <c r="J5397" s="6">
        <v>58.865245819091797</v>
      </c>
      <c r="K5397" s="6">
        <v>58.953342437744098</v>
      </c>
      <c r="L5397" s="6">
        <v>53.059852600097699</v>
      </c>
    </row>
    <row r="5398" spans="1:12" x14ac:dyDescent="0.25">
      <c r="A5398">
        <v>4322202</v>
      </c>
      <c r="B5398" t="str">
        <f t="shared" si="84"/>
        <v>TUPANCIRETA, RS, Brasil</v>
      </c>
      <c r="C5398" s="4" t="str">
        <f>_xlfn.XLOOKUP(A5398,[1]!DadosGHD[CD_GEOCMU],[1]!DadosGHD[Região])</f>
        <v>SL</v>
      </c>
      <c r="D5398" s="4" t="str">
        <f>_xlfn.XLOOKUP(A5398,[1]!DadosGHD[CD_GEOCMU],[1]!DadosGHD[uf])</f>
        <v>RS</v>
      </c>
      <c r="E5398" s="5" t="str">
        <f>_xlfn.XLOOKUP(A5398,[1]!DadosGHD[CD_GEOCMU],[1]!DadosGHD[MUNICIPIO])</f>
        <v>TUPANCIRETA</v>
      </c>
      <c r="F5398" s="6">
        <v>63.846637725830099</v>
      </c>
      <c r="G5398" s="6">
        <v>63.958091735839801</v>
      </c>
      <c r="H5398" s="6">
        <v>63.9462890625</v>
      </c>
      <c r="I5398" s="6">
        <v>63.994541168212898</v>
      </c>
      <c r="J5398" s="6">
        <v>64.039611816406307</v>
      </c>
      <c r="K5398" s="6">
        <v>64.078834533691406</v>
      </c>
      <c r="L5398" s="6">
        <v>57.559173583984403</v>
      </c>
    </row>
    <row r="5399" spans="1:12" x14ac:dyDescent="0.25">
      <c r="A5399">
        <v>4206900</v>
      </c>
      <c r="B5399" t="str">
        <f t="shared" si="84"/>
        <v>IBIRAMA, SC, Brasil</v>
      </c>
      <c r="C5399" s="4" t="str">
        <f>_xlfn.XLOOKUP(A5399,[1]!DadosGHD[CD_GEOCMU],[1]!DadosGHD[Região])</f>
        <v>SL</v>
      </c>
      <c r="D5399" s="4" t="str">
        <f>_xlfn.XLOOKUP(A5399,[1]!DadosGHD[CD_GEOCMU],[1]!DadosGHD[uf])</f>
        <v>SC</v>
      </c>
      <c r="E5399" s="5" t="str">
        <f>_xlfn.XLOOKUP(A5399,[1]!DadosGHD[CD_GEOCMU],[1]!DadosGHD[MUNICIPIO])</f>
        <v>IBIRAMA</v>
      </c>
      <c r="F5399" s="6">
        <v>63.852863311767599</v>
      </c>
      <c r="G5399" s="6">
        <v>63.966358184814503</v>
      </c>
      <c r="H5399" s="6">
        <v>58.886383056640597</v>
      </c>
      <c r="I5399" s="6">
        <v>53.860115051269503</v>
      </c>
      <c r="J5399" s="6">
        <v>58.8158988952637</v>
      </c>
      <c r="K5399" s="6">
        <v>58.906887054443402</v>
      </c>
      <c r="L5399" s="6">
        <v>48.492633819580099</v>
      </c>
    </row>
    <row r="5400" spans="1:12" x14ac:dyDescent="0.25">
      <c r="A5400">
        <v>4203501</v>
      </c>
      <c r="B5400" t="str">
        <f t="shared" si="84"/>
        <v>CAMPO ERE, SC, Brasil</v>
      </c>
      <c r="C5400" s="4" t="str">
        <f>_xlfn.XLOOKUP(A5400,[1]!DadosGHD[CD_GEOCMU],[1]!DadosGHD[Região])</f>
        <v>SL</v>
      </c>
      <c r="D5400" s="4" t="str">
        <f>_xlfn.XLOOKUP(A5400,[1]!DadosGHD[CD_GEOCMU],[1]!DadosGHD[uf])</f>
        <v>SC</v>
      </c>
      <c r="E5400" s="5" t="str">
        <f>_xlfn.XLOOKUP(A5400,[1]!DadosGHD[CD_GEOCMU],[1]!DadosGHD[MUNICIPIO])</f>
        <v>CAMPO ERE</v>
      </c>
      <c r="F5400" s="6">
        <v>63.8533325195313</v>
      </c>
      <c r="G5400" s="6">
        <v>63.966358184814503</v>
      </c>
      <c r="H5400" s="6">
        <v>64.026092529296903</v>
      </c>
      <c r="I5400" s="6">
        <v>64.000221252441406</v>
      </c>
      <c r="J5400" s="6">
        <v>64.039611816406307</v>
      </c>
      <c r="K5400" s="6">
        <v>64.13623046875</v>
      </c>
      <c r="L5400" s="6">
        <v>57.561286926269503</v>
      </c>
    </row>
    <row r="5401" spans="1:12" x14ac:dyDescent="0.25">
      <c r="A5401">
        <v>4323408</v>
      </c>
      <c r="B5401" t="str">
        <f t="shared" si="84"/>
        <v>VILA MARIA, RS, Brasil</v>
      </c>
      <c r="C5401" s="4" t="str">
        <f>_xlfn.XLOOKUP(A5401,[1]!DadosGHD[CD_GEOCMU],[1]!DadosGHD[Região])</f>
        <v>SL</v>
      </c>
      <c r="D5401" s="4" t="str">
        <f>_xlfn.XLOOKUP(A5401,[1]!DadosGHD[CD_GEOCMU],[1]!DadosGHD[uf])</f>
        <v>RS</v>
      </c>
      <c r="E5401" s="5" t="str">
        <f>_xlfn.XLOOKUP(A5401,[1]!DadosGHD[CD_GEOCMU],[1]!DadosGHD[MUNICIPIO])</f>
        <v>VILA MARIA</v>
      </c>
      <c r="F5401" s="6">
        <v>63.854343414306598</v>
      </c>
      <c r="G5401" s="6">
        <v>63.966358184814503</v>
      </c>
      <c r="H5401" s="6">
        <v>64.026092529296903</v>
      </c>
      <c r="I5401" s="6">
        <v>64.000221252441406</v>
      </c>
      <c r="J5401" s="6">
        <v>58.976398468017599</v>
      </c>
      <c r="K5401" s="6">
        <v>58.987743377685597</v>
      </c>
      <c r="L5401" s="6">
        <v>44.037696838378899</v>
      </c>
    </row>
    <row r="5402" spans="1:12" x14ac:dyDescent="0.25">
      <c r="A5402">
        <v>3170206</v>
      </c>
      <c r="B5402" t="str">
        <f t="shared" si="84"/>
        <v>UBERLANDIA, MG, Brasil</v>
      </c>
      <c r="C5402" s="4" t="str">
        <f>_xlfn.XLOOKUP(A5402,[1]!DadosGHD[CD_GEOCMU],[1]!DadosGHD[Região])</f>
        <v>SD</v>
      </c>
      <c r="D5402" s="4" t="str">
        <f>_xlfn.XLOOKUP(A5402,[1]!DadosGHD[CD_GEOCMU],[1]!DadosGHD[uf])</f>
        <v>MG</v>
      </c>
      <c r="E5402" s="5" t="str">
        <f>_xlfn.XLOOKUP(A5402,[1]!DadosGHD[CD_GEOCMU],[1]!DadosGHD[MUNICIPIO])</f>
        <v>UBERLANDIA</v>
      </c>
      <c r="F5402" s="6">
        <v>63.855281829833999</v>
      </c>
      <c r="G5402" s="6">
        <v>63.934215545654297</v>
      </c>
      <c r="H5402" s="6">
        <v>63.958896636962898</v>
      </c>
      <c r="I5402" s="6">
        <v>63.897163391113303</v>
      </c>
      <c r="J5402" s="6">
        <v>58.987743377685597</v>
      </c>
      <c r="K5402" s="6">
        <v>59.007869720458999</v>
      </c>
      <c r="L5402" s="6">
        <v>57.523429870605497</v>
      </c>
    </row>
    <row r="5403" spans="1:12" x14ac:dyDescent="0.25">
      <c r="A5403">
        <v>3162104</v>
      </c>
      <c r="B5403" t="str">
        <f t="shared" si="84"/>
        <v>SAO GOTARDO, MG, Brasil</v>
      </c>
      <c r="C5403" s="4" t="str">
        <f>_xlfn.XLOOKUP(A5403,[1]!DadosGHD[CD_GEOCMU],[1]!DadosGHD[Região])</f>
        <v>SD</v>
      </c>
      <c r="D5403" s="4" t="str">
        <f>_xlfn.XLOOKUP(A5403,[1]!DadosGHD[CD_GEOCMU],[1]!DadosGHD[uf])</f>
        <v>MG</v>
      </c>
      <c r="E5403" s="5" t="str">
        <f>_xlfn.XLOOKUP(A5403,[1]!DadosGHD[CD_GEOCMU],[1]!DadosGHD[MUNICIPIO])</f>
        <v>SAO GOTARDO</v>
      </c>
      <c r="F5403" s="6">
        <v>63.855995178222699</v>
      </c>
      <c r="G5403" s="6">
        <v>63.962226867675803</v>
      </c>
      <c r="H5403" s="6">
        <v>64.026092529296903</v>
      </c>
      <c r="I5403" s="6">
        <v>64.000221252441406</v>
      </c>
      <c r="J5403" s="6">
        <v>64.039611816406307</v>
      </c>
      <c r="K5403" s="6">
        <v>64.13623046875</v>
      </c>
      <c r="L5403" s="6">
        <v>57.5061225891113</v>
      </c>
    </row>
    <row r="5404" spans="1:12" x14ac:dyDescent="0.25">
      <c r="A5404">
        <v>4310009</v>
      </c>
      <c r="B5404" t="str">
        <f t="shared" si="84"/>
        <v>IBIRUBA, RS, Brasil</v>
      </c>
      <c r="C5404" s="4" t="str">
        <f>_xlfn.XLOOKUP(A5404,[1]!DadosGHD[CD_GEOCMU],[1]!DadosGHD[Região])</f>
        <v>SL</v>
      </c>
      <c r="D5404" s="4" t="str">
        <f>_xlfn.XLOOKUP(A5404,[1]!DadosGHD[CD_GEOCMU],[1]!DadosGHD[uf])</f>
        <v>RS</v>
      </c>
      <c r="E5404" s="5" t="str">
        <f>_xlfn.XLOOKUP(A5404,[1]!DadosGHD[CD_GEOCMU],[1]!DadosGHD[MUNICIPIO])</f>
        <v>IBIRUBA</v>
      </c>
      <c r="F5404" s="6">
        <v>63.861217498779297</v>
      </c>
      <c r="G5404" s="6">
        <v>63.966358184814503</v>
      </c>
      <c r="H5404" s="6">
        <v>64.026092529296903</v>
      </c>
      <c r="I5404" s="6">
        <v>64.000221252441406</v>
      </c>
      <c r="J5404" s="6">
        <v>64.039611816406307</v>
      </c>
      <c r="K5404" s="6">
        <v>64.13623046875</v>
      </c>
      <c r="L5404" s="6">
        <v>57.589881896972699</v>
      </c>
    </row>
    <row r="5405" spans="1:12" x14ac:dyDescent="0.25">
      <c r="A5405">
        <v>3148004</v>
      </c>
      <c r="B5405" t="str">
        <f t="shared" si="84"/>
        <v>PATOS DE MINAS, MG, Brasil</v>
      </c>
      <c r="C5405" s="4" t="str">
        <f>_xlfn.XLOOKUP(A5405,[1]!DadosGHD[CD_GEOCMU],[1]!DadosGHD[Região])</f>
        <v>SD</v>
      </c>
      <c r="D5405" s="4" t="str">
        <f>_xlfn.XLOOKUP(A5405,[1]!DadosGHD[CD_GEOCMU],[1]!DadosGHD[uf])</f>
        <v>MG</v>
      </c>
      <c r="E5405" s="5" t="str">
        <f>_xlfn.XLOOKUP(A5405,[1]!DadosGHD[CD_GEOCMU],[1]!DadosGHD[MUNICIPIO])</f>
        <v>PATOS DE MINAS</v>
      </c>
      <c r="F5405" s="6">
        <v>63.861499786377003</v>
      </c>
      <c r="G5405" s="6">
        <v>63.966358184814503</v>
      </c>
      <c r="H5405" s="6">
        <v>64.026092529296903</v>
      </c>
      <c r="I5405" s="6">
        <v>64.000221252441406</v>
      </c>
      <c r="J5405" s="6">
        <v>64.039611816406307</v>
      </c>
      <c r="K5405" s="6">
        <v>64.13623046875</v>
      </c>
      <c r="L5405" s="6">
        <v>57.589881896972699</v>
      </c>
    </row>
    <row r="5406" spans="1:12" x14ac:dyDescent="0.25">
      <c r="A5406">
        <v>4210555</v>
      </c>
      <c r="B5406" t="str">
        <f t="shared" si="84"/>
        <v>MAREMA, SC, Brasil</v>
      </c>
      <c r="C5406" s="4" t="str">
        <f>_xlfn.XLOOKUP(A5406,[1]!DadosGHD[CD_GEOCMU],[1]!DadosGHD[Região])</f>
        <v>SL</v>
      </c>
      <c r="D5406" s="4" t="str">
        <f>_xlfn.XLOOKUP(A5406,[1]!DadosGHD[CD_GEOCMU],[1]!DadosGHD[uf])</f>
        <v>SC</v>
      </c>
      <c r="E5406" s="5" t="str">
        <f>_xlfn.XLOOKUP(A5406,[1]!DadosGHD[CD_GEOCMU],[1]!DadosGHD[MUNICIPIO])</f>
        <v>MAREMA</v>
      </c>
      <c r="F5406" s="6">
        <v>63.862457275390597</v>
      </c>
      <c r="G5406" s="6">
        <v>58.896060943603501</v>
      </c>
      <c r="H5406" s="6">
        <v>58.9529838562012</v>
      </c>
      <c r="I5406" s="6">
        <v>58.906909942627003</v>
      </c>
      <c r="J5406" s="6">
        <v>58.983390808105497</v>
      </c>
      <c r="K5406" s="6">
        <v>64.13623046875</v>
      </c>
      <c r="L5406" s="6">
        <v>57.5328559875488</v>
      </c>
    </row>
    <row r="5407" spans="1:12" x14ac:dyDescent="0.25">
      <c r="A5407">
        <v>3503208</v>
      </c>
      <c r="B5407" t="str">
        <f t="shared" si="84"/>
        <v>ARARAQUARA, SP, Brasil</v>
      </c>
      <c r="C5407" s="4" t="str">
        <f>_xlfn.XLOOKUP(A5407,[1]!DadosGHD[CD_GEOCMU],[1]!DadosGHD[Região])</f>
        <v>SD</v>
      </c>
      <c r="D5407" s="4" t="str">
        <f>_xlfn.XLOOKUP(A5407,[1]!DadosGHD[CD_GEOCMU],[1]!DadosGHD[uf])</f>
        <v>SP</v>
      </c>
      <c r="E5407" s="5" t="str">
        <f>_xlfn.XLOOKUP(A5407,[1]!DadosGHD[CD_GEOCMU],[1]!DadosGHD[MUNICIPIO])</f>
        <v>ARARAQUARA</v>
      </c>
      <c r="F5407" s="6">
        <v>63.8628120422363</v>
      </c>
      <c r="G5407" s="6">
        <v>63.922676086425803</v>
      </c>
      <c r="H5407" s="6">
        <v>63.959918975830099</v>
      </c>
      <c r="I5407" s="6">
        <v>63.897838592529297</v>
      </c>
      <c r="J5407" s="6">
        <v>63.951969146728501</v>
      </c>
      <c r="K5407" s="6">
        <v>59.077804565429702</v>
      </c>
      <c r="L5407" s="6">
        <v>57.589881896972699</v>
      </c>
    </row>
    <row r="5408" spans="1:12" x14ac:dyDescent="0.25">
      <c r="A5408">
        <v>4313409</v>
      </c>
      <c r="B5408" t="str">
        <f t="shared" si="84"/>
        <v>NOVO HAMBURGO, RS, Brasil</v>
      </c>
      <c r="C5408" s="4" t="str">
        <f>_xlfn.XLOOKUP(A5408,[1]!DadosGHD[CD_GEOCMU],[1]!DadosGHD[Região])</f>
        <v>SL</v>
      </c>
      <c r="D5408" s="4" t="str">
        <f>_xlfn.XLOOKUP(A5408,[1]!DadosGHD[CD_GEOCMU],[1]!DadosGHD[uf])</f>
        <v>RS</v>
      </c>
      <c r="E5408" s="5" t="str">
        <f>_xlfn.XLOOKUP(A5408,[1]!DadosGHD[CD_GEOCMU],[1]!DadosGHD[MUNICIPIO])</f>
        <v>NOVO HAMBURGO</v>
      </c>
      <c r="F5408" s="6">
        <v>63.863414764404297</v>
      </c>
      <c r="G5408" s="6">
        <v>63.9029731750488</v>
      </c>
      <c r="H5408" s="6">
        <v>63.986785888671903</v>
      </c>
      <c r="I5408" s="6">
        <v>58.941421508789098</v>
      </c>
      <c r="J5408" s="6">
        <v>58.940269470214801</v>
      </c>
      <c r="K5408" s="6">
        <v>58.994907379150398</v>
      </c>
      <c r="L5408" s="6">
        <v>57.563278198242202</v>
      </c>
    </row>
    <row r="5409" spans="1:12" x14ac:dyDescent="0.25">
      <c r="A5409">
        <v>4218202</v>
      </c>
      <c r="B5409" t="str">
        <f t="shared" si="84"/>
        <v>TIMBO, SC, Brasil</v>
      </c>
      <c r="C5409" s="4" t="str">
        <f>_xlfn.XLOOKUP(A5409,[1]!DadosGHD[CD_GEOCMU],[1]!DadosGHD[Região])</f>
        <v>SL</v>
      </c>
      <c r="D5409" s="4" t="str">
        <f>_xlfn.XLOOKUP(A5409,[1]!DadosGHD[CD_GEOCMU],[1]!DadosGHD[uf])</f>
        <v>SC</v>
      </c>
      <c r="E5409" s="5" t="str">
        <f>_xlfn.XLOOKUP(A5409,[1]!DadosGHD[CD_GEOCMU],[1]!DadosGHD[MUNICIPIO])</f>
        <v>TIMBO</v>
      </c>
      <c r="F5409" s="6">
        <v>63.865100860595703</v>
      </c>
      <c r="G5409" s="6">
        <v>63.912899017333999</v>
      </c>
      <c r="H5409" s="6">
        <v>63.9869995117188</v>
      </c>
      <c r="I5409" s="6">
        <v>63.9137992858887</v>
      </c>
      <c r="J5409" s="6">
        <v>63.932041168212898</v>
      </c>
      <c r="K5409" s="6">
        <v>59.059463500976598</v>
      </c>
      <c r="L5409" s="6">
        <v>57.589881896972699</v>
      </c>
    </row>
    <row r="5410" spans="1:12" x14ac:dyDescent="0.25">
      <c r="A5410">
        <v>5300108</v>
      </c>
      <c r="B5410" t="str">
        <f t="shared" si="84"/>
        <v>BRASILIA, DF, Brasil</v>
      </c>
      <c r="C5410" s="4" t="str">
        <f>_xlfn.XLOOKUP(A5410,[1]!DadosGHD[CD_GEOCMU],[1]!DadosGHD[Região])</f>
        <v>CO</v>
      </c>
      <c r="D5410" s="4" t="str">
        <f>_xlfn.XLOOKUP(A5410,[1]!DadosGHD[CD_GEOCMU],[1]!DadosGHD[uf])</f>
        <v>DF</v>
      </c>
      <c r="E5410" s="5" t="str">
        <f>_xlfn.XLOOKUP(A5410,[1]!DadosGHD[CD_GEOCMU],[1]!DadosGHD[MUNICIPIO])</f>
        <v>BRASILIA</v>
      </c>
      <c r="F5410" s="6">
        <v>63.866710662841797</v>
      </c>
      <c r="G5410" s="6">
        <v>63.927742004394503</v>
      </c>
      <c r="H5410" s="6">
        <v>63.964195251464801</v>
      </c>
      <c r="I5410" s="6">
        <v>63.905323028564503</v>
      </c>
      <c r="J5410" s="6">
        <v>63.909641265869098</v>
      </c>
      <c r="K5410" s="6">
        <v>59.016521453857401</v>
      </c>
      <c r="L5410" s="6">
        <v>57.524261474609403</v>
      </c>
    </row>
    <row r="5411" spans="1:12" x14ac:dyDescent="0.25">
      <c r="A5411">
        <v>3156403</v>
      </c>
      <c r="B5411" t="str">
        <f t="shared" si="84"/>
        <v>ROMARIA, MG, Brasil</v>
      </c>
      <c r="C5411" s="4" t="str">
        <f>_xlfn.XLOOKUP(A5411,[1]!DadosGHD[CD_GEOCMU],[1]!DadosGHD[Região])</f>
        <v>SD</v>
      </c>
      <c r="D5411" s="4" t="str">
        <f>_xlfn.XLOOKUP(A5411,[1]!DadosGHD[CD_GEOCMU],[1]!DadosGHD[uf])</f>
        <v>MG</v>
      </c>
      <c r="E5411" s="5" t="str">
        <f>_xlfn.XLOOKUP(A5411,[1]!DadosGHD[CD_GEOCMU],[1]!DadosGHD[MUNICIPIO])</f>
        <v>ROMARIA</v>
      </c>
      <c r="F5411" s="6">
        <v>63.8669624328613</v>
      </c>
      <c r="G5411" s="6">
        <v>63.8634643554688</v>
      </c>
      <c r="H5411" s="6">
        <v>63.966697692871101</v>
      </c>
      <c r="I5411" s="6">
        <v>58.951377868652301</v>
      </c>
      <c r="J5411" s="6">
        <v>53.869808197021499</v>
      </c>
      <c r="K5411" s="6">
        <v>43.8796577453613</v>
      </c>
      <c r="L5411" s="6">
        <v>44.020885467529297</v>
      </c>
    </row>
    <row r="5412" spans="1:12" x14ac:dyDescent="0.25">
      <c r="A5412">
        <v>4217907</v>
      </c>
      <c r="B5412" t="str">
        <f t="shared" si="84"/>
        <v>TANGARA, SC, Brasil</v>
      </c>
      <c r="C5412" s="4" t="str">
        <f>_xlfn.XLOOKUP(A5412,[1]!DadosGHD[CD_GEOCMU],[1]!DadosGHD[Região])</f>
        <v>SL</v>
      </c>
      <c r="D5412" s="4" t="str">
        <f>_xlfn.XLOOKUP(A5412,[1]!DadosGHD[CD_GEOCMU],[1]!DadosGHD[uf])</f>
        <v>SC</v>
      </c>
      <c r="E5412" s="5" t="str">
        <f>_xlfn.XLOOKUP(A5412,[1]!DadosGHD[CD_GEOCMU],[1]!DadosGHD[MUNICIPIO])</f>
        <v>TANGARA</v>
      </c>
      <c r="F5412" s="6">
        <v>63.868576049804702</v>
      </c>
      <c r="G5412" s="6">
        <v>63.966358184814503</v>
      </c>
      <c r="H5412" s="6">
        <v>64.026092529296903</v>
      </c>
      <c r="I5412" s="6">
        <v>64.000221252441406</v>
      </c>
      <c r="J5412" s="6">
        <v>64.005577087402301</v>
      </c>
      <c r="K5412" s="6">
        <v>59.107273101806598</v>
      </c>
      <c r="L5412" s="6">
        <v>53.026779174804702</v>
      </c>
    </row>
    <row r="5413" spans="1:12" x14ac:dyDescent="0.25">
      <c r="A5413">
        <v>4214805</v>
      </c>
      <c r="B5413" t="str">
        <f t="shared" si="84"/>
        <v>RIO DO SUL, SC, Brasil</v>
      </c>
      <c r="C5413" s="4" t="str">
        <f>_xlfn.XLOOKUP(A5413,[1]!DadosGHD[CD_GEOCMU],[1]!DadosGHD[Região])</f>
        <v>SL</v>
      </c>
      <c r="D5413" s="4" t="str">
        <f>_xlfn.XLOOKUP(A5413,[1]!DadosGHD[CD_GEOCMU],[1]!DadosGHD[uf])</f>
        <v>SC</v>
      </c>
      <c r="E5413" s="5" t="str">
        <f>_xlfn.XLOOKUP(A5413,[1]!DadosGHD[CD_GEOCMU],[1]!DadosGHD[MUNICIPIO])</f>
        <v>RIO DO SUL</v>
      </c>
      <c r="F5413" s="6">
        <v>63.8695068359375</v>
      </c>
      <c r="G5413" s="6">
        <v>63.944553375244098</v>
      </c>
      <c r="H5413" s="6">
        <v>64.026092529296903</v>
      </c>
      <c r="I5413" s="6">
        <v>58.935977935791001</v>
      </c>
      <c r="J5413" s="6">
        <v>64.025199890136705</v>
      </c>
      <c r="K5413" s="6">
        <v>59.134628295898402</v>
      </c>
      <c r="L5413" s="6">
        <v>57.589881896972699</v>
      </c>
    </row>
    <row r="5414" spans="1:12" x14ac:dyDescent="0.25">
      <c r="A5414">
        <v>3524709</v>
      </c>
      <c r="B5414" t="str">
        <f t="shared" si="84"/>
        <v>JAGUARIUNA, SP, Brasil</v>
      </c>
      <c r="C5414" s="4" t="str">
        <f>_xlfn.XLOOKUP(A5414,[1]!DadosGHD[CD_GEOCMU],[1]!DadosGHD[Região])</f>
        <v>SD</v>
      </c>
      <c r="D5414" s="4" t="str">
        <f>_xlfn.XLOOKUP(A5414,[1]!DadosGHD[CD_GEOCMU],[1]!DadosGHD[uf])</f>
        <v>SP</v>
      </c>
      <c r="E5414" s="5" t="str">
        <f>_xlfn.XLOOKUP(A5414,[1]!DadosGHD[CD_GEOCMU],[1]!DadosGHD[MUNICIPIO])</f>
        <v>JAGUARIUNA</v>
      </c>
      <c r="F5414" s="6">
        <v>63.870468139648402</v>
      </c>
      <c r="G5414" s="6">
        <v>63.966358184814503</v>
      </c>
      <c r="H5414" s="6">
        <v>63.9930229187012</v>
      </c>
      <c r="I5414" s="6">
        <v>63.897434234619098</v>
      </c>
      <c r="J5414" s="6">
        <v>63.927112579345703</v>
      </c>
      <c r="K5414" s="6">
        <v>59.036022186279297</v>
      </c>
      <c r="L5414" s="6">
        <v>57.589881896972699</v>
      </c>
    </row>
    <row r="5415" spans="1:12" x14ac:dyDescent="0.25">
      <c r="A5415">
        <v>3106903</v>
      </c>
      <c r="B5415" t="str">
        <f t="shared" si="84"/>
        <v>BICAS, MG, Brasil</v>
      </c>
      <c r="C5415" s="4" t="str">
        <f>_xlfn.XLOOKUP(A5415,[1]!DadosGHD[CD_GEOCMU],[1]!DadosGHD[Região])</f>
        <v>SD</v>
      </c>
      <c r="D5415" s="4" t="str">
        <f>_xlfn.XLOOKUP(A5415,[1]!DadosGHD[CD_GEOCMU],[1]!DadosGHD[uf])</f>
        <v>MG</v>
      </c>
      <c r="E5415" s="5" t="str">
        <f>_xlfn.XLOOKUP(A5415,[1]!DadosGHD[CD_GEOCMU],[1]!DadosGHD[MUNICIPIO])</f>
        <v>BICAS</v>
      </c>
      <c r="F5415" s="6">
        <v>63.876575469970703</v>
      </c>
      <c r="G5415" s="6">
        <v>63.966358184814503</v>
      </c>
      <c r="H5415" s="6">
        <v>64.026092529296903</v>
      </c>
      <c r="I5415" s="6">
        <v>58.972499847412102</v>
      </c>
      <c r="J5415" s="6">
        <v>58.963352203369098</v>
      </c>
      <c r="K5415" s="6">
        <v>59.066593170166001</v>
      </c>
      <c r="L5415" s="6">
        <v>57.559680938720703</v>
      </c>
    </row>
    <row r="5416" spans="1:12" x14ac:dyDescent="0.25">
      <c r="A5416">
        <v>4319703</v>
      </c>
      <c r="B5416" t="str">
        <f t="shared" si="84"/>
        <v>SAO VALENTIM, RS, Brasil</v>
      </c>
      <c r="C5416" s="4" t="str">
        <f>_xlfn.XLOOKUP(A5416,[1]!DadosGHD[CD_GEOCMU],[1]!DadosGHD[Região])</f>
        <v>SL</v>
      </c>
      <c r="D5416" s="4" t="str">
        <f>_xlfn.XLOOKUP(A5416,[1]!DadosGHD[CD_GEOCMU],[1]!DadosGHD[uf])</f>
        <v>RS</v>
      </c>
      <c r="E5416" s="5" t="str">
        <f>_xlfn.XLOOKUP(A5416,[1]!DadosGHD[CD_GEOCMU],[1]!DadosGHD[MUNICIPIO])</f>
        <v>SAO VALENTIM</v>
      </c>
      <c r="F5416" s="6">
        <v>63.881393432617202</v>
      </c>
      <c r="G5416" s="6">
        <v>63.966358184814503</v>
      </c>
      <c r="H5416" s="6">
        <v>64.026092529296903</v>
      </c>
      <c r="I5416" s="6">
        <v>64.000221252441406</v>
      </c>
      <c r="J5416" s="6">
        <v>64.039611816406307</v>
      </c>
      <c r="K5416" s="6">
        <v>64.13623046875</v>
      </c>
      <c r="L5416" s="6">
        <v>44.028118133544901</v>
      </c>
    </row>
    <row r="5417" spans="1:12" x14ac:dyDescent="0.25">
      <c r="A5417">
        <v>4318622</v>
      </c>
      <c r="B5417" t="str">
        <f t="shared" si="84"/>
        <v>SAO JOSE DOS AUSENTES, RS, Brasil</v>
      </c>
      <c r="C5417" s="4" t="str">
        <f>_xlfn.XLOOKUP(A5417,[1]!DadosGHD[CD_GEOCMU],[1]!DadosGHD[Região])</f>
        <v>SL</v>
      </c>
      <c r="D5417" s="4" t="str">
        <f>_xlfn.XLOOKUP(A5417,[1]!DadosGHD[CD_GEOCMU],[1]!DadosGHD[uf])</f>
        <v>RS</v>
      </c>
      <c r="E5417" s="5" t="str">
        <f>_xlfn.XLOOKUP(A5417,[1]!DadosGHD[CD_GEOCMU],[1]!DadosGHD[MUNICIPIO])</f>
        <v>SAO JOSE DOS AUSENTES</v>
      </c>
      <c r="F5417" s="6">
        <v>63.885021209716797</v>
      </c>
      <c r="G5417" s="6">
        <v>63.966358184814503</v>
      </c>
      <c r="H5417" s="6">
        <v>64.026092529296903</v>
      </c>
      <c r="I5417" s="6">
        <v>64.000221252441406</v>
      </c>
      <c r="J5417" s="6">
        <v>64.039611816406307</v>
      </c>
      <c r="K5417" s="6">
        <v>64.13623046875</v>
      </c>
      <c r="L5417" s="6">
        <v>57.589881896972699</v>
      </c>
    </row>
    <row r="5418" spans="1:12" x14ac:dyDescent="0.25">
      <c r="A5418">
        <v>3109105</v>
      </c>
      <c r="B5418" t="str">
        <f t="shared" si="84"/>
        <v>BUENO BRANDAO, MG, Brasil</v>
      </c>
      <c r="C5418" s="4" t="str">
        <f>_xlfn.XLOOKUP(A5418,[1]!DadosGHD[CD_GEOCMU],[1]!DadosGHD[Região])</f>
        <v>SD</v>
      </c>
      <c r="D5418" s="4" t="str">
        <f>_xlfn.XLOOKUP(A5418,[1]!DadosGHD[CD_GEOCMU],[1]!DadosGHD[uf])</f>
        <v>MG</v>
      </c>
      <c r="E5418" s="5" t="str">
        <f>_xlfn.XLOOKUP(A5418,[1]!DadosGHD[CD_GEOCMU],[1]!DadosGHD[MUNICIPIO])</f>
        <v>BUENO BRANDAO</v>
      </c>
      <c r="F5418" s="6">
        <v>63.885025024414098</v>
      </c>
      <c r="G5418" s="6">
        <v>58.858329772949197</v>
      </c>
      <c r="H5418" s="6">
        <v>58.8654594421387</v>
      </c>
      <c r="I5418" s="6">
        <v>53.824794769287102</v>
      </c>
      <c r="J5418" s="6">
        <v>53.857460021972699</v>
      </c>
      <c r="K5418" s="6">
        <v>53.847537994384801</v>
      </c>
      <c r="L5418" s="6">
        <v>48.542636871337898</v>
      </c>
    </row>
    <row r="5419" spans="1:12" x14ac:dyDescent="0.25">
      <c r="A5419">
        <v>4123709</v>
      </c>
      <c r="B5419" t="str">
        <f t="shared" si="84"/>
        <v>SANTA ISABEL DO IVAI, PR, Brasil</v>
      </c>
      <c r="C5419" s="4" t="str">
        <f>_xlfn.XLOOKUP(A5419,[1]!DadosGHD[CD_GEOCMU],[1]!DadosGHD[Região])</f>
        <v>SL</v>
      </c>
      <c r="D5419" s="4" t="str">
        <f>_xlfn.XLOOKUP(A5419,[1]!DadosGHD[CD_GEOCMU],[1]!DadosGHD[uf])</f>
        <v>PR</v>
      </c>
      <c r="E5419" s="5" t="str">
        <f>_xlfn.XLOOKUP(A5419,[1]!DadosGHD[CD_GEOCMU],[1]!DadosGHD[MUNICIPIO])</f>
        <v>SANTA ISABEL DO IVAI</v>
      </c>
      <c r="F5419" s="6">
        <v>63.885337829589801</v>
      </c>
      <c r="G5419" s="6">
        <v>63.934879302978501</v>
      </c>
      <c r="H5419" s="6">
        <v>58.985572814941399</v>
      </c>
      <c r="I5419" s="6">
        <v>58.920440673828097</v>
      </c>
      <c r="J5419" s="6">
        <v>58.855640411377003</v>
      </c>
      <c r="K5419" s="6">
        <v>53.9586181640625</v>
      </c>
      <c r="L5419" s="6">
        <v>44.071903228759801</v>
      </c>
    </row>
    <row r="5420" spans="1:12" x14ac:dyDescent="0.25">
      <c r="A5420">
        <v>4313656</v>
      </c>
      <c r="B5420" t="str">
        <f t="shared" si="84"/>
        <v>PALMARES DO SUL, RS, Brasil</v>
      </c>
      <c r="C5420" s="4" t="str">
        <f>_xlfn.XLOOKUP(A5420,[1]!DadosGHD[CD_GEOCMU],[1]!DadosGHD[Região])</f>
        <v>SL</v>
      </c>
      <c r="D5420" s="4" t="str">
        <f>_xlfn.XLOOKUP(A5420,[1]!DadosGHD[CD_GEOCMU],[1]!DadosGHD[uf])</f>
        <v>RS</v>
      </c>
      <c r="E5420" s="5" t="str">
        <f>_xlfn.XLOOKUP(A5420,[1]!DadosGHD[CD_GEOCMU],[1]!DadosGHD[MUNICIPIO])</f>
        <v>PALMARES DO SUL</v>
      </c>
      <c r="F5420" s="6">
        <v>63.8867797851563</v>
      </c>
      <c r="G5420" s="6">
        <v>63.869289398193402</v>
      </c>
      <c r="H5420" s="6">
        <v>58.973762512207003</v>
      </c>
      <c r="I5420" s="6">
        <v>58.967414855957003</v>
      </c>
      <c r="J5420" s="6">
        <v>58.966644287109403</v>
      </c>
      <c r="K5420" s="6">
        <v>59.021968841552699</v>
      </c>
      <c r="L5420" s="6">
        <v>52.989185333252003</v>
      </c>
    </row>
    <row r="5421" spans="1:12" x14ac:dyDescent="0.25">
      <c r="A5421">
        <v>2408102</v>
      </c>
      <c r="B5421" t="str">
        <f t="shared" si="84"/>
        <v>NATAL, RN, Brasil</v>
      </c>
      <c r="C5421" s="4" t="str">
        <f>_xlfn.XLOOKUP(A5421,[1]!DadosGHD[CD_GEOCMU],[1]!DadosGHD[Região])</f>
        <v>NE</v>
      </c>
      <c r="D5421" s="4" t="str">
        <f>_xlfn.XLOOKUP(A5421,[1]!DadosGHD[CD_GEOCMU],[1]!DadosGHD[uf])</f>
        <v>RN</v>
      </c>
      <c r="E5421" s="5" t="str">
        <f>_xlfn.XLOOKUP(A5421,[1]!DadosGHD[CD_GEOCMU],[1]!DadosGHD[MUNICIPIO])</f>
        <v>NATAL</v>
      </c>
      <c r="F5421" s="6">
        <v>63.886825561523402</v>
      </c>
      <c r="G5421" s="6">
        <v>63.945323944091797</v>
      </c>
      <c r="H5421" s="6">
        <v>63.978275299072301</v>
      </c>
      <c r="I5421" s="6">
        <v>63.914348602294901</v>
      </c>
      <c r="J5421" s="6">
        <v>58.9879150390625</v>
      </c>
      <c r="K5421" s="6">
        <v>58.9981079101563</v>
      </c>
      <c r="L5421" s="6">
        <v>57.518310546875</v>
      </c>
    </row>
    <row r="5422" spans="1:12" x14ac:dyDescent="0.25">
      <c r="A5422">
        <v>4219408</v>
      </c>
      <c r="B5422" t="str">
        <f t="shared" si="84"/>
        <v>WITMARSUM, SC, Brasil</v>
      </c>
      <c r="C5422" s="4" t="str">
        <f>_xlfn.XLOOKUP(A5422,[1]!DadosGHD[CD_GEOCMU],[1]!DadosGHD[Região])</f>
        <v>SL</v>
      </c>
      <c r="D5422" s="4" t="str">
        <f>_xlfn.XLOOKUP(A5422,[1]!DadosGHD[CD_GEOCMU],[1]!DadosGHD[uf])</f>
        <v>SC</v>
      </c>
      <c r="E5422" s="5" t="str">
        <f>_xlfn.XLOOKUP(A5422,[1]!DadosGHD[CD_GEOCMU],[1]!DadosGHD[MUNICIPIO])</f>
        <v>WITMARSUM</v>
      </c>
      <c r="F5422" s="6">
        <v>63.887428283691399</v>
      </c>
      <c r="G5422" s="6">
        <v>63.966358184814503</v>
      </c>
      <c r="H5422" s="6">
        <v>64.026092529296903</v>
      </c>
      <c r="I5422" s="6">
        <v>64.000221252441406</v>
      </c>
      <c r="J5422" s="6">
        <v>64.030570983886705</v>
      </c>
      <c r="K5422" s="6">
        <v>59.109954833984403</v>
      </c>
      <c r="L5422" s="6">
        <v>39.604476928710902</v>
      </c>
    </row>
    <row r="5423" spans="1:12" x14ac:dyDescent="0.25">
      <c r="A5423">
        <v>3534302</v>
      </c>
      <c r="B5423" t="str">
        <f t="shared" si="84"/>
        <v>ORLANDIA, SP, Brasil</v>
      </c>
      <c r="C5423" s="4" t="str">
        <f>_xlfn.XLOOKUP(A5423,[1]!DadosGHD[CD_GEOCMU],[1]!DadosGHD[Região])</f>
        <v>SD</v>
      </c>
      <c r="D5423" s="4" t="str">
        <f>_xlfn.XLOOKUP(A5423,[1]!DadosGHD[CD_GEOCMU],[1]!DadosGHD[uf])</f>
        <v>SP</v>
      </c>
      <c r="E5423" s="5" t="str">
        <f>_xlfn.XLOOKUP(A5423,[1]!DadosGHD[CD_GEOCMU],[1]!DadosGHD[MUNICIPIO])</f>
        <v>ORLANDIA</v>
      </c>
      <c r="F5423" s="6">
        <v>63.887939453125</v>
      </c>
      <c r="G5423" s="6">
        <v>63.894298553466797</v>
      </c>
      <c r="H5423" s="6">
        <v>58.914932250976598</v>
      </c>
      <c r="I5423" s="6">
        <v>58.815460205078097</v>
      </c>
      <c r="J5423" s="6">
        <v>58.915882110595703</v>
      </c>
      <c r="K5423" s="6">
        <v>58.994953155517599</v>
      </c>
      <c r="L5423" s="6">
        <v>57.563076019287102</v>
      </c>
    </row>
    <row r="5424" spans="1:12" x14ac:dyDescent="0.25">
      <c r="A5424">
        <v>4307500</v>
      </c>
      <c r="B5424" t="str">
        <f t="shared" si="84"/>
        <v>ESPUMOSO, RS, Brasil</v>
      </c>
      <c r="C5424" s="4" t="str">
        <f>_xlfn.XLOOKUP(A5424,[1]!DadosGHD[CD_GEOCMU],[1]!DadosGHD[Região])</f>
        <v>SL</v>
      </c>
      <c r="D5424" s="4" t="str">
        <f>_xlfn.XLOOKUP(A5424,[1]!DadosGHD[CD_GEOCMU],[1]!DadosGHD[uf])</f>
        <v>RS</v>
      </c>
      <c r="E5424" s="5" t="str">
        <f>_xlfn.XLOOKUP(A5424,[1]!DadosGHD[CD_GEOCMU],[1]!DadosGHD[MUNICIPIO])</f>
        <v>ESPUMOSO</v>
      </c>
      <c r="F5424" s="6">
        <v>63.890678405761697</v>
      </c>
      <c r="G5424" s="6">
        <v>63.966358184814503</v>
      </c>
      <c r="H5424" s="6">
        <v>64.026092529296903</v>
      </c>
      <c r="I5424" s="6">
        <v>64.000221252441406</v>
      </c>
      <c r="J5424" s="6">
        <v>64.039611816406307</v>
      </c>
      <c r="K5424" s="6">
        <v>64.13623046875</v>
      </c>
      <c r="L5424" s="6">
        <v>53.026660919189503</v>
      </c>
    </row>
    <row r="5425" spans="1:12" x14ac:dyDescent="0.25">
      <c r="A5425">
        <v>5002704</v>
      </c>
      <c r="B5425" t="str">
        <f t="shared" si="84"/>
        <v>CAMPO GRANDE, MS, Brasil</v>
      </c>
      <c r="C5425" s="4" t="str">
        <f>_xlfn.XLOOKUP(A5425,[1]!DadosGHD[CD_GEOCMU],[1]!DadosGHD[Região])</f>
        <v>CO</v>
      </c>
      <c r="D5425" s="4" t="str">
        <f>_xlfn.XLOOKUP(A5425,[1]!DadosGHD[CD_GEOCMU],[1]!DadosGHD[uf])</f>
        <v>MS</v>
      </c>
      <c r="E5425" s="5" t="str">
        <f>_xlfn.XLOOKUP(A5425,[1]!DadosGHD[CD_GEOCMU],[1]!DadosGHD[MUNICIPIO])</f>
        <v>CAMPO GRANDE</v>
      </c>
      <c r="F5425" s="6">
        <v>63.895114898681598</v>
      </c>
      <c r="G5425" s="6">
        <v>63.956356048583999</v>
      </c>
      <c r="H5425" s="6">
        <v>63.995376586914098</v>
      </c>
      <c r="I5425" s="6">
        <v>63.933837890625</v>
      </c>
      <c r="J5425" s="6">
        <v>63.930397033691399</v>
      </c>
      <c r="K5425" s="6">
        <v>59.035060882568402</v>
      </c>
      <c r="L5425" s="6">
        <v>57.529457092285199</v>
      </c>
    </row>
    <row r="5426" spans="1:12" x14ac:dyDescent="0.25">
      <c r="A5426">
        <v>4209102</v>
      </c>
      <c r="B5426" t="str">
        <f t="shared" si="84"/>
        <v>JOINVILLE, SC, Brasil</v>
      </c>
      <c r="C5426" s="4" t="str">
        <f>_xlfn.XLOOKUP(A5426,[1]!DadosGHD[CD_GEOCMU],[1]!DadosGHD[Região])</f>
        <v>SL</v>
      </c>
      <c r="D5426" s="4" t="str">
        <f>_xlfn.XLOOKUP(A5426,[1]!DadosGHD[CD_GEOCMU],[1]!DadosGHD[uf])</f>
        <v>SC</v>
      </c>
      <c r="E5426" s="5" t="str">
        <f>_xlfn.XLOOKUP(A5426,[1]!DadosGHD[CD_GEOCMU],[1]!DadosGHD[MUNICIPIO])</f>
        <v>JOINVILLE</v>
      </c>
      <c r="F5426" s="6">
        <v>63.897037506103501</v>
      </c>
      <c r="G5426" s="6">
        <v>63.905345916748097</v>
      </c>
      <c r="H5426" s="6">
        <v>63.950962066650398</v>
      </c>
      <c r="I5426" s="6">
        <v>58.973033905029297</v>
      </c>
      <c r="J5426" s="6">
        <v>63.9274711608887</v>
      </c>
      <c r="K5426" s="6">
        <v>59.040271759033203</v>
      </c>
      <c r="L5426" s="6">
        <v>57.567634582519503</v>
      </c>
    </row>
    <row r="5427" spans="1:12" x14ac:dyDescent="0.25">
      <c r="A5427">
        <v>1302603</v>
      </c>
      <c r="B5427" t="str">
        <f t="shared" si="84"/>
        <v>MANAUS, AM, Brasil</v>
      </c>
      <c r="C5427" s="4" t="str">
        <f>_xlfn.XLOOKUP(A5427,[1]!DadosGHD[CD_GEOCMU],[1]!DadosGHD[Região])</f>
        <v>NO</v>
      </c>
      <c r="D5427" s="4" t="str">
        <f>_xlfn.XLOOKUP(A5427,[1]!DadosGHD[CD_GEOCMU],[1]!DadosGHD[uf])</f>
        <v>AM</v>
      </c>
      <c r="E5427" s="5" t="str">
        <f>_xlfn.XLOOKUP(A5427,[1]!DadosGHD[CD_GEOCMU],[1]!DadosGHD[MUNICIPIO])</f>
        <v>MANAUS</v>
      </c>
      <c r="F5427" s="6">
        <v>63.898200988769503</v>
      </c>
      <c r="G5427" s="6">
        <v>63.953327178955099</v>
      </c>
      <c r="H5427" s="6">
        <v>63.991096496582003</v>
      </c>
      <c r="I5427" s="6">
        <v>63.930027008056598</v>
      </c>
      <c r="J5427" s="6">
        <v>63.926422119140597</v>
      </c>
      <c r="K5427" s="6">
        <v>59.033103942871101</v>
      </c>
      <c r="L5427" s="6">
        <v>57.527332305908203</v>
      </c>
    </row>
    <row r="5428" spans="1:12" x14ac:dyDescent="0.25">
      <c r="A5428">
        <v>2304400</v>
      </c>
      <c r="B5428" t="str">
        <f t="shared" si="84"/>
        <v>FORTALEZA, CE, Brasil</v>
      </c>
      <c r="C5428" s="4" t="str">
        <f>_xlfn.XLOOKUP(A5428,[1]!DadosGHD[CD_GEOCMU],[1]!DadosGHD[Região])</f>
        <v>NE</v>
      </c>
      <c r="D5428" s="4" t="str">
        <f>_xlfn.XLOOKUP(A5428,[1]!DadosGHD[CD_GEOCMU],[1]!DadosGHD[uf])</f>
        <v>CE</v>
      </c>
      <c r="E5428" s="5" t="str">
        <f>_xlfn.XLOOKUP(A5428,[1]!DadosGHD[CD_GEOCMU],[1]!DadosGHD[MUNICIPIO])</f>
        <v>FORTALEZA</v>
      </c>
      <c r="F5428" s="6">
        <v>63.898601531982401</v>
      </c>
      <c r="G5428" s="6">
        <v>63.9548149108887</v>
      </c>
      <c r="H5428" s="6">
        <v>63.9911499023438</v>
      </c>
      <c r="I5428" s="6">
        <v>63.928432464599602</v>
      </c>
      <c r="J5428" s="6">
        <v>63.9232788085938</v>
      </c>
      <c r="K5428" s="6">
        <v>59.026607513427699</v>
      </c>
      <c r="L5428" s="6">
        <v>57.526195526123097</v>
      </c>
    </row>
    <row r="5429" spans="1:12" x14ac:dyDescent="0.25">
      <c r="A5429">
        <v>2927408</v>
      </c>
      <c r="B5429" t="str">
        <f t="shared" si="84"/>
        <v>SALVADOR, BA, Brasil</v>
      </c>
      <c r="C5429" s="4" t="str">
        <f>_xlfn.XLOOKUP(A5429,[1]!DadosGHD[CD_GEOCMU],[1]!DadosGHD[Região])</f>
        <v>NE</v>
      </c>
      <c r="D5429" s="4" t="str">
        <f>_xlfn.XLOOKUP(A5429,[1]!DadosGHD[CD_GEOCMU],[1]!DadosGHD[uf])</f>
        <v>BA</v>
      </c>
      <c r="E5429" s="5" t="str">
        <f>_xlfn.XLOOKUP(A5429,[1]!DadosGHD[CD_GEOCMU],[1]!DadosGHD[MUNICIPIO])</f>
        <v>SALVADOR</v>
      </c>
      <c r="F5429" s="6">
        <v>63.899753570556598</v>
      </c>
      <c r="G5429" s="6">
        <v>63.957164764404297</v>
      </c>
      <c r="H5429" s="6">
        <v>63.996913909912102</v>
      </c>
      <c r="I5429" s="6">
        <v>63.933555603027301</v>
      </c>
      <c r="J5429" s="6">
        <v>63.928928375244098</v>
      </c>
      <c r="K5429" s="6">
        <v>59.032485961914098</v>
      </c>
      <c r="L5429" s="6">
        <v>57.527828216552699</v>
      </c>
    </row>
    <row r="5430" spans="1:12" x14ac:dyDescent="0.25">
      <c r="A5430">
        <v>1501402</v>
      </c>
      <c r="B5430" t="str">
        <f t="shared" si="84"/>
        <v>BELEM, PA, Brasil</v>
      </c>
      <c r="C5430" s="4" t="str">
        <f>_xlfn.XLOOKUP(A5430,[1]!DadosGHD[CD_GEOCMU],[1]!DadosGHD[Região])</f>
        <v>NO</v>
      </c>
      <c r="D5430" s="4" t="str">
        <f>_xlfn.XLOOKUP(A5430,[1]!DadosGHD[CD_GEOCMU],[1]!DadosGHD[uf])</f>
        <v>PA</v>
      </c>
      <c r="E5430" s="5" t="str">
        <f>_xlfn.XLOOKUP(A5430,[1]!DadosGHD[CD_GEOCMU],[1]!DadosGHD[MUNICIPIO])</f>
        <v>BELEM</v>
      </c>
      <c r="F5430" s="6">
        <v>63.900070190429702</v>
      </c>
      <c r="G5430" s="6">
        <v>63.954784393310597</v>
      </c>
      <c r="H5430" s="6">
        <v>63.992691040039098</v>
      </c>
      <c r="I5430" s="6">
        <v>63.931175231933601</v>
      </c>
      <c r="J5430" s="6">
        <v>63.934368133544901</v>
      </c>
      <c r="K5430" s="6">
        <v>59.034988403320298</v>
      </c>
      <c r="L5430" s="6">
        <v>57.527847290039098</v>
      </c>
    </row>
    <row r="5431" spans="1:12" x14ac:dyDescent="0.25">
      <c r="A5431">
        <v>3548708</v>
      </c>
      <c r="B5431" t="str">
        <f t="shared" si="84"/>
        <v>SAO BERNARDO DO CAMPO, SP, Brasil</v>
      </c>
      <c r="C5431" s="4" t="str">
        <f>_xlfn.XLOOKUP(A5431,[1]!DadosGHD[CD_GEOCMU],[1]!DadosGHD[Região])</f>
        <v>SD</v>
      </c>
      <c r="D5431" s="4" t="str">
        <f>_xlfn.XLOOKUP(A5431,[1]!DadosGHD[CD_GEOCMU],[1]!DadosGHD[uf])</f>
        <v>SP</v>
      </c>
      <c r="E5431" s="5" t="str">
        <f>_xlfn.XLOOKUP(A5431,[1]!DadosGHD[CD_GEOCMU],[1]!DadosGHD[MUNICIPIO])</f>
        <v>SAO BERNARDO DO CAMPO</v>
      </c>
      <c r="F5431" s="6">
        <v>63.900867462158203</v>
      </c>
      <c r="G5431" s="6">
        <v>63.956127166748097</v>
      </c>
      <c r="H5431" s="6">
        <v>63.993495941162102</v>
      </c>
      <c r="I5431" s="6">
        <v>63.931827545166001</v>
      </c>
      <c r="J5431" s="6">
        <v>63.925643920898402</v>
      </c>
      <c r="K5431" s="6">
        <v>59.027957916259801</v>
      </c>
      <c r="L5431" s="6">
        <v>57.525997161865199</v>
      </c>
    </row>
    <row r="5432" spans="1:12" x14ac:dyDescent="0.25">
      <c r="A5432">
        <v>3509502</v>
      </c>
      <c r="B5432" t="str">
        <f t="shared" si="84"/>
        <v>CAMPINAS, SP, Brasil</v>
      </c>
      <c r="C5432" s="4" t="str">
        <f>_xlfn.XLOOKUP(A5432,[1]!DadosGHD[CD_GEOCMU],[1]!DadosGHD[Região])</f>
        <v>SD</v>
      </c>
      <c r="D5432" s="4" t="str">
        <f>_xlfn.XLOOKUP(A5432,[1]!DadosGHD[CD_GEOCMU],[1]!DadosGHD[uf])</f>
        <v>SP</v>
      </c>
      <c r="E5432" s="5" t="str">
        <f>_xlfn.XLOOKUP(A5432,[1]!DadosGHD[CD_GEOCMU],[1]!DadosGHD[MUNICIPIO])</f>
        <v>CAMPINAS</v>
      </c>
      <c r="F5432" s="6">
        <v>63.9011421203613</v>
      </c>
      <c r="G5432" s="6">
        <v>63.959236145019503</v>
      </c>
      <c r="H5432" s="6">
        <v>63.998146057128899</v>
      </c>
      <c r="I5432" s="6">
        <v>63.936763763427699</v>
      </c>
      <c r="J5432" s="6">
        <v>63.937290191650398</v>
      </c>
      <c r="K5432" s="6">
        <v>59.040115356445298</v>
      </c>
      <c r="L5432" s="6">
        <v>57.529483795166001</v>
      </c>
    </row>
    <row r="5433" spans="1:12" x14ac:dyDescent="0.25">
      <c r="A5433">
        <v>3534401</v>
      </c>
      <c r="B5433" t="str">
        <f t="shared" si="84"/>
        <v>OSASCO, SP, Brasil</v>
      </c>
      <c r="C5433" s="4" t="str">
        <f>_xlfn.XLOOKUP(A5433,[1]!DadosGHD[CD_GEOCMU],[1]!DadosGHD[Região])</f>
        <v>SD</v>
      </c>
      <c r="D5433" s="4" t="str">
        <f>_xlfn.XLOOKUP(A5433,[1]!DadosGHD[CD_GEOCMU],[1]!DadosGHD[uf])</f>
        <v>SP</v>
      </c>
      <c r="E5433" s="5" t="str">
        <f>_xlfn.XLOOKUP(A5433,[1]!DadosGHD[CD_GEOCMU],[1]!DadosGHD[MUNICIPIO])</f>
        <v>OSASCO</v>
      </c>
      <c r="F5433" s="6">
        <v>63.901538848877003</v>
      </c>
      <c r="G5433" s="6">
        <v>63.953376770019503</v>
      </c>
      <c r="H5433" s="6">
        <v>63.989875793457003</v>
      </c>
      <c r="I5433" s="6">
        <v>63.927040100097699</v>
      </c>
      <c r="J5433" s="6">
        <v>63.913124084472699</v>
      </c>
      <c r="K5433" s="6">
        <v>59.018043518066399</v>
      </c>
      <c r="L5433" s="6">
        <v>57.525306701660199</v>
      </c>
    </row>
    <row r="5434" spans="1:12" x14ac:dyDescent="0.25">
      <c r="A5434">
        <v>4213351</v>
      </c>
      <c r="B5434" t="str">
        <f t="shared" si="84"/>
        <v>PONTE ALTA DO NORTE, SC, Brasil</v>
      </c>
      <c r="C5434" s="4" t="str">
        <f>_xlfn.XLOOKUP(A5434,[1]!DadosGHD[CD_GEOCMU],[1]!DadosGHD[Região])</f>
        <v>SL</v>
      </c>
      <c r="D5434" s="4" t="str">
        <f>_xlfn.XLOOKUP(A5434,[1]!DadosGHD[CD_GEOCMU],[1]!DadosGHD[uf])</f>
        <v>SC</v>
      </c>
      <c r="E5434" s="5" t="str">
        <f>_xlfn.XLOOKUP(A5434,[1]!DadosGHD[CD_GEOCMU],[1]!DadosGHD[MUNICIPIO])</f>
        <v>PONTE ALTA DO NORTE</v>
      </c>
      <c r="F5434" s="6">
        <v>63.901905059814503</v>
      </c>
      <c r="G5434" s="6">
        <v>63.916187286377003</v>
      </c>
      <c r="H5434" s="6">
        <v>64.026092529296903</v>
      </c>
      <c r="I5434" s="6">
        <v>63.934600830078097</v>
      </c>
      <c r="J5434" s="6">
        <v>63.944595336914098</v>
      </c>
      <c r="K5434" s="6">
        <v>59.080589294433601</v>
      </c>
      <c r="L5434" s="6">
        <v>39.573764801025398</v>
      </c>
    </row>
    <row r="5435" spans="1:12" x14ac:dyDescent="0.25">
      <c r="A5435">
        <v>2611606</v>
      </c>
      <c r="B5435" t="str">
        <f t="shared" si="84"/>
        <v>RECIFE, PE, Brasil</v>
      </c>
      <c r="C5435" s="4" t="str">
        <f>_xlfn.XLOOKUP(A5435,[1]!DadosGHD[CD_GEOCMU],[1]!DadosGHD[Região])</f>
        <v>NE</v>
      </c>
      <c r="D5435" s="4" t="str">
        <f>_xlfn.XLOOKUP(A5435,[1]!DadosGHD[CD_GEOCMU],[1]!DadosGHD[uf])</f>
        <v>PE</v>
      </c>
      <c r="E5435" s="5" t="str">
        <f>_xlfn.XLOOKUP(A5435,[1]!DadosGHD[CD_GEOCMU],[1]!DadosGHD[MUNICIPIO])</f>
        <v>RECIFE</v>
      </c>
      <c r="F5435" s="6">
        <v>63.902370452880902</v>
      </c>
      <c r="G5435" s="6">
        <v>63.962799072265597</v>
      </c>
      <c r="H5435" s="6">
        <v>63.998931884765597</v>
      </c>
      <c r="I5435" s="6">
        <v>63.936702728271499</v>
      </c>
      <c r="J5435" s="6">
        <v>63.931217193603501</v>
      </c>
      <c r="K5435" s="6">
        <v>59.035621643066399</v>
      </c>
      <c r="L5435" s="6">
        <v>57.528018951416001</v>
      </c>
    </row>
    <row r="5436" spans="1:12" x14ac:dyDescent="0.25">
      <c r="A5436">
        <v>5208707</v>
      </c>
      <c r="B5436" t="str">
        <f t="shared" si="84"/>
        <v>GOIANIA, GO, Brasil</v>
      </c>
      <c r="C5436" s="4" t="str">
        <f>_xlfn.XLOOKUP(A5436,[1]!DadosGHD[CD_GEOCMU],[1]!DadosGHD[Região])</f>
        <v>CO</v>
      </c>
      <c r="D5436" s="4" t="str">
        <f>_xlfn.XLOOKUP(A5436,[1]!DadosGHD[CD_GEOCMU],[1]!DadosGHD[uf])</f>
        <v>GO</v>
      </c>
      <c r="E5436" s="5" t="str">
        <f>_xlfn.XLOOKUP(A5436,[1]!DadosGHD[CD_GEOCMU],[1]!DadosGHD[MUNICIPIO])</f>
        <v>GOIANIA</v>
      </c>
      <c r="F5436" s="6">
        <v>63.902595520019503</v>
      </c>
      <c r="G5436" s="6">
        <v>63.963542938232401</v>
      </c>
      <c r="H5436" s="6">
        <v>64.003692626953097</v>
      </c>
      <c r="I5436" s="6">
        <v>63.942070007324197</v>
      </c>
      <c r="J5436" s="6">
        <v>63.937282562255902</v>
      </c>
      <c r="K5436" s="6">
        <v>59.040077209472699</v>
      </c>
      <c r="L5436" s="6">
        <v>57.529453277587898</v>
      </c>
    </row>
    <row r="5437" spans="1:12" x14ac:dyDescent="0.25">
      <c r="A5437">
        <v>4106902</v>
      </c>
      <c r="B5437" t="str">
        <f t="shared" si="84"/>
        <v>CURITIBA, PR, Brasil</v>
      </c>
      <c r="C5437" s="4" t="str">
        <f>_xlfn.XLOOKUP(A5437,[1]!DadosGHD[CD_GEOCMU],[1]!DadosGHD[Região])</f>
        <v>SL</v>
      </c>
      <c r="D5437" s="4" t="str">
        <f>_xlfn.XLOOKUP(A5437,[1]!DadosGHD[CD_GEOCMU],[1]!DadosGHD[uf])</f>
        <v>PR</v>
      </c>
      <c r="E5437" s="5" t="str">
        <f>_xlfn.XLOOKUP(A5437,[1]!DadosGHD[CD_GEOCMU],[1]!DadosGHD[MUNICIPIO])</f>
        <v>CURITIBA</v>
      </c>
      <c r="F5437" s="6">
        <v>63.903800964355497</v>
      </c>
      <c r="G5437" s="6">
        <v>63.963909149169901</v>
      </c>
      <c r="H5437" s="6">
        <v>64.004249572753906</v>
      </c>
      <c r="I5437" s="6">
        <v>63.942901611328097</v>
      </c>
      <c r="J5437" s="6">
        <v>63.937694549560597</v>
      </c>
      <c r="K5437" s="6">
        <v>59.042030334472699</v>
      </c>
      <c r="L5437" s="6">
        <v>57.529544830322301</v>
      </c>
    </row>
    <row r="5438" spans="1:12" x14ac:dyDescent="0.25">
      <c r="A5438">
        <v>3543402</v>
      </c>
      <c r="B5438" t="str">
        <f t="shared" si="84"/>
        <v>RIBEIRAO PRETO, SP, Brasil</v>
      </c>
      <c r="C5438" s="4" t="str">
        <f>_xlfn.XLOOKUP(A5438,[1]!DadosGHD[CD_GEOCMU],[1]!DadosGHD[Região])</f>
        <v>SD</v>
      </c>
      <c r="D5438" s="4" t="str">
        <f>_xlfn.XLOOKUP(A5438,[1]!DadosGHD[CD_GEOCMU],[1]!DadosGHD[uf])</f>
        <v>SP</v>
      </c>
      <c r="E5438" s="5" t="str">
        <f>_xlfn.XLOOKUP(A5438,[1]!DadosGHD[CD_GEOCMU],[1]!DadosGHD[MUNICIPIO])</f>
        <v>RIBEIRAO PRETO</v>
      </c>
      <c r="F5438" s="6">
        <v>63.905406951904297</v>
      </c>
      <c r="G5438" s="6">
        <v>63.965671539306598</v>
      </c>
      <c r="H5438" s="6">
        <v>64.000007629394503</v>
      </c>
      <c r="I5438" s="6">
        <v>63.937183380127003</v>
      </c>
      <c r="J5438" s="6">
        <v>63.934368133544901</v>
      </c>
      <c r="K5438" s="6">
        <v>59.041877746582003</v>
      </c>
      <c r="L5438" s="6">
        <v>57.548904418945298</v>
      </c>
    </row>
    <row r="5439" spans="1:12" x14ac:dyDescent="0.25">
      <c r="A5439">
        <v>3520442</v>
      </c>
      <c r="B5439" t="str">
        <f t="shared" si="84"/>
        <v>ILHA SOLTEIRA, SP, Brasil</v>
      </c>
      <c r="C5439" s="4" t="str">
        <f>_xlfn.XLOOKUP(A5439,[1]!DadosGHD[CD_GEOCMU],[1]!DadosGHD[Região])</f>
        <v>SD</v>
      </c>
      <c r="D5439" s="4" t="str">
        <f>_xlfn.XLOOKUP(A5439,[1]!DadosGHD[CD_GEOCMU],[1]!DadosGHD[uf])</f>
        <v>SP</v>
      </c>
      <c r="E5439" s="5" t="str">
        <f>_xlfn.XLOOKUP(A5439,[1]!DadosGHD[CD_GEOCMU],[1]!DadosGHD[MUNICIPIO])</f>
        <v>ILHA SOLTEIRA</v>
      </c>
      <c r="F5439" s="6">
        <v>63.905593872070298</v>
      </c>
      <c r="G5439" s="6">
        <v>58.922813415527301</v>
      </c>
      <c r="H5439" s="6">
        <v>58.885799407958999</v>
      </c>
      <c r="I5439" s="6">
        <v>53.749454498291001</v>
      </c>
      <c r="J5439" s="6">
        <v>53.730735778808601</v>
      </c>
      <c r="K5439" s="6">
        <v>53.833305358886697</v>
      </c>
      <c r="L5439" s="6">
        <v>44.064159393310597</v>
      </c>
    </row>
    <row r="5440" spans="1:12" x14ac:dyDescent="0.25">
      <c r="A5440">
        <v>3515202</v>
      </c>
      <c r="B5440" t="str">
        <f t="shared" si="84"/>
        <v>ESTRELA D'OESTE, SP, Brasil</v>
      </c>
      <c r="C5440" s="4" t="str">
        <f>_xlfn.XLOOKUP(A5440,[1]!DadosGHD[CD_GEOCMU],[1]!DadosGHD[Região])</f>
        <v>SD</v>
      </c>
      <c r="D5440" s="4" t="str">
        <f>_xlfn.XLOOKUP(A5440,[1]!DadosGHD[CD_GEOCMU],[1]!DadosGHD[uf])</f>
        <v>SP</v>
      </c>
      <c r="E5440" s="5" t="str">
        <f>_xlfn.XLOOKUP(A5440,[1]!DadosGHD[CD_GEOCMU],[1]!DadosGHD[MUNICIPIO])</f>
        <v>ESTRELA D'OESTE</v>
      </c>
      <c r="F5440" s="6">
        <v>63.905941009521499</v>
      </c>
      <c r="G5440" s="6">
        <v>63.966358184814503</v>
      </c>
      <c r="H5440" s="6">
        <v>64.026092529296903</v>
      </c>
      <c r="I5440" s="6">
        <v>63.906047821044901</v>
      </c>
      <c r="J5440" s="6">
        <v>58.948909759521499</v>
      </c>
      <c r="K5440" s="6">
        <v>59.016502380371101</v>
      </c>
      <c r="L5440" s="6">
        <v>52.987358093261697</v>
      </c>
    </row>
    <row r="5441" spans="1:12" x14ac:dyDescent="0.25">
      <c r="A5441">
        <v>4107538</v>
      </c>
      <c r="B5441" t="str">
        <f t="shared" si="84"/>
        <v>ENTRE RIOS DO OESTE, PR, Brasil</v>
      </c>
      <c r="C5441" s="4" t="str">
        <f>_xlfn.XLOOKUP(A5441,[1]!DadosGHD[CD_GEOCMU],[1]!DadosGHD[Região])</f>
        <v>SL</v>
      </c>
      <c r="D5441" s="4" t="str">
        <f>_xlfn.XLOOKUP(A5441,[1]!DadosGHD[CD_GEOCMU],[1]!DadosGHD[uf])</f>
        <v>PR</v>
      </c>
      <c r="E5441" s="5" t="str">
        <f>_xlfn.XLOOKUP(A5441,[1]!DadosGHD[CD_GEOCMU],[1]!DadosGHD[MUNICIPIO])</f>
        <v>ENTRE RIOS DO OESTE</v>
      </c>
      <c r="F5441" s="6">
        <v>63.905941009521499</v>
      </c>
      <c r="G5441" s="6">
        <v>63.966358184814503</v>
      </c>
      <c r="H5441" s="6">
        <v>64.026092529296903</v>
      </c>
      <c r="I5441" s="6">
        <v>64.000221252441406</v>
      </c>
      <c r="J5441" s="6">
        <v>64.039611816406307</v>
      </c>
      <c r="K5441" s="6">
        <v>64.13623046875</v>
      </c>
      <c r="L5441" s="6">
        <v>57.589881896972699</v>
      </c>
    </row>
    <row r="5442" spans="1:12" x14ac:dyDescent="0.25">
      <c r="A5442">
        <v>3106200</v>
      </c>
      <c r="B5442" t="str">
        <f t="shared" si="84"/>
        <v>BELO HORIZONTE, MG, Brasil</v>
      </c>
      <c r="C5442" s="4" t="str">
        <f>_xlfn.XLOOKUP(A5442,[1]!DadosGHD[CD_GEOCMU],[1]!DadosGHD[Região])</f>
        <v>SD</v>
      </c>
      <c r="D5442" s="4" t="str">
        <f>_xlfn.XLOOKUP(A5442,[1]!DadosGHD[CD_GEOCMU],[1]!DadosGHD[uf])</f>
        <v>MG</v>
      </c>
      <c r="E5442" s="5" t="str">
        <f>_xlfn.XLOOKUP(A5442,[1]!DadosGHD[CD_GEOCMU],[1]!DadosGHD[MUNICIPIO])</f>
        <v>BELO HORIZONTE</v>
      </c>
      <c r="F5442" s="6">
        <v>63.905941009521499</v>
      </c>
      <c r="G5442" s="6">
        <v>63.966358184814503</v>
      </c>
      <c r="H5442" s="6">
        <v>64.006767272949205</v>
      </c>
      <c r="I5442" s="6">
        <v>63.944961547851598</v>
      </c>
      <c r="J5442" s="6">
        <v>63.939811706542997</v>
      </c>
      <c r="K5442" s="6">
        <v>59.0424995422363</v>
      </c>
      <c r="L5442" s="6">
        <v>57.529685974121101</v>
      </c>
    </row>
    <row r="5443" spans="1:12" x14ac:dyDescent="0.25">
      <c r="A5443">
        <v>4209201</v>
      </c>
      <c r="B5443" t="str">
        <f t="shared" si="84"/>
        <v>LACERDOPOLIS, SC, Brasil</v>
      </c>
      <c r="C5443" s="4" t="str">
        <f>_xlfn.XLOOKUP(A5443,[1]!DadosGHD[CD_GEOCMU],[1]!DadosGHD[Região])</f>
        <v>SL</v>
      </c>
      <c r="D5443" s="4" t="str">
        <f>_xlfn.XLOOKUP(A5443,[1]!DadosGHD[CD_GEOCMU],[1]!DadosGHD[uf])</f>
        <v>SC</v>
      </c>
      <c r="E5443" s="5" t="str">
        <f>_xlfn.XLOOKUP(A5443,[1]!DadosGHD[CD_GEOCMU],[1]!DadosGHD[MUNICIPIO])</f>
        <v>LACERDOPOLIS</v>
      </c>
      <c r="F5443" s="6">
        <v>63.905941009521499</v>
      </c>
      <c r="G5443" s="6">
        <v>63.966358184814503</v>
      </c>
      <c r="H5443" s="6">
        <v>64.026092529296903</v>
      </c>
      <c r="I5443" s="6">
        <v>64.000221252441406</v>
      </c>
      <c r="J5443" s="6">
        <v>64.039611816406307</v>
      </c>
      <c r="K5443" s="6">
        <v>64.13623046875</v>
      </c>
      <c r="L5443" s="6">
        <v>57.560390472412102</v>
      </c>
    </row>
    <row r="5444" spans="1:12" x14ac:dyDescent="0.25">
      <c r="A5444">
        <v>4307401</v>
      </c>
      <c r="B5444" t="str">
        <f t="shared" ref="B5444:B5507" si="85">_xlfn.CONCAT(E5444, ", ", D5444, ", Brasil")</f>
        <v>ESMERALDA, RS, Brasil</v>
      </c>
      <c r="C5444" s="4" t="str">
        <f>_xlfn.XLOOKUP(A5444,[1]!DadosGHD[CD_GEOCMU],[1]!DadosGHD[Região])</f>
        <v>SL</v>
      </c>
      <c r="D5444" s="4" t="str">
        <f>_xlfn.XLOOKUP(A5444,[1]!DadosGHD[CD_GEOCMU],[1]!DadosGHD[uf])</f>
        <v>RS</v>
      </c>
      <c r="E5444" s="5" t="str">
        <f>_xlfn.XLOOKUP(A5444,[1]!DadosGHD[CD_GEOCMU],[1]!DadosGHD[MUNICIPIO])</f>
        <v>ESMERALDA</v>
      </c>
      <c r="F5444" s="6">
        <v>63.905941009521499</v>
      </c>
      <c r="G5444" s="6">
        <v>63.966358184814503</v>
      </c>
      <c r="H5444" s="6">
        <v>64.026092529296903</v>
      </c>
      <c r="I5444" s="6">
        <v>64.000221252441406</v>
      </c>
      <c r="J5444" s="6">
        <v>64.039611816406307</v>
      </c>
      <c r="K5444" s="6">
        <v>64.13623046875</v>
      </c>
      <c r="L5444" s="6">
        <v>52.998897552490199</v>
      </c>
    </row>
    <row r="5445" spans="1:12" x14ac:dyDescent="0.25">
      <c r="A5445">
        <v>4309902</v>
      </c>
      <c r="B5445" t="str">
        <f t="shared" si="85"/>
        <v>IBIRAIARAS, RS, Brasil</v>
      </c>
      <c r="C5445" s="4" t="str">
        <f>_xlfn.XLOOKUP(A5445,[1]!DadosGHD[CD_GEOCMU],[1]!DadosGHD[Região])</f>
        <v>SL</v>
      </c>
      <c r="D5445" s="4" t="str">
        <f>_xlfn.XLOOKUP(A5445,[1]!DadosGHD[CD_GEOCMU],[1]!DadosGHD[uf])</f>
        <v>RS</v>
      </c>
      <c r="E5445" s="5" t="str">
        <f>_xlfn.XLOOKUP(A5445,[1]!DadosGHD[CD_GEOCMU],[1]!DadosGHD[MUNICIPIO])</f>
        <v>IBIRAIARAS</v>
      </c>
      <c r="F5445" s="6">
        <v>63.905941009521499</v>
      </c>
      <c r="G5445" s="6">
        <v>63.966358184814503</v>
      </c>
      <c r="H5445" s="6">
        <v>64.026092529296903</v>
      </c>
      <c r="I5445" s="6">
        <v>64.000221252441406</v>
      </c>
      <c r="J5445" s="6">
        <v>64.039611816406307</v>
      </c>
      <c r="K5445" s="6">
        <v>64.13623046875</v>
      </c>
      <c r="L5445" s="6">
        <v>48.520950317382798</v>
      </c>
    </row>
    <row r="5446" spans="1:12" x14ac:dyDescent="0.25">
      <c r="A5446">
        <v>3550308</v>
      </c>
      <c r="B5446" t="str">
        <f t="shared" si="85"/>
        <v>SAO PAULO, SP, Brasil</v>
      </c>
      <c r="C5446" s="4" t="str">
        <f>_xlfn.XLOOKUP(A5446,[1]!DadosGHD[CD_GEOCMU],[1]!DadosGHD[Região])</f>
        <v>SD</v>
      </c>
      <c r="D5446" s="4" t="str">
        <f>_xlfn.XLOOKUP(A5446,[1]!DadosGHD[CD_GEOCMU],[1]!DadosGHD[uf])</f>
        <v>SP</v>
      </c>
      <c r="E5446" s="5" t="str">
        <f>_xlfn.XLOOKUP(A5446,[1]!DadosGHD[CD_GEOCMU],[1]!DadosGHD[MUNICIPIO])</f>
        <v>SAO PAULO</v>
      </c>
      <c r="F5446" s="6">
        <v>63.905941009521499</v>
      </c>
      <c r="G5446" s="6">
        <v>63.966358184814503</v>
      </c>
      <c r="H5446" s="6">
        <v>64.006767272949205</v>
      </c>
      <c r="I5446" s="6">
        <v>63.944961547851598</v>
      </c>
      <c r="J5446" s="6">
        <v>63.939811706542997</v>
      </c>
      <c r="K5446" s="6">
        <v>59.0424995422363</v>
      </c>
      <c r="L5446" s="6">
        <v>57.529685974121101</v>
      </c>
    </row>
    <row r="5447" spans="1:12" x14ac:dyDescent="0.25">
      <c r="A5447">
        <v>4314308</v>
      </c>
      <c r="B5447" t="str">
        <f t="shared" si="85"/>
        <v>PEJUCARA, RS, Brasil</v>
      </c>
      <c r="C5447" s="4" t="str">
        <f>_xlfn.XLOOKUP(A5447,[1]!DadosGHD[CD_GEOCMU],[1]!DadosGHD[Região])</f>
        <v>SL</v>
      </c>
      <c r="D5447" s="4" t="str">
        <f>_xlfn.XLOOKUP(A5447,[1]!DadosGHD[CD_GEOCMU],[1]!DadosGHD[uf])</f>
        <v>RS</v>
      </c>
      <c r="E5447" s="5" t="str">
        <f>_xlfn.XLOOKUP(A5447,[1]!DadosGHD[CD_GEOCMU],[1]!DadosGHD[MUNICIPIO])</f>
        <v>PEJUCARA</v>
      </c>
      <c r="F5447" s="6">
        <v>63.905941009521499</v>
      </c>
      <c r="G5447" s="6">
        <v>63.966358184814503</v>
      </c>
      <c r="H5447" s="6">
        <v>64.026092529296903</v>
      </c>
      <c r="I5447" s="6">
        <v>64.000221252441406</v>
      </c>
      <c r="J5447" s="6">
        <v>64.039611816406307</v>
      </c>
      <c r="K5447" s="6">
        <v>64.13623046875</v>
      </c>
      <c r="L5447" s="6">
        <v>57.589881896972699</v>
      </c>
    </row>
    <row r="5448" spans="1:12" x14ac:dyDescent="0.25">
      <c r="A5448">
        <v>4313300</v>
      </c>
      <c r="B5448" t="str">
        <f t="shared" si="85"/>
        <v>NOVA PRATA, RS, Brasil</v>
      </c>
      <c r="C5448" s="4" t="str">
        <f>_xlfn.XLOOKUP(A5448,[1]!DadosGHD[CD_GEOCMU],[1]!DadosGHD[Região])</f>
        <v>SL</v>
      </c>
      <c r="D5448" s="4" t="str">
        <f>_xlfn.XLOOKUP(A5448,[1]!DadosGHD[CD_GEOCMU],[1]!DadosGHD[uf])</f>
        <v>RS</v>
      </c>
      <c r="E5448" s="5" t="str">
        <f>_xlfn.XLOOKUP(A5448,[1]!DadosGHD[CD_GEOCMU],[1]!DadosGHD[MUNICIPIO])</f>
        <v>NOVA PRATA</v>
      </c>
      <c r="F5448" s="6">
        <v>63.905941009521499</v>
      </c>
      <c r="G5448" s="6">
        <v>63.966358184814503</v>
      </c>
      <c r="H5448" s="6">
        <v>64.026092529296903</v>
      </c>
      <c r="I5448" s="6">
        <v>64.000221252441406</v>
      </c>
      <c r="J5448" s="6">
        <v>64.039611816406307</v>
      </c>
      <c r="K5448" s="6">
        <v>64.129127502441406</v>
      </c>
      <c r="L5448" s="6">
        <v>57.589881896972699</v>
      </c>
    </row>
    <row r="5449" spans="1:12" x14ac:dyDescent="0.25">
      <c r="A5449">
        <v>4125308</v>
      </c>
      <c r="B5449" t="str">
        <f t="shared" si="85"/>
        <v>SAO JORGE DO IVAI, PR, Brasil</v>
      </c>
      <c r="C5449" s="4" t="str">
        <f>_xlfn.XLOOKUP(A5449,[1]!DadosGHD[CD_GEOCMU],[1]!DadosGHD[Região])</f>
        <v>SL</v>
      </c>
      <c r="D5449" s="4" t="str">
        <f>_xlfn.XLOOKUP(A5449,[1]!DadosGHD[CD_GEOCMU],[1]!DadosGHD[uf])</f>
        <v>PR</v>
      </c>
      <c r="E5449" s="5" t="str">
        <f>_xlfn.XLOOKUP(A5449,[1]!DadosGHD[CD_GEOCMU],[1]!DadosGHD[MUNICIPIO])</f>
        <v>SAO JORGE DO IVAI</v>
      </c>
      <c r="F5449" s="6">
        <v>63.905941009521499</v>
      </c>
      <c r="G5449" s="6">
        <v>63.966358184814503</v>
      </c>
      <c r="H5449" s="6">
        <v>64.026092529296903</v>
      </c>
      <c r="I5449" s="6">
        <v>64.000221252441406</v>
      </c>
      <c r="J5449" s="6">
        <v>58.945590972900398</v>
      </c>
      <c r="K5449" s="6">
        <v>53.968032836914098</v>
      </c>
      <c r="L5449" s="6">
        <v>44.048542022705099</v>
      </c>
    </row>
    <row r="5450" spans="1:12" x14ac:dyDescent="0.25">
      <c r="A5450">
        <v>4215901</v>
      </c>
      <c r="B5450" t="str">
        <f t="shared" si="85"/>
        <v>SAO BONIFACIO, SC, Brasil</v>
      </c>
      <c r="C5450" s="4" t="str">
        <f>_xlfn.XLOOKUP(A5450,[1]!DadosGHD[CD_GEOCMU],[1]!DadosGHD[Região])</f>
        <v>SL</v>
      </c>
      <c r="D5450" s="4" t="str">
        <f>_xlfn.XLOOKUP(A5450,[1]!DadosGHD[CD_GEOCMU],[1]!DadosGHD[uf])</f>
        <v>SC</v>
      </c>
      <c r="E5450" s="5" t="str">
        <f>_xlfn.XLOOKUP(A5450,[1]!DadosGHD[CD_GEOCMU],[1]!DadosGHD[MUNICIPIO])</f>
        <v>SAO BONIFACIO</v>
      </c>
      <c r="F5450" s="6">
        <v>63.905941009521499</v>
      </c>
      <c r="G5450" s="6">
        <v>63.921340942382798</v>
      </c>
      <c r="H5450" s="6">
        <v>64.013565063476605</v>
      </c>
      <c r="I5450" s="6">
        <v>64.000221252441406</v>
      </c>
      <c r="J5450" s="6">
        <v>58.936660766601598</v>
      </c>
      <c r="K5450" s="6">
        <v>59.022377014160199</v>
      </c>
      <c r="L5450" s="6">
        <v>53.054176330566399</v>
      </c>
    </row>
    <row r="5451" spans="1:12" x14ac:dyDescent="0.25">
      <c r="A5451">
        <v>4316709</v>
      </c>
      <c r="B5451" t="str">
        <f t="shared" si="85"/>
        <v>SANTA BARBARA DO SUL, RS, Brasil</v>
      </c>
      <c r="C5451" s="4" t="str">
        <f>_xlfn.XLOOKUP(A5451,[1]!DadosGHD[CD_GEOCMU],[1]!DadosGHD[Região])</f>
        <v>SL</v>
      </c>
      <c r="D5451" s="4" t="str">
        <f>_xlfn.XLOOKUP(A5451,[1]!DadosGHD[CD_GEOCMU],[1]!DadosGHD[uf])</f>
        <v>RS</v>
      </c>
      <c r="E5451" s="5" t="str">
        <f>_xlfn.XLOOKUP(A5451,[1]!DadosGHD[CD_GEOCMU],[1]!DadosGHD[MUNICIPIO])</f>
        <v>SANTA BARBARA DO SUL</v>
      </c>
      <c r="F5451" s="6">
        <v>63.905941009521499</v>
      </c>
      <c r="G5451" s="6">
        <v>63.966358184814503</v>
      </c>
      <c r="H5451" s="6">
        <v>64.026092529296903</v>
      </c>
      <c r="I5451" s="6">
        <v>64.000221252441406</v>
      </c>
      <c r="J5451" s="6">
        <v>64.039611816406307</v>
      </c>
      <c r="K5451" s="6">
        <v>64.13623046875</v>
      </c>
      <c r="L5451" s="6">
        <v>53.063625335693402</v>
      </c>
    </row>
    <row r="5452" spans="1:12" x14ac:dyDescent="0.25">
      <c r="A5452">
        <v>3529005</v>
      </c>
      <c r="B5452" t="str">
        <f t="shared" si="85"/>
        <v>MARILIA, SP, Brasil</v>
      </c>
      <c r="C5452" s="4" t="str">
        <f>_xlfn.XLOOKUP(A5452,[1]!DadosGHD[CD_GEOCMU],[1]!DadosGHD[Região])</f>
        <v>SD</v>
      </c>
      <c r="D5452" s="4" t="str">
        <f>_xlfn.XLOOKUP(A5452,[1]!DadosGHD[CD_GEOCMU],[1]!DadosGHD[uf])</f>
        <v>SP</v>
      </c>
      <c r="E5452" s="5" t="str">
        <f>_xlfn.XLOOKUP(A5452,[1]!DadosGHD[CD_GEOCMU],[1]!DadosGHD[MUNICIPIO])</f>
        <v>MARILIA</v>
      </c>
      <c r="F5452" s="6">
        <v>63.905941009521499</v>
      </c>
      <c r="G5452" s="6">
        <v>63.966358184814503</v>
      </c>
      <c r="H5452" s="6">
        <v>64.026092529296903</v>
      </c>
      <c r="I5452" s="6">
        <v>64.000221252441406</v>
      </c>
      <c r="J5452" s="6">
        <v>64.039611816406307</v>
      </c>
      <c r="K5452" s="6">
        <v>64.13623046875</v>
      </c>
      <c r="L5452" s="6">
        <v>57.579292297363303</v>
      </c>
    </row>
    <row r="5453" spans="1:12" x14ac:dyDescent="0.25">
      <c r="A5453">
        <v>4305603</v>
      </c>
      <c r="B5453" t="str">
        <f t="shared" si="85"/>
        <v>COLORADO, RS, Brasil</v>
      </c>
      <c r="C5453" s="4" t="str">
        <f>_xlfn.XLOOKUP(A5453,[1]!DadosGHD[CD_GEOCMU],[1]!DadosGHD[Região])</f>
        <v>SL</v>
      </c>
      <c r="D5453" s="4" t="str">
        <f>_xlfn.XLOOKUP(A5453,[1]!DadosGHD[CD_GEOCMU],[1]!DadosGHD[uf])</f>
        <v>RS</v>
      </c>
      <c r="E5453" s="5" t="str">
        <f>_xlfn.XLOOKUP(A5453,[1]!DadosGHD[CD_GEOCMU],[1]!DadosGHD[MUNICIPIO])</f>
        <v>COLORADO</v>
      </c>
      <c r="F5453" s="6">
        <v>63.905941009521499</v>
      </c>
      <c r="G5453" s="6">
        <v>63.966358184814503</v>
      </c>
      <c r="H5453" s="6">
        <v>64.026092529296903</v>
      </c>
      <c r="I5453" s="6">
        <v>64.000221252441406</v>
      </c>
      <c r="J5453" s="6">
        <v>64.039611816406307</v>
      </c>
      <c r="K5453" s="6">
        <v>64.13623046875</v>
      </c>
      <c r="L5453" s="6">
        <v>57.589881896972699</v>
      </c>
    </row>
    <row r="5454" spans="1:12" x14ac:dyDescent="0.25">
      <c r="A5454">
        <v>3537156</v>
      </c>
      <c r="B5454" t="str">
        <f t="shared" si="85"/>
        <v>PEDRINHAS PAULISTA, SP, Brasil</v>
      </c>
      <c r="C5454" s="4" t="str">
        <f>_xlfn.XLOOKUP(A5454,[1]!DadosGHD[CD_GEOCMU],[1]!DadosGHD[Região])</f>
        <v>SD</v>
      </c>
      <c r="D5454" s="4" t="str">
        <f>_xlfn.XLOOKUP(A5454,[1]!DadosGHD[CD_GEOCMU],[1]!DadosGHD[uf])</f>
        <v>SP</v>
      </c>
      <c r="E5454" s="5" t="str">
        <f>_xlfn.XLOOKUP(A5454,[1]!DadosGHD[CD_GEOCMU],[1]!DadosGHD[MUNICIPIO])</f>
        <v>PEDRINHAS PAULISTA</v>
      </c>
      <c r="F5454" s="6">
        <v>63.905941009521499</v>
      </c>
      <c r="G5454" s="6">
        <v>63.966358184814503</v>
      </c>
      <c r="H5454" s="6">
        <v>64.026092529296903</v>
      </c>
      <c r="I5454" s="6">
        <v>64.000221252441406</v>
      </c>
      <c r="J5454" s="6">
        <v>64.039611816406307</v>
      </c>
      <c r="K5454" s="6">
        <v>64.13623046875</v>
      </c>
      <c r="L5454" s="6">
        <v>57.589881896972699</v>
      </c>
    </row>
    <row r="5455" spans="1:12" x14ac:dyDescent="0.25">
      <c r="A5455">
        <v>5104559</v>
      </c>
      <c r="B5455" t="str">
        <f t="shared" si="85"/>
        <v>ITAUBA, MT, Brasil</v>
      </c>
      <c r="C5455" s="4" t="str">
        <f>_xlfn.XLOOKUP(A5455,[1]!DadosGHD[CD_GEOCMU],[1]!DadosGHD[Região])</f>
        <v>CO</v>
      </c>
      <c r="D5455" s="4" t="str">
        <f>_xlfn.XLOOKUP(A5455,[1]!DadosGHD[CD_GEOCMU],[1]!DadosGHD[uf])</f>
        <v>MT</v>
      </c>
      <c r="E5455" s="5" t="str">
        <f>_xlfn.XLOOKUP(A5455,[1]!DadosGHD[CD_GEOCMU],[1]!DadosGHD[MUNICIPIO])</f>
        <v>ITAUBA</v>
      </c>
      <c r="F5455" s="6">
        <v>63.905941009521499</v>
      </c>
      <c r="G5455" s="6">
        <v>63.966358184814503</v>
      </c>
      <c r="H5455" s="6">
        <v>64.026092529296903</v>
      </c>
      <c r="I5455" s="6">
        <v>64.000221252441406</v>
      </c>
      <c r="J5455" s="6">
        <v>64.039611816406307</v>
      </c>
      <c r="K5455" s="6">
        <v>64.13623046875</v>
      </c>
      <c r="L5455" s="6">
        <v>57.498191833496101</v>
      </c>
    </row>
    <row r="5456" spans="1:12" x14ac:dyDescent="0.25">
      <c r="A5456">
        <v>3155504</v>
      </c>
      <c r="B5456" t="str">
        <f t="shared" si="85"/>
        <v>RIO PARANAIBA, MG, Brasil</v>
      </c>
      <c r="C5456" s="4" t="str">
        <f>_xlfn.XLOOKUP(A5456,[1]!DadosGHD[CD_GEOCMU],[1]!DadosGHD[Região])</f>
        <v>SD</v>
      </c>
      <c r="D5456" s="4" t="str">
        <f>_xlfn.XLOOKUP(A5456,[1]!DadosGHD[CD_GEOCMU],[1]!DadosGHD[uf])</f>
        <v>MG</v>
      </c>
      <c r="E5456" s="5" t="str">
        <f>_xlfn.XLOOKUP(A5456,[1]!DadosGHD[CD_GEOCMU],[1]!DadosGHD[MUNICIPIO])</f>
        <v>RIO PARANAIBA</v>
      </c>
      <c r="F5456" s="6">
        <v>63.905941009521499</v>
      </c>
      <c r="G5456" s="6">
        <v>63.966358184814503</v>
      </c>
      <c r="H5456" s="6">
        <v>64.026092529296903</v>
      </c>
      <c r="I5456" s="6">
        <v>64.000221252441406</v>
      </c>
      <c r="J5456" s="6">
        <v>64.039611816406307</v>
      </c>
      <c r="K5456" s="6">
        <v>64.13623046875</v>
      </c>
      <c r="L5456" s="6">
        <v>53.003448486328097</v>
      </c>
    </row>
    <row r="5457" spans="1:12" x14ac:dyDescent="0.25">
      <c r="A5457">
        <v>4305108</v>
      </c>
      <c r="B5457" t="str">
        <f t="shared" si="85"/>
        <v>CAXIAS DO SUL, RS, Brasil</v>
      </c>
      <c r="C5457" s="4" t="str">
        <f>_xlfn.XLOOKUP(A5457,[1]!DadosGHD[CD_GEOCMU],[1]!DadosGHD[Região])</f>
        <v>SL</v>
      </c>
      <c r="D5457" s="4" t="str">
        <f>_xlfn.XLOOKUP(A5457,[1]!DadosGHD[CD_GEOCMU],[1]!DadosGHD[uf])</f>
        <v>RS</v>
      </c>
      <c r="E5457" s="5" t="str">
        <f>_xlfn.XLOOKUP(A5457,[1]!DadosGHD[CD_GEOCMU],[1]!DadosGHD[MUNICIPIO])</f>
        <v>CAXIAS DO SUL</v>
      </c>
      <c r="F5457" s="6">
        <v>63.905941009521499</v>
      </c>
      <c r="G5457" s="6">
        <v>63.966358184814503</v>
      </c>
      <c r="H5457" s="6">
        <v>64.026092529296903</v>
      </c>
      <c r="I5457" s="6">
        <v>63.977909088134801</v>
      </c>
      <c r="J5457" s="6">
        <v>64.017196655273395</v>
      </c>
      <c r="K5457" s="6">
        <v>59.086135864257798</v>
      </c>
      <c r="L5457" s="6">
        <v>57.589881896972699</v>
      </c>
    </row>
    <row r="5458" spans="1:12" x14ac:dyDescent="0.25">
      <c r="A5458">
        <v>3557204</v>
      </c>
      <c r="B5458" t="str">
        <f t="shared" si="85"/>
        <v>CHAVANTES, SP, Brasil</v>
      </c>
      <c r="C5458" s="4" t="str">
        <f>_xlfn.XLOOKUP(A5458,[1]!DadosGHD[CD_GEOCMU],[1]!DadosGHD[Região])</f>
        <v>SD</v>
      </c>
      <c r="D5458" s="4" t="str">
        <f>_xlfn.XLOOKUP(A5458,[1]!DadosGHD[CD_GEOCMU],[1]!DadosGHD[uf])</f>
        <v>SP</v>
      </c>
      <c r="E5458" s="5" t="str">
        <f>_xlfn.XLOOKUP(A5458,[1]!DadosGHD[CD_GEOCMU],[1]!DadosGHD[MUNICIPIO])</f>
        <v>CHAVANTES</v>
      </c>
      <c r="F5458" s="6">
        <v>63.905941009521499</v>
      </c>
      <c r="G5458" s="6">
        <v>63.878135681152301</v>
      </c>
      <c r="H5458" s="6">
        <v>58.982143402099602</v>
      </c>
      <c r="I5458" s="6">
        <v>58.937309265136697</v>
      </c>
      <c r="J5458" s="6">
        <v>58.909423828125</v>
      </c>
      <c r="K5458" s="6">
        <v>59.000167846679702</v>
      </c>
      <c r="L5458" s="6">
        <v>57.5201225280762</v>
      </c>
    </row>
    <row r="5459" spans="1:12" x14ac:dyDescent="0.25">
      <c r="A5459">
        <v>3302452</v>
      </c>
      <c r="B5459" t="str">
        <f t="shared" si="85"/>
        <v>MACUCO, RJ, Brasil</v>
      </c>
      <c r="C5459" s="4" t="str">
        <f>_xlfn.XLOOKUP(A5459,[1]!DadosGHD[CD_GEOCMU],[1]!DadosGHD[Região])</f>
        <v>SD</v>
      </c>
      <c r="D5459" s="4" t="str">
        <f>_xlfn.XLOOKUP(A5459,[1]!DadosGHD[CD_GEOCMU],[1]!DadosGHD[uf])</f>
        <v>RJ</v>
      </c>
      <c r="E5459" s="5" t="str">
        <f>_xlfn.XLOOKUP(A5459,[1]!DadosGHD[CD_GEOCMU],[1]!DadosGHD[MUNICIPIO])</f>
        <v>MACUCO</v>
      </c>
      <c r="F5459" s="6">
        <v>63.905941009521499</v>
      </c>
      <c r="G5459" s="6">
        <v>58.817920684814503</v>
      </c>
      <c r="H5459" s="6">
        <v>64.026092529296903</v>
      </c>
      <c r="I5459" s="6">
        <v>63.9785766601563</v>
      </c>
      <c r="J5459" s="6">
        <v>63.918495178222699</v>
      </c>
      <c r="K5459" s="6">
        <v>59.125770568847699</v>
      </c>
      <c r="L5459" s="6">
        <v>57.589881896972699</v>
      </c>
    </row>
    <row r="5460" spans="1:12" x14ac:dyDescent="0.25">
      <c r="A5460">
        <v>4307906</v>
      </c>
      <c r="B5460" t="str">
        <f t="shared" si="85"/>
        <v>FARROUPILHA, RS, Brasil</v>
      </c>
      <c r="C5460" s="4" t="str">
        <f>_xlfn.XLOOKUP(A5460,[1]!DadosGHD[CD_GEOCMU],[1]!DadosGHD[Região])</f>
        <v>SL</v>
      </c>
      <c r="D5460" s="4" t="str">
        <f>_xlfn.XLOOKUP(A5460,[1]!DadosGHD[CD_GEOCMU],[1]!DadosGHD[uf])</f>
        <v>RS</v>
      </c>
      <c r="E5460" s="5" t="str">
        <f>_xlfn.XLOOKUP(A5460,[1]!DadosGHD[CD_GEOCMU],[1]!DadosGHD[MUNICIPIO])</f>
        <v>FARROUPILHA</v>
      </c>
      <c r="F5460" s="6">
        <v>63.905941009521499</v>
      </c>
      <c r="G5460" s="6">
        <v>63.966358184814503</v>
      </c>
      <c r="H5460" s="6">
        <v>64.002273559570298</v>
      </c>
      <c r="I5460" s="6">
        <v>63.9498291015625</v>
      </c>
      <c r="J5460" s="6">
        <v>63.937957763671903</v>
      </c>
      <c r="K5460" s="6">
        <v>58.971202850341797</v>
      </c>
      <c r="L5460" s="6">
        <v>57.504154205322301</v>
      </c>
    </row>
    <row r="5461" spans="1:12" x14ac:dyDescent="0.25">
      <c r="A5461">
        <v>4310751</v>
      </c>
      <c r="B5461" t="str">
        <f t="shared" si="85"/>
        <v>IVORA, RS, Brasil</v>
      </c>
      <c r="C5461" s="4" t="str">
        <f>_xlfn.XLOOKUP(A5461,[1]!DadosGHD[CD_GEOCMU],[1]!DadosGHD[Região])</f>
        <v>SL</v>
      </c>
      <c r="D5461" s="4" t="str">
        <f>_xlfn.XLOOKUP(A5461,[1]!DadosGHD[CD_GEOCMU],[1]!DadosGHD[uf])</f>
        <v>RS</v>
      </c>
      <c r="E5461" s="5" t="str">
        <f>_xlfn.XLOOKUP(A5461,[1]!DadosGHD[CD_GEOCMU],[1]!DadosGHD[MUNICIPIO])</f>
        <v>IVORA</v>
      </c>
      <c r="F5461" s="6">
        <v>63.905941009521499</v>
      </c>
      <c r="G5461" s="6">
        <v>63.966358184814503</v>
      </c>
      <c r="H5461" s="6">
        <v>64.026092529296903</v>
      </c>
      <c r="I5461" s="6">
        <v>64.000221252441406</v>
      </c>
      <c r="J5461" s="6">
        <v>64.039611816406307</v>
      </c>
      <c r="K5461" s="6">
        <v>64.13623046875</v>
      </c>
      <c r="L5461" s="6">
        <v>57.505912780761697</v>
      </c>
    </row>
    <row r="5462" spans="1:12" x14ac:dyDescent="0.25">
      <c r="A5462">
        <v>4301503</v>
      </c>
      <c r="B5462" t="str">
        <f t="shared" si="85"/>
        <v>AUGUSTO PESTANA, RS, Brasil</v>
      </c>
      <c r="C5462" s="4" t="str">
        <f>_xlfn.XLOOKUP(A5462,[1]!DadosGHD[CD_GEOCMU],[1]!DadosGHD[Região])</f>
        <v>SL</v>
      </c>
      <c r="D5462" s="4" t="str">
        <f>_xlfn.XLOOKUP(A5462,[1]!DadosGHD[CD_GEOCMU],[1]!DadosGHD[uf])</f>
        <v>RS</v>
      </c>
      <c r="E5462" s="5" t="str">
        <f>_xlfn.XLOOKUP(A5462,[1]!DadosGHD[CD_GEOCMU],[1]!DadosGHD[MUNICIPIO])</f>
        <v>AUGUSTO PESTANA</v>
      </c>
      <c r="F5462" s="6">
        <v>63.905941009521499</v>
      </c>
      <c r="G5462" s="6">
        <v>63.966358184814503</v>
      </c>
      <c r="H5462" s="6">
        <v>64.026092529296903</v>
      </c>
      <c r="I5462" s="6">
        <v>64.000221252441406</v>
      </c>
      <c r="J5462" s="6">
        <v>64.039611816406307</v>
      </c>
      <c r="K5462" s="6">
        <v>64.13623046875</v>
      </c>
      <c r="L5462" s="6">
        <v>57.587310791015597</v>
      </c>
    </row>
    <row r="5463" spans="1:12" x14ac:dyDescent="0.25">
      <c r="A5463">
        <v>3538709</v>
      </c>
      <c r="B5463" t="str">
        <f t="shared" si="85"/>
        <v>PIRACICABA, SP, Brasil</v>
      </c>
      <c r="C5463" s="4" t="str">
        <f>_xlfn.XLOOKUP(A5463,[1]!DadosGHD[CD_GEOCMU],[1]!DadosGHD[Região])</f>
        <v>SD</v>
      </c>
      <c r="D5463" s="4" t="str">
        <f>_xlfn.XLOOKUP(A5463,[1]!DadosGHD[CD_GEOCMU],[1]!DadosGHD[uf])</f>
        <v>SP</v>
      </c>
      <c r="E5463" s="5" t="str">
        <f>_xlfn.XLOOKUP(A5463,[1]!DadosGHD[CD_GEOCMU],[1]!DadosGHD[MUNICIPIO])</f>
        <v>PIRACICABA</v>
      </c>
      <c r="F5463" s="6">
        <v>63.905941009521499</v>
      </c>
      <c r="G5463" s="6">
        <v>63.966358184814503</v>
      </c>
      <c r="H5463" s="6">
        <v>64.026092529296903</v>
      </c>
      <c r="I5463" s="6">
        <v>64.000221252441406</v>
      </c>
      <c r="J5463" s="6">
        <v>64.039611816406307</v>
      </c>
      <c r="K5463" s="6">
        <v>64.13623046875</v>
      </c>
      <c r="L5463" s="6">
        <v>57.583206176757798</v>
      </c>
    </row>
    <row r="5464" spans="1:12" x14ac:dyDescent="0.25">
      <c r="A5464">
        <v>3548807</v>
      </c>
      <c r="B5464" t="str">
        <f t="shared" si="85"/>
        <v>SAO CAETANO DO SUL, SP, Brasil</v>
      </c>
      <c r="C5464" s="4" t="str">
        <f>_xlfn.XLOOKUP(A5464,[1]!DadosGHD[CD_GEOCMU],[1]!DadosGHD[Região])</f>
        <v>SD</v>
      </c>
      <c r="D5464" s="4" t="str">
        <f>_xlfn.XLOOKUP(A5464,[1]!DadosGHD[CD_GEOCMU],[1]!DadosGHD[uf])</f>
        <v>SP</v>
      </c>
      <c r="E5464" s="5" t="str">
        <f>_xlfn.XLOOKUP(A5464,[1]!DadosGHD[CD_GEOCMU],[1]!DadosGHD[MUNICIPIO])</f>
        <v>SAO CAETANO DO SUL</v>
      </c>
      <c r="F5464" s="6">
        <v>63.905941009521499</v>
      </c>
      <c r="G5464" s="6">
        <v>63.966358184814503</v>
      </c>
      <c r="H5464" s="6">
        <v>64.026092529296903</v>
      </c>
      <c r="I5464" s="6">
        <v>64.000221252441406</v>
      </c>
      <c r="J5464" s="6">
        <v>64.039611816406307</v>
      </c>
      <c r="K5464" s="6">
        <v>64.13623046875</v>
      </c>
      <c r="L5464" s="6">
        <v>57.589881896972699</v>
      </c>
    </row>
    <row r="5465" spans="1:12" x14ac:dyDescent="0.25">
      <c r="A5465">
        <v>5205471</v>
      </c>
      <c r="B5465" t="str">
        <f t="shared" si="85"/>
        <v>CHAPADAO DO CEU, GO, Brasil</v>
      </c>
      <c r="C5465" s="4" t="str">
        <f>_xlfn.XLOOKUP(A5465,[1]!DadosGHD[CD_GEOCMU],[1]!DadosGHD[Região])</f>
        <v>CO</v>
      </c>
      <c r="D5465" s="4" t="str">
        <f>_xlfn.XLOOKUP(A5465,[1]!DadosGHD[CD_GEOCMU],[1]!DadosGHD[uf])</f>
        <v>GO</v>
      </c>
      <c r="E5465" s="5" t="str">
        <f>_xlfn.XLOOKUP(A5465,[1]!DadosGHD[CD_GEOCMU],[1]!DadosGHD[MUNICIPIO])</f>
        <v>CHAPADAO DO CEU</v>
      </c>
      <c r="F5465" s="6">
        <v>63.905941009521499</v>
      </c>
      <c r="G5465" s="6">
        <v>63.966358184814503</v>
      </c>
      <c r="H5465" s="6">
        <v>64.026092529296903</v>
      </c>
      <c r="I5465" s="6">
        <v>64.000221252441406</v>
      </c>
      <c r="J5465" s="6">
        <v>64.039611816406307</v>
      </c>
      <c r="K5465" s="6">
        <v>64.13623046875</v>
      </c>
      <c r="L5465" s="6">
        <v>48.493766784667997</v>
      </c>
    </row>
    <row r="5466" spans="1:12" x14ac:dyDescent="0.25">
      <c r="A5466">
        <v>3515301</v>
      </c>
      <c r="B5466" t="str">
        <f t="shared" si="85"/>
        <v>ESTRELA DO NORTE, SP, Brasil</v>
      </c>
      <c r="C5466" s="4" t="str">
        <f>_xlfn.XLOOKUP(A5466,[1]!DadosGHD[CD_GEOCMU],[1]!DadosGHD[Região])</f>
        <v>SD</v>
      </c>
      <c r="D5466" s="4" t="str">
        <f>_xlfn.XLOOKUP(A5466,[1]!DadosGHD[CD_GEOCMU],[1]!DadosGHD[uf])</f>
        <v>SP</v>
      </c>
      <c r="E5466" s="5" t="str">
        <f>_xlfn.XLOOKUP(A5466,[1]!DadosGHD[CD_GEOCMU],[1]!DadosGHD[MUNICIPIO])</f>
        <v>ESTRELA DO NORTE</v>
      </c>
      <c r="F5466" s="6">
        <v>63.905941009521499</v>
      </c>
      <c r="G5466" s="6">
        <v>58.743721008300803</v>
      </c>
      <c r="H5466" s="6">
        <v>58.844120025634801</v>
      </c>
      <c r="I5466" s="6">
        <v>58.788818359375</v>
      </c>
      <c r="J5466" s="6">
        <v>53.860610961914098</v>
      </c>
      <c r="K5466" s="6">
        <v>53.827156066894503</v>
      </c>
      <c r="L5466" s="6">
        <v>39.598117828369098</v>
      </c>
    </row>
    <row r="5467" spans="1:12" x14ac:dyDescent="0.25">
      <c r="A5467">
        <v>3303302</v>
      </c>
      <c r="B5467" t="str">
        <f t="shared" si="85"/>
        <v>NITEROI, RJ, Brasil</v>
      </c>
      <c r="C5467" s="4" t="str">
        <f>_xlfn.XLOOKUP(A5467,[1]!DadosGHD[CD_GEOCMU],[1]!DadosGHD[Região])</f>
        <v>SD</v>
      </c>
      <c r="D5467" s="4" t="str">
        <f>_xlfn.XLOOKUP(A5467,[1]!DadosGHD[CD_GEOCMU],[1]!DadosGHD[uf])</f>
        <v>RJ</v>
      </c>
      <c r="E5467" s="5" t="str">
        <f>_xlfn.XLOOKUP(A5467,[1]!DadosGHD[CD_GEOCMU],[1]!DadosGHD[MUNICIPIO])</f>
        <v>NITEROI</v>
      </c>
      <c r="F5467" s="6">
        <v>63.905941009521499</v>
      </c>
      <c r="G5467" s="6">
        <v>63.901477813720703</v>
      </c>
      <c r="H5467" s="6">
        <v>59.006008148193402</v>
      </c>
      <c r="I5467" s="6">
        <v>58.948135375976598</v>
      </c>
      <c r="J5467" s="6">
        <v>58.971038818359403</v>
      </c>
      <c r="K5467" s="6">
        <v>59.007938385009801</v>
      </c>
      <c r="L5467" s="6">
        <v>57.584102630615199</v>
      </c>
    </row>
    <row r="5468" spans="1:12" x14ac:dyDescent="0.25">
      <c r="A5468">
        <v>3500600</v>
      </c>
      <c r="B5468" t="str">
        <f t="shared" si="85"/>
        <v>AGUAS DE SAO PEDRO, SP, Brasil</v>
      </c>
      <c r="C5468" s="4" t="str">
        <f>_xlfn.XLOOKUP(A5468,[1]!DadosGHD[CD_GEOCMU],[1]!DadosGHD[Região])</f>
        <v>SD</v>
      </c>
      <c r="D5468" s="4" t="str">
        <f>_xlfn.XLOOKUP(A5468,[1]!DadosGHD[CD_GEOCMU],[1]!DadosGHD[uf])</f>
        <v>SP</v>
      </c>
      <c r="E5468" s="5" t="str">
        <f>_xlfn.XLOOKUP(A5468,[1]!DadosGHD[CD_GEOCMU],[1]!DadosGHD[MUNICIPIO])</f>
        <v>AGUAS DE SAO PEDRO</v>
      </c>
      <c r="F5468" s="6">
        <v>63.905941009521499</v>
      </c>
      <c r="G5468" s="6">
        <v>63.966358184814503</v>
      </c>
      <c r="H5468" s="6">
        <v>64.026092529296903</v>
      </c>
      <c r="I5468" s="6">
        <v>64.000221252441406</v>
      </c>
      <c r="J5468" s="6">
        <v>64.039611816406307</v>
      </c>
      <c r="K5468" s="6">
        <v>64.13623046875</v>
      </c>
      <c r="L5468" s="6">
        <v>57.519199371337898</v>
      </c>
    </row>
    <row r="5469" spans="1:12" x14ac:dyDescent="0.25">
      <c r="A5469">
        <v>4314100</v>
      </c>
      <c r="B5469" t="str">
        <f t="shared" si="85"/>
        <v>PASSO FUNDO, RS, Brasil</v>
      </c>
      <c r="C5469" s="4" t="str">
        <f>_xlfn.XLOOKUP(A5469,[1]!DadosGHD[CD_GEOCMU],[1]!DadosGHD[Região])</f>
        <v>SL</v>
      </c>
      <c r="D5469" s="4" t="str">
        <f>_xlfn.XLOOKUP(A5469,[1]!DadosGHD[CD_GEOCMU],[1]!DadosGHD[uf])</f>
        <v>RS</v>
      </c>
      <c r="E5469" s="5" t="str">
        <f>_xlfn.XLOOKUP(A5469,[1]!DadosGHD[CD_GEOCMU],[1]!DadosGHD[MUNICIPIO])</f>
        <v>PASSO FUNDO</v>
      </c>
      <c r="F5469" s="6">
        <v>63.905941009521499</v>
      </c>
      <c r="G5469" s="6">
        <v>63.966358184814503</v>
      </c>
      <c r="H5469" s="6">
        <v>64.006462097167997</v>
      </c>
      <c r="I5469" s="6">
        <v>64.000221252441406</v>
      </c>
      <c r="J5469" s="6">
        <v>64.039611816406307</v>
      </c>
      <c r="K5469" s="6">
        <v>64.13623046875</v>
      </c>
      <c r="L5469" s="6">
        <v>57.566963195800803</v>
      </c>
    </row>
    <row r="5470" spans="1:12" x14ac:dyDescent="0.25">
      <c r="A5470">
        <v>4204103</v>
      </c>
      <c r="B5470" t="str">
        <f t="shared" si="85"/>
        <v>CAXAMBU DO SUL, SC, Brasil</v>
      </c>
      <c r="C5470" s="4" t="str">
        <f>_xlfn.XLOOKUP(A5470,[1]!DadosGHD[CD_GEOCMU],[1]!DadosGHD[Região])</f>
        <v>SL</v>
      </c>
      <c r="D5470" s="4" t="str">
        <f>_xlfn.XLOOKUP(A5470,[1]!DadosGHD[CD_GEOCMU],[1]!DadosGHD[uf])</f>
        <v>SC</v>
      </c>
      <c r="E5470" s="5" t="str">
        <f>_xlfn.XLOOKUP(A5470,[1]!DadosGHD[CD_GEOCMU],[1]!DadosGHD[MUNICIPIO])</f>
        <v>CAXAMBU DO SUL</v>
      </c>
      <c r="F5470" s="6">
        <v>63.905941009521499</v>
      </c>
      <c r="G5470" s="6">
        <v>63.966358184814503</v>
      </c>
      <c r="H5470" s="6">
        <v>64.026092529296903</v>
      </c>
      <c r="I5470" s="6">
        <v>64.000221252441406</v>
      </c>
      <c r="J5470" s="6">
        <v>64.039611816406307</v>
      </c>
      <c r="K5470" s="6">
        <v>64.13623046875</v>
      </c>
      <c r="L5470" s="6">
        <v>44.029037475585902</v>
      </c>
    </row>
    <row r="5471" spans="1:12" x14ac:dyDescent="0.25">
      <c r="A5471">
        <v>4311403</v>
      </c>
      <c r="B5471" t="str">
        <f t="shared" si="85"/>
        <v>LAJEADO, RS, Brasil</v>
      </c>
      <c r="C5471" s="4" t="str">
        <f>_xlfn.XLOOKUP(A5471,[1]!DadosGHD[CD_GEOCMU],[1]!DadosGHD[Região])</f>
        <v>SL</v>
      </c>
      <c r="D5471" s="4" t="str">
        <f>_xlfn.XLOOKUP(A5471,[1]!DadosGHD[CD_GEOCMU],[1]!DadosGHD[uf])</f>
        <v>RS</v>
      </c>
      <c r="E5471" s="5" t="str">
        <f>_xlfn.XLOOKUP(A5471,[1]!DadosGHD[CD_GEOCMU],[1]!DadosGHD[MUNICIPIO])</f>
        <v>LAJEADO</v>
      </c>
      <c r="F5471" s="6">
        <v>63.905941009521499</v>
      </c>
      <c r="G5471" s="6">
        <v>63.966358184814503</v>
      </c>
      <c r="H5471" s="6">
        <v>64.026092529296903</v>
      </c>
      <c r="I5471" s="6">
        <v>64.000221252441406</v>
      </c>
      <c r="J5471" s="6">
        <v>64.039611816406307</v>
      </c>
      <c r="K5471" s="6">
        <v>64.13623046875</v>
      </c>
      <c r="L5471" s="6">
        <v>57.589881896972699</v>
      </c>
    </row>
    <row r="5472" spans="1:12" x14ac:dyDescent="0.25">
      <c r="A5472">
        <v>3525904</v>
      </c>
      <c r="B5472" t="str">
        <f t="shared" si="85"/>
        <v>JUNDIAI, SP, Brasil</v>
      </c>
      <c r="C5472" s="4" t="str">
        <f>_xlfn.XLOOKUP(A5472,[1]!DadosGHD[CD_GEOCMU],[1]!DadosGHD[Região])</f>
        <v>SD</v>
      </c>
      <c r="D5472" s="4" t="str">
        <f>_xlfn.XLOOKUP(A5472,[1]!DadosGHD[CD_GEOCMU],[1]!DadosGHD[uf])</f>
        <v>SP</v>
      </c>
      <c r="E5472" s="5" t="str">
        <f>_xlfn.XLOOKUP(A5472,[1]!DadosGHD[CD_GEOCMU],[1]!DadosGHD[MUNICIPIO])</f>
        <v>JUNDIAI</v>
      </c>
      <c r="F5472" s="6">
        <v>63.905941009521499</v>
      </c>
      <c r="G5472" s="6">
        <v>63.966358184814503</v>
      </c>
      <c r="H5472" s="6">
        <v>64.026092529296903</v>
      </c>
      <c r="I5472" s="6">
        <v>63.988433837890597</v>
      </c>
      <c r="J5472" s="6">
        <v>64.022903442382798</v>
      </c>
      <c r="K5472" s="6">
        <v>59.115856170654297</v>
      </c>
      <c r="L5472" s="6">
        <v>57.586563110351598</v>
      </c>
    </row>
    <row r="5473" spans="1:12" x14ac:dyDescent="0.25">
      <c r="A5473">
        <v>3529609</v>
      </c>
      <c r="B5473" t="str">
        <f t="shared" si="85"/>
        <v>MERIDIANO, SP, Brasil</v>
      </c>
      <c r="C5473" s="4" t="str">
        <f>_xlfn.XLOOKUP(A5473,[1]!DadosGHD[CD_GEOCMU],[1]!DadosGHD[Região])</f>
        <v>SD</v>
      </c>
      <c r="D5473" s="4" t="str">
        <f>_xlfn.XLOOKUP(A5473,[1]!DadosGHD[CD_GEOCMU],[1]!DadosGHD[uf])</f>
        <v>SP</v>
      </c>
      <c r="E5473" s="5" t="str">
        <f>_xlfn.XLOOKUP(A5473,[1]!DadosGHD[CD_GEOCMU],[1]!DadosGHD[MUNICIPIO])</f>
        <v>MERIDIANO</v>
      </c>
      <c r="F5473" s="6">
        <v>63.905941009521499</v>
      </c>
      <c r="G5473" s="6">
        <v>58.837303161621101</v>
      </c>
      <c r="H5473" s="6">
        <v>58.9511528015137</v>
      </c>
      <c r="I5473" s="6">
        <v>58.914169311523402</v>
      </c>
      <c r="J5473" s="6">
        <v>58.929332733154297</v>
      </c>
      <c r="K5473" s="6">
        <v>48.893054962158203</v>
      </c>
      <c r="L5473" s="6">
        <v>30.699314117431602</v>
      </c>
    </row>
    <row r="5474" spans="1:12" x14ac:dyDescent="0.25">
      <c r="A5474">
        <v>4117222</v>
      </c>
      <c r="B5474" t="str">
        <f t="shared" si="85"/>
        <v>NOVA SANTA ROSA, PR, Brasil</v>
      </c>
      <c r="C5474" s="4" t="str">
        <f>_xlfn.XLOOKUP(A5474,[1]!DadosGHD[CD_GEOCMU],[1]!DadosGHD[Região])</f>
        <v>SL</v>
      </c>
      <c r="D5474" s="4" t="str">
        <f>_xlfn.XLOOKUP(A5474,[1]!DadosGHD[CD_GEOCMU],[1]!DadosGHD[uf])</f>
        <v>PR</v>
      </c>
      <c r="E5474" s="5" t="str">
        <f>_xlfn.XLOOKUP(A5474,[1]!DadosGHD[CD_GEOCMU],[1]!DadosGHD[MUNICIPIO])</f>
        <v>NOVA SANTA ROSA</v>
      </c>
      <c r="F5474" s="6">
        <v>63.905941009521499</v>
      </c>
      <c r="G5474" s="6">
        <v>63.966358184814503</v>
      </c>
      <c r="H5474" s="6">
        <v>64.026092529296903</v>
      </c>
      <c r="I5474" s="6">
        <v>64.000221252441406</v>
      </c>
      <c r="J5474" s="6">
        <v>64.039611816406307</v>
      </c>
      <c r="K5474" s="6">
        <v>64.13623046875</v>
      </c>
      <c r="L5474" s="6">
        <v>57.589881896972699</v>
      </c>
    </row>
    <row r="5475" spans="1:12" x14ac:dyDescent="0.25">
      <c r="A5475">
        <v>4307005</v>
      </c>
      <c r="B5475" t="str">
        <f t="shared" si="85"/>
        <v>ERECHIM, RS, Brasil</v>
      </c>
      <c r="C5475" s="4" t="str">
        <f>_xlfn.XLOOKUP(A5475,[1]!DadosGHD[CD_GEOCMU],[1]!DadosGHD[Região])</f>
        <v>SL</v>
      </c>
      <c r="D5475" s="4" t="str">
        <f>_xlfn.XLOOKUP(A5475,[1]!DadosGHD[CD_GEOCMU],[1]!DadosGHD[uf])</f>
        <v>RS</v>
      </c>
      <c r="E5475" s="5" t="str">
        <f>_xlfn.XLOOKUP(A5475,[1]!DadosGHD[CD_GEOCMU],[1]!DadosGHD[MUNICIPIO])</f>
        <v>ERECHIM</v>
      </c>
      <c r="F5475" s="6">
        <v>63.905941009521499</v>
      </c>
      <c r="G5475" s="6">
        <v>63.889129638671903</v>
      </c>
      <c r="H5475" s="6">
        <v>58.987728118896499</v>
      </c>
      <c r="I5475" s="6">
        <v>63.991443634033203</v>
      </c>
      <c r="J5475" s="6">
        <v>64.039611816406307</v>
      </c>
      <c r="K5475" s="6">
        <v>64.086349487304702</v>
      </c>
      <c r="L5475" s="6">
        <v>57.572532653808601</v>
      </c>
    </row>
    <row r="5476" spans="1:12" x14ac:dyDescent="0.25">
      <c r="A5476">
        <v>4218806</v>
      </c>
      <c r="B5476" t="str">
        <f t="shared" si="85"/>
        <v>TURVO, SC, Brasil</v>
      </c>
      <c r="C5476" s="4" t="str">
        <f>_xlfn.XLOOKUP(A5476,[1]!DadosGHD[CD_GEOCMU],[1]!DadosGHD[Região])</f>
        <v>SL</v>
      </c>
      <c r="D5476" s="4" t="str">
        <f>_xlfn.XLOOKUP(A5476,[1]!DadosGHD[CD_GEOCMU],[1]!DadosGHD[uf])</f>
        <v>SC</v>
      </c>
      <c r="E5476" s="5" t="str">
        <f>_xlfn.XLOOKUP(A5476,[1]!DadosGHD[CD_GEOCMU],[1]!DadosGHD[MUNICIPIO])</f>
        <v>TURVO</v>
      </c>
      <c r="F5476" s="6">
        <v>63.905941009521499</v>
      </c>
      <c r="G5476" s="6">
        <v>63.966358184814503</v>
      </c>
      <c r="H5476" s="6">
        <v>64.026092529296903</v>
      </c>
      <c r="I5476" s="6">
        <v>64.000221252441406</v>
      </c>
      <c r="J5476" s="6">
        <v>64.039611816406307</v>
      </c>
      <c r="K5476" s="6">
        <v>64.082389831542997</v>
      </c>
      <c r="L5476" s="6">
        <v>44.019683837890597</v>
      </c>
    </row>
    <row r="5477" spans="1:12" x14ac:dyDescent="0.25">
      <c r="A5477">
        <v>4309803</v>
      </c>
      <c r="B5477" t="str">
        <f t="shared" si="85"/>
        <v>IBIACA, RS, Brasil</v>
      </c>
      <c r="C5477" s="4" t="str">
        <f>_xlfn.XLOOKUP(A5477,[1]!DadosGHD[CD_GEOCMU],[1]!DadosGHD[Região])</f>
        <v>SL</v>
      </c>
      <c r="D5477" s="4" t="str">
        <f>_xlfn.XLOOKUP(A5477,[1]!DadosGHD[CD_GEOCMU],[1]!DadosGHD[uf])</f>
        <v>RS</v>
      </c>
      <c r="E5477" s="5" t="str">
        <f>_xlfn.XLOOKUP(A5477,[1]!DadosGHD[CD_GEOCMU],[1]!DadosGHD[MUNICIPIO])</f>
        <v>IBIACA</v>
      </c>
      <c r="F5477" s="6">
        <v>63.905941009521499</v>
      </c>
      <c r="G5477" s="6">
        <v>63.966358184814503</v>
      </c>
      <c r="H5477" s="6">
        <v>64.026092529296903</v>
      </c>
      <c r="I5477" s="6">
        <v>64.000221252441406</v>
      </c>
      <c r="J5477" s="6">
        <v>64.039611816406307</v>
      </c>
      <c r="K5477" s="6">
        <v>64.13623046875</v>
      </c>
      <c r="L5477" s="6">
        <v>57.521354675292997</v>
      </c>
    </row>
    <row r="5478" spans="1:12" x14ac:dyDescent="0.25">
      <c r="A5478">
        <v>4301008</v>
      </c>
      <c r="B5478" t="str">
        <f t="shared" si="85"/>
        <v>ARROIO DO MEIO, RS, Brasil</v>
      </c>
      <c r="C5478" s="4" t="str">
        <f>_xlfn.XLOOKUP(A5478,[1]!DadosGHD[CD_GEOCMU],[1]!DadosGHD[Região])</f>
        <v>SL</v>
      </c>
      <c r="D5478" s="4" t="str">
        <f>_xlfn.XLOOKUP(A5478,[1]!DadosGHD[CD_GEOCMU],[1]!DadosGHD[uf])</f>
        <v>RS</v>
      </c>
      <c r="E5478" s="5" t="str">
        <f>_xlfn.XLOOKUP(A5478,[1]!DadosGHD[CD_GEOCMU],[1]!DadosGHD[MUNICIPIO])</f>
        <v>ARROIO DO MEIO</v>
      </c>
      <c r="F5478" s="6">
        <v>63.905941009521499</v>
      </c>
      <c r="G5478" s="6">
        <v>63.966358184814503</v>
      </c>
      <c r="H5478" s="6">
        <v>64.026092529296903</v>
      </c>
      <c r="I5478" s="6">
        <v>63.9703369140625</v>
      </c>
      <c r="J5478" s="6">
        <v>63.927867889404297</v>
      </c>
      <c r="K5478" s="6">
        <v>59.054656982421903</v>
      </c>
      <c r="L5478" s="6">
        <v>57.589881896972699</v>
      </c>
    </row>
    <row r="5479" spans="1:12" x14ac:dyDescent="0.25">
      <c r="A5479">
        <v>5002951</v>
      </c>
      <c r="B5479" t="str">
        <f t="shared" si="85"/>
        <v>CHAPADAO DO SUL, MS, Brasil</v>
      </c>
      <c r="C5479" s="4" t="str">
        <f>_xlfn.XLOOKUP(A5479,[1]!DadosGHD[CD_GEOCMU],[1]!DadosGHD[Região])</f>
        <v>CO</v>
      </c>
      <c r="D5479" s="4" t="str">
        <f>_xlfn.XLOOKUP(A5479,[1]!DadosGHD[CD_GEOCMU],[1]!DadosGHD[uf])</f>
        <v>MS</v>
      </c>
      <c r="E5479" s="5" t="str">
        <f>_xlfn.XLOOKUP(A5479,[1]!DadosGHD[CD_GEOCMU],[1]!DadosGHD[MUNICIPIO])</f>
        <v>CHAPADAO DO SUL</v>
      </c>
      <c r="F5479" s="6">
        <v>63.905941009521499</v>
      </c>
      <c r="G5479" s="6">
        <v>63.966358184814503</v>
      </c>
      <c r="H5479" s="6">
        <v>64.026092529296903</v>
      </c>
      <c r="I5479" s="6">
        <v>64.000221252441406</v>
      </c>
      <c r="J5479" s="6">
        <v>64.039611816406307</v>
      </c>
      <c r="K5479" s="6">
        <v>64.13623046875</v>
      </c>
      <c r="L5479" s="6">
        <v>48.526176452636697</v>
      </c>
    </row>
    <row r="5480" spans="1:12" x14ac:dyDescent="0.25">
      <c r="A5480">
        <v>4321006</v>
      </c>
      <c r="B5480" t="str">
        <f t="shared" si="85"/>
        <v>TAPERA, RS, Brasil</v>
      </c>
      <c r="C5480" s="4" t="str">
        <f>_xlfn.XLOOKUP(A5480,[1]!DadosGHD[CD_GEOCMU],[1]!DadosGHD[Região])</f>
        <v>SL</v>
      </c>
      <c r="D5480" s="4" t="str">
        <f>_xlfn.XLOOKUP(A5480,[1]!DadosGHD[CD_GEOCMU],[1]!DadosGHD[uf])</f>
        <v>RS</v>
      </c>
      <c r="E5480" s="5" t="str">
        <f>_xlfn.XLOOKUP(A5480,[1]!DadosGHD[CD_GEOCMU],[1]!DadosGHD[MUNICIPIO])</f>
        <v>TAPERA</v>
      </c>
      <c r="F5480" s="6">
        <v>63.905941009521499</v>
      </c>
      <c r="G5480" s="6">
        <v>63.966358184814503</v>
      </c>
      <c r="H5480" s="6">
        <v>64.026092529296903</v>
      </c>
      <c r="I5480" s="6">
        <v>64.000221252441406</v>
      </c>
      <c r="J5480" s="6">
        <v>64.039611816406307</v>
      </c>
      <c r="K5480" s="6">
        <v>64.13623046875</v>
      </c>
      <c r="L5480" s="6">
        <v>57.589881896972699</v>
      </c>
    </row>
    <row r="5481" spans="1:12" x14ac:dyDescent="0.25">
      <c r="A5481">
        <v>5213756</v>
      </c>
      <c r="B5481" t="str">
        <f t="shared" si="85"/>
        <v>MONTIVIDIU, GO, Brasil</v>
      </c>
      <c r="C5481" s="4" t="str">
        <f>_xlfn.XLOOKUP(A5481,[1]!DadosGHD[CD_GEOCMU],[1]!DadosGHD[Região])</f>
        <v>CO</v>
      </c>
      <c r="D5481" s="4" t="str">
        <f>_xlfn.XLOOKUP(A5481,[1]!DadosGHD[CD_GEOCMU],[1]!DadosGHD[uf])</f>
        <v>GO</v>
      </c>
      <c r="E5481" s="5" t="str">
        <f>_xlfn.XLOOKUP(A5481,[1]!DadosGHD[CD_GEOCMU],[1]!DadosGHD[MUNICIPIO])</f>
        <v>MONTIVIDIU</v>
      </c>
      <c r="F5481" s="6">
        <v>63.905941009521499</v>
      </c>
      <c r="G5481" s="6">
        <v>63.966358184814503</v>
      </c>
      <c r="H5481" s="6">
        <v>64.024589538574205</v>
      </c>
      <c r="I5481" s="6">
        <v>63.985347747802699</v>
      </c>
      <c r="J5481" s="6">
        <v>63.914676666259801</v>
      </c>
      <c r="K5481" s="6">
        <v>59.003124237060597</v>
      </c>
      <c r="L5481" s="6">
        <v>44.035713195800803</v>
      </c>
    </row>
    <row r="5482" spans="1:12" x14ac:dyDescent="0.25">
      <c r="A5482">
        <v>4106308</v>
      </c>
      <c r="B5482" t="str">
        <f t="shared" si="85"/>
        <v>CORBELIA, PR, Brasil</v>
      </c>
      <c r="C5482" s="4" t="str">
        <f>_xlfn.XLOOKUP(A5482,[1]!DadosGHD[CD_GEOCMU],[1]!DadosGHD[Região])</f>
        <v>SL</v>
      </c>
      <c r="D5482" s="4" t="str">
        <f>_xlfn.XLOOKUP(A5482,[1]!DadosGHD[CD_GEOCMU],[1]!DadosGHD[uf])</f>
        <v>PR</v>
      </c>
      <c r="E5482" s="5" t="str">
        <f>_xlfn.XLOOKUP(A5482,[1]!DadosGHD[CD_GEOCMU],[1]!DadosGHD[MUNICIPIO])</f>
        <v>CORBELIA</v>
      </c>
      <c r="F5482" s="6">
        <v>63.905941009521499</v>
      </c>
      <c r="G5482" s="6">
        <v>63.966358184814503</v>
      </c>
      <c r="H5482" s="6">
        <v>64.026092529296903</v>
      </c>
      <c r="I5482" s="6">
        <v>64.000221252441406</v>
      </c>
      <c r="J5482" s="6">
        <v>64.039611816406307</v>
      </c>
      <c r="K5482" s="6">
        <v>59.094070434570298</v>
      </c>
      <c r="L5482" s="6">
        <v>48.525177001953097</v>
      </c>
    </row>
    <row r="5483" spans="1:12" x14ac:dyDescent="0.25">
      <c r="A5483">
        <v>4316808</v>
      </c>
      <c r="B5483" t="str">
        <f t="shared" si="85"/>
        <v>SANTA CRUZ DO SUL, RS, Brasil</v>
      </c>
      <c r="C5483" s="4" t="str">
        <f>_xlfn.XLOOKUP(A5483,[1]!DadosGHD[CD_GEOCMU],[1]!DadosGHD[Região])</f>
        <v>SL</v>
      </c>
      <c r="D5483" s="4" t="str">
        <f>_xlfn.XLOOKUP(A5483,[1]!DadosGHD[CD_GEOCMU],[1]!DadosGHD[uf])</f>
        <v>RS</v>
      </c>
      <c r="E5483" s="5" t="str">
        <f>_xlfn.XLOOKUP(A5483,[1]!DadosGHD[CD_GEOCMU],[1]!DadosGHD[MUNICIPIO])</f>
        <v>SANTA CRUZ DO SUL</v>
      </c>
      <c r="F5483" s="6">
        <v>63.905941009521499</v>
      </c>
      <c r="G5483" s="6">
        <v>63.966358184814503</v>
      </c>
      <c r="H5483" s="6">
        <v>64.026092529296903</v>
      </c>
      <c r="I5483" s="6">
        <v>64.000221252441406</v>
      </c>
      <c r="J5483" s="6">
        <v>64.039611816406307</v>
      </c>
      <c r="K5483" s="6">
        <v>64.134925842285199</v>
      </c>
      <c r="L5483" s="6">
        <v>57.589881896972699</v>
      </c>
    </row>
    <row r="5484" spans="1:12" x14ac:dyDescent="0.25">
      <c r="A5484">
        <v>4316907</v>
      </c>
      <c r="B5484" t="str">
        <f t="shared" si="85"/>
        <v>SANTA MARIA, RS, Brasil</v>
      </c>
      <c r="C5484" s="4" t="str">
        <f>_xlfn.XLOOKUP(A5484,[1]!DadosGHD[CD_GEOCMU],[1]!DadosGHD[Região])</f>
        <v>SL</v>
      </c>
      <c r="D5484" s="4" t="str">
        <f>_xlfn.XLOOKUP(A5484,[1]!DadosGHD[CD_GEOCMU],[1]!DadosGHD[uf])</f>
        <v>RS</v>
      </c>
      <c r="E5484" s="5" t="str">
        <f>_xlfn.XLOOKUP(A5484,[1]!DadosGHD[CD_GEOCMU],[1]!DadosGHD[MUNICIPIO])</f>
        <v>SANTA MARIA</v>
      </c>
      <c r="F5484" s="6">
        <v>63.905941009521499</v>
      </c>
      <c r="G5484" s="6">
        <v>63.919776916503899</v>
      </c>
      <c r="H5484" s="6">
        <v>63.975196838378899</v>
      </c>
      <c r="I5484" s="6">
        <v>63.950756072998097</v>
      </c>
      <c r="J5484" s="6">
        <v>63.989536285400398</v>
      </c>
      <c r="K5484" s="6">
        <v>64.13623046875</v>
      </c>
      <c r="L5484" s="6">
        <v>57.587081909179702</v>
      </c>
    </row>
    <row r="5485" spans="1:12" x14ac:dyDescent="0.25">
      <c r="A5485">
        <v>5212105</v>
      </c>
      <c r="B5485" t="str">
        <f t="shared" si="85"/>
        <v>JOVIANIA, GO, Brasil</v>
      </c>
      <c r="C5485" s="4" t="str">
        <f>_xlfn.XLOOKUP(A5485,[1]!DadosGHD[CD_GEOCMU],[1]!DadosGHD[Região])</f>
        <v>CO</v>
      </c>
      <c r="D5485" s="4" t="str">
        <f>_xlfn.XLOOKUP(A5485,[1]!DadosGHD[CD_GEOCMU],[1]!DadosGHD[uf])</f>
        <v>GO</v>
      </c>
      <c r="E5485" s="5" t="str">
        <f>_xlfn.XLOOKUP(A5485,[1]!DadosGHD[CD_GEOCMU],[1]!DadosGHD[MUNICIPIO])</f>
        <v>JOVIANIA</v>
      </c>
      <c r="F5485" s="6">
        <v>63.905941009521499</v>
      </c>
      <c r="G5485" s="6">
        <v>63.966358184814503</v>
      </c>
      <c r="H5485" s="6">
        <v>64.026092529296903</v>
      </c>
      <c r="I5485" s="6">
        <v>64.000221252441406</v>
      </c>
      <c r="J5485" s="6">
        <v>64.039611816406307</v>
      </c>
      <c r="K5485" s="6">
        <v>64.13623046875</v>
      </c>
      <c r="L5485" s="6">
        <v>53.020668029785199</v>
      </c>
    </row>
    <row r="5486" spans="1:12" x14ac:dyDescent="0.25">
      <c r="A5486">
        <v>4310462</v>
      </c>
      <c r="B5486" t="str">
        <f t="shared" si="85"/>
        <v>IPIRANGA DO SUL, RS, Brasil</v>
      </c>
      <c r="C5486" s="4" t="str">
        <f>_xlfn.XLOOKUP(A5486,[1]!DadosGHD[CD_GEOCMU],[1]!DadosGHD[Região])</f>
        <v>SL</v>
      </c>
      <c r="D5486" s="4" t="str">
        <f>_xlfn.XLOOKUP(A5486,[1]!DadosGHD[CD_GEOCMU],[1]!DadosGHD[uf])</f>
        <v>RS</v>
      </c>
      <c r="E5486" s="5" t="str">
        <f>_xlfn.XLOOKUP(A5486,[1]!DadosGHD[CD_GEOCMU],[1]!DadosGHD[MUNICIPIO])</f>
        <v>IPIRANGA DO SUL</v>
      </c>
      <c r="F5486" s="6">
        <v>63.905941009521499</v>
      </c>
      <c r="G5486" s="6">
        <v>63.966358184814503</v>
      </c>
      <c r="H5486" s="6">
        <v>64.026092529296903</v>
      </c>
      <c r="I5486" s="6">
        <v>64.000221252441406</v>
      </c>
      <c r="J5486" s="6">
        <v>64.039611816406307</v>
      </c>
      <c r="K5486" s="6">
        <v>64.13623046875</v>
      </c>
      <c r="L5486" s="6">
        <v>57.522327423095703</v>
      </c>
    </row>
    <row r="5487" spans="1:12" x14ac:dyDescent="0.25">
      <c r="A5487">
        <v>4308904</v>
      </c>
      <c r="B5487" t="str">
        <f t="shared" si="85"/>
        <v>GETULIO VARGAS, RS, Brasil</v>
      </c>
      <c r="C5487" s="4" t="str">
        <f>_xlfn.XLOOKUP(A5487,[1]!DadosGHD[CD_GEOCMU],[1]!DadosGHD[Região])</f>
        <v>SL</v>
      </c>
      <c r="D5487" s="4" t="str">
        <f>_xlfn.XLOOKUP(A5487,[1]!DadosGHD[CD_GEOCMU],[1]!DadosGHD[uf])</f>
        <v>RS</v>
      </c>
      <c r="E5487" s="5" t="str">
        <f>_xlfn.XLOOKUP(A5487,[1]!DadosGHD[CD_GEOCMU],[1]!DadosGHD[MUNICIPIO])</f>
        <v>GETULIO VARGAS</v>
      </c>
      <c r="F5487" s="6">
        <v>63.905941009521499</v>
      </c>
      <c r="G5487" s="6">
        <v>63.966358184814503</v>
      </c>
      <c r="H5487" s="6">
        <v>64.026092529296903</v>
      </c>
      <c r="I5487" s="6">
        <v>64.000221252441406</v>
      </c>
      <c r="J5487" s="6">
        <v>64.039611816406307</v>
      </c>
      <c r="K5487" s="6">
        <v>64.123191833496094</v>
      </c>
      <c r="L5487" s="6">
        <v>53.021591186523402</v>
      </c>
    </row>
    <row r="5488" spans="1:12" x14ac:dyDescent="0.25">
      <c r="A5488">
        <v>4213005</v>
      </c>
      <c r="B5488" t="str">
        <f t="shared" si="85"/>
        <v>PINHEIRO PRETO, SC, Brasil</v>
      </c>
      <c r="C5488" s="4" t="str">
        <f>_xlfn.XLOOKUP(A5488,[1]!DadosGHD[CD_GEOCMU],[1]!DadosGHD[Região])</f>
        <v>SL</v>
      </c>
      <c r="D5488" s="4" t="str">
        <f>_xlfn.XLOOKUP(A5488,[1]!DadosGHD[CD_GEOCMU],[1]!DadosGHD[uf])</f>
        <v>SC</v>
      </c>
      <c r="E5488" s="5" t="str">
        <f>_xlfn.XLOOKUP(A5488,[1]!DadosGHD[CD_GEOCMU],[1]!DadosGHD[MUNICIPIO])</f>
        <v>PINHEIRO PRETO</v>
      </c>
      <c r="F5488" s="6">
        <v>63.905941009521499</v>
      </c>
      <c r="G5488" s="6">
        <v>63.966358184814503</v>
      </c>
      <c r="H5488" s="6">
        <v>64.026092529296903</v>
      </c>
      <c r="I5488" s="6">
        <v>64.000221252441406</v>
      </c>
      <c r="J5488" s="6">
        <v>64.039611816406307</v>
      </c>
      <c r="K5488" s="6">
        <v>64.13623046875</v>
      </c>
      <c r="L5488" s="6">
        <v>57.589881896972699</v>
      </c>
    </row>
    <row r="5489" spans="1:12" x14ac:dyDescent="0.25">
      <c r="A5489">
        <v>4120853</v>
      </c>
      <c r="B5489" t="str">
        <f t="shared" si="85"/>
        <v>QUATRO PONTES, PR, Brasil</v>
      </c>
      <c r="C5489" s="4" t="str">
        <f>_xlfn.XLOOKUP(A5489,[1]!DadosGHD[CD_GEOCMU],[1]!DadosGHD[Região])</f>
        <v>SL</v>
      </c>
      <c r="D5489" s="4" t="str">
        <f>_xlfn.XLOOKUP(A5489,[1]!DadosGHD[CD_GEOCMU],[1]!DadosGHD[uf])</f>
        <v>PR</v>
      </c>
      <c r="E5489" s="5" t="str">
        <f>_xlfn.XLOOKUP(A5489,[1]!DadosGHD[CD_GEOCMU],[1]!DadosGHD[MUNICIPIO])</f>
        <v>QUATRO PONTES</v>
      </c>
      <c r="F5489" s="6">
        <v>63.905941009521499</v>
      </c>
      <c r="G5489" s="6">
        <v>63.966358184814503</v>
      </c>
      <c r="H5489" s="6">
        <v>64.026092529296903</v>
      </c>
      <c r="I5489" s="6">
        <v>64.000221252441406</v>
      </c>
      <c r="J5489" s="6">
        <v>64.039611816406307</v>
      </c>
      <c r="K5489" s="6">
        <v>64.13623046875</v>
      </c>
      <c r="L5489" s="6">
        <v>57.589881896972699</v>
      </c>
    </row>
    <row r="5490" spans="1:12" x14ac:dyDescent="0.25">
      <c r="A5490">
        <v>4303806</v>
      </c>
      <c r="B5490" t="str">
        <f t="shared" si="85"/>
        <v>CAMPINAS DO SUL, RS, Brasil</v>
      </c>
      <c r="C5490" s="4" t="str">
        <f>_xlfn.XLOOKUP(A5490,[1]!DadosGHD[CD_GEOCMU],[1]!DadosGHD[Região])</f>
        <v>SL</v>
      </c>
      <c r="D5490" s="4" t="str">
        <f>_xlfn.XLOOKUP(A5490,[1]!DadosGHD[CD_GEOCMU],[1]!DadosGHD[uf])</f>
        <v>RS</v>
      </c>
      <c r="E5490" s="5" t="str">
        <f>_xlfn.XLOOKUP(A5490,[1]!DadosGHD[CD_GEOCMU],[1]!DadosGHD[MUNICIPIO])</f>
        <v>CAMPINAS DO SUL</v>
      </c>
      <c r="F5490" s="6">
        <v>63.905941009521499</v>
      </c>
      <c r="G5490" s="6">
        <v>63.966358184814503</v>
      </c>
      <c r="H5490" s="6">
        <v>64.026092529296903</v>
      </c>
      <c r="I5490" s="6">
        <v>64.000221252441406</v>
      </c>
      <c r="J5490" s="6">
        <v>64.039611816406307</v>
      </c>
      <c r="K5490" s="6">
        <v>64.13623046875</v>
      </c>
      <c r="L5490" s="6">
        <v>57.589881896972699</v>
      </c>
    </row>
    <row r="5491" spans="1:12" x14ac:dyDescent="0.25">
      <c r="A5491">
        <v>4219606</v>
      </c>
      <c r="B5491" t="str">
        <f t="shared" si="85"/>
        <v>XAVANTINA, SC, Brasil</v>
      </c>
      <c r="C5491" s="4" t="str">
        <f>_xlfn.XLOOKUP(A5491,[1]!DadosGHD[CD_GEOCMU],[1]!DadosGHD[Região])</f>
        <v>SL</v>
      </c>
      <c r="D5491" s="4" t="str">
        <f>_xlfn.XLOOKUP(A5491,[1]!DadosGHD[CD_GEOCMU],[1]!DadosGHD[uf])</f>
        <v>SC</v>
      </c>
      <c r="E5491" s="5" t="str">
        <f>_xlfn.XLOOKUP(A5491,[1]!DadosGHD[CD_GEOCMU],[1]!DadosGHD[MUNICIPIO])</f>
        <v>XAVANTINA</v>
      </c>
      <c r="F5491" s="6">
        <v>63.905941009521499</v>
      </c>
      <c r="G5491" s="6">
        <v>63.966358184814503</v>
      </c>
      <c r="H5491" s="6">
        <v>64.026092529296903</v>
      </c>
      <c r="I5491" s="6">
        <v>64.000221252441406</v>
      </c>
      <c r="J5491" s="6">
        <v>64.039611816406307</v>
      </c>
      <c r="K5491" s="6">
        <v>64.13623046875</v>
      </c>
      <c r="L5491" s="6">
        <v>53.046653747558601</v>
      </c>
    </row>
    <row r="5492" spans="1:12" x14ac:dyDescent="0.25">
      <c r="A5492">
        <v>2605459</v>
      </c>
      <c r="B5492" t="str">
        <f t="shared" si="85"/>
        <v>FERNANDO DE NORONHA, PE, Brasil</v>
      </c>
      <c r="C5492" s="4" t="str">
        <f>_xlfn.XLOOKUP(A5492,[1]!DadosGHD[CD_GEOCMU],[1]!DadosGHD[Região])</f>
        <v>NE</v>
      </c>
      <c r="D5492" s="4" t="str">
        <f>_xlfn.XLOOKUP(A5492,[1]!DadosGHD[CD_GEOCMU],[1]!DadosGHD[uf])</f>
        <v>PE</v>
      </c>
      <c r="E5492" s="5" t="str">
        <f>_xlfn.XLOOKUP(A5492,[1]!DadosGHD[CD_GEOCMU],[1]!DadosGHD[MUNICIPIO])</f>
        <v>FERNANDO DE NORONHA</v>
      </c>
      <c r="F5492" s="6">
        <v>63.905941009521499</v>
      </c>
      <c r="G5492" s="6">
        <v>58.742225646972699</v>
      </c>
      <c r="H5492" s="6">
        <v>58.826972961425803</v>
      </c>
      <c r="I5492" s="6">
        <v>58.827293395996101</v>
      </c>
      <c r="J5492" s="6">
        <v>58.8470268249512</v>
      </c>
      <c r="K5492" s="6">
        <v>53.916496276855497</v>
      </c>
      <c r="L5492" s="6">
        <v>48.562408447265597</v>
      </c>
    </row>
    <row r="5493" spans="1:12" x14ac:dyDescent="0.25">
      <c r="A5493">
        <v>4204608</v>
      </c>
      <c r="B5493" t="str">
        <f t="shared" si="85"/>
        <v>CRICIUMA, SC, Brasil</v>
      </c>
      <c r="C5493" s="4" t="str">
        <f>_xlfn.XLOOKUP(A5493,[1]!DadosGHD[CD_GEOCMU],[1]!DadosGHD[Região])</f>
        <v>SL</v>
      </c>
      <c r="D5493" s="4" t="str">
        <f>_xlfn.XLOOKUP(A5493,[1]!DadosGHD[CD_GEOCMU],[1]!DadosGHD[uf])</f>
        <v>SC</v>
      </c>
      <c r="E5493" s="5" t="str">
        <f>_xlfn.XLOOKUP(A5493,[1]!DadosGHD[CD_GEOCMU],[1]!DadosGHD[MUNICIPIO])</f>
        <v>CRICIUMA</v>
      </c>
      <c r="F5493" s="6">
        <v>63.905941009521499</v>
      </c>
      <c r="G5493" s="6">
        <v>63.9655570983887</v>
      </c>
      <c r="H5493" s="6">
        <v>63.997859954833999</v>
      </c>
      <c r="I5493" s="6">
        <v>64.000221252441406</v>
      </c>
      <c r="J5493" s="6">
        <v>64.039611816406307</v>
      </c>
      <c r="K5493" s="6">
        <v>64.13623046875</v>
      </c>
      <c r="L5493" s="6">
        <v>57.589881896972699</v>
      </c>
    </row>
    <row r="5494" spans="1:12" x14ac:dyDescent="0.25">
      <c r="A5494">
        <v>5217203</v>
      </c>
      <c r="B5494" t="str">
        <f t="shared" si="85"/>
        <v>PIRANHAS, GO, Brasil</v>
      </c>
      <c r="C5494" s="4" t="str">
        <f>_xlfn.XLOOKUP(A5494,[1]!DadosGHD[CD_GEOCMU],[1]!DadosGHD[Região])</f>
        <v>CO</v>
      </c>
      <c r="D5494" s="4" t="str">
        <f>_xlfn.XLOOKUP(A5494,[1]!DadosGHD[CD_GEOCMU],[1]!DadosGHD[uf])</f>
        <v>GO</v>
      </c>
      <c r="E5494" s="5" t="str">
        <f>_xlfn.XLOOKUP(A5494,[1]!DadosGHD[CD_GEOCMU],[1]!DadosGHD[MUNICIPIO])</f>
        <v>PIRANHAS</v>
      </c>
      <c r="F5494" s="6">
        <v>63.905941009521499</v>
      </c>
      <c r="G5494" s="6">
        <v>63.966358184814503</v>
      </c>
      <c r="H5494" s="6">
        <v>64.026092529296903</v>
      </c>
      <c r="I5494" s="6">
        <v>64.000221252441406</v>
      </c>
      <c r="J5494" s="6">
        <v>64.039611816406307</v>
      </c>
      <c r="K5494" s="6">
        <v>64.13623046875</v>
      </c>
      <c r="L5494" s="6">
        <v>57.589881896972699</v>
      </c>
    </row>
    <row r="5495" spans="1:12" x14ac:dyDescent="0.25">
      <c r="A5495">
        <v>4303558</v>
      </c>
      <c r="B5495" t="str">
        <f t="shared" si="85"/>
        <v>CAMARGO, RS, Brasil</v>
      </c>
      <c r="C5495" s="4" t="str">
        <f>_xlfn.XLOOKUP(A5495,[1]!DadosGHD[CD_GEOCMU],[1]!DadosGHD[Região])</f>
        <v>SL</v>
      </c>
      <c r="D5495" s="4" t="str">
        <f>_xlfn.XLOOKUP(A5495,[1]!DadosGHD[CD_GEOCMU],[1]!DadosGHD[uf])</f>
        <v>RS</v>
      </c>
      <c r="E5495" s="5" t="str">
        <f>_xlfn.XLOOKUP(A5495,[1]!DadosGHD[CD_GEOCMU],[1]!DadosGHD[MUNICIPIO])</f>
        <v>CAMARGO</v>
      </c>
      <c r="F5495" s="6">
        <v>63.905941009521499</v>
      </c>
      <c r="G5495" s="6">
        <v>63.966358184814503</v>
      </c>
      <c r="H5495" s="6">
        <v>64.026092529296903</v>
      </c>
      <c r="I5495" s="6">
        <v>58.950408935546903</v>
      </c>
      <c r="J5495" s="6">
        <v>58.957450866699197</v>
      </c>
      <c r="K5495" s="6">
        <v>58.986412048339801</v>
      </c>
      <c r="L5495" s="6">
        <v>35.146457672119098</v>
      </c>
    </row>
    <row r="5496" spans="1:12" x14ac:dyDescent="0.25">
      <c r="A5496">
        <v>4313003</v>
      </c>
      <c r="B5496" t="str">
        <f t="shared" si="85"/>
        <v>NOVA BRESCIA, RS, Brasil</v>
      </c>
      <c r="C5496" s="4" t="str">
        <f>_xlfn.XLOOKUP(A5496,[1]!DadosGHD[CD_GEOCMU],[1]!DadosGHD[Região])</f>
        <v>SL</v>
      </c>
      <c r="D5496" s="4" t="str">
        <f>_xlfn.XLOOKUP(A5496,[1]!DadosGHD[CD_GEOCMU],[1]!DadosGHD[uf])</f>
        <v>RS</v>
      </c>
      <c r="E5496" s="5" t="str">
        <f>_xlfn.XLOOKUP(A5496,[1]!DadosGHD[CD_GEOCMU],[1]!DadosGHD[MUNICIPIO])</f>
        <v>NOVA BRESCIA</v>
      </c>
      <c r="F5496" s="6">
        <v>63.905941009521499</v>
      </c>
      <c r="G5496" s="6">
        <v>63.966358184814503</v>
      </c>
      <c r="H5496" s="6">
        <v>64.026092529296903</v>
      </c>
      <c r="I5496" s="6">
        <v>64.000221252441406</v>
      </c>
      <c r="J5496" s="6">
        <v>64.039611816406307</v>
      </c>
      <c r="K5496" s="6">
        <v>64.134773254394503</v>
      </c>
      <c r="L5496" s="6">
        <v>52.978355407714801</v>
      </c>
    </row>
    <row r="5497" spans="1:12" x14ac:dyDescent="0.25">
      <c r="A5497">
        <v>4320305</v>
      </c>
      <c r="B5497" t="str">
        <f t="shared" si="85"/>
        <v>SELBACH, RS, Brasil</v>
      </c>
      <c r="C5497" s="4" t="str">
        <f>_xlfn.XLOOKUP(A5497,[1]!DadosGHD[CD_GEOCMU],[1]!DadosGHD[Região])</f>
        <v>SL</v>
      </c>
      <c r="D5497" s="4" t="str">
        <f>_xlfn.XLOOKUP(A5497,[1]!DadosGHD[CD_GEOCMU],[1]!DadosGHD[uf])</f>
        <v>RS</v>
      </c>
      <c r="E5497" s="5" t="str">
        <f>_xlfn.XLOOKUP(A5497,[1]!DadosGHD[CD_GEOCMU],[1]!DadosGHD[MUNICIPIO])</f>
        <v>SELBACH</v>
      </c>
      <c r="F5497" s="6">
        <v>63.905941009521499</v>
      </c>
      <c r="G5497" s="6">
        <v>58.842041015625</v>
      </c>
      <c r="H5497" s="6">
        <v>58.8967475891113</v>
      </c>
      <c r="I5497" s="6">
        <v>64.000221252441406</v>
      </c>
      <c r="J5497" s="6">
        <v>64.039611816406307</v>
      </c>
      <c r="K5497" s="6">
        <v>64.13623046875</v>
      </c>
      <c r="L5497" s="6">
        <v>57.501991271972699</v>
      </c>
    </row>
    <row r="5498" spans="1:12" x14ac:dyDescent="0.25">
      <c r="A5498">
        <v>4321451</v>
      </c>
      <c r="B5498" t="str">
        <f t="shared" si="85"/>
        <v>TEUTONIA, RS, Brasil</v>
      </c>
      <c r="C5498" s="4" t="str">
        <f>_xlfn.XLOOKUP(A5498,[1]!DadosGHD[CD_GEOCMU],[1]!DadosGHD[Região])</f>
        <v>SL</v>
      </c>
      <c r="D5498" s="4" t="str">
        <f>_xlfn.XLOOKUP(A5498,[1]!DadosGHD[CD_GEOCMU],[1]!DadosGHD[uf])</f>
        <v>RS</v>
      </c>
      <c r="E5498" s="5" t="str">
        <f>_xlfn.XLOOKUP(A5498,[1]!DadosGHD[CD_GEOCMU],[1]!DadosGHD[MUNICIPIO])</f>
        <v>TEUTONIA</v>
      </c>
      <c r="F5498" s="6">
        <v>63.905941009521499</v>
      </c>
      <c r="G5498" s="6">
        <v>63.966358184814503</v>
      </c>
      <c r="H5498" s="6">
        <v>64.026092529296903</v>
      </c>
      <c r="I5498" s="6">
        <v>64.000221252441406</v>
      </c>
      <c r="J5498" s="6">
        <v>64.039611816406307</v>
      </c>
      <c r="K5498" s="6">
        <v>64.13623046875</v>
      </c>
      <c r="L5498" s="6">
        <v>57.589881896972699</v>
      </c>
    </row>
    <row r="5499" spans="1:12" x14ac:dyDescent="0.25">
      <c r="A5499">
        <v>4115705</v>
      </c>
      <c r="B5499" t="str">
        <f t="shared" si="85"/>
        <v>MATINHOS, PR, Brasil</v>
      </c>
      <c r="C5499" s="4" t="str">
        <f>_xlfn.XLOOKUP(A5499,[1]!DadosGHD[CD_GEOCMU],[1]!DadosGHD[Região])</f>
        <v>SL</v>
      </c>
      <c r="D5499" s="4" t="str">
        <f>_xlfn.XLOOKUP(A5499,[1]!DadosGHD[CD_GEOCMU],[1]!DadosGHD[uf])</f>
        <v>PR</v>
      </c>
      <c r="E5499" s="5" t="str">
        <f>_xlfn.XLOOKUP(A5499,[1]!DadosGHD[CD_GEOCMU],[1]!DadosGHD[MUNICIPIO])</f>
        <v>MATINHOS</v>
      </c>
      <c r="F5499" s="6">
        <v>63.905941009521499</v>
      </c>
      <c r="G5499" s="6">
        <v>58.825416564941399</v>
      </c>
      <c r="H5499" s="6">
        <v>53.848709106445298</v>
      </c>
      <c r="I5499" s="6">
        <v>53.848564147949197</v>
      </c>
      <c r="J5499" s="6">
        <v>58.878433227539098</v>
      </c>
      <c r="K5499" s="6">
        <v>59.017181396484403</v>
      </c>
      <c r="L5499" s="6">
        <v>57.589881896972699</v>
      </c>
    </row>
    <row r="5500" spans="1:12" x14ac:dyDescent="0.25">
      <c r="A5500">
        <v>4316501</v>
      </c>
      <c r="B5500" t="str">
        <f t="shared" si="85"/>
        <v>SALVADOR DO SUL, RS, Brasil</v>
      </c>
      <c r="C5500" s="4" t="str">
        <f>_xlfn.XLOOKUP(A5500,[1]!DadosGHD[CD_GEOCMU],[1]!DadosGHD[Região])</f>
        <v>SL</v>
      </c>
      <c r="D5500" s="4" t="str">
        <f>_xlfn.XLOOKUP(A5500,[1]!DadosGHD[CD_GEOCMU],[1]!DadosGHD[uf])</f>
        <v>RS</v>
      </c>
      <c r="E5500" s="5" t="str">
        <f>_xlfn.XLOOKUP(A5500,[1]!DadosGHD[CD_GEOCMU],[1]!DadosGHD[MUNICIPIO])</f>
        <v>SALVADOR DO SUL</v>
      </c>
      <c r="F5500" s="6">
        <v>63.905941009521499</v>
      </c>
      <c r="G5500" s="6">
        <v>63.966358184814503</v>
      </c>
      <c r="H5500" s="6">
        <v>63.980484008789098</v>
      </c>
      <c r="I5500" s="6">
        <v>58.910346984863303</v>
      </c>
      <c r="J5500" s="6">
        <v>58.818634033203097</v>
      </c>
      <c r="K5500" s="6">
        <v>53.991744995117202</v>
      </c>
      <c r="L5500" s="6">
        <v>48.549240112304702</v>
      </c>
    </row>
    <row r="5501" spans="1:12" x14ac:dyDescent="0.25">
      <c r="A5501">
        <v>4302105</v>
      </c>
      <c r="B5501" t="str">
        <f t="shared" si="85"/>
        <v>BENTO GONCALVES, RS, Brasil</v>
      </c>
      <c r="C5501" s="4" t="str">
        <f>_xlfn.XLOOKUP(A5501,[1]!DadosGHD[CD_GEOCMU],[1]!DadosGHD[Região])</f>
        <v>SL</v>
      </c>
      <c r="D5501" s="4" t="str">
        <f>_xlfn.XLOOKUP(A5501,[1]!DadosGHD[CD_GEOCMU],[1]!DadosGHD[uf])</f>
        <v>RS</v>
      </c>
      <c r="E5501" s="5" t="str">
        <f>_xlfn.XLOOKUP(A5501,[1]!DadosGHD[CD_GEOCMU],[1]!DadosGHD[MUNICIPIO])</f>
        <v>BENTO GONCALVES</v>
      </c>
      <c r="F5501" s="6">
        <v>63.905941009521499</v>
      </c>
      <c r="G5501" s="6">
        <v>63.966358184814503</v>
      </c>
      <c r="H5501" s="6">
        <v>64.026092529296903</v>
      </c>
      <c r="I5501" s="6">
        <v>64.000221252441406</v>
      </c>
      <c r="J5501" s="6">
        <v>64.039611816406307</v>
      </c>
      <c r="K5501" s="6">
        <v>64.116607666015597</v>
      </c>
      <c r="L5501" s="6">
        <v>53.057487487792997</v>
      </c>
    </row>
    <row r="5502" spans="1:12" x14ac:dyDescent="0.25">
      <c r="A5502">
        <v>4124806</v>
      </c>
      <c r="B5502" t="str">
        <f t="shared" si="85"/>
        <v>SAO JOAO, PR, Brasil</v>
      </c>
      <c r="C5502" s="4" t="str">
        <f>_xlfn.XLOOKUP(A5502,[1]!DadosGHD[CD_GEOCMU],[1]!DadosGHD[Região])</f>
        <v>SL</v>
      </c>
      <c r="D5502" s="4" t="str">
        <f>_xlfn.XLOOKUP(A5502,[1]!DadosGHD[CD_GEOCMU],[1]!DadosGHD[uf])</f>
        <v>PR</v>
      </c>
      <c r="E5502" s="5" t="str">
        <f>_xlfn.XLOOKUP(A5502,[1]!DadosGHD[CD_GEOCMU],[1]!DadosGHD[MUNICIPIO])</f>
        <v>SAO JOAO</v>
      </c>
      <c r="F5502" s="6">
        <v>63.905941009521499</v>
      </c>
      <c r="G5502" s="6">
        <v>63.966358184814503</v>
      </c>
      <c r="H5502" s="6">
        <v>64.026092529296903</v>
      </c>
      <c r="I5502" s="6">
        <v>64.000221252441406</v>
      </c>
      <c r="J5502" s="6">
        <v>64.039611816406307</v>
      </c>
      <c r="K5502" s="6">
        <v>64.13623046875</v>
      </c>
      <c r="L5502" s="6">
        <v>57.589881896972699</v>
      </c>
    </row>
    <row r="5503" spans="1:12" x14ac:dyDescent="0.25">
      <c r="A5503">
        <v>3557154</v>
      </c>
      <c r="B5503" t="str">
        <f t="shared" si="85"/>
        <v>ZACARIAS, SP, Brasil</v>
      </c>
      <c r="C5503" s="4" t="str">
        <f>_xlfn.XLOOKUP(A5503,[1]!DadosGHD[CD_GEOCMU],[1]!DadosGHD[Região])</f>
        <v>SD</v>
      </c>
      <c r="D5503" s="4" t="str">
        <f>_xlfn.XLOOKUP(A5503,[1]!DadosGHD[CD_GEOCMU],[1]!DadosGHD[uf])</f>
        <v>SP</v>
      </c>
      <c r="E5503" s="5" t="str">
        <f>_xlfn.XLOOKUP(A5503,[1]!DadosGHD[CD_GEOCMU],[1]!DadosGHD[MUNICIPIO])</f>
        <v>ZACARIAS</v>
      </c>
      <c r="F5503" s="6">
        <v>63.905941009521499</v>
      </c>
      <c r="G5503" s="6">
        <v>63.875389099121101</v>
      </c>
      <c r="H5503" s="6">
        <v>63.945201873779297</v>
      </c>
      <c r="I5503" s="6">
        <v>58.947708129882798</v>
      </c>
      <c r="J5503" s="6">
        <v>53.886642456054702</v>
      </c>
      <c r="K5503" s="6">
        <v>53.848518371582003</v>
      </c>
      <c r="L5503" s="6">
        <v>48.532638549804702</v>
      </c>
    </row>
    <row r="5504" spans="1:12" x14ac:dyDescent="0.25">
      <c r="A5504">
        <v>5102686</v>
      </c>
      <c r="B5504" t="str">
        <f t="shared" si="85"/>
        <v>CAMPOS DE JULIO, MT, Brasil</v>
      </c>
      <c r="C5504" s="4" t="str">
        <f>_xlfn.XLOOKUP(A5504,[1]!DadosGHD[CD_GEOCMU],[1]!DadosGHD[Região])</f>
        <v>CO</v>
      </c>
      <c r="D5504" s="4" t="str">
        <f>_xlfn.XLOOKUP(A5504,[1]!DadosGHD[CD_GEOCMU],[1]!DadosGHD[uf])</f>
        <v>MT</v>
      </c>
      <c r="E5504" s="5" t="str">
        <f>_xlfn.XLOOKUP(A5504,[1]!DadosGHD[CD_GEOCMU],[1]!DadosGHD[MUNICIPIO])</f>
        <v>CAMPOS DE JULIO</v>
      </c>
      <c r="F5504" s="6">
        <v>63.905941009521499</v>
      </c>
      <c r="G5504" s="6">
        <v>63.966358184814503</v>
      </c>
      <c r="H5504" s="6">
        <v>64.026092529296903</v>
      </c>
      <c r="I5504" s="6">
        <v>63.919246673583999</v>
      </c>
      <c r="J5504" s="6">
        <v>58.875343322753899</v>
      </c>
      <c r="K5504" s="6">
        <v>58.933372497558601</v>
      </c>
      <c r="L5504" s="6">
        <v>39.572345733642599</v>
      </c>
    </row>
    <row r="5505" spans="1:12" x14ac:dyDescent="0.25">
      <c r="A5505">
        <v>4312658</v>
      </c>
      <c r="B5505" t="str">
        <f t="shared" si="85"/>
        <v>NAO-ME-TOQUE, RS, Brasil</v>
      </c>
      <c r="C5505" s="4" t="str">
        <f>_xlfn.XLOOKUP(A5505,[1]!DadosGHD[CD_GEOCMU],[1]!DadosGHD[Região])</f>
        <v>SL</v>
      </c>
      <c r="D5505" s="4" t="str">
        <f>_xlfn.XLOOKUP(A5505,[1]!DadosGHD[CD_GEOCMU],[1]!DadosGHD[uf])</f>
        <v>RS</v>
      </c>
      <c r="E5505" s="5" t="str">
        <f>_xlfn.XLOOKUP(A5505,[1]!DadosGHD[CD_GEOCMU],[1]!DadosGHD[MUNICIPIO])</f>
        <v>NAO-ME-TOQUE</v>
      </c>
      <c r="F5505" s="6">
        <v>63.905941009521499</v>
      </c>
      <c r="G5505" s="6">
        <v>63.966358184814503</v>
      </c>
      <c r="H5505" s="6">
        <v>64.026092529296903</v>
      </c>
      <c r="I5505" s="6">
        <v>64.000221252441406</v>
      </c>
      <c r="J5505" s="6">
        <v>64.039611816406307</v>
      </c>
      <c r="K5505" s="6">
        <v>64.13623046875</v>
      </c>
      <c r="L5505" s="6">
        <v>57.564079284667997</v>
      </c>
    </row>
    <row r="5506" spans="1:12" x14ac:dyDescent="0.25">
      <c r="A5506">
        <v>5220504</v>
      </c>
      <c r="B5506" t="str">
        <f t="shared" si="85"/>
        <v>SERRANOPOLIS, GO, Brasil</v>
      </c>
      <c r="C5506" s="4" t="str">
        <f>_xlfn.XLOOKUP(A5506,[1]!DadosGHD[CD_GEOCMU],[1]!DadosGHD[Região])</f>
        <v>CO</v>
      </c>
      <c r="D5506" s="4" t="str">
        <f>_xlfn.XLOOKUP(A5506,[1]!DadosGHD[CD_GEOCMU],[1]!DadosGHD[uf])</f>
        <v>GO</v>
      </c>
      <c r="E5506" s="5" t="str">
        <f>_xlfn.XLOOKUP(A5506,[1]!DadosGHD[CD_GEOCMU],[1]!DadosGHD[MUNICIPIO])</f>
        <v>SERRANOPOLIS</v>
      </c>
      <c r="F5506" s="6">
        <v>63.905941009521499</v>
      </c>
      <c r="G5506" s="6">
        <v>63.966358184814503</v>
      </c>
      <c r="H5506" s="6">
        <v>64.026092529296903</v>
      </c>
      <c r="I5506" s="6">
        <v>64.000221252441406</v>
      </c>
      <c r="J5506" s="6">
        <v>64.039611816406307</v>
      </c>
      <c r="K5506" s="6">
        <v>64.13623046875</v>
      </c>
      <c r="L5506" s="6">
        <v>48.541370391845703</v>
      </c>
    </row>
    <row r="5507" spans="1:12" x14ac:dyDescent="0.25">
      <c r="A5507">
        <v>4303301</v>
      </c>
      <c r="B5507" t="str">
        <f t="shared" si="85"/>
        <v>CAIBATE, RS, Brasil</v>
      </c>
      <c r="C5507" s="4" t="str">
        <f>_xlfn.XLOOKUP(A5507,[1]!DadosGHD[CD_GEOCMU],[1]!DadosGHD[Região])</f>
        <v>SL</v>
      </c>
      <c r="D5507" s="4" t="str">
        <f>_xlfn.XLOOKUP(A5507,[1]!DadosGHD[CD_GEOCMU],[1]!DadosGHD[uf])</f>
        <v>RS</v>
      </c>
      <c r="E5507" s="5" t="str">
        <f>_xlfn.XLOOKUP(A5507,[1]!DadosGHD[CD_GEOCMU],[1]!DadosGHD[MUNICIPIO])</f>
        <v>CAIBATE</v>
      </c>
      <c r="F5507" s="6">
        <v>63.905941009521499</v>
      </c>
      <c r="G5507" s="6">
        <v>63.966358184814503</v>
      </c>
      <c r="H5507" s="6">
        <v>64.026092529296903</v>
      </c>
      <c r="I5507" s="6">
        <v>64.000221252441406</v>
      </c>
      <c r="J5507" s="6">
        <v>64.039611816406307</v>
      </c>
      <c r="K5507" s="6">
        <v>64.13623046875</v>
      </c>
      <c r="L5507" s="6">
        <v>52.9862670898438</v>
      </c>
    </row>
    <row r="5508" spans="1:12" x14ac:dyDescent="0.25">
      <c r="A5508">
        <v>5105259</v>
      </c>
      <c r="B5508" t="str">
        <f t="shared" ref="B5508:B5571" si="86">_xlfn.CONCAT(E5508, ", ", D5508, ", Brasil")</f>
        <v>LUCAS DO RIO VERDE, MT, Brasil</v>
      </c>
      <c r="C5508" s="4" t="str">
        <f>_xlfn.XLOOKUP(A5508,[1]!DadosGHD[CD_GEOCMU],[1]!DadosGHD[Região])</f>
        <v>CO</v>
      </c>
      <c r="D5508" s="4" t="str">
        <f>_xlfn.XLOOKUP(A5508,[1]!DadosGHD[CD_GEOCMU],[1]!DadosGHD[uf])</f>
        <v>MT</v>
      </c>
      <c r="E5508" s="5" t="str">
        <f>_xlfn.XLOOKUP(A5508,[1]!DadosGHD[CD_GEOCMU],[1]!DadosGHD[MUNICIPIO])</f>
        <v>LUCAS DO RIO VERDE</v>
      </c>
      <c r="F5508" s="6">
        <v>63.905941009521499</v>
      </c>
      <c r="G5508" s="6">
        <v>63.966358184814503</v>
      </c>
      <c r="H5508" s="6">
        <v>64.026092529296903</v>
      </c>
      <c r="I5508" s="6">
        <v>64.000221252441406</v>
      </c>
      <c r="J5508" s="6">
        <v>64.039611816406307</v>
      </c>
      <c r="K5508" s="6">
        <v>64.13623046875</v>
      </c>
      <c r="L5508" s="6">
        <v>53.014678955078097</v>
      </c>
    </row>
    <row r="5509" spans="1:12" x14ac:dyDescent="0.25">
      <c r="A5509">
        <v>3500105</v>
      </c>
      <c r="B5509" t="str">
        <f t="shared" si="86"/>
        <v>ADAMANTINA, SP, Brasil</v>
      </c>
      <c r="C5509" s="4" t="str">
        <f>_xlfn.XLOOKUP(A5509,[1]!DadosGHD[CD_GEOCMU],[1]!DadosGHD[Região])</f>
        <v>SD</v>
      </c>
      <c r="D5509" s="4" t="str">
        <f>_xlfn.XLOOKUP(A5509,[1]!DadosGHD[CD_GEOCMU],[1]!DadosGHD[uf])</f>
        <v>SP</v>
      </c>
      <c r="E5509" s="5" t="str">
        <f>_xlfn.XLOOKUP(A5509,[1]!DadosGHD[CD_GEOCMU],[1]!DadosGHD[MUNICIPIO])</f>
        <v>ADAMANTINA</v>
      </c>
      <c r="F5509" s="6">
        <v>63.905941009521499</v>
      </c>
      <c r="G5509" s="6">
        <v>63.944381713867202</v>
      </c>
      <c r="H5509" s="6">
        <v>58.932285308837898</v>
      </c>
      <c r="I5509" s="6">
        <v>53.792770385742202</v>
      </c>
      <c r="J5509" s="6">
        <v>48.840576171875</v>
      </c>
      <c r="K5509" s="6">
        <v>58.936012268066399</v>
      </c>
      <c r="L5509" s="6">
        <v>57.492870330810597</v>
      </c>
    </row>
    <row r="5510" spans="1:12" x14ac:dyDescent="0.25">
      <c r="A5510">
        <v>4209003</v>
      </c>
      <c r="B5510" t="str">
        <f t="shared" si="86"/>
        <v>JOACABA, SC, Brasil</v>
      </c>
      <c r="C5510" s="4" t="str">
        <f>_xlfn.XLOOKUP(A5510,[1]!DadosGHD[CD_GEOCMU],[1]!DadosGHD[Região])</f>
        <v>SL</v>
      </c>
      <c r="D5510" s="4" t="str">
        <f>_xlfn.XLOOKUP(A5510,[1]!DadosGHD[CD_GEOCMU],[1]!DadosGHD[uf])</f>
        <v>SC</v>
      </c>
      <c r="E5510" s="5" t="str">
        <f>_xlfn.XLOOKUP(A5510,[1]!DadosGHD[CD_GEOCMU],[1]!DadosGHD[MUNICIPIO])</f>
        <v>JOACABA</v>
      </c>
      <c r="F5510" s="6">
        <v>63.905941009521499</v>
      </c>
      <c r="G5510" s="6">
        <v>63.966358184814503</v>
      </c>
      <c r="H5510" s="6">
        <v>64.026092529296903</v>
      </c>
      <c r="I5510" s="6">
        <v>64.000221252441406</v>
      </c>
      <c r="J5510" s="6">
        <v>64.039611816406307</v>
      </c>
      <c r="K5510" s="6">
        <v>64.13623046875</v>
      </c>
      <c r="L5510" s="6">
        <v>57.589881896972699</v>
      </c>
    </row>
    <row r="5511" spans="1:12" x14ac:dyDescent="0.25">
      <c r="A5511">
        <v>5102702</v>
      </c>
      <c r="B5511" t="str">
        <f t="shared" si="86"/>
        <v>CANARANA, MT, Brasil</v>
      </c>
      <c r="C5511" s="4" t="str">
        <f>_xlfn.XLOOKUP(A5511,[1]!DadosGHD[CD_GEOCMU],[1]!DadosGHD[Região])</f>
        <v>CO</v>
      </c>
      <c r="D5511" s="4" t="str">
        <f>_xlfn.XLOOKUP(A5511,[1]!DadosGHD[CD_GEOCMU],[1]!DadosGHD[uf])</f>
        <v>MT</v>
      </c>
      <c r="E5511" s="5" t="str">
        <f>_xlfn.XLOOKUP(A5511,[1]!DadosGHD[CD_GEOCMU],[1]!DadosGHD[MUNICIPIO])</f>
        <v>CANARANA</v>
      </c>
      <c r="F5511" s="6">
        <v>63.905941009521499</v>
      </c>
      <c r="G5511" s="6">
        <v>63.966358184814503</v>
      </c>
      <c r="H5511" s="6">
        <v>64.026092529296903</v>
      </c>
      <c r="I5511" s="6">
        <v>64.000221252441406</v>
      </c>
      <c r="J5511" s="6">
        <v>64.039611816406307</v>
      </c>
      <c r="K5511" s="6">
        <v>64.13623046875</v>
      </c>
      <c r="L5511" s="6">
        <v>44.030361175537102</v>
      </c>
    </row>
    <row r="5512" spans="1:12" x14ac:dyDescent="0.25">
      <c r="A5512">
        <v>3548500</v>
      </c>
      <c r="B5512" t="str">
        <f t="shared" si="86"/>
        <v>SANTOS, SP, Brasil</v>
      </c>
      <c r="C5512" s="4" t="str">
        <f>_xlfn.XLOOKUP(A5512,[1]!DadosGHD[CD_GEOCMU],[1]!DadosGHD[Região])</f>
        <v>SD</v>
      </c>
      <c r="D5512" s="4" t="str">
        <f>_xlfn.XLOOKUP(A5512,[1]!DadosGHD[CD_GEOCMU],[1]!DadosGHD[uf])</f>
        <v>SP</v>
      </c>
      <c r="E5512" s="5" t="str">
        <f>_xlfn.XLOOKUP(A5512,[1]!DadosGHD[CD_GEOCMU],[1]!DadosGHD[MUNICIPIO])</f>
        <v>SANTOS</v>
      </c>
      <c r="F5512" s="6">
        <v>63.905941009521499</v>
      </c>
      <c r="G5512" s="6">
        <v>63.966358184814503</v>
      </c>
      <c r="H5512" s="6">
        <v>64.026092529296903</v>
      </c>
      <c r="I5512" s="6">
        <v>64.000221252441406</v>
      </c>
      <c r="J5512" s="6">
        <v>64.039611816406307</v>
      </c>
      <c r="K5512" s="6">
        <v>64.13134765625</v>
      </c>
      <c r="L5512" s="6">
        <v>57.589881896972699</v>
      </c>
    </row>
    <row r="5513" spans="1:12" x14ac:dyDescent="0.25">
      <c r="A5513">
        <v>3520707</v>
      </c>
      <c r="B5513" t="str">
        <f t="shared" si="86"/>
        <v>INDIAPORA, SP, Brasil</v>
      </c>
      <c r="C5513" s="4" t="str">
        <f>_xlfn.XLOOKUP(A5513,[1]!DadosGHD[CD_GEOCMU],[1]!DadosGHD[Região])</f>
        <v>SD</v>
      </c>
      <c r="D5513" s="4" t="str">
        <f>_xlfn.XLOOKUP(A5513,[1]!DadosGHD[CD_GEOCMU],[1]!DadosGHD[uf])</f>
        <v>SP</v>
      </c>
      <c r="E5513" s="5" t="str">
        <f>_xlfn.XLOOKUP(A5513,[1]!DadosGHD[CD_GEOCMU],[1]!DadosGHD[MUNICIPIO])</f>
        <v>INDIAPORA</v>
      </c>
      <c r="F5513" s="6">
        <v>63.905941009521499</v>
      </c>
      <c r="G5513" s="6">
        <v>63.966358184814503</v>
      </c>
      <c r="H5513" s="6">
        <v>64.026092529296903</v>
      </c>
      <c r="I5513" s="6">
        <v>64.000221252441406</v>
      </c>
      <c r="J5513" s="6">
        <v>64.039611816406307</v>
      </c>
      <c r="K5513" s="6">
        <v>59.0482788085938</v>
      </c>
      <c r="L5513" s="6">
        <v>35.158058166503899</v>
      </c>
    </row>
    <row r="5514" spans="1:12" x14ac:dyDescent="0.25">
      <c r="A5514">
        <v>4318606</v>
      </c>
      <c r="B5514" t="str">
        <f t="shared" si="86"/>
        <v>SAO JOSE DO OURO, RS, Brasil</v>
      </c>
      <c r="C5514" s="4" t="str">
        <f>_xlfn.XLOOKUP(A5514,[1]!DadosGHD[CD_GEOCMU],[1]!DadosGHD[Região])</f>
        <v>SL</v>
      </c>
      <c r="D5514" s="4" t="str">
        <f>_xlfn.XLOOKUP(A5514,[1]!DadosGHD[CD_GEOCMU],[1]!DadosGHD[uf])</f>
        <v>RS</v>
      </c>
      <c r="E5514" s="5" t="str">
        <f>_xlfn.XLOOKUP(A5514,[1]!DadosGHD[CD_GEOCMU],[1]!DadosGHD[MUNICIPIO])</f>
        <v>SAO JOSE DO OURO</v>
      </c>
      <c r="F5514" s="6">
        <v>63.905941009521499</v>
      </c>
      <c r="G5514" s="6">
        <v>63.966358184814503</v>
      </c>
      <c r="H5514" s="6">
        <v>64.026092529296903</v>
      </c>
      <c r="I5514" s="6">
        <v>64.000221252441406</v>
      </c>
      <c r="J5514" s="6">
        <v>64.039611816406307</v>
      </c>
      <c r="K5514" s="6">
        <v>64.13623046875</v>
      </c>
      <c r="L5514" s="6">
        <v>53.022247314453097</v>
      </c>
    </row>
    <row r="5515" spans="1:12" x14ac:dyDescent="0.25">
      <c r="A5515">
        <v>4314902</v>
      </c>
      <c r="B5515" t="str">
        <f t="shared" si="86"/>
        <v>PORTO ALEGRE, RS, Brasil</v>
      </c>
      <c r="C5515" s="4" t="str">
        <f>_xlfn.XLOOKUP(A5515,[1]!DadosGHD[CD_GEOCMU],[1]!DadosGHD[Região])</f>
        <v>SL</v>
      </c>
      <c r="D5515" s="4" t="str">
        <f>_xlfn.XLOOKUP(A5515,[1]!DadosGHD[CD_GEOCMU],[1]!DadosGHD[uf])</f>
        <v>RS</v>
      </c>
      <c r="E5515" s="5" t="str">
        <f>_xlfn.XLOOKUP(A5515,[1]!DadosGHD[CD_GEOCMU],[1]!DadosGHD[MUNICIPIO])</f>
        <v>PORTO ALEGRE</v>
      </c>
      <c r="F5515" s="6">
        <v>63.905941009521499</v>
      </c>
      <c r="G5515" s="6">
        <v>63.966358184814503</v>
      </c>
      <c r="H5515" s="6">
        <v>64.006767272949205</v>
      </c>
      <c r="I5515" s="6">
        <v>63.944961547851598</v>
      </c>
      <c r="J5515" s="6">
        <v>63.939811706542997</v>
      </c>
      <c r="K5515" s="6">
        <v>59.0424995422363</v>
      </c>
      <c r="L5515" s="6">
        <v>57.529685974121101</v>
      </c>
    </row>
    <row r="5516" spans="1:12" x14ac:dyDescent="0.25">
      <c r="A5516">
        <v>3502804</v>
      </c>
      <c r="B5516" t="str">
        <f t="shared" si="86"/>
        <v>ARACATUBA, SP, Brasil</v>
      </c>
      <c r="C5516" s="4" t="str">
        <f>_xlfn.XLOOKUP(A5516,[1]!DadosGHD[CD_GEOCMU],[1]!DadosGHD[Região])</f>
        <v>SD</v>
      </c>
      <c r="D5516" s="4" t="str">
        <f>_xlfn.XLOOKUP(A5516,[1]!DadosGHD[CD_GEOCMU],[1]!DadosGHD[uf])</f>
        <v>SP</v>
      </c>
      <c r="E5516" s="5" t="str">
        <f>_xlfn.XLOOKUP(A5516,[1]!DadosGHD[CD_GEOCMU],[1]!DadosGHD[MUNICIPIO])</f>
        <v>ARACATUBA</v>
      </c>
      <c r="F5516" s="6">
        <v>63.905941009521499</v>
      </c>
      <c r="G5516" s="6">
        <v>63.966358184814503</v>
      </c>
      <c r="H5516" s="6">
        <v>64.026092529296903</v>
      </c>
      <c r="I5516" s="6">
        <v>64.000221252441406</v>
      </c>
      <c r="J5516" s="6">
        <v>64.039611816406307</v>
      </c>
      <c r="K5516" s="6">
        <v>64.13623046875</v>
      </c>
      <c r="L5516" s="6">
        <v>57.589881896972699</v>
      </c>
    </row>
    <row r="5517" spans="1:12" x14ac:dyDescent="0.25">
      <c r="A5517">
        <v>1721000</v>
      </c>
      <c r="B5517" t="str">
        <f t="shared" si="86"/>
        <v>PALMAS, TO, Brasil</v>
      </c>
      <c r="C5517" s="4" t="str">
        <f>_xlfn.XLOOKUP(A5517,[1]!DadosGHD[CD_GEOCMU],[1]!DadosGHD[Região])</f>
        <v>NO</v>
      </c>
      <c r="D5517" s="4" t="str">
        <f>_xlfn.XLOOKUP(A5517,[1]!DadosGHD[CD_GEOCMU],[1]!DadosGHD[uf])</f>
        <v>TO</v>
      </c>
      <c r="E5517" s="5" t="str">
        <f>_xlfn.XLOOKUP(A5517,[1]!DadosGHD[CD_GEOCMU],[1]!DadosGHD[MUNICIPIO])</f>
        <v>PALMAS</v>
      </c>
      <c r="F5517" s="6">
        <v>63.905941009521499</v>
      </c>
      <c r="G5517" s="6">
        <v>63.897483825683601</v>
      </c>
      <c r="H5517" s="6">
        <v>63.962112426757798</v>
      </c>
      <c r="I5517" s="6">
        <v>63.8983154296875</v>
      </c>
      <c r="J5517" s="6">
        <v>58.963459014892599</v>
      </c>
      <c r="K5517" s="6">
        <v>58.992645263671903</v>
      </c>
      <c r="L5517" s="6">
        <v>53.022407531738303</v>
      </c>
    </row>
    <row r="5518" spans="1:12" x14ac:dyDescent="0.25">
      <c r="A5518">
        <v>3505708</v>
      </c>
      <c r="B5518" t="str">
        <f t="shared" si="86"/>
        <v>BARUERI, SP, Brasil</v>
      </c>
      <c r="C5518" s="4" t="str">
        <f>_xlfn.XLOOKUP(A5518,[1]!DadosGHD[CD_GEOCMU],[1]!DadosGHD[Região])</f>
        <v>SD</v>
      </c>
      <c r="D5518" s="4" t="str">
        <f>_xlfn.XLOOKUP(A5518,[1]!DadosGHD[CD_GEOCMU],[1]!DadosGHD[uf])</f>
        <v>SP</v>
      </c>
      <c r="E5518" s="5" t="str">
        <f>_xlfn.XLOOKUP(A5518,[1]!DadosGHD[CD_GEOCMU],[1]!DadosGHD[MUNICIPIO])</f>
        <v>BARUERI</v>
      </c>
      <c r="F5518" s="6">
        <v>63.905941009521499</v>
      </c>
      <c r="G5518" s="6">
        <v>63.966358184814503</v>
      </c>
      <c r="H5518" s="6">
        <v>64.026092529296903</v>
      </c>
      <c r="I5518" s="6">
        <v>64.000221252441406</v>
      </c>
      <c r="J5518" s="6">
        <v>64.039611816406307</v>
      </c>
      <c r="K5518" s="6">
        <v>64.13623046875</v>
      </c>
      <c r="L5518" s="6">
        <v>57.589881896972699</v>
      </c>
    </row>
    <row r="5519" spans="1:12" x14ac:dyDescent="0.25">
      <c r="A5519">
        <v>4126504</v>
      </c>
      <c r="B5519" t="str">
        <f t="shared" si="86"/>
        <v>SERTANOPOLIS, PR, Brasil</v>
      </c>
      <c r="C5519" s="4" t="str">
        <f>_xlfn.XLOOKUP(A5519,[1]!DadosGHD[CD_GEOCMU],[1]!DadosGHD[Região])</f>
        <v>SL</v>
      </c>
      <c r="D5519" s="4" t="str">
        <f>_xlfn.XLOOKUP(A5519,[1]!DadosGHD[CD_GEOCMU],[1]!DadosGHD[uf])</f>
        <v>PR</v>
      </c>
      <c r="E5519" s="5" t="str">
        <f>_xlfn.XLOOKUP(A5519,[1]!DadosGHD[CD_GEOCMU],[1]!DadosGHD[MUNICIPIO])</f>
        <v>SERTANOPOLIS</v>
      </c>
      <c r="F5519" s="6">
        <v>63.905941009521499</v>
      </c>
      <c r="G5519" s="6">
        <v>63.966358184814503</v>
      </c>
      <c r="H5519" s="6">
        <v>58.978713989257798</v>
      </c>
      <c r="I5519" s="6">
        <v>63.935577392578097</v>
      </c>
      <c r="J5519" s="6">
        <v>58.972213745117202</v>
      </c>
      <c r="K5519" s="6">
        <v>59.020980834960902</v>
      </c>
      <c r="L5519" s="6">
        <v>48.490627288818402</v>
      </c>
    </row>
    <row r="5520" spans="1:12" x14ac:dyDescent="0.25">
      <c r="A5520">
        <v>3506003</v>
      </c>
      <c r="B5520" t="str">
        <f t="shared" si="86"/>
        <v>BAURU, SP, Brasil</v>
      </c>
      <c r="C5520" s="4" t="str">
        <f>_xlfn.XLOOKUP(A5520,[1]!DadosGHD[CD_GEOCMU],[1]!DadosGHD[Região])</f>
        <v>SD</v>
      </c>
      <c r="D5520" s="4" t="str">
        <f>_xlfn.XLOOKUP(A5520,[1]!DadosGHD[CD_GEOCMU],[1]!DadosGHD[uf])</f>
        <v>SP</v>
      </c>
      <c r="E5520" s="5" t="str">
        <f>_xlfn.XLOOKUP(A5520,[1]!DadosGHD[CD_GEOCMU],[1]!DadosGHD[MUNICIPIO])</f>
        <v>BAURU</v>
      </c>
      <c r="F5520" s="6">
        <v>63.905941009521499</v>
      </c>
      <c r="G5520" s="6">
        <v>63.966358184814503</v>
      </c>
      <c r="H5520" s="6">
        <v>64.026092529296903</v>
      </c>
      <c r="I5520" s="6">
        <v>63.9764213562012</v>
      </c>
      <c r="J5520" s="6">
        <v>64.032379150390597</v>
      </c>
      <c r="K5520" s="6">
        <v>64.101799011230497</v>
      </c>
      <c r="L5520" s="6">
        <v>57.589881896972699</v>
      </c>
    </row>
    <row r="5521" spans="1:12" x14ac:dyDescent="0.25">
      <c r="A5521">
        <v>4306809</v>
      </c>
      <c r="B5521" t="str">
        <f t="shared" si="86"/>
        <v>ENCANTADO, RS, Brasil</v>
      </c>
      <c r="C5521" s="4" t="str">
        <f>_xlfn.XLOOKUP(A5521,[1]!DadosGHD[CD_GEOCMU],[1]!DadosGHD[Região])</f>
        <v>SL</v>
      </c>
      <c r="D5521" s="4" t="str">
        <f>_xlfn.XLOOKUP(A5521,[1]!DadosGHD[CD_GEOCMU],[1]!DadosGHD[uf])</f>
        <v>RS</v>
      </c>
      <c r="E5521" s="5" t="str">
        <f>_xlfn.XLOOKUP(A5521,[1]!DadosGHD[CD_GEOCMU],[1]!DadosGHD[MUNICIPIO])</f>
        <v>ENCANTADO</v>
      </c>
      <c r="F5521" s="6">
        <v>63.905941009521499</v>
      </c>
      <c r="G5521" s="6">
        <v>63.966358184814503</v>
      </c>
      <c r="H5521" s="6">
        <v>64.026092529296903</v>
      </c>
      <c r="I5521" s="6">
        <v>64.000221252441406</v>
      </c>
      <c r="J5521" s="6">
        <v>64.039611816406307</v>
      </c>
      <c r="K5521" s="6">
        <v>64.13623046875</v>
      </c>
      <c r="L5521" s="6">
        <v>57.578414916992202</v>
      </c>
    </row>
    <row r="5522" spans="1:12" x14ac:dyDescent="0.25">
      <c r="A5522">
        <v>4304002</v>
      </c>
      <c r="B5522" t="str">
        <f t="shared" si="86"/>
        <v>CAMPO NOVO, RS, Brasil</v>
      </c>
      <c r="C5522" s="4" t="str">
        <f>_xlfn.XLOOKUP(A5522,[1]!DadosGHD[CD_GEOCMU],[1]!DadosGHD[Região])</f>
        <v>SL</v>
      </c>
      <c r="D5522" s="4" t="str">
        <f>_xlfn.XLOOKUP(A5522,[1]!DadosGHD[CD_GEOCMU],[1]!DadosGHD[uf])</f>
        <v>RS</v>
      </c>
      <c r="E5522" s="5" t="str">
        <f>_xlfn.XLOOKUP(A5522,[1]!DadosGHD[CD_GEOCMU],[1]!DadosGHD[MUNICIPIO])</f>
        <v>CAMPO NOVO</v>
      </c>
      <c r="F5522" s="6">
        <v>63.905941009521499</v>
      </c>
      <c r="G5522" s="6">
        <v>63.966358184814503</v>
      </c>
      <c r="H5522" s="6">
        <v>64.026092529296903</v>
      </c>
      <c r="I5522" s="6">
        <v>64.000221252441406</v>
      </c>
      <c r="J5522" s="6">
        <v>64.039611816406307</v>
      </c>
      <c r="K5522" s="6">
        <v>64.13623046875</v>
      </c>
      <c r="L5522" s="6">
        <v>57.510211944580099</v>
      </c>
    </row>
    <row r="5523" spans="1:12" x14ac:dyDescent="0.25">
      <c r="A5523">
        <v>3205309</v>
      </c>
      <c r="B5523" t="str">
        <f t="shared" si="86"/>
        <v>VITORIA, ES, Brasil</v>
      </c>
      <c r="C5523" s="4" t="str">
        <f>_xlfn.XLOOKUP(A5523,[1]!DadosGHD[CD_GEOCMU],[1]!DadosGHD[Região])</f>
        <v>SD</v>
      </c>
      <c r="D5523" s="4" t="str">
        <f>_xlfn.XLOOKUP(A5523,[1]!DadosGHD[CD_GEOCMU],[1]!DadosGHD[uf])</f>
        <v>ES</v>
      </c>
      <c r="E5523" s="5" t="str">
        <f>_xlfn.XLOOKUP(A5523,[1]!DadosGHD[CD_GEOCMU],[1]!DadosGHD[MUNICIPIO])</f>
        <v>VITORIA</v>
      </c>
      <c r="F5523" s="6">
        <v>63.905941009521499</v>
      </c>
      <c r="G5523" s="6">
        <v>63.966358184814503</v>
      </c>
      <c r="H5523" s="6">
        <v>64.026092529296903</v>
      </c>
      <c r="I5523" s="6">
        <v>64.000221252441406</v>
      </c>
      <c r="J5523" s="6">
        <v>64.039611816406307</v>
      </c>
      <c r="K5523" s="6">
        <v>64.13623046875</v>
      </c>
      <c r="L5523" s="6">
        <v>57.589881896972699</v>
      </c>
    </row>
    <row r="5524" spans="1:12" x14ac:dyDescent="0.25">
      <c r="A5524">
        <v>4304903</v>
      </c>
      <c r="B5524" t="str">
        <f t="shared" si="86"/>
        <v>CASCA, RS, Brasil</v>
      </c>
      <c r="C5524" s="4" t="str">
        <f>_xlfn.XLOOKUP(A5524,[1]!DadosGHD[CD_GEOCMU],[1]!DadosGHD[Região])</f>
        <v>SL</v>
      </c>
      <c r="D5524" s="4" t="str">
        <f>_xlfn.XLOOKUP(A5524,[1]!DadosGHD[CD_GEOCMU],[1]!DadosGHD[uf])</f>
        <v>RS</v>
      </c>
      <c r="E5524" s="5" t="str">
        <f>_xlfn.XLOOKUP(A5524,[1]!DadosGHD[CD_GEOCMU],[1]!DadosGHD[MUNICIPIO])</f>
        <v>CASCA</v>
      </c>
      <c r="F5524" s="6">
        <v>63.905941009521499</v>
      </c>
      <c r="G5524" s="6">
        <v>63.966358184814503</v>
      </c>
      <c r="H5524" s="6">
        <v>64.026092529296903</v>
      </c>
      <c r="I5524" s="6">
        <v>64.000221252441406</v>
      </c>
      <c r="J5524" s="6">
        <v>64.039611816406307</v>
      </c>
      <c r="K5524" s="6">
        <v>64.13623046875</v>
      </c>
      <c r="L5524" s="6">
        <v>57.589881896972699</v>
      </c>
    </row>
    <row r="5525" spans="1:12" x14ac:dyDescent="0.25">
      <c r="A5525">
        <v>4217105</v>
      </c>
      <c r="B5525" t="str">
        <f t="shared" si="86"/>
        <v>SAO MARTINHO, SC, Brasil</v>
      </c>
      <c r="C5525" s="4" t="str">
        <f>_xlfn.XLOOKUP(A5525,[1]!DadosGHD[CD_GEOCMU],[1]!DadosGHD[Região])</f>
        <v>SL</v>
      </c>
      <c r="D5525" s="4" t="str">
        <f>_xlfn.XLOOKUP(A5525,[1]!DadosGHD[CD_GEOCMU],[1]!DadosGHD[uf])</f>
        <v>SC</v>
      </c>
      <c r="E5525" s="5" t="str">
        <f>_xlfn.XLOOKUP(A5525,[1]!DadosGHD[CD_GEOCMU],[1]!DadosGHD[MUNICIPIO])</f>
        <v>SAO MARTINHO</v>
      </c>
      <c r="F5525" s="6">
        <v>63.905941009521499</v>
      </c>
      <c r="G5525" s="6">
        <v>63.966358184814503</v>
      </c>
      <c r="H5525" s="6">
        <v>64.026092529296903</v>
      </c>
      <c r="I5525" s="6">
        <v>64.000221252441406</v>
      </c>
      <c r="J5525" s="6">
        <v>63.933521270752003</v>
      </c>
      <c r="K5525" s="6">
        <v>59.096138000488303</v>
      </c>
      <c r="L5525" s="6">
        <v>48.557136535644503</v>
      </c>
    </row>
    <row r="5526" spans="1:12" x14ac:dyDescent="0.25">
      <c r="A5526">
        <v>4218756</v>
      </c>
      <c r="B5526" t="str">
        <f t="shared" si="86"/>
        <v>TUNAPOLIS, SC, Brasil</v>
      </c>
      <c r="C5526" s="4" t="str">
        <f>_xlfn.XLOOKUP(A5526,[1]!DadosGHD[CD_GEOCMU],[1]!DadosGHD[Região])</f>
        <v>SL</v>
      </c>
      <c r="D5526" s="4" t="str">
        <f>_xlfn.XLOOKUP(A5526,[1]!DadosGHD[CD_GEOCMU],[1]!DadosGHD[uf])</f>
        <v>SC</v>
      </c>
      <c r="E5526" s="5" t="str">
        <f>_xlfn.XLOOKUP(A5526,[1]!DadosGHD[CD_GEOCMU],[1]!DadosGHD[MUNICIPIO])</f>
        <v>TUNAPOLIS</v>
      </c>
      <c r="F5526" s="6">
        <v>63.905941009521499</v>
      </c>
      <c r="G5526" s="6">
        <v>63.966358184814503</v>
      </c>
      <c r="H5526" s="6">
        <v>63.9713134765625</v>
      </c>
      <c r="I5526" s="6">
        <v>64.000221252441406</v>
      </c>
      <c r="J5526" s="6">
        <v>64.039611816406307</v>
      </c>
      <c r="K5526" s="6">
        <v>64.13623046875</v>
      </c>
      <c r="L5526" s="6">
        <v>57.541568756103501</v>
      </c>
    </row>
    <row r="5527" spans="1:12" x14ac:dyDescent="0.25">
      <c r="A5527">
        <v>4323200</v>
      </c>
      <c r="B5527" t="str">
        <f t="shared" si="86"/>
        <v>VICTOR GRAEFF, RS, Brasil</v>
      </c>
      <c r="C5527" s="4" t="str">
        <f>_xlfn.XLOOKUP(A5527,[1]!DadosGHD[CD_GEOCMU],[1]!DadosGHD[Região])</f>
        <v>SL</v>
      </c>
      <c r="D5527" s="4" t="str">
        <f>_xlfn.XLOOKUP(A5527,[1]!DadosGHD[CD_GEOCMU],[1]!DadosGHD[uf])</f>
        <v>RS</v>
      </c>
      <c r="E5527" s="5" t="str">
        <f>_xlfn.XLOOKUP(A5527,[1]!DadosGHD[CD_GEOCMU],[1]!DadosGHD[MUNICIPIO])</f>
        <v>VICTOR GRAEFF</v>
      </c>
      <c r="F5527" s="6">
        <v>63.905941009521499</v>
      </c>
      <c r="G5527" s="6">
        <v>63.966358184814503</v>
      </c>
      <c r="H5527" s="6">
        <v>64.026092529296903</v>
      </c>
      <c r="I5527" s="6">
        <v>64.000221252441406</v>
      </c>
      <c r="J5527" s="6">
        <v>64.039611816406307</v>
      </c>
      <c r="K5527" s="6">
        <v>64.13623046875</v>
      </c>
      <c r="L5527" s="6">
        <v>57.589881896972699</v>
      </c>
    </row>
    <row r="5528" spans="1:12" x14ac:dyDescent="0.25">
      <c r="A5528">
        <v>4104303</v>
      </c>
      <c r="B5528" t="str">
        <f t="shared" si="86"/>
        <v>CAMPO MOURAO, PR, Brasil</v>
      </c>
      <c r="C5528" s="4" t="str">
        <f>_xlfn.XLOOKUP(A5528,[1]!DadosGHD[CD_GEOCMU],[1]!DadosGHD[Região])</f>
        <v>SL</v>
      </c>
      <c r="D5528" s="4" t="str">
        <f>_xlfn.XLOOKUP(A5528,[1]!DadosGHD[CD_GEOCMU],[1]!DadosGHD[uf])</f>
        <v>PR</v>
      </c>
      <c r="E5528" s="5" t="str">
        <f>_xlfn.XLOOKUP(A5528,[1]!DadosGHD[CD_GEOCMU],[1]!DadosGHD[MUNICIPIO])</f>
        <v>CAMPO MOURAO</v>
      </c>
      <c r="F5528" s="6">
        <v>63.905941009521499</v>
      </c>
      <c r="G5528" s="6">
        <v>63.966358184814503</v>
      </c>
      <c r="H5528" s="6">
        <v>64.026092529296903</v>
      </c>
      <c r="I5528" s="6">
        <v>64.000221252441406</v>
      </c>
      <c r="J5528" s="6">
        <v>64.039611816406307</v>
      </c>
      <c r="K5528" s="6">
        <v>64.13623046875</v>
      </c>
      <c r="L5528" s="6">
        <v>57.5439643859863</v>
      </c>
    </row>
    <row r="5529" spans="1:12" x14ac:dyDescent="0.25">
      <c r="A5529">
        <v>4312906</v>
      </c>
      <c r="B5529" t="str">
        <f t="shared" si="86"/>
        <v>NOVA BASSANO, RS, Brasil</v>
      </c>
      <c r="C5529" s="4" t="str">
        <f>_xlfn.XLOOKUP(A5529,[1]!DadosGHD[CD_GEOCMU],[1]!DadosGHD[Região])</f>
        <v>SL</v>
      </c>
      <c r="D5529" s="4" t="str">
        <f>_xlfn.XLOOKUP(A5529,[1]!DadosGHD[CD_GEOCMU],[1]!DadosGHD[uf])</f>
        <v>RS</v>
      </c>
      <c r="E5529" s="5" t="str">
        <f>_xlfn.XLOOKUP(A5529,[1]!DadosGHD[CD_GEOCMU],[1]!DadosGHD[MUNICIPIO])</f>
        <v>NOVA BASSANO</v>
      </c>
      <c r="F5529" s="6">
        <v>63.905941009521499</v>
      </c>
      <c r="G5529" s="6">
        <v>63.966358184814503</v>
      </c>
      <c r="H5529" s="6">
        <v>64.026092529296903</v>
      </c>
      <c r="I5529" s="6">
        <v>64.000221252441406</v>
      </c>
      <c r="J5529" s="6">
        <v>64.039611816406307</v>
      </c>
      <c r="K5529" s="6">
        <v>64.13623046875</v>
      </c>
      <c r="L5529" s="6">
        <v>57.589881896972699</v>
      </c>
    </row>
    <row r="5530" spans="1:12" x14ac:dyDescent="0.25">
      <c r="A5530">
        <v>3516853</v>
      </c>
      <c r="B5530" t="str">
        <f t="shared" si="86"/>
        <v>GAVIAO PEIXOTO, SP, Brasil</v>
      </c>
      <c r="C5530" s="4" t="str">
        <f>_xlfn.XLOOKUP(A5530,[1]!DadosGHD[CD_GEOCMU],[1]!DadosGHD[Região])</f>
        <v>SD</v>
      </c>
      <c r="D5530" s="4" t="str">
        <f>_xlfn.XLOOKUP(A5530,[1]!DadosGHD[CD_GEOCMU],[1]!DadosGHD[uf])</f>
        <v>SP</v>
      </c>
      <c r="E5530" s="5" t="str">
        <f>_xlfn.XLOOKUP(A5530,[1]!DadosGHD[CD_GEOCMU],[1]!DadosGHD[MUNICIPIO])</f>
        <v>GAVIAO PEIXOTO</v>
      </c>
      <c r="F5530" s="6">
        <v>63.905941009521499</v>
      </c>
      <c r="G5530" s="6">
        <v>63.966358184814503</v>
      </c>
      <c r="H5530" s="6">
        <v>64.026092529296903</v>
      </c>
      <c r="I5530" s="6">
        <v>64.000221252441406</v>
      </c>
      <c r="J5530" s="6">
        <v>64.039611816406307</v>
      </c>
      <c r="K5530" s="6">
        <v>64.13623046875</v>
      </c>
      <c r="L5530" s="6">
        <v>57.589881896972699</v>
      </c>
    </row>
    <row r="5531" spans="1:12" x14ac:dyDescent="0.25">
      <c r="A5531">
        <v>4316436</v>
      </c>
      <c r="B5531" t="str">
        <f t="shared" si="86"/>
        <v>SALDANHA MARINHO, RS, Brasil</v>
      </c>
      <c r="C5531" s="4" t="str">
        <f>_xlfn.XLOOKUP(A5531,[1]!DadosGHD[CD_GEOCMU],[1]!DadosGHD[Região])</f>
        <v>SL</v>
      </c>
      <c r="D5531" s="4" t="str">
        <f>_xlfn.XLOOKUP(A5531,[1]!DadosGHD[CD_GEOCMU],[1]!DadosGHD[uf])</f>
        <v>RS</v>
      </c>
      <c r="E5531" s="5" t="str">
        <f>_xlfn.XLOOKUP(A5531,[1]!DadosGHD[CD_GEOCMU],[1]!DadosGHD[MUNICIPIO])</f>
        <v>SALDANHA MARINHO</v>
      </c>
      <c r="F5531" s="6">
        <v>63.905941009521499</v>
      </c>
      <c r="G5531" s="6">
        <v>63.966358184814503</v>
      </c>
      <c r="H5531" s="6">
        <v>64.026092529296903</v>
      </c>
      <c r="I5531" s="6">
        <v>64.000221252441406</v>
      </c>
      <c r="J5531" s="6">
        <v>64.039611816406307</v>
      </c>
      <c r="K5531" s="6">
        <v>64.13623046875</v>
      </c>
      <c r="L5531" s="6">
        <v>57.581966400146499</v>
      </c>
    </row>
    <row r="5532" spans="1:12" x14ac:dyDescent="0.25">
      <c r="A5532">
        <v>5108204</v>
      </c>
      <c r="B5532" t="str">
        <f t="shared" si="86"/>
        <v>TORIXOREU, MT, Brasil</v>
      </c>
      <c r="C5532" s="4" t="str">
        <f>_xlfn.XLOOKUP(A5532,[1]!DadosGHD[CD_GEOCMU],[1]!DadosGHD[Região])</f>
        <v>CO</v>
      </c>
      <c r="D5532" s="4" t="str">
        <f>_xlfn.XLOOKUP(A5532,[1]!DadosGHD[CD_GEOCMU],[1]!DadosGHD[uf])</f>
        <v>MT</v>
      </c>
      <c r="E5532" s="5" t="str">
        <f>_xlfn.XLOOKUP(A5532,[1]!DadosGHD[CD_GEOCMU],[1]!DadosGHD[MUNICIPIO])</f>
        <v>TORIXOREU</v>
      </c>
      <c r="F5532" s="6">
        <v>63.905941009521499</v>
      </c>
      <c r="G5532" s="6">
        <v>63.966358184814503</v>
      </c>
      <c r="H5532" s="6">
        <v>64.026092529296903</v>
      </c>
      <c r="I5532" s="6">
        <v>64.000221252441406</v>
      </c>
      <c r="J5532" s="6">
        <v>64.039611816406307</v>
      </c>
      <c r="K5532" s="6">
        <v>64.13623046875</v>
      </c>
      <c r="L5532" s="6">
        <v>53.0438842773438</v>
      </c>
    </row>
    <row r="5533" spans="1:12" x14ac:dyDescent="0.25">
      <c r="A5533">
        <v>4210803</v>
      </c>
      <c r="B5533" t="str">
        <f t="shared" si="86"/>
        <v>MELEIRO, SC, Brasil</v>
      </c>
      <c r="C5533" s="4" t="str">
        <f>_xlfn.XLOOKUP(A5533,[1]!DadosGHD[CD_GEOCMU],[1]!DadosGHD[Região])</f>
        <v>SL</v>
      </c>
      <c r="D5533" s="4" t="str">
        <f>_xlfn.XLOOKUP(A5533,[1]!DadosGHD[CD_GEOCMU],[1]!DadosGHD[uf])</f>
        <v>SC</v>
      </c>
      <c r="E5533" s="5" t="str">
        <f>_xlfn.XLOOKUP(A5533,[1]!DadosGHD[CD_GEOCMU],[1]!DadosGHD[MUNICIPIO])</f>
        <v>MELEIRO</v>
      </c>
      <c r="F5533" s="6">
        <v>63.905941009521499</v>
      </c>
      <c r="G5533" s="6">
        <v>63.966358184814503</v>
      </c>
      <c r="H5533" s="6">
        <v>64.026092529296903</v>
      </c>
      <c r="I5533" s="6">
        <v>64.000221252441406</v>
      </c>
      <c r="J5533" s="6">
        <v>64.039611816406307</v>
      </c>
      <c r="K5533" s="6">
        <v>64.13623046875</v>
      </c>
      <c r="L5533" s="6">
        <v>48.534400939941399</v>
      </c>
    </row>
    <row r="5534" spans="1:12" x14ac:dyDescent="0.25">
      <c r="A5534">
        <v>3304557</v>
      </c>
      <c r="B5534" t="str">
        <f t="shared" si="86"/>
        <v>RIO DE JANEIRO, RJ, Brasil</v>
      </c>
      <c r="C5534" s="4" t="str">
        <f>_xlfn.XLOOKUP(A5534,[1]!DadosGHD[CD_GEOCMU],[1]!DadosGHD[Região])</f>
        <v>SD</v>
      </c>
      <c r="D5534" s="4" t="str">
        <f>_xlfn.XLOOKUP(A5534,[1]!DadosGHD[CD_GEOCMU],[1]!DadosGHD[uf])</f>
        <v>RJ</v>
      </c>
      <c r="E5534" s="5" t="str">
        <f>_xlfn.XLOOKUP(A5534,[1]!DadosGHD[CD_GEOCMU],[1]!DadosGHD[MUNICIPIO])</f>
        <v>RIO DE JANEIRO</v>
      </c>
      <c r="F5534" s="6">
        <v>63.905941009521499</v>
      </c>
      <c r="G5534" s="6">
        <v>63.966358184814503</v>
      </c>
      <c r="H5534" s="6">
        <v>64.006767272949205</v>
      </c>
      <c r="I5534" s="6">
        <v>63.944961547851598</v>
      </c>
      <c r="J5534" s="6">
        <v>63.939811706542997</v>
      </c>
      <c r="K5534" s="6">
        <v>59.0424995422363</v>
      </c>
      <c r="L5534" s="6">
        <v>57.529685974121101</v>
      </c>
    </row>
    <row r="5535" spans="1:12" x14ac:dyDescent="0.25">
      <c r="A5535">
        <v>4204202</v>
      </c>
      <c r="B5535" t="str">
        <f t="shared" si="86"/>
        <v>CHAPECO, SC, Brasil</v>
      </c>
      <c r="C5535" s="4" t="str">
        <f>_xlfn.XLOOKUP(A5535,[1]!DadosGHD[CD_GEOCMU],[1]!DadosGHD[Região])</f>
        <v>SL</v>
      </c>
      <c r="D5535" s="4" t="str">
        <f>_xlfn.XLOOKUP(A5535,[1]!DadosGHD[CD_GEOCMU],[1]!DadosGHD[uf])</f>
        <v>SC</v>
      </c>
      <c r="E5535" s="5" t="str">
        <f>_xlfn.XLOOKUP(A5535,[1]!DadosGHD[CD_GEOCMU],[1]!DadosGHD[MUNICIPIO])</f>
        <v>CHAPECO</v>
      </c>
      <c r="F5535" s="6">
        <v>63.905941009521499</v>
      </c>
      <c r="G5535" s="6">
        <v>63.963085174560597</v>
      </c>
      <c r="H5535" s="6">
        <v>64.026092529296903</v>
      </c>
      <c r="I5535" s="6">
        <v>64.000221252441406</v>
      </c>
      <c r="J5535" s="6">
        <v>64.039611816406307</v>
      </c>
      <c r="K5535" s="6">
        <v>64.13623046875</v>
      </c>
      <c r="L5535" s="6">
        <v>57.589881896972699</v>
      </c>
    </row>
    <row r="5536" spans="1:12" x14ac:dyDescent="0.25">
      <c r="A5536">
        <v>4308003</v>
      </c>
      <c r="B5536" t="str">
        <f t="shared" si="86"/>
        <v>FAXINAL DO SOTURNO, RS, Brasil</v>
      </c>
      <c r="C5536" s="4" t="str">
        <f>_xlfn.XLOOKUP(A5536,[1]!DadosGHD[CD_GEOCMU],[1]!DadosGHD[Região])</f>
        <v>SL</v>
      </c>
      <c r="D5536" s="4" t="str">
        <f>_xlfn.XLOOKUP(A5536,[1]!DadosGHD[CD_GEOCMU],[1]!DadosGHD[uf])</f>
        <v>RS</v>
      </c>
      <c r="E5536" s="5" t="str">
        <f>_xlfn.XLOOKUP(A5536,[1]!DadosGHD[CD_GEOCMU],[1]!DadosGHD[MUNICIPIO])</f>
        <v>FAXINAL DO SOTURNO</v>
      </c>
      <c r="F5536" s="6">
        <v>63.905941009521499</v>
      </c>
      <c r="G5536" s="6">
        <v>63.966358184814503</v>
      </c>
      <c r="H5536" s="6">
        <v>64.026092529296903</v>
      </c>
      <c r="I5536" s="6">
        <v>64.000221252441406</v>
      </c>
      <c r="J5536" s="6">
        <v>64.039611816406307</v>
      </c>
      <c r="K5536" s="6">
        <v>64.13623046875</v>
      </c>
      <c r="L5536" s="6">
        <v>52.980747222900398</v>
      </c>
    </row>
    <row r="5537" spans="1:12" x14ac:dyDescent="0.25">
      <c r="A5537">
        <v>4107256</v>
      </c>
      <c r="B5537" t="str">
        <f t="shared" si="86"/>
        <v>DOURADINA, PR, Brasil</v>
      </c>
      <c r="C5537" s="4" t="str">
        <f>_xlfn.XLOOKUP(A5537,[1]!DadosGHD[CD_GEOCMU],[1]!DadosGHD[Região])</f>
        <v>SL</v>
      </c>
      <c r="D5537" s="4" t="str">
        <f>_xlfn.XLOOKUP(A5537,[1]!DadosGHD[CD_GEOCMU],[1]!DadosGHD[uf])</f>
        <v>PR</v>
      </c>
      <c r="E5537" s="5" t="str">
        <f>_xlfn.XLOOKUP(A5537,[1]!DadosGHD[CD_GEOCMU],[1]!DadosGHD[MUNICIPIO])</f>
        <v>DOURADINA</v>
      </c>
      <c r="F5537" s="6">
        <v>63.905941009521499</v>
      </c>
      <c r="G5537" s="6">
        <v>48.738853454589801</v>
      </c>
      <c r="H5537" s="6">
        <v>48.825359344482401</v>
      </c>
      <c r="I5537" s="6">
        <v>48.799495697021499</v>
      </c>
      <c r="J5537" s="6">
        <v>48.772247314453097</v>
      </c>
      <c r="K5537" s="6">
        <v>48.774681091308601</v>
      </c>
      <c r="L5537" s="6">
        <v>44.070755004882798</v>
      </c>
    </row>
    <row r="5538" spans="1:12" x14ac:dyDescent="0.25">
      <c r="A5538">
        <v>4322103</v>
      </c>
      <c r="B5538" t="str">
        <f t="shared" si="86"/>
        <v>TUCUNDUVA, RS, Brasil</v>
      </c>
      <c r="C5538" s="4" t="str">
        <f>_xlfn.XLOOKUP(A5538,[1]!DadosGHD[CD_GEOCMU],[1]!DadosGHD[Região])</f>
        <v>SL</v>
      </c>
      <c r="D5538" s="4" t="str">
        <f>_xlfn.XLOOKUP(A5538,[1]!DadosGHD[CD_GEOCMU],[1]!DadosGHD[uf])</f>
        <v>RS</v>
      </c>
      <c r="E5538" s="5" t="str">
        <f>_xlfn.XLOOKUP(A5538,[1]!DadosGHD[CD_GEOCMU],[1]!DadosGHD[MUNICIPIO])</f>
        <v>TUCUNDUVA</v>
      </c>
      <c r="F5538" s="6">
        <v>63.905941009521499</v>
      </c>
      <c r="G5538" s="6">
        <v>63.966358184814503</v>
      </c>
      <c r="H5538" s="6">
        <v>64.026092529296903</v>
      </c>
      <c r="I5538" s="6">
        <v>64.000221252441406</v>
      </c>
      <c r="J5538" s="6">
        <v>64.039611816406307</v>
      </c>
      <c r="K5538" s="6">
        <v>64.13623046875</v>
      </c>
      <c r="L5538" s="6">
        <v>48.500816345214801</v>
      </c>
    </row>
    <row r="5539" spans="1:12" x14ac:dyDescent="0.25">
      <c r="A5539">
        <v>4115200</v>
      </c>
      <c r="B5539" t="str">
        <f t="shared" si="86"/>
        <v>MARINGA, PR, Brasil</v>
      </c>
      <c r="C5539" s="4" t="str">
        <f>_xlfn.XLOOKUP(A5539,[1]!DadosGHD[CD_GEOCMU],[1]!DadosGHD[Região])</f>
        <v>SL</v>
      </c>
      <c r="D5539" s="4" t="str">
        <f>_xlfn.XLOOKUP(A5539,[1]!DadosGHD[CD_GEOCMU],[1]!DadosGHD[uf])</f>
        <v>PR</v>
      </c>
      <c r="E5539" s="5" t="str">
        <f>_xlfn.XLOOKUP(A5539,[1]!DadosGHD[CD_GEOCMU],[1]!DadosGHD[MUNICIPIO])</f>
        <v>MARINGA</v>
      </c>
      <c r="F5539" s="6">
        <v>63.905941009521499</v>
      </c>
      <c r="G5539" s="6">
        <v>63.966358184814503</v>
      </c>
      <c r="H5539" s="6">
        <v>64.026092529296903</v>
      </c>
      <c r="I5539" s="6">
        <v>64.000221252441406</v>
      </c>
      <c r="J5539" s="6">
        <v>64.039611816406307</v>
      </c>
      <c r="K5539" s="6">
        <v>64.13623046875</v>
      </c>
      <c r="L5539" s="6">
        <v>57.589881896972699</v>
      </c>
    </row>
    <row r="5540" spans="1:12" x14ac:dyDescent="0.25">
      <c r="A5540">
        <v>4214300</v>
      </c>
      <c r="B5540" t="str">
        <f t="shared" si="86"/>
        <v>RANCHO QUEIMADO, SC, Brasil</v>
      </c>
      <c r="C5540" s="4" t="str">
        <f>_xlfn.XLOOKUP(A5540,[1]!DadosGHD[CD_GEOCMU],[1]!DadosGHD[Região])</f>
        <v>SL</v>
      </c>
      <c r="D5540" s="4" t="str">
        <f>_xlfn.XLOOKUP(A5540,[1]!DadosGHD[CD_GEOCMU],[1]!DadosGHD[uf])</f>
        <v>SC</v>
      </c>
      <c r="E5540" s="5" t="str">
        <f>_xlfn.XLOOKUP(A5540,[1]!DadosGHD[CD_GEOCMU],[1]!DadosGHD[MUNICIPIO])</f>
        <v>RANCHO QUEIMADO</v>
      </c>
      <c r="F5540" s="6">
        <v>63.905941009521499</v>
      </c>
      <c r="G5540" s="6">
        <v>63.966358184814503</v>
      </c>
      <c r="H5540" s="6">
        <v>64.026092529296903</v>
      </c>
      <c r="I5540" s="6">
        <v>64.000221252441406</v>
      </c>
      <c r="J5540" s="6">
        <v>64.039611816406307</v>
      </c>
      <c r="K5540" s="6">
        <v>64.13623046875</v>
      </c>
      <c r="L5540" s="6">
        <v>57.589881896972699</v>
      </c>
    </row>
    <row r="5541" spans="1:12" x14ac:dyDescent="0.25">
      <c r="A5541">
        <v>4200051</v>
      </c>
      <c r="B5541" t="str">
        <f t="shared" si="86"/>
        <v>ABDON BATISTA, SC, Brasil</v>
      </c>
      <c r="C5541" s="4" t="str">
        <f>_xlfn.XLOOKUP(A5541,[1]!DadosGHD[CD_GEOCMU],[1]!DadosGHD[Região])</f>
        <v>SL</v>
      </c>
      <c r="D5541" s="4" t="str">
        <f>_xlfn.XLOOKUP(A5541,[1]!DadosGHD[CD_GEOCMU],[1]!DadosGHD[uf])</f>
        <v>SC</v>
      </c>
      <c r="E5541" s="5" t="str">
        <f>_xlfn.XLOOKUP(A5541,[1]!DadosGHD[CD_GEOCMU],[1]!DadosGHD[MUNICIPIO])</f>
        <v>ABDON BATISTA</v>
      </c>
      <c r="F5541" s="6">
        <v>63.905941009521499</v>
      </c>
      <c r="G5541" s="6">
        <v>63.869327545166001</v>
      </c>
      <c r="H5541" s="6">
        <v>58.982467651367202</v>
      </c>
      <c r="I5541" s="6">
        <v>58.885116577148402</v>
      </c>
      <c r="J5541" s="6">
        <v>48.735660552978501</v>
      </c>
      <c r="K5541" s="6">
        <v>43.815582275390597</v>
      </c>
      <c r="L5541" s="6">
        <v>53.011207580566399</v>
      </c>
    </row>
    <row r="5542" spans="1:12" x14ac:dyDescent="0.25">
      <c r="A5542">
        <v>5107206</v>
      </c>
      <c r="B5542" t="str">
        <f t="shared" si="86"/>
        <v>RIO BRANCO, MT, Brasil</v>
      </c>
      <c r="C5542" s="4" t="str">
        <f>_xlfn.XLOOKUP(A5542,[1]!DadosGHD[CD_GEOCMU],[1]!DadosGHD[Região])</f>
        <v>CO</v>
      </c>
      <c r="D5542" s="4" t="str">
        <f>_xlfn.XLOOKUP(A5542,[1]!DadosGHD[CD_GEOCMU],[1]!DadosGHD[uf])</f>
        <v>MT</v>
      </c>
      <c r="E5542" s="5" t="str">
        <f>_xlfn.XLOOKUP(A5542,[1]!DadosGHD[CD_GEOCMU],[1]!DadosGHD[MUNICIPIO])</f>
        <v>RIO BRANCO</v>
      </c>
      <c r="F5542" s="6">
        <v>63.905941009521499</v>
      </c>
      <c r="G5542" s="6">
        <v>63.966358184814503</v>
      </c>
      <c r="H5542" s="6">
        <v>64.026092529296903</v>
      </c>
      <c r="I5542" s="6">
        <v>63.997611999511697</v>
      </c>
      <c r="J5542" s="6">
        <v>64.039611816406307</v>
      </c>
      <c r="K5542" s="6">
        <v>59.066089630127003</v>
      </c>
      <c r="L5542" s="6">
        <v>44.0762939453125</v>
      </c>
    </row>
    <row r="5543" spans="1:12" x14ac:dyDescent="0.25">
      <c r="A5543">
        <v>4209805</v>
      </c>
      <c r="B5543" t="str">
        <f t="shared" si="86"/>
        <v>LEOBERTO LEAL, SC, Brasil</v>
      </c>
      <c r="C5543" s="4" t="str">
        <f>_xlfn.XLOOKUP(A5543,[1]!DadosGHD[CD_GEOCMU],[1]!DadosGHD[Região])</f>
        <v>SL</v>
      </c>
      <c r="D5543" s="4" t="str">
        <f>_xlfn.XLOOKUP(A5543,[1]!DadosGHD[CD_GEOCMU],[1]!DadosGHD[uf])</f>
        <v>SC</v>
      </c>
      <c r="E5543" s="5" t="str">
        <f>_xlfn.XLOOKUP(A5543,[1]!DadosGHD[CD_GEOCMU],[1]!DadosGHD[MUNICIPIO])</f>
        <v>LEOBERTO LEAL</v>
      </c>
      <c r="F5543" s="6">
        <v>63.905941009521499</v>
      </c>
      <c r="G5543" s="6">
        <v>63.966358184814503</v>
      </c>
      <c r="H5543" s="6">
        <v>64.026092529296903</v>
      </c>
      <c r="I5543" s="6">
        <v>64.000221252441406</v>
      </c>
      <c r="J5543" s="6">
        <v>64.039611816406307</v>
      </c>
      <c r="K5543" s="6">
        <v>64.13623046875</v>
      </c>
      <c r="L5543" s="6">
        <v>57.589881896972699</v>
      </c>
    </row>
    <row r="5544" spans="1:12" x14ac:dyDescent="0.25">
      <c r="A5544">
        <v>4313086</v>
      </c>
      <c r="B5544" t="str">
        <f t="shared" si="86"/>
        <v>NOVA PADUA, RS, Brasil</v>
      </c>
      <c r="C5544" s="4" t="str">
        <f>_xlfn.XLOOKUP(A5544,[1]!DadosGHD[CD_GEOCMU],[1]!DadosGHD[Região])</f>
        <v>SL</v>
      </c>
      <c r="D5544" s="4" t="str">
        <f>_xlfn.XLOOKUP(A5544,[1]!DadosGHD[CD_GEOCMU],[1]!DadosGHD[uf])</f>
        <v>RS</v>
      </c>
      <c r="E5544" s="5" t="str">
        <f>_xlfn.XLOOKUP(A5544,[1]!DadosGHD[CD_GEOCMU],[1]!DadosGHD[MUNICIPIO])</f>
        <v>NOVA PADUA</v>
      </c>
      <c r="F5544" s="6">
        <v>63.905941009521499</v>
      </c>
      <c r="G5544" s="6">
        <v>63.966358184814503</v>
      </c>
      <c r="H5544" s="6">
        <v>64.026092529296903</v>
      </c>
      <c r="I5544" s="6">
        <v>64.000221252441406</v>
      </c>
      <c r="J5544" s="6">
        <v>64.039611816406307</v>
      </c>
      <c r="K5544" s="6">
        <v>64.13623046875</v>
      </c>
      <c r="L5544" s="6">
        <v>57.574348449707003</v>
      </c>
    </row>
    <row r="5545" spans="1:12" x14ac:dyDescent="0.25">
      <c r="A5545">
        <v>4318440</v>
      </c>
      <c r="B5545" t="str">
        <f t="shared" si="86"/>
        <v>SAO JORGE, RS, Brasil</v>
      </c>
      <c r="C5545" s="4" t="str">
        <f>_xlfn.XLOOKUP(A5545,[1]!DadosGHD[CD_GEOCMU],[1]!DadosGHD[Região])</f>
        <v>SL</v>
      </c>
      <c r="D5545" s="4" t="str">
        <f>_xlfn.XLOOKUP(A5545,[1]!DadosGHD[CD_GEOCMU],[1]!DadosGHD[uf])</f>
        <v>RS</v>
      </c>
      <c r="E5545" s="5" t="str">
        <f>_xlfn.XLOOKUP(A5545,[1]!DadosGHD[CD_GEOCMU],[1]!DadosGHD[MUNICIPIO])</f>
        <v>SAO JORGE</v>
      </c>
      <c r="F5545" s="6">
        <v>63.905941009521499</v>
      </c>
      <c r="G5545" s="6">
        <v>63.966358184814503</v>
      </c>
      <c r="H5545" s="6">
        <v>64.026092529296903</v>
      </c>
      <c r="I5545" s="6">
        <v>64.000221252441406</v>
      </c>
      <c r="J5545" s="6">
        <v>64.039611816406307</v>
      </c>
      <c r="K5545" s="6">
        <v>64.13623046875</v>
      </c>
      <c r="L5545" s="6">
        <v>53.0271606445313</v>
      </c>
    </row>
    <row r="5546" spans="1:12" x14ac:dyDescent="0.25">
      <c r="A5546">
        <v>4201604</v>
      </c>
      <c r="B5546" t="str">
        <f t="shared" si="86"/>
        <v>ARROIO TRINTA, SC, Brasil</v>
      </c>
      <c r="C5546" s="4" t="str">
        <f>_xlfn.XLOOKUP(A5546,[1]!DadosGHD[CD_GEOCMU],[1]!DadosGHD[Região])</f>
        <v>SL</v>
      </c>
      <c r="D5546" s="4" t="str">
        <f>_xlfn.XLOOKUP(A5546,[1]!DadosGHD[CD_GEOCMU],[1]!DadosGHD[uf])</f>
        <v>SC</v>
      </c>
      <c r="E5546" s="5" t="str">
        <f>_xlfn.XLOOKUP(A5546,[1]!DadosGHD[CD_GEOCMU],[1]!DadosGHD[MUNICIPIO])</f>
        <v>ARROIO TRINTA</v>
      </c>
      <c r="F5546" s="6">
        <v>63.905941009521499</v>
      </c>
      <c r="G5546" s="6">
        <v>63.966358184814503</v>
      </c>
      <c r="H5546" s="6">
        <v>64.026092529296903</v>
      </c>
      <c r="I5546" s="6">
        <v>64.000221252441406</v>
      </c>
      <c r="J5546" s="6">
        <v>64.039611816406307</v>
      </c>
      <c r="K5546" s="6">
        <v>64.13623046875</v>
      </c>
      <c r="L5546" s="6">
        <v>53.043495178222699</v>
      </c>
    </row>
    <row r="5547" spans="1:12" x14ac:dyDescent="0.25">
      <c r="A5547">
        <v>5103403</v>
      </c>
      <c r="B5547" t="str">
        <f t="shared" si="86"/>
        <v>CUIABA, MT, Brasil</v>
      </c>
      <c r="C5547" s="4" t="str">
        <f>_xlfn.XLOOKUP(A5547,[1]!DadosGHD[CD_GEOCMU],[1]!DadosGHD[Região])</f>
        <v>CO</v>
      </c>
      <c r="D5547" s="4" t="str">
        <f>_xlfn.XLOOKUP(A5547,[1]!DadosGHD[CD_GEOCMU],[1]!DadosGHD[uf])</f>
        <v>MT</v>
      </c>
      <c r="E5547" s="5" t="str">
        <f>_xlfn.XLOOKUP(A5547,[1]!DadosGHD[CD_GEOCMU],[1]!DadosGHD[MUNICIPIO])</f>
        <v>CUIABA</v>
      </c>
      <c r="F5547" s="6">
        <v>63.905941009521499</v>
      </c>
      <c r="G5547" s="6">
        <v>63.966358184814503</v>
      </c>
      <c r="H5547" s="6">
        <v>64.026092529296903</v>
      </c>
      <c r="I5547" s="6">
        <v>63.9710693359375</v>
      </c>
      <c r="J5547" s="6">
        <v>63.957862854003899</v>
      </c>
      <c r="K5547" s="6">
        <v>59.043876647949197</v>
      </c>
      <c r="L5547" s="6">
        <v>53.026149749755902</v>
      </c>
    </row>
    <row r="5548" spans="1:12" x14ac:dyDescent="0.25">
      <c r="A5548">
        <v>4318432</v>
      </c>
      <c r="B5548" t="str">
        <f t="shared" si="86"/>
        <v>SAO JOAO DO POLESINE, RS, Brasil</v>
      </c>
      <c r="C5548" s="4" t="str">
        <f>_xlfn.XLOOKUP(A5548,[1]!DadosGHD[CD_GEOCMU],[1]!DadosGHD[Região])</f>
        <v>SL</v>
      </c>
      <c r="D5548" s="4" t="str">
        <f>_xlfn.XLOOKUP(A5548,[1]!DadosGHD[CD_GEOCMU],[1]!DadosGHD[uf])</f>
        <v>RS</v>
      </c>
      <c r="E5548" s="5" t="str">
        <f>_xlfn.XLOOKUP(A5548,[1]!DadosGHD[CD_GEOCMU],[1]!DadosGHD[MUNICIPIO])</f>
        <v>SAO JOAO DO POLESINE</v>
      </c>
      <c r="F5548" s="6">
        <v>63.905941009521499</v>
      </c>
      <c r="G5548" s="6">
        <v>63.966358184814503</v>
      </c>
      <c r="H5548" s="6">
        <v>64.026092529296903</v>
      </c>
      <c r="I5548" s="6">
        <v>64.000221252441406</v>
      </c>
      <c r="J5548" s="6">
        <v>64.039611816406307</v>
      </c>
      <c r="K5548" s="6">
        <v>64.13623046875</v>
      </c>
      <c r="L5548" s="6">
        <v>53.050559997558601</v>
      </c>
    </row>
    <row r="5549" spans="1:12" x14ac:dyDescent="0.25">
      <c r="A5549">
        <v>3549805</v>
      </c>
      <c r="B5549" t="str">
        <f t="shared" si="86"/>
        <v>SAO JOSE DO RIO PRETO, SP, Brasil</v>
      </c>
      <c r="C5549" s="4" t="str">
        <f>_xlfn.XLOOKUP(A5549,[1]!DadosGHD[CD_GEOCMU],[1]!DadosGHD[Região])</f>
        <v>SD</v>
      </c>
      <c r="D5549" s="4" t="str">
        <f>_xlfn.XLOOKUP(A5549,[1]!DadosGHD[CD_GEOCMU],[1]!DadosGHD[uf])</f>
        <v>SP</v>
      </c>
      <c r="E5549" s="5" t="str">
        <f>_xlfn.XLOOKUP(A5549,[1]!DadosGHD[CD_GEOCMU],[1]!DadosGHD[MUNICIPIO])</f>
        <v>SAO JOSE DO RIO PRETO</v>
      </c>
      <c r="F5549" s="6">
        <v>63.905941009521499</v>
      </c>
      <c r="G5549" s="6">
        <v>63.966358184814503</v>
      </c>
      <c r="H5549" s="6">
        <v>64.026092529296903</v>
      </c>
      <c r="I5549" s="6">
        <v>64.000221252441406</v>
      </c>
      <c r="J5549" s="6">
        <v>64.039611816406307</v>
      </c>
      <c r="K5549" s="6">
        <v>64.13623046875</v>
      </c>
      <c r="L5549" s="6">
        <v>57.589881896972699</v>
      </c>
    </row>
    <row r="5550" spans="1:12" x14ac:dyDescent="0.25">
      <c r="A5550">
        <v>3523909</v>
      </c>
      <c r="B5550" t="str">
        <f t="shared" si="86"/>
        <v>ITU, SP, Brasil</v>
      </c>
      <c r="C5550" s="4" t="str">
        <f>_xlfn.XLOOKUP(A5550,[1]!DadosGHD[CD_GEOCMU],[1]!DadosGHD[Região])</f>
        <v>SD</v>
      </c>
      <c r="D5550" s="4" t="str">
        <f>_xlfn.XLOOKUP(A5550,[1]!DadosGHD[CD_GEOCMU],[1]!DadosGHD[uf])</f>
        <v>SP</v>
      </c>
      <c r="E5550" s="5" t="str">
        <f>_xlfn.XLOOKUP(A5550,[1]!DadosGHD[CD_GEOCMU],[1]!DadosGHD[MUNICIPIO])</f>
        <v>ITU</v>
      </c>
      <c r="F5550" s="6">
        <v>63.905941009521499</v>
      </c>
      <c r="G5550" s="6">
        <v>63.966358184814503</v>
      </c>
      <c r="H5550" s="6">
        <v>63.995613098144503</v>
      </c>
      <c r="I5550" s="6">
        <v>58.972389221191399</v>
      </c>
      <c r="J5550" s="6">
        <v>58.953056335449197</v>
      </c>
      <c r="K5550" s="6">
        <v>58.905277252197301</v>
      </c>
      <c r="L5550" s="6">
        <v>57.523429870605497</v>
      </c>
    </row>
    <row r="5551" spans="1:12" x14ac:dyDescent="0.25">
      <c r="A5551">
        <v>4219101</v>
      </c>
      <c r="B5551" t="str">
        <f t="shared" si="86"/>
        <v>VARGEAO, SC, Brasil</v>
      </c>
      <c r="C5551" s="4" t="str">
        <f>_xlfn.XLOOKUP(A5551,[1]!DadosGHD[CD_GEOCMU],[1]!DadosGHD[Região])</f>
        <v>SL</v>
      </c>
      <c r="D5551" s="4" t="str">
        <f>_xlfn.XLOOKUP(A5551,[1]!DadosGHD[CD_GEOCMU],[1]!DadosGHD[uf])</f>
        <v>SC</v>
      </c>
      <c r="E5551" s="5" t="str">
        <f>_xlfn.XLOOKUP(A5551,[1]!DadosGHD[CD_GEOCMU],[1]!DadosGHD[MUNICIPIO])</f>
        <v>VARGEAO</v>
      </c>
      <c r="F5551" s="6">
        <v>63.905941009521499</v>
      </c>
      <c r="G5551" s="6">
        <v>63.966358184814503</v>
      </c>
      <c r="H5551" s="6">
        <v>64.026092529296903</v>
      </c>
      <c r="I5551" s="6">
        <v>64.000221252441406</v>
      </c>
      <c r="J5551" s="6">
        <v>64.039611816406307</v>
      </c>
      <c r="K5551" s="6">
        <v>64.13623046875</v>
      </c>
      <c r="L5551" s="6">
        <v>57.496913909912102</v>
      </c>
    </row>
    <row r="5552" spans="1:12" x14ac:dyDescent="0.25">
      <c r="A5552">
        <v>4207577</v>
      </c>
      <c r="B5552" t="str">
        <f t="shared" si="86"/>
        <v>IOMERE, SC, Brasil</v>
      </c>
      <c r="C5552" s="4" t="str">
        <f>_xlfn.XLOOKUP(A5552,[1]!DadosGHD[CD_GEOCMU],[1]!DadosGHD[Região])</f>
        <v>SL</v>
      </c>
      <c r="D5552" s="4" t="str">
        <f>_xlfn.XLOOKUP(A5552,[1]!DadosGHD[CD_GEOCMU],[1]!DadosGHD[uf])</f>
        <v>SC</v>
      </c>
      <c r="E5552" s="5" t="str">
        <f>_xlfn.XLOOKUP(A5552,[1]!DadosGHD[CD_GEOCMU],[1]!DadosGHD[MUNICIPIO])</f>
        <v>IOMERE</v>
      </c>
      <c r="F5552" s="6">
        <v>63.905941009521499</v>
      </c>
      <c r="G5552" s="6">
        <v>63.966358184814503</v>
      </c>
      <c r="H5552" s="6">
        <v>64.026092529296903</v>
      </c>
      <c r="I5552" s="6">
        <v>64.000221252441406</v>
      </c>
      <c r="J5552" s="6">
        <v>64.039611816406307</v>
      </c>
      <c r="K5552" s="6">
        <v>64.13623046875</v>
      </c>
      <c r="L5552" s="6">
        <v>57.578418731689503</v>
      </c>
    </row>
    <row r="5553" spans="1:12" x14ac:dyDescent="0.25">
      <c r="A5553">
        <v>4206801</v>
      </c>
      <c r="B5553" t="str">
        <f t="shared" si="86"/>
        <v>IBICARE, SC, Brasil</v>
      </c>
      <c r="C5553" s="4" t="str">
        <f>_xlfn.XLOOKUP(A5553,[1]!DadosGHD[CD_GEOCMU],[1]!DadosGHD[Região])</f>
        <v>SL</v>
      </c>
      <c r="D5553" s="4" t="str">
        <f>_xlfn.XLOOKUP(A5553,[1]!DadosGHD[CD_GEOCMU],[1]!DadosGHD[uf])</f>
        <v>SC</v>
      </c>
      <c r="E5553" s="5" t="str">
        <f>_xlfn.XLOOKUP(A5553,[1]!DadosGHD[CD_GEOCMU],[1]!DadosGHD[MUNICIPIO])</f>
        <v>IBICARE</v>
      </c>
      <c r="F5553" s="6">
        <v>63.905941009521499</v>
      </c>
      <c r="G5553" s="6">
        <v>63.966358184814503</v>
      </c>
      <c r="H5553" s="6">
        <v>64.026092529296903</v>
      </c>
      <c r="I5553" s="6">
        <v>64.000221252441406</v>
      </c>
      <c r="J5553" s="6">
        <v>64.039611816406307</v>
      </c>
      <c r="K5553" s="6">
        <v>64.13623046875</v>
      </c>
      <c r="L5553" s="6">
        <v>52.989620208740199</v>
      </c>
    </row>
    <row r="5554" spans="1:12" x14ac:dyDescent="0.25">
      <c r="A5554">
        <v>4300059</v>
      </c>
      <c r="B5554" t="str">
        <f t="shared" si="86"/>
        <v>AGUA SANTA, RS, Brasil</v>
      </c>
      <c r="C5554" s="4" t="str">
        <f>_xlfn.XLOOKUP(A5554,[1]!DadosGHD[CD_GEOCMU],[1]!DadosGHD[Região])</f>
        <v>SL</v>
      </c>
      <c r="D5554" s="4" t="str">
        <f>_xlfn.XLOOKUP(A5554,[1]!DadosGHD[CD_GEOCMU],[1]!DadosGHD[uf])</f>
        <v>RS</v>
      </c>
      <c r="E5554" s="5" t="str">
        <f>_xlfn.XLOOKUP(A5554,[1]!DadosGHD[CD_GEOCMU],[1]!DadosGHD[MUNICIPIO])</f>
        <v>AGUA SANTA</v>
      </c>
      <c r="F5554" s="6">
        <v>63.905941009521499</v>
      </c>
      <c r="G5554" s="6">
        <v>63.966358184814503</v>
      </c>
      <c r="H5554" s="6">
        <v>64.026092529296903</v>
      </c>
      <c r="I5554" s="6">
        <v>64.000221252441406</v>
      </c>
      <c r="J5554" s="6">
        <v>64.039611816406307</v>
      </c>
      <c r="K5554" s="6">
        <v>64.13623046875</v>
      </c>
      <c r="L5554" s="6">
        <v>48.512649536132798</v>
      </c>
    </row>
    <row r="5555" spans="1:12" x14ac:dyDescent="0.25">
      <c r="A5555">
        <v>4315909</v>
      </c>
      <c r="B5555" t="str">
        <f t="shared" si="86"/>
        <v>RODEIO BONITO, RS, Brasil</v>
      </c>
      <c r="C5555" s="4" t="str">
        <f>_xlfn.XLOOKUP(A5555,[1]!DadosGHD[CD_GEOCMU],[1]!DadosGHD[Região])</f>
        <v>SL</v>
      </c>
      <c r="D5555" s="4" t="str">
        <f>_xlfn.XLOOKUP(A5555,[1]!DadosGHD[CD_GEOCMU],[1]!DadosGHD[uf])</f>
        <v>RS</v>
      </c>
      <c r="E5555" s="5" t="str">
        <f>_xlfn.XLOOKUP(A5555,[1]!DadosGHD[CD_GEOCMU],[1]!DadosGHD[MUNICIPIO])</f>
        <v>RODEIO BONITO</v>
      </c>
      <c r="F5555" s="6">
        <v>63.905941009521499</v>
      </c>
      <c r="G5555" s="6">
        <v>63.966358184814503</v>
      </c>
      <c r="H5555" s="6">
        <v>64.026092529296903</v>
      </c>
      <c r="I5555" s="6">
        <v>64.000221252441406</v>
      </c>
      <c r="J5555" s="6">
        <v>64.039611816406307</v>
      </c>
      <c r="K5555" s="6">
        <v>64.13623046875</v>
      </c>
      <c r="L5555" s="6">
        <v>57.511680603027301</v>
      </c>
    </row>
    <row r="5556" spans="1:12" x14ac:dyDescent="0.25">
      <c r="A5556">
        <v>3554607</v>
      </c>
      <c r="B5556" t="str">
        <f t="shared" si="86"/>
        <v>TIMBURI, SP, Brasil</v>
      </c>
      <c r="C5556" s="4" t="str">
        <f>_xlfn.XLOOKUP(A5556,[1]!DadosGHD[CD_GEOCMU],[1]!DadosGHD[Região])</f>
        <v>SD</v>
      </c>
      <c r="D5556" s="4" t="str">
        <f>_xlfn.XLOOKUP(A5556,[1]!DadosGHD[CD_GEOCMU],[1]!DadosGHD[uf])</f>
        <v>SP</v>
      </c>
      <c r="E5556" s="5" t="str">
        <f>_xlfn.XLOOKUP(A5556,[1]!DadosGHD[CD_GEOCMU],[1]!DadosGHD[MUNICIPIO])</f>
        <v>TIMBURI</v>
      </c>
      <c r="F5556" s="6">
        <v>63.905941009521499</v>
      </c>
      <c r="G5556" s="6">
        <v>58.858428955078097</v>
      </c>
      <c r="H5556" s="6">
        <v>63.931129455566399</v>
      </c>
      <c r="I5556" s="6">
        <v>63.974498748779297</v>
      </c>
      <c r="J5556" s="6">
        <v>58.847194671630902</v>
      </c>
      <c r="K5556" s="6">
        <v>53.915042877197301</v>
      </c>
      <c r="L5556" s="6">
        <v>53.052448272705099</v>
      </c>
    </row>
    <row r="5557" spans="1:12" x14ac:dyDescent="0.25">
      <c r="A5557">
        <v>3522000</v>
      </c>
      <c r="B5557" t="str">
        <f t="shared" si="86"/>
        <v>ITAJU, SP, Brasil</v>
      </c>
      <c r="C5557" s="4" t="str">
        <f>_xlfn.XLOOKUP(A5557,[1]!DadosGHD[CD_GEOCMU],[1]!DadosGHD[Região])</f>
        <v>SD</v>
      </c>
      <c r="D5557" s="4" t="str">
        <f>_xlfn.XLOOKUP(A5557,[1]!DadosGHD[CD_GEOCMU],[1]!DadosGHD[uf])</f>
        <v>SP</v>
      </c>
      <c r="E5557" s="5" t="str">
        <f>_xlfn.XLOOKUP(A5557,[1]!DadosGHD[CD_GEOCMU],[1]!DadosGHD[MUNICIPIO])</f>
        <v>ITAJU</v>
      </c>
      <c r="F5557" s="6">
        <v>63.905941009521499</v>
      </c>
      <c r="G5557" s="6">
        <v>58.900733947753899</v>
      </c>
      <c r="H5557" s="6">
        <v>58.902603149414098</v>
      </c>
      <c r="I5557" s="6">
        <v>58.889881134033203</v>
      </c>
      <c r="J5557" s="6">
        <v>58.861751556396499</v>
      </c>
      <c r="K5557" s="6">
        <v>48.910167694091797</v>
      </c>
      <c r="L5557" s="6">
        <v>53.033687591552699</v>
      </c>
    </row>
    <row r="5558" spans="1:12" x14ac:dyDescent="0.25">
      <c r="A5558">
        <v>4201208</v>
      </c>
      <c r="B5558" t="str">
        <f t="shared" si="86"/>
        <v>ANTONIO CARLOS, SC, Brasil</v>
      </c>
      <c r="C5558" s="4" t="str">
        <f>_xlfn.XLOOKUP(A5558,[1]!DadosGHD[CD_GEOCMU],[1]!DadosGHD[Região])</f>
        <v>SL</v>
      </c>
      <c r="D5558" s="4" t="str">
        <f>_xlfn.XLOOKUP(A5558,[1]!DadosGHD[CD_GEOCMU],[1]!DadosGHD[uf])</f>
        <v>SC</v>
      </c>
      <c r="E5558" s="5" t="str">
        <f>_xlfn.XLOOKUP(A5558,[1]!DadosGHD[CD_GEOCMU],[1]!DadosGHD[MUNICIPIO])</f>
        <v>ANTONIO CARLOS</v>
      </c>
      <c r="F5558" s="6">
        <v>63.905941009521499</v>
      </c>
      <c r="G5558" s="6">
        <v>63.966358184814503</v>
      </c>
      <c r="H5558" s="6">
        <v>64.026092529296903</v>
      </c>
      <c r="I5558" s="6">
        <v>64.000221252441406</v>
      </c>
      <c r="J5558" s="6">
        <v>64.039611816406307</v>
      </c>
      <c r="K5558" s="6">
        <v>64.13623046875</v>
      </c>
      <c r="L5558" s="6">
        <v>57.589881896972699</v>
      </c>
    </row>
    <row r="5559" spans="1:12" x14ac:dyDescent="0.25">
      <c r="A5559">
        <v>4120002</v>
      </c>
      <c r="B5559" t="str">
        <f t="shared" si="86"/>
        <v>PORECATU, PR, Brasil</v>
      </c>
      <c r="C5559" s="4" t="str">
        <f>_xlfn.XLOOKUP(A5559,[1]!DadosGHD[CD_GEOCMU],[1]!DadosGHD[Região])</f>
        <v>SL</v>
      </c>
      <c r="D5559" s="4" t="str">
        <f>_xlfn.XLOOKUP(A5559,[1]!DadosGHD[CD_GEOCMU],[1]!DadosGHD[uf])</f>
        <v>PR</v>
      </c>
      <c r="E5559" s="5" t="str">
        <f>_xlfn.XLOOKUP(A5559,[1]!DadosGHD[CD_GEOCMU],[1]!DadosGHD[MUNICIPIO])</f>
        <v>PORECATU</v>
      </c>
      <c r="F5559" s="6">
        <v>63.905941009521499</v>
      </c>
      <c r="G5559" s="6">
        <v>63.966358184814503</v>
      </c>
      <c r="H5559" s="6">
        <v>64.026092529296903</v>
      </c>
      <c r="I5559" s="6">
        <v>64.000221252441406</v>
      </c>
      <c r="J5559" s="6">
        <v>64.039611816406307</v>
      </c>
      <c r="K5559" s="6">
        <v>64.13623046875</v>
      </c>
      <c r="L5559" s="6">
        <v>57.542758941650398</v>
      </c>
    </row>
    <row r="5560" spans="1:12" x14ac:dyDescent="0.25">
      <c r="A5560">
        <v>4314001</v>
      </c>
      <c r="B5560" t="str">
        <f t="shared" si="86"/>
        <v>PARAI, RS, Brasil</v>
      </c>
      <c r="C5560" s="4" t="str">
        <f>_xlfn.XLOOKUP(A5560,[1]!DadosGHD[CD_GEOCMU],[1]!DadosGHD[Região])</f>
        <v>SL</v>
      </c>
      <c r="D5560" s="4" t="str">
        <f>_xlfn.XLOOKUP(A5560,[1]!DadosGHD[CD_GEOCMU],[1]!DadosGHD[uf])</f>
        <v>RS</v>
      </c>
      <c r="E5560" s="5" t="str">
        <f>_xlfn.XLOOKUP(A5560,[1]!DadosGHD[CD_GEOCMU],[1]!DadosGHD[MUNICIPIO])</f>
        <v>PARAI</v>
      </c>
      <c r="F5560" s="6">
        <v>63.905941009521499</v>
      </c>
      <c r="G5560" s="6">
        <v>63.966358184814503</v>
      </c>
      <c r="H5560" s="6">
        <v>64.026092529296903</v>
      </c>
      <c r="I5560" s="6">
        <v>64.000221252441406</v>
      </c>
      <c r="J5560" s="6">
        <v>64.039611816406307</v>
      </c>
      <c r="K5560" s="6">
        <v>64.13623046875</v>
      </c>
      <c r="L5560" s="6">
        <v>57.589881896972699</v>
      </c>
    </row>
    <row r="5561" spans="1:12" x14ac:dyDescent="0.25">
      <c r="A5561">
        <v>4111100</v>
      </c>
      <c r="B5561" t="str">
        <f t="shared" si="86"/>
        <v>ITAMBE, PR, Brasil</v>
      </c>
      <c r="C5561" s="4" t="str">
        <f>_xlfn.XLOOKUP(A5561,[1]!DadosGHD[CD_GEOCMU],[1]!DadosGHD[Região])</f>
        <v>SL</v>
      </c>
      <c r="D5561" s="4" t="str">
        <f>_xlfn.XLOOKUP(A5561,[1]!DadosGHD[CD_GEOCMU],[1]!DadosGHD[uf])</f>
        <v>PR</v>
      </c>
      <c r="E5561" s="5" t="str">
        <f>_xlfn.XLOOKUP(A5561,[1]!DadosGHD[CD_GEOCMU],[1]!DadosGHD[MUNICIPIO])</f>
        <v>ITAMBE</v>
      </c>
      <c r="F5561" s="6">
        <v>63.905941009521499</v>
      </c>
      <c r="G5561" s="6">
        <v>63.966358184814503</v>
      </c>
      <c r="H5561" s="6">
        <v>64.026092529296903</v>
      </c>
      <c r="I5561" s="6">
        <v>64.000221252441406</v>
      </c>
      <c r="J5561" s="6">
        <v>63.975845336914098</v>
      </c>
      <c r="K5561" s="6">
        <v>59.013313293457003</v>
      </c>
      <c r="L5561" s="6">
        <v>48.490730285644503</v>
      </c>
    </row>
    <row r="5562" spans="1:12" x14ac:dyDescent="0.25">
      <c r="A5562">
        <v>4218855</v>
      </c>
      <c r="B5562" t="str">
        <f t="shared" si="86"/>
        <v>UNIAO DO OESTE, SC, Brasil</v>
      </c>
      <c r="C5562" s="4" t="str">
        <f>_xlfn.XLOOKUP(A5562,[1]!DadosGHD[CD_GEOCMU],[1]!DadosGHD[Região])</f>
        <v>SL</v>
      </c>
      <c r="D5562" s="4" t="str">
        <f>_xlfn.XLOOKUP(A5562,[1]!DadosGHD[CD_GEOCMU],[1]!DadosGHD[uf])</f>
        <v>SC</v>
      </c>
      <c r="E5562" s="5" t="str">
        <f>_xlfn.XLOOKUP(A5562,[1]!DadosGHD[CD_GEOCMU],[1]!DadosGHD[MUNICIPIO])</f>
        <v>UNIAO DO OESTE</v>
      </c>
      <c r="F5562" s="6">
        <v>63.905941009521499</v>
      </c>
      <c r="G5562" s="6">
        <v>63.966358184814503</v>
      </c>
      <c r="H5562" s="6">
        <v>64.026092529296903</v>
      </c>
      <c r="I5562" s="6">
        <v>64.000221252441406</v>
      </c>
      <c r="J5562" s="6">
        <v>64.039611816406307</v>
      </c>
      <c r="K5562" s="6">
        <v>64.13623046875</v>
      </c>
      <c r="L5562" s="6">
        <v>57.589881896972699</v>
      </c>
    </row>
    <row r="5563" spans="1:12" x14ac:dyDescent="0.25">
      <c r="A5563">
        <v>4322558</v>
      </c>
      <c r="B5563" t="str">
        <f t="shared" si="86"/>
        <v>VANINI, RS, Brasil</v>
      </c>
      <c r="C5563" s="4" t="str">
        <f>_xlfn.XLOOKUP(A5563,[1]!DadosGHD[CD_GEOCMU],[1]!DadosGHD[Região])</f>
        <v>SL</v>
      </c>
      <c r="D5563" s="4" t="str">
        <f>_xlfn.XLOOKUP(A5563,[1]!DadosGHD[CD_GEOCMU],[1]!DadosGHD[uf])</f>
        <v>RS</v>
      </c>
      <c r="E5563" s="5" t="str">
        <f>_xlfn.XLOOKUP(A5563,[1]!DadosGHD[CD_GEOCMU],[1]!DadosGHD[MUNICIPIO])</f>
        <v>VANINI</v>
      </c>
      <c r="F5563" s="6">
        <v>63.905941009521499</v>
      </c>
      <c r="G5563" s="6">
        <v>63.966358184814503</v>
      </c>
      <c r="H5563" s="6">
        <v>64.026092529296903</v>
      </c>
      <c r="I5563" s="6">
        <v>64.000221252441406</v>
      </c>
      <c r="J5563" s="6">
        <v>64.039611816406307</v>
      </c>
      <c r="K5563" s="6">
        <v>64.13623046875</v>
      </c>
      <c r="L5563" s="6">
        <v>53.023502349853501</v>
      </c>
    </row>
    <row r="5564" spans="1:12" x14ac:dyDescent="0.25">
      <c r="A5564">
        <v>4304671</v>
      </c>
      <c r="B5564" t="str">
        <f t="shared" si="86"/>
        <v>CAPIVARI DO SUL, RS, Brasil</v>
      </c>
      <c r="C5564" s="4" t="str">
        <f>_xlfn.XLOOKUP(A5564,[1]!DadosGHD[CD_GEOCMU],[1]!DadosGHD[Região])</f>
        <v>SL</v>
      </c>
      <c r="D5564" s="4" t="str">
        <f>_xlfn.XLOOKUP(A5564,[1]!DadosGHD[CD_GEOCMU],[1]!DadosGHD[uf])</f>
        <v>RS</v>
      </c>
      <c r="E5564" s="5" t="str">
        <f>_xlfn.XLOOKUP(A5564,[1]!DadosGHD[CD_GEOCMU],[1]!DadosGHD[MUNICIPIO])</f>
        <v>CAPIVARI DO SUL</v>
      </c>
      <c r="F5564" s="6">
        <v>63.905941009521499</v>
      </c>
      <c r="G5564" s="6">
        <v>63.966358184814503</v>
      </c>
      <c r="H5564" s="6">
        <v>64.026092529296903</v>
      </c>
      <c r="I5564" s="6">
        <v>64.000221252441406</v>
      </c>
      <c r="J5564" s="6">
        <v>64.039611816406307</v>
      </c>
      <c r="K5564" s="6">
        <v>64.13623046875</v>
      </c>
      <c r="L5564" s="6">
        <v>57.589881896972699</v>
      </c>
    </row>
    <row r="5565" spans="1:12" x14ac:dyDescent="0.25">
      <c r="A5565">
        <v>4312757</v>
      </c>
      <c r="B5565" t="str">
        <f t="shared" si="86"/>
        <v>NOVA ALVORADA, RS, Brasil</v>
      </c>
      <c r="C5565" s="4" t="str">
        <f>_xlfn.XLOOKUP(A5565,[1]!DadosGHD[CD_GEOCMU],[1]!DadosGHD[Região])</f>
        <v>SL</v>
      </c>
      <c r="D5565" s="4" t="str">
        <f>_xlfn.XLOOKUP(A5565,[1]!DadosGHD[CD_GEOCMU],[1]!DadosGHD[uf])</f>
        <v>RS</v>
      </c>
      <c r="E5565" s="5" t="str">
        <f>_xlfn.XLOOKUP(A5565,[1]!DadosGHD[CD_GEOCMU],[1]!DadosGHD[MUNICIPIO])</f>
        <v>NOVA ALVORADA</v>
      </c>
      <c r="F5565" s="6">
        <v>63.905941009521499</v>
      </c>
      <c r="G5565" s="6">
        <v>63.966358184814503</v>
      </c>
      <c r="H5565" s="6">
        <v>64.026092529296903</v>
      </c>
      <c r="I5565" s="6">
        <v>63.9298286437988</v>
      </c>
      <c r="J5565" s="6">
        <v>58.976600646972699</v>
      </c>
      <c r="K5565" s="6">
        <v>58.997093200683601</v>
      </c>
      <c r="L5565" s="6">
        <v>44.061481475830099</v>
      </c>
    </row>
    <row r="5566" spans="1:12" x14ac:dyDescent="0.25">
      <c r="A5566">
        <v>3513306</v>
      </c>
      <c r="B5566" t="str">
        <f t="shared" si="86"/>
        <v>CRUZALIA, SP, Brasil</v>
      </c>
      <c r="C5566" s="4" t="str">
        <f>_xlfn.XLOOKUP(A5566,[1]!DadosGHD[CD_GEOCMU],[1]!DadosGHD[Região])</f>
        <v>SD</v>
      </c>
      <c r="D5566" s="4" t="str">
        <f>_xlfn.XLOOKUP(A5566,[1]!DadosGHD[CD_GEOCMU],[1]!DadosGHD[uf])</f>
        <v>SP</v>
      </c>
      <c r="E5566" s="5" t="str">
        <f>_xlfn.XLOOKUP(A5566,[1]!DadosGHD[CD_GEOCMU],[1]!DadosGHD[MUNICIPIO])</f>
        <v>CRUZALIA</v>
      </c>
      <c r="F5566" s="6">
        <v>63.905941009521499</v>
      </c>
      <c r="G5566" s="6">
        <v>63.966358184814503</v>
      </c>
      <c r="H5566" s="6">
        <v>58.932350158691399</v>
      </c>
      <c r="I5566" s="6">
        <v>48.695167541503899</v>
      </c>
      <c r="J5566" s="6">
        <v>48.710117340087898</v>
      </c>
      <c r="K5566" s="6">
        <v>43.8722534179688</v>
      </c>
      <c r="L5566" s="6">
        <v>48.501579284667997</v>
      </c>
    </row>
    <row r="5567" spans="1:12" x14ac:dyDescent="0.25">
      <c r="A5567">
        <v>4208906</v>
      </c>
      <c r="B5567" t="str">
        <f t="shared" si="86"/>
        <v>JARAGUA DO SUL, SC, Brasil</v>
      </c>
      <c r="C5567" s="4" t="str">
        <f>_xlfn.XLOOKUP(A5567,[1]!DadosGHD[CD_GEOCMU],[1]!DadosGHD[Região])</f>
        <v>SL</v>
      </c>
      <c r="D5567" s="4" t="str">
        <f>_xlfn.XLOOKUP(A5567,[1]!DadosGHD[CD_GEOCMU],[1]!DadosGHD[uf])</f>
        <v>SC</v>
      </c>
      <c r="E5567" s="5" t="str">
        <f>_xlfn.XLOOKUP(A5567,[1]!DadosGHD[CD_GEOCMU],[1]!DadosGHD[MUNICIPIO])</f>
        <v>JARAGUA DO SUL</v>
      </c>
      <c r="F5567" s="6">
        <v>63.905941009521499</v>
      </c>
      <c r="G5567" s="6">
        <v>63.945564270019503</v>
      </c>
      <c r="H5567" s="6">
        <v>63.961872100830099</v>
      </c>
      <c r="I5567" s="6">
        <v>58.968284606933601</v>
      </c>
      <c r="J5567" s="6">
        <v>58.960575103759801</v>
      </c>
      <c r="K5567" s="6">
        <v>58.990959167480497</v>
      </c>
      <c r="L5567" s="6">
        <v>57.531959533691399</v>
      </c>
    </row>
    <row r="5568" spans="1:12" x14ac:dyDescent="0.25">
      <c r="A5568">
        <v>4205407</v>
      </c>
      <c r="B5568" t="str">
        <f t="shared" si="86"/>
        <v>FLORIANOPOLIS, SC, Brasil</v>
      </c>
      <c r="C5568" s="4" t="str">
        <f>_xlfn.XLOOKUP(A5568,[1]!DadosGHD[CD_GEOCMU],[1]!DadosGHD[Região])</f>
        <v>SL</v>
      </c>
      <c r="D5568" s="4" t="str">
        <f>_xlfn.XLOOKUP(A5568,[1]!DadosGHD[CD_GEOCMU],[1]!DadosGHD[uf])</f>
        <v>SC</v>
      </c>
      <c r="E5568" s="5" t="str">
        <f>_xlfn.XLOOKUP(A5568,[1]!DadosGHD[CD_GEOCMU],[1]!DadosGHD[MUNICIPIO])</f>
        <v>FLORIANOPOLIS</v>
      </c>
      <c r="F5568" s="6">
        <v>63.905941009521499</v>
      </c>
      <c r="G5568" s="6">
        <v>63.966358184814503</v>
      </c>
      <c r="H5568" s="6">
        <v>64.026092529296903</v>
      </c>
      <c r="I5568" s="6">
        <v>64.000221252441406</v>
      </c>
      <c r="J5568" s="6">
        <v>64.039611816406307</v>
      </c>
      <c r="K5568" s="6">
        <v>64.13623046875</v>
      </c>
      <c r="L5568" s="6">
        <v>57.589881896972699</v>
      </c>
    </row>
    <row r="5569" spans="1:12" x14ac:dyDescent="0.25">
      <c r="A5569">
        <v>4202404</v>
      </c>
      <c r="B5569" t="str">
        <f t="shared" si="86"/>
        <v>BLUMENAU, SC, Brasil</v>
      </c>
      <c r="C5569" s="4" t="str">
        <f>_xlfn.XLOOKUP(A5569,[1]!DadosGHD[CD_GEOCMU],[1]!DadosGHD[Região])</f>
        <v>SL</v>
      </c>
      <c r="D5569" s="4" t="str">
        <f>_xlfn.XLOOKUP(A5569,[1]!DadosGHD[CD_GEOCMU],[1]!DadosGHD[uf])</f>
        <v>SC</v>
      </c>
      <c r="E5569" s="5" t="str">
        <f>_xlfn.XLOOKUP(A5569,[1]!DadosGHD[CD_GEOCMU],[1]!DadosGHD[MUNICIPIO])</f>
        <v>BLUMENAU</v>
      </c>
      <c r="F5569" s="6">
        <v>63.905941009521499</v>
      </c>
      <c r="G5569" s="6">
        <v>63.966358184814503</v>
      </c>
      <c r="H5569" s="6">
        <v>64.026092529296903</v>
      </c>
      <c r="I5569" s="6">
        <v>64.000221252441406</v>
      </c>
      <c r="J5569" s="6">
        <v>64.039611816406307</v>
      </c>
      <c r="K5569" s="6">
        <v>64.13623046875</v>
      </c>
      <c r="L5569" s="6">
        <v>57.589881896972699</v>
      </c>
    </row>
    <row r="5570" spans="1:12" x14ac:dyDescent="0.25">
      <c r="A5570">
        <v>4113700</v>
      </c>
      <c r="B5570" t="str">
        <f t="shared" si="86"/>
        <v>LONDRINA, PR, Brasil</v>
      </c>
      <c r="C5570" s="4" t="str">
        <f>_xlfn.XLOOKUP(A5570,[1]!DadosGHD[CD_GEOCMU],[1]!DadosGHD[Região])</f>
        <v>SL</v>
      </c>
      <c r="D5570" s="4" t="str">
        <f>_xlfn.XLOOKUP(A5570,[1]!DadosGHD[CD_GEOCMU],[1]!DadosGHD[uf])</f>
        <v>PR</v>
      </c>
      <c r="E5570" s="5" t="str">
        <f>_xlfn.XLOOKUP(A5570,[1]!DadosGHD[CD_GEOCMU],[1]!DadosGHD[MUNICIPIO])</f>
        <v>LONDRINA</v>
      </c>
      <c r="F5570" s="6">
        <v>63.905941009521499</v>
      </c>
      <c r="G5570" s="6">
        <v>63.966358184814503</v>
      </c>
      <c r="H5570" s="6">
        <v>64.026092529296903</v>
      </c>
      <c r="I5570" s="6">
        <v>63.989650726318402</v>
      </c>
      <c r="J5570" s="6">
        <v>64.039611816406307</v>
      </c>
      <c r="K5570" s="6">
        <v>64.118270874023395</v>
      </c>
      <c r="L5570" s="6">
        <v>57.589881896972699</v>
      </c>
    </row>
    <row r="5571" spans="1:12" x14ac:dyDescent="0.25">
      <c r="A5571">
        <v>3531506</v>
      </c>
      <c r="B5571" t="str">
        <f t="shared" si="86"/>
        <v>MONTE AZUL PAULISTA, SP, Brasil</v>
      </c>
      <c r="C5571" s="4" t="str">
        <f>_xlfn.XLOOKUP(A5571,[1]!DadosGHD[CD_GEOCMU],[1]!DadosGHD[Região])</f>
        <v>SD</v>
      </c>
      <c r="D5571" s="4" t="str">
        <f>_xlfn.XLOOKUP(A5571,[1]!DadosGHD[CD_GEOCMU],[1]!DadosGHD[uf])</f>
        <v>SP</v>
      </c>
      <c r="E5571" s="5" t="str">
        <f>_xlfn.XLOOKUP(A5571,[1]!DadosGHD[CD_GEOCMU],[1]!DadosGHD[MUNICIPIO])</f>
        <v>MONTE AZUL PAULISTA</v>
      </c>
      <c r="F5571" s="6">
        <v>63.905941009521499</v>
      </c>
      <c r="G5571" s="6">
        <v>63.966358184814503</v>
      </c>
      <c r="H5571" s="6">
        <v>58.932586669921903</v>
      </c>
      <c r="I5571" s="6">
        <v>53.806297302246101</v>
      </c>
      <c r="J5571" s="6">
        <v>53.773490905761697</v>
      </c>
      <c r="K5571" s="6">
        <v>53.847076416015597</v>
      </c>
      <c r="L5571" s="6">
        <v>39.611255645752003</v>
      </c>
    </row>
    <row r="5572" spans="1:12" x14ac:dyDescent="0.25">
      <c r="A5572">
        <v>3500808</v>
      </c>
      <c r="B5572" t="str">
        <f t="shared" ref="B5572:B5574" si="87">_xlfn.CONCAT(E5572, ", ", D5572, ", Brasil")</f>
        <v>ALFREDO MARCONDES, SP, Brasil</v>
      </c>
      <c r="C5572" s="4" t="str">
        <f>_xlfn.XLOOKUP(A5572,[1]!DadosGHD[CD_GEOCMU],[1]!DadosGHD[Região])</f>
        <v>SD</v>
      </c>
      <c r="D5572" s="4" t="str">
        <f>_xlfn.XLOOKUP(A5572,[1]!DadosGHD[CD_GEOCMU],[1]!DadosGHD[uf])</f>
        <v>SP</v>
      </c>
      <c r="E5572" s="5" t="str">
        <f>_xlfn.XLOOKUP(A5572,[1]!DadosGHD[CD_GEOCMU],[1]!DadosGHD[MUNICIPIO])</f>
        <v>ALFREDO MARCONDES</v>
      </c>
      <c r="F5572" s="6">
        <v>63.905941009521499</v>
      </c>
      <c r="G5572" s="6">
        <v>63.875965118408203</v>
      </c>
      <c r="H5572" s="6">
        <v>64.026092529296903</v>
      </c>
      <c r="I5572" s="6">
        <v>63.967479705810597</v>
      </c>
      <c r="J5572" s="6">
        <v>63.913341522216797</v>
      </c>
      <c r="K5572" s="6">
        <v>58.991928100585902</v>
      </c>
      <c r="L5572" s="6">
        <v>53.037727355957003</v>
      </c>
    </row>
    <row r="5573" spans="1:12" x14ac:dyDescent="0.25">
      <c r="A5573">
        <v>4301552</v>
      </c>
      <c r="B5573" t="str">
        <f t="shared" si="87"/>
        <v>AUREA, RS, Brasil</v>
      </c>
      <c r="C5573" s="4" t="str">
        <f>_xlfn.XLOOKUP(A5573,[1]!DadosGHD[CD_GEOCMU],[1]!DadosGHD[Região])</f>
        <v>SL</v>
      </c>
      <c r="D5573" s="4" t="str">
        <f>_xlfn.XLOOKUP(A5573,[1]!DadosGHD[CD_GEOCMU],[1]!DadosGHD[uf])</f>
        <v>RS</v>
      </c>
      <c r="E5573" s="5" t="str">
        <f>_xlfn.XLOOKUP(A5573,[1]!DadosGHD[CD_GEOCMU],[1]!DadosGHD[MUNICIPIO])</f>
        <v>AUREA</v>
      </c>
      <c r="F5573" s="6">
        <v>63.905941009521499</v>
      </c>
      <c r="G5573" s="6">
        <v>63.966358184814503</v>
      </c>
      <c r="H5573" s="6">
        <v>64.026092529296903</v>
      </c>
      <c r="I5573" s="6">
        <v>64.000221252441406</v>
      </c>
      <c r="J5573" s="6">
        <v>64.039611816406307</v>
      </c>
      <c r="K5573" s="6">
        <v>64.13623046875</v>
      </c>
      <c r="L5573" s="6">
        <v>53.018558502197301</v>
      </c>
    </row>
    <row r="5574" spans="1:12" x14ac:dyDescent="0.25">
      <c r="A5574">
        <v>3501004</v>
      </c>
      <c r="B5574" t="str">
        <f t="shared" si="87"/>
        <v>ALTINOPOLIS, SP, Brasil</v>
      </c>
      <c r="C5574" s="4" t="str">
        <f>_xlfn.XLOOKUP(A5574,[1]!DadosGHD[CD_GEOCMU],[1]!DadosGHD[Região])</f>
        <v>SD</v>
      </c>
      <c r="D5574" s="4" t="str">
        <f>_xlfn.XLOOKUP(A5574,[1]!DadosGHD[CD_GEOCMU],[1]!DadosGHD[uf])</f>
        <v>SP</v>
      </c>
      <c r="E5574" s="5" t="str">
        <f>_xlfn.XLOOKUP(A5574,[1]!DadosGHD[CD_GEOCMU],[1]!DadosGHD[MUNICIPIO])</f>
        <v>ALTINOPOLIS</v>
      </c>
      <c r="F5574" s="6">
        <v>63.905941009521499</v>
      </c>
      <c r="G5574" s="6">
        <v>63.966358184814503</v>
      </c>
      <c r="H5574" s="6">
        <v>64.026092529296903</v>
      </c>
      <c r="I5574" s="6">
        <v>64.000221252441406</v>
      </c>
      <c r="J5574" s="6">
        <v>63.954193115234403</v>
      </c>
      <c r="K5574" s="6">
        <v>58.9644165039063</v>
      </c>
      <c r="L5574" s="6">
        <v>53.064643859863303</v>
      </c>
    </row>
  </sheetData>
  <mergeCells count="1">
    <mergeCell ref="A1:L1"/>
  </mergeCells>
  <conditionalFormatting sqref="F3:L5574">
    <cfRule type="cellIs" dxfId="0" priority="1" operator="lessThanOrEqual">
      <formula>30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Tomaz SILVEIRA</dc:creator>
  <cp:lastModifiedBy>Tomaz SILVEIRA</cp:lastModifiedBy>
  <dcterms:created xsi:type="dcterms:W3CDTF">2025-12-04T12:43:16Z</dcterms:created>
  <dcterms:modified xsi:type="dcterms:W3CDTF">2025-12-04T12:47:45Z</dcterms:modified>
</cp:coreProperties>
</file>